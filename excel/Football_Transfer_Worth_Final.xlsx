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5f1109190e0046/Internships/Data analytics/Transfer Market Project 2026/"/>
    </mc:Choice>
  </mc:AlternateContent>
  <xr:revisionPtr revIDLastSave="0" documentId="8_{1E8473D5-00BA-429B-9B1F-9DF6953124EA}" xr6:coauthVersionLast="47" xr6:coauthVersionMax="47" xr10:uidLastSave="{00000000-0000-0000-0000-000000000000}"/>
  <bookViews>
    <workbookView xWindow="-110" yWindow="-110" windowWidth="19420" windowHeight="10300" firstSheet="11" activeTab="12" xr2:uid="{00000000-000D-0000-FFFF-FFFF00000000}"/>
  </bookViews>
  <sheets>
    <sheet name="How_to_read" sheetId="1" r:id="rId1"/>
    <sheet name="Data_Dictionary" sheetId="2" r:id="rId2"/>
    <sheet name="Data_Quality" sheetId="3" r:id="rId3"/>
    <sheet name="KPI_Summary" sheetId="4" r:id="rId4"/>
    <sheet name="Paid_Sample" sheetId="5" r:id="rId5"/>
    <sheet name="By_Position" sheetId="6" r:id="rId6"/>
    <sheet name="By_Age" sheetId="7" r:id="rId7"/>
    <sheet name="FTV_Worth" sheetId="8" r:id="rId8"/>
    <sheet name="Summer26_Overview" sheetId="9" r:id="rId9"/>
    <sheet name="Summer26_New" sheetId="10" r:id="rId10"/>
    <sheet name="Summer26_Matches" sheetId="11" r:id="rId11"/>
    <sheet name="Summer26_Review" sheetId="12" r:id="rId12"/>
    <sheet name="Fee_Components" sheetId="13" r:id="rId13"/>
    <sheet name="Source_Checks" sheetId="14" r:id="rId14"/>
    <sheet name="Transfer_Ratings" sheetId="15" r:id="rIdRating15"/>
    <sheet name="Position_Rubric" sheetId="16" r:id="rIdRating16"/>
    <sheet name="Rating_Calculator" sheetId="17" r:id="rIdRating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9" l="1"/>
  <c r="B21" i="9"/>
  <c r="C20" i="9"/>
  <c r="B20" i="9"/>
  <c r="C19" i="9"/>
  <c r="B19" i="9"/>
  <c r="C18" i="9"/>
  <c r="B18" i="9"/>
  <c r="C17" i="9"/>
  <c r="B17" i="9"/>
  <c r="B13" i="9"/>
  <c r="B12" i="9"/>
  <c r="B11" i="9"/>
  <c r="B10" i="9"/>
  <c r="B7" i="9" s="1"/>
  <c r="B9" i="9"/>
  <c r="B8" i="9"/>
  <c r="B14" i="4"/>
  <c r="B13" i="4"/>
  <c r="B12" i="4"/>
  <c r="B11" i="4"/>
</calcChain>
</file>

<file path=xl/sharedStrings.xml><?xml version="1.0" encoding="utf-8"?>
<sst xmlns="http://schemas.openxmlformats.org/spreadsheetml/2006/main" count="22682" uniqueCount="4101">
  <si>
    <t>Transfer market worth — Excel layer</t>
  </si>
  <si>
    <t>Business question</t>
  </si>
  <si>
    <t>What is a defensible transfer worth for a player (age, position, league, production) vs listed TM and vs disclosed fee?</t>
  </si>
  <si>
    <t>Why Excel is here</t>
  </si>
  <si>
    <t>Dictionary, quality, and Pivot-ready summaries. The 175k-row extract stays in parquet/SQL.</t>
  </si>
  <si>
    <t>Sheets</t>
  </si>
  <si>
    <t>Data_Dictionary — every important field</t>
  </si>
  <si>
    <t>Data_Quality — zeros, nulls, future dates (do not treat fee=0 as a €0 purchase)</t>
  </si>
  <si>
    <t>KPI_Summary — COUNT/SUM style totals with Excel formulas on the sample</t>
  </si>
  <si>
    <t>Paid_Sample — top 200 disclosed fees + SUM/AVERAGE/COUNTIF</t>
  </si>
  <si>
    <t>By_Position — last 5y paid spend</t>
  </si>
  <si>
    <t>By_Age — median fee and fee/TM</t>
  </si>
  <si>
    <t>FTV_Worth — model worth vs listed TM (900+ minutes, TM ≥ €5m)</t>
  </si>
  <si>
    <t>column</t>
  </si>
  <si>
    <t>description</t>
  </si>
  <si>
    <t>type</t>
  </si>
  <si>
    <t>source</t>
  </si>
  <si>
    <t>example</t>
  </si>
  <si>
    <t>notes</t>
  </si>
  <si>
    <t>player_id</t>
  </si>
  <si>
    <t>Stable Transfermarkt player key</t>
  </si>
  <si>
    <t>integer</t>
  </si>
  <si>
    <t>players/transfers</t>
  </si>
  <si>
    <t>418560</t>
  </si>
  <si>
    <t>join key — never use name alone</t>
  </si>
  <si>
    <t>transfer_fee</t>
  </si>
  <si>
    <t>Reported fee EUR; 0 = free or undisclosed</t>
  </si>
  <si>
    <t>float</t>
  </si>
  <si>
    <t>transfers</t>
  </si>
  <si>
    <t>125000000</t>
  </si>
  <si>
    <t>filter is_paid for money KPIs</t>
  </si>
  <si>
    <t>mv_at_transfer</t>
  </si>
  <si>
    <t>TM listed value at the move</t>
  </si>
  <si>
    <t>70000000</t>
  </si>
  <si>
    <t>benchmark, not true worth</t>
  </si>
  <si>
    <t>fee_to_mv</t>
  </si>
  <si>
    <t>fee / listed TM</t>
  </si>
  <si>
    <t>calculated</t>
  </si>
  <si>
    <t>1.25</t>
  </si>
  <si>
    <t>&gt;1 means paid above listed</t>
  </si>
  <si>
    <t>age_at_transfer</t>
  </si>
  <si>
    <t>Years at transfer_date</t>
  </si>
  <si>
    <t>21</t>
  </si>
  <si>
    <t>from date of birth</t>
  </si>
  <si>
    <t>fair_value</t>
  </si>
  <si>
    <t>FTV estimated worth EUR</t>
  </si>
  <si>
    <t>player_value model</t>
  </si>
  <si>
    <t>100000000</t>
  </si>
  <si>
    <t>rule-based; not a sale price</t>
  </si>
  <si>
    <t>tm_value</t>
  </si>
  <si>
    <t>Current listed TM</t>
  </si>
  <si>
    <t>players</t>
  </si>
  <si>
    <t>75000000</t>
  </si>
  <si>
    <t>public list, not worth</t>
  </si>
  <si>
    <t>minutes</t>
  </si>
  <si>
    <t>Minutes last 365 days</t>
  </si>
  <si>
    <t>appearances</t>
  </si>
  <si>
    <t>3736</t>
  </si>
  <si>
    <t>production volume</t>
  </si>
  <si>
    <t>rows</t>
  </si>
  <si>
    <t>fee_null</t>
  </si>
  <si>
    <t>fee_zero</t>
  </si>
  <si>
    <t>tm_null</t>
  </si>
  <si>
    <t>name_null</t>
  </si>
  <si>
    <t>future_dated</t>
  </si>
  <si>
    <t>paid</t>
  </si>
  <si>
    <t>Rule</t>
  </si>
  <si>
    <t>Never average transfer_fee across all rows. fee_zero mixes frees and undisclosed.</t>
  </si>
  <si>
    <t>metric</t>
  </si>
  <si>
    <t>value</t>
  </si>
  <si>
    <t>excel_formula_on_Paid_Sample</t>
  </si>
  <si>
    <t>completed_moves</t>
  </si>
  <si>
    <t>paid_deals</t>
  </si>
  <si>
    <t>disclosed_fees_eur</t>
  </si>
  <si>
    <t>median_paid_fee_eur</t>
  </si>
  <si>
    <t>median_fee_over_tm</t>
  </si>
  <si>
    <t>window_start</t>
  </si>
  <si>
    <t>1993-07-01</t>
  </si>
  <si>
    <t>window_end</t>
  </si>
  <si>
    <t>2026-09-03</t>
  </si>
  <si>
    <t>Formulas on Paid_Sample (column E = transfer_fee)</t>
  </si>
  <si>
    <t>Sample SUM of fees</t>
  </si>
  <si>
    <t>Sample AVERAGE fee</t>
  </si>
  <si>
    <t>Sample COUNT of rows</t>
  </si>
  <si>
    <t>Sample COUNTIF fee&gt;=100000000</t>
  </si>
  <si>
    <t>player_name</t>
  </si>
  <si>
    <t>from_club_name</t>
  </si>
  <si>
    <t>to_club_name</t>
  </si>
  <si>
    <t>transfer_date</t>
  </si>
  <si>
    <t>position</t>
  </si>
  <si>
    <t>Neymar</t>
  </si>
  <si>
    <t>Barcelona</t>
  </si>
  <si>
    <t>PSG</t>
  </si>
  <si>
    <t>Midfield</t>
  </si>
  <si>
    <t>Kylian Mbappé</t>
  </si>
  <si>
    <t>Monaco</t>
  </si>
  <si>
    <t>Attack</t>
  </si>
  <si>
    <t>Ousmane Dembélé</t>
  </si>
  <si>
    <t>Dortmund</t>
  </si>
  <si>
    <t>Alexander Isak</t>
  </si>
  <si>
    <t>Newcastle</t>
  </si>
  <si>
    <t>Liverpool</t>
  </si>
  <si>
    <t>Enzo Fernández</t>
  </si>
  <si>
    <t>Chelsea</t>
  </si>
  <si>
    <t>Man City</t>
  </si>
  <si>
    <t>Morgan Rogers</t>
  </si>
  <si>
    <t>Aston Villa</t>
  </si>
  <si>
    <t>Philippe Coutinho</t>
  </si>
  <si>
    <t>Elliot Anderson</t>
  </si>
  <si>
    <t>Nottm Forest</t>
  </si>
  <si>
    <t>João Félix</t>
  </si>
  <si>
    <t>Benfica</t>
  </si>
  <si>
    <t>Atlético</t>
  </si>
  <si>
    <t>Jude Bellingham</t>
  </si>
  <si>
    <t>Real Madrid</t>
  </si>
  <si>
    <t>Florian Wirtz</t>
  </si>
  <si>
    <t>Leverkusen</t>
  </si>
  <si>
    <t>Bradley Barcola</t>
  </si>
  <si>
    <t>Yan Diomande</t>
  </si>
  <si>
    <t>RB Leipzig</t>
  </si>
  <si>
    <t>Antoine Griezmann</t>
  </si>
  <si>
    <t>Jack Grealish</t>
  </si>
  <si>
    <t>Cristiano Ronaldo</t>
  </si>
  <si>
    <t>Juventus</t>
  </si>
  <si>
    <t>Declan Rice</t>
  </si>
  <si>
    <t>West Ham</t>
  </si>
  <si>
    <t>Arsenal</t>
  </si>
  <si>
    <t>Moisés Caicedo</t>
  </si>
  <si>
    <t>Brighton</t>
  </si>
  <si>
    <t>Romelu Lukaku</t>
  </si>
  <si>
    <t>Inter</t>
  </si>
  <si>
    <t>Sandro Tonali</t>
  </si>
  <si>
    <t>Tottenham</t>
  </si>
  <si>
    <t>Paul Pogba</t>
  </si>
  <si>
    <t>Man Utd</t>
  </si>
  <si>
    <t>Kai Havertz</t>
  </si>
  <si>
    <t>Ayyoub Bouaddi</t>
  </si>
  <si>
    <t>Lille</t>
  </si>
  <si>
    <t>Mateus Fernandes</t>
  </si>
  <si>
    <t>Hugo Ekitiké</t>
  </si>
  <si>
    <t>Frankfurt</t>
  </si>
  <si>
    <t>Harry Kane</t>
  </si>
  <si>
    <t>Bayern Munich</t>
  </si>
  <si>
    <t>Antony</t>
  </si>
  <si>
    <t>Ajax</t>
  </si>
  <si>
    <t>Randal Kolo Muani</t>
  </si>
  <si>
    <t>Al-Hilal</t>
  </si>
  <si>
    <t>Josko Gvardiol</t>
  </si>
  <si>
    <t>Leipzig</t>
  </si>
  <si>
    <t>Defender</t>
  </si>
  <si>
    <t>Santos</t>
  </si>
  <si>
    <t>Harry Maguire</t>
  </si>
  <si>
    <t>Leicester</t>
  </si>
  <si>
    <t>Bruno Guimarães</t>
  </si>
  <si>
    <t>Frenkie de Jong</t>
  </si>
  <si>
    <t>Matthijs de Ligt</t>
  </si>
  <si>
    <t>Dušan Vlahović</t>
  </si>
  <si>
    <t>Fiorentina</t>
  </si>
  <si>
    <t>Jadon Sancho</t>
  </si>
  <si>
    <t>Darwin Núñez</t>
  </si>
  <si>
    <t>Everton</t>
  </si>
  <si>
    <t>Virgil van Dijk</t>
  </si>
  <si>
    <t>Southampton</t>
  </si>
  <si>
    <t>Luis Suárez</t>
  </si>
  <si>
    <t>Arthur Melo</t>
  </si>
  <si>
    <t>Wesley Fofana</t>
  </si>
  <si>
    <t>Lucas Hernández</t>
  </si>
  <si>
    <t>Nicolas Pépé</t>
  </si>
  <si>
    <t>Aurélien Tchouaméni</t>
  </si>
  <si>
    <t>Anthony Gordon</t>
  </si>
  <si>
    <t>Kepa Arrizabalaga</t>
  </si>
  <si>
    <t>Athletic Club</t>
  </si>
  <si>
    <t>Goalkeeper</t>
  </si>
  <si>
    <t>Khvicha Kvaratskhelia</t>
  </si>
  <si>
    <t>Napoli</t>
  </si>
  <si>
    <t>Rasmus Højlund</t>
  </si>
  <si>
    <t>Atalanta</t>
  </si>
  <si>
    <t>Victor Osimhen</t>
  </si>
  <si>
    <t>Real Sociedad</t>
  </si>
  <si>
    <t>Jhon Durán</t>
  </si>
  <si>
    <t>Al-Nassr</t>
  </si>
  <si>
    <t>Rodri</t>
  </si>
  <si>
    <t>Benjamin Sesko</t>
  </si>
  <si>
    <t>Kevin De Bruyne</t>
  </si>
  <si>
    <t>Wolfsburg</t>
  </si>
  <si>
    <t>Nick Woltemade</t>
  </si>
  <si>
    <t>Stuttgart</t>
  </si>
  <si>
    <t>Omar Marmoush</t>
  </si>
  <si>
    <t>Galatasaray</t>
  </si>
  <si>
    <t>Bryan Mbeumo</t>
  </si>
  <si>
    <t>Brentford</t>
  </si>
  <si>
    <t>Julián Alvarez</t>
  </si>
  <si>
    <t>Ángel Di María</t>
  </si>
  <si>
    <t>James Rodríguez</t>
  </si>
  <si>
    <t>Iliman Ndiaye</t>
  </si>
  <si>
    <t>Matheus Cunha</t>
  </si>
  <si>
    <t>Wolves</t>
  </si>
  <si>
    <t>Alisson</t>
  </si>
  <si>
    <t>Roma</t>
  </si>
  <si>
    <t>Antoine Semenyo</t>
  </si>
  <si>
    <t>Bournemouth</t>
  </si>
  <si>
    <t>Thomas Lemar</t>
  </si>
  <si>
    <t>Rúben Dias</t>
  </si>
  <si>
    <t>Casemiro</t>
  </si>
  <si>
    <t>Luis Díaz</t>
  </si>
  <si>
    <t>Martín Zubimendi</t>
  </si>
  <si>
    <t>Mykhaylo Mudryk</t>
  </si>
  <si>
    <t>Shakhtar D.</t>
  </si>
  <si>
    <t>Dominik Szoboszlai</t>
  </si>
  <si>
    <t>Eberechi Eze</t>
  </si>
  <si>
    <t>Crystal Palace</t>
  </si>
  <si>
    <t>Achraf Hakimi</t>
  </si>
  <si>
    <t>Riyad Mahrez</t>
  </si>
  <si>
    <t>Mason Mount</t>
  </si>
  <si>
    <t>Viktor Gyökeres</t>
  </si>
  <si>
    <t>Sporting</t>
  </si>
  <si>
    <t>Álvaro Morata</t>
  </si>
  <si>
    <t>João Neves</t>
  </si>
  <si>
    <t>Marc Cucurella</t>
  </si>
  <si>
    <t>Gonçalo Ramos</t>
  </si>
  <si>
    <t>Xavi Simons</t>
  </si>
  <si>
    <t>Aymeric Laporte</t>
  </si>
  <si>
    <t>Bruno Fernandes</t>
  </si>
  <si>
    <t>João Cancelo</t>
  </si>
  <si>
    <t>Edinson Cavani</t>
  </si>
  <si>
    <t>Dominic Solanke</t>
  </si>
  <si>
    <t>Christian Pulisic</t>
  </si>
  <si>
    <t>Mohammed Kudus</t>
  </si>
  <si>
    <t>Pierre-Emerick Aubameyang</t>
  </si>
  <si>
    <t>João Pedro</t>
  </si>
  <si>
    <t>Raheem Sterling</t>
  </si>
  <si>
    <t>Jérémy Jacquet</t>
  </si>
  <si>
    <t>Stade Rennais</t>
  </si>
  <si>
    <t>Ilya Zabarnyi</t>
  </si>
  <si>
    <t>Luka Jović</t>
  </si>
  <si>
    <t>Dean Huijsen</t>
  </si>
  <si>
    <t>Roméo Lavia</t>
  </si>
  <si>
    <t>Matheus Nunes</t>
  </si>
  <si>
    <t>Leny Yoro</t>
  </si>
  <si>
    <t>Tanguy Ndombélé</t>
  </si>
  <si>
    <t>Lyon</t>
  </si>
  <si>
    <t>Mateo Retegui</t>
  </si>
  <si>
    <t>Al-Qadsiah</t>
  </si>
  <si>
    <t>Anthony Elanga</t>
  </si>
  <si>
    <t>Nott'm Forest</t>
  </si>
  <si>
    <t>Dani Olmo</t>
  </si>
  <si>
    <t>AC Milan</t>
  </si>
  <si>
    <t>Miralem Pjanić</t>
  </si>
  <si>
    <t>Moussa Diaby</t>
  </si>
  <si>
    <t>Al-Ittihad</t>
  </si>
  <si>
    <t>Jan Paul van Hecke</t>
  </si>
  <si>
    <t>Naby Keïta</t>
  </si>
  <si>
    <t>Erling Haaland</t>
  </si>
  <si>
    <t>Malcom</t>
  </si>
  <si>
    <t>Zenit S-Pb</t>
  </si>
  <si>
    <t>Anthony Martial</t>
  </si>
  <si>
    <t>Nico González</t>
  </si>
  <si>
    <t>Porto</t>
  </si>
  <si>
    <t>Manuel Ugarte</t>
  </si>
  <si>
    <t>Christopher Nkunku</t>
  </si>
  <si>
    <t>Otávio</t>
  </si>
  <si>
    <t>Jérémy Doku</t>
  </si>
  <si>
    <t>Pedro Neto</t>
  </si>
  <si>
    <t>Amadou Onana</t>
  </si>
  <si>
    <t>Fred</t>
  </si>
  <si>
    <t>Ezri Konsa</t>
  </si>
  <si>
    <t>Ben White</t>
  </si>
  <si>
    <t>Teun Koopmeiners</t>
  </si>
  <si>
    <t>Richarlison</t>
  </si>
  <si>
    <t>Raphinha</t>
  </si>
  <si>
    <t>Leeds</t>
  </si>
  <si>
    <t>Yoane Wissa</t>
  </si>
  <si>
    <t>Benjamin Mendy</t>
  </si>
  <si>
    <t>Lisandro Martínez</t>
  </si>
  <si>
    <t>Jorginho</t>
  </si>
  <si>
    <t>Noni Madueke</t>
  </si>
  <si>
    <t>Jamie Gittens</t>
  </si>
  <si>
    <t>Hulk</t>
  </si>
  <si>
    <t>SH SIPG</t>
  </si>
  <si>
    <t>John Stones</t>
  </si>
  <si>
    <t>Brennan Johnson</t>
  </si>
  <si>
    <t>Ibrahim Mbaye</t>
  </si>
  <si>
    <t>Aaron Wan-Bissaka</t>
  </si>
  <si>
    <t>Rúben Neves</t>
  </si>
  <si>
    <t>Ferran Torres</t>
  </si>
  <si>
    <t>Tijjani Reijnders</t>
  </si>
  <si>
    <t>Cristian Romero</t>
  </si>
  <si>
    <t>Alexandre Lacazette</t>
  </si>
  <si>
    <t>Michael Olise</t>
  </si>
  <si>
    <t>Timo Werner</t>
  </si>
  <si>
    <t>Kyle Walker</t>
  </si>
  <si>
    <t>Aleksandar Mitrović</t>
  </si>
  <si>
    <t>Fulham</t>
  </si>
  <si>
    <t>Gabriel Jesus</t>
  </si>
  <si>
    <t>Piero Hincapié</t>
  </si>
  <si>
    <t>Leroy Sané</t>
  </si>
  <si>
    <t>FC Schalke 04</t>
  </si>
  <si>
    <t>Douglas Luiz</t>
  </si>
  <si>
    <t>Bremer</t>
  </si>
  <si>
    <t>Torino</t>
  </si>
  <si>
    <t>João Palhinha</t>
  </si>
  <si>
    <t>Geovany Quenda</t>
  </si>
  <si>
    <t>Ben Chilwell</t>
  </si>
  <si>
    <t>André Onana</t>
  </si>
  <si>
    <t>Bernardo Silva</t>
  </si>
  <si>
    <t>Désiré Doué</t>
  </si>
  <si>
    <t>Min-jae Kim</t>
  </si>
  <si>
    <t>Galeno</t>
  </si>
  <si>
    <t>Al-Ahli</t>
  </si>
  <si>
    <t>Álvaro Carreras</t>
  </si>
  <si>
    <t>Mauro Icardi</t>
  </si>
  <si>
    <t>Alex Teixeira</t>
  </si>
  <si>
    <t>JS Suning</t>
  </si>
  <si>
    <t>Sébastien Haller</t>
  </si>
  <si>
    <t>Jules Koundé</t>
  </si>
  <si>
    <t>Sevilla FC</t>
  </si>
  <si>
    <t>Thomas Partey</t>
  </si>
  <si>
    <t>Éder Militão</t>
  </si>
  <si>
    <t>Hirving Lozano</t>
  </si>
  <si>
    <t>PSV</t>
  </si>
  <si>
    <t>Jørgen Strand Larsen</t>
  </si>
  <si>
    <t>Rafael Leão</t>
  </si>
  <si>
    <t>Gylfi Sigurdsson</t>
  </si>
  <si>
    <t>Swansea</t>
  </si>
  <si>
    <t>Kalvin Phillips</t>
  </si>
  <si>
    <t>Ferland Mendy</t>
  </si>
  <si>
    <t>Endrick</t>
  </si>
  <si>
    <t>Palmeiras</t>
  </si>
  <si>
    <t>Maximilian Kilman</t>
  </si>
  <si>
    <t>Cole Palmer</t>
  </si>
  <si>
    <t>Milos Kerkez</t>
  </si>
  <si>
    <t>Fabinho</t>
  </si>
  <si>
    <t>Georginio Rutter</t>
  </si>
  <si>
    <t>James Maddison</t>
  </si>
  <si>
    <t>Alejandro Garnacho</t>
  </si>
  <si>
    <t>n_paid</t>
  </si>
  <si>
    <t>spend_eur</t>
  </si>
  <si>
    <t>median_fee</t>
  </si>
  <si>
    <t>Missing</t>
  </si>
  <si>
    <t>age_band</t>
  </si>
  <si>
    <t>median_fee_tm</t>
  </si>
  <si>
    <t>21-24</t>
  </si>
  <si>
    <t>25-28</t>
  </si>
  <si>
    <t>29+</t>
  </si>
  <si>
    <t>U21</t>
  </si>
  <si>
    <t>sub_position</t>
  </si>
  <si>
    <t>age</t>
  </si>
  <si>
    <t>current_club_name</t>
  </si>
  <si>
    <t>league</t>
  </si>
  <si>
    <t>tm_to_fair</t>
  </si>
  <si>
    <t>goals</t>
  </si>
  <si>
    <t>assists</t>
  </si>
  <si>
    <t>Right Winger</t>
  </si>
  <si>
    <t>L1</t>
  </si>
  <si>
    <t>Centre-Forward</t>
  </si>
  <si>
    <t>Manchester City</t>
  </si>
  <si>
    <t>GB1</t>
  </si>
  <si>
    <t>Mason Greenwood</t>
  </si>
  <si>
    <t>Olympique Marseille</t>
  </si>
  <si>
    <t>FR1</t>
  </si>
  <si>
    <t>ES1</t>
  </si>
  <si>
    <t>Lamine Yamal</t>
  </si>
  <si>
    <t>FC Barcelona</t>
  </si>
  <si>
    <t>Warren Zaïre-Emery</t>
  </si>
  <si>
    <t>Central Midfield</t>
  </si>
  <si>
    <t>Paris Saint-Germain</t>
  </si>
  <si>
    <t>Chelsea FC</t>
  </si>
  <si>
    <t>Johan Manzambi</t>
  </si>
  <si>
    <t>SC Freiburg</t>
  </si>
  <si>
    <t>Vinicius Junior</t>
  </si>
  <si>
    <t>Left Winger</t>
  </si>
  <si>
    <t>Real Betis Balompié</t>
  </si>
  <si>
    <t>Arsenal FC</t>
  </si>
  <si>
    <t>Federico Valverde</t>
  </si>
  <si>
    <t>Nottingham Forest</t>
  </si>
  <si>
    <t>Bukayo Saka</t>
  </si>
  <si>
    <t>Weston McKennie</t>
  </si>
  <si>
    <t>Juventus FC</t>
  </si>
  <si>
    <t>IT1</t>
  </si>
  <si>
    <t>Jamie Leweling</t>
  </si>
  <si>
    <t>VfB Stuttgart</t>
  </si>
  <si>
    <t>Defensive Midfield</t>
  </si>
  <si>
    <t>Giuliano Simeone</t>
  </si>
  <si>
    <t>Atlético de Madrid</t>
  </si>
  <si>
    <t>Fermín López</t>
  </si>
  <si>
    <t>Attacking Midfield</t>
  </si>
  <si>
    <t>Vitinha</t>
  </si>
  <si>
    <t>Folarin Balogun</t>
  </si>
  <si>
    <t>AS Monaco</t>
  </si>
  <si>
    <t>Ryan Gravenberch</t>
  </si>
  <si>
    <t>Liverpool FC</t>
  </si>
  <si>
    <t>Newcastle United</t>
  </si>
  <si>
    <t>SSC Napoli</t>
  </si>
  <si>
    <t>Maghnes Akliouche</t>
  </si>
  <si>
    <t>Manuel Locatelli</t>
  </si>
  <si>
    <t>Abde Ezzalzouli</t>
  </si>
  <si>
    <t>Aleix García</t>
  </si>
  <si>
    <t>Bayer 04 Leverkusen</t>
  </si>
  <si>
    <t>Alexis Mac Allister</t>
  </si>
  <si>
    <t>Pedri</t>
  </si>
  <si>
    <t>Karim Adeyemi</t>
  </si>
  <si>
    <t>Borussia Dortmund</t>
  </si>
  <si>
    <t>Angelo Stiller</t>
  </si>
  <si>
    <t>Igor Thiago</t>
  </si>
  <si>
    <t>Brentford FC</t>
  </si>
  <si>
    <t>Morgan Gibbs-White</t>
  </si>
  <si>
    <t>Mikel Jauregizar</t>
  </si>
  <si>
    <t>Athletic Bilbao</t>
  </si>
  <si>
    <t>West Ham United</t>
  </si>
  <si>
    <t>Felix Nmecha</t>
  </si>
  <si>
    <t>Joshua Kimmich</t>
  </si>
  <si>
    <t>Matías Soulé</t>
  </si>
  <si>
    <t>Associazione Sportiva Roma</t>
  </si>
  <si>
    <t>Ilaix Moriba</t>
  </si>
  <si>
    <t>Celta de Vigo</t>
  </si>
  <si>
    <t>Khéphren Thuram</t>
  </si>
  <si>
    <t>Igor Jesus</t>
  </si>
  <si>
    <t>Estéban Lepaul</t>
  </si>
  <si>
    <t>Stade Rennais FC</t>
  </si>
  <si>
    <t>Enzo Le Fée</t>
  </si>
  <si>
    <t>Sunderland AFC</t>
  </si>
  <si>
    <t>Donyell Malen</t>
  </si>
  <si>
    <t>Lucas Da Cunha</t>
  </si>
  <si>
    <t>Como 1907</t>
  </si>
  <si>
    <t>Ethan Ampadu</t>
  </si>
  <si>
    <t>Leeds United</t>
  </si>
  <si>
    <t>Dango Ouattara</t>
  </si>
  <si>
    <t>Pape Gueye</t>
  </si>
  <si>
    <t>Villarreal CF</t>
  </si>
  <si>
    <t>James Garner</t>
  </si>
  <si>
    <t>Everton FC</t>
  </si>
  <si>
    <t>Igor Matanovic</t>
  </si>
  <si>
    <t>LOSC Lille</t>
  </si>
  <si>
    <t>Rayan Cherki</t>
  </si>
  <si>
    <t>Éderson</t>
  </si>
  <si>
    <t>Atalanta BC</t>
  </si>
  <si>
    <t>Kenan Yıldız</t>
  </si>
  <si>
    <t>Georges Mikautadze</t>
  </si>
  <si>
    <t>Scott McTominay</t>
  </si>
  <si>
    <t>Maximilian Beier</t>
  </si>
  <si>
    <t>Senny Mayulu</t>
  </si>
  <si>
    <t>Jobe Bellingham</t>
  </si>
  <si>
    <t>Maximilian Eggestein</t>
  </si>
  <si>
    <t>Noah Sadiki</t>
  </si>
  <si>
    <t>Bryan Cristante</t>
  </si>
  <si>
    <t>Christoph Baumgartner</t>
  </si>
  <si>
    <t>Francisco Conceição</t>
  </si>
  <si>
    <t>Ansgar Knauff</t>
  </si>
  <si>
    <t>Eintracht Frankfurt</t>
  </si>
  <si>
    <t>Kenneth Taylor</t>
  </si>
  <si>
    <t>Società Sportiva Lazio S.p.A.</t>
  </si>
  <si>
    <t>Nico Paz</t>
  </si>
  <si>
    <t>Robert Navarro</t>
  </si>
  <si>
    <t>Pablo Fornals</t>
  </si>
  <si>
    <t>Kaishu Sano</t>
  </si>
  <si>
    <t>1.FSV Mainz 05</t>
  </si>
  <si>
    <t>Ismaël Koné</t>
  </si>
  <si>
    <t>US Sassuolo</t>
  </si>
  <si>
    <t>Timothy Weah</t>
  </si>
  <si>
    <t>Right Midfield</t>
  </si>
  <si>
    <t>Nicolò Barella</t>
  </si>
  <si>
    <t>Inter Milan</t>
  </si>
  <si>
    <t>Lamine Camara</t>
  </si>
  <si>
    <t>Lorenzo Bernasconi</t>
  </si>
  <si>
    <t>Left Midfield</t>
  </si>
  <si>
    <t>Alexis Saelemaekers</t>
  </si>
  <si>
    <t>Petar Sučić</t>
  </si>
  <si>
    <t>Deniz Undav</t>
  </si>
  <si>
    <t>Alberto Moleiro</t>
  </si>
  <si>
    <t>Manchester United</t>
  </si>
  <si>
    <t>Michel Adopo</t>
  </si>
  <si>
    <t>Cagliari Calcio</t>
  </si>
  <si>
    <t>Antonio Blanco</t>
  </si>
  <si>
    <t>Deportivo Alavés</t>
  </si>
  <si>
    <t>Arda Güler</t>
  </si>
  <si>
    <t>João Gomes</t>
  </si>
  <si>
    <t>Wolverhampton Wanderers</t>
  </si>
  <si>
    <t>Santiago Castro</t>
  </si>
  <si>
    <t>Bologna Football Club 1909</t>
  </si>
  <si>
    <t>Amad Diallo</t>
  </si>
  <si>
    <t>Nicola Zalewski</t>
  </si>
  <si>
    <t>Alex Scott</t>
  </si>
  <si>
    <t>AFC Bournemouth</t>
  </si>
  <si>
    <t>Curtis Jones</t>
  </si>
  <si>
    <t>Pierre-Emile Højbjerg</t>
  </si>
  <si>
    <t>Ferran Jutglà</t>
  </si>
  <si>
    <t>Manu Koné</t>
  </si>
  <si>
    <t>Kévin Danois</t>
  </si>
  <si>
    <t>AJ Auxerre</t>
  </si>
  <si>
    <t>Nikola Krstović</t>
  </si>
  <si>
    <t>US Lecce</t>
  </si>
  <si>
    <t>Morten Frendrup</t>
  </si>
  <si>
    <t>Genoa CFC</t>
  </si>
  <si>
    <t>Ibrahim Sangaré</t>
  </si>
  <si>
    <t>Joel Chima Fujita</t>
  </si>
  <si>
    <t>FC St. Pauli</t>
  </si>
  <si>
    <t>Mikael Egill Ellertsson</t>
  </si>
  <si>
    <t>Yegor Yarmolyuk</t>
  </si>
  <si>
    <t>Lewis Ferguson</t>
  </si>
  <si>
    <t>Samú Costa</t>
  </si>
  <si>
    <t>RCD Mallorca</t>
  </si>
  <si>
    <t>Robert Andrich</t>
  </si>
  <si>
    <t>Arthur Atta</t>
  </si>
  <si>
    <t>Udinese Calcio</t>
  </si>
  <si>
    <t>Jonathan Burkardt</t>
  </si>
  <si>
    <t>Gabriel Martinelli</t>
  </si>
  <si>
    <t>Cucho Hernández</t>
  </si>
  <si>
    <t>Joaquín Panichelli</t>
  </si>
  <si>
    <t>RC Strasbourg Alsace</t>
  </si>
  <si>
    <t>Nicolai Remberg</t>
  </si>
  <si>
    <t>Hamburger SV</t>
  </si>
  <si>
    <t>Yuito Suzuki</t>
  </si>
  <si>
    <t>Second Striker</t>
  </si>
  <si>
    <t>Diego Moreira</t>
  </si>
  <si>
    <t>Tiago Tomás</t>
  </si>
  <si>
    <t>Brahim Díaz</t>
  </si>
  <si>
    <t>Igor Paixão</t>
  </si>
  <si>
    <t>Nicolas Seiwald</t>
  </si>
  <si>
    <t>Phil Foden</t>
  </si>
  <si>
    <t>Fisnik Asllani</t>
  </si>
  <si>
    <t>TSG 1899 Hoffenheim</t>
  </si>
  <si>
    <t>Diego Gómez</t>
  </si>
  <si>
    <t>Brighton &amp; Hove Albion</t>
  </si>
  <si>
    <t>Sander Berge</t>
  </si>
  <si>
    <t>Fulham FC</t>
  </si>
  <si>
    <t>Tyler Morton</t>
  </si>
  <si>
    <t>Olympique Lyon</t>
  </si>
  <si>
    <t>Niklas Beste</t>
  </si>
  <si>
    <t>Rocco Reitz</t>
  </si>
  <si>
    <t>Borussia Mönchengladbach</t>
  </si>
  <si>
    <t>Summer 2026 transfer additions</t>
  </si>
  <si>
    <t>Europe’s top five leagues. Source snapshot retrieved 3 October 2026.</t>
  </si>
  <si>
    <t>Coverage</t>
  </si>
  <si>
    <t>Records</t>
  </si>
  <si>
    <t>Source records reviewed</t>
  </si>
  <si>
    <t>New to this workbook</t>
  </si>
  <si>
    <t>Already matched to Paid_Sample</t>
  </si>
  <si>
    <t>Review or excluded</t>
  </si>
  <si>
    <t>New permanent transfers with numeric fees</t>
  </si>
  <si>
    <t>New transfers with explicit loan fees</t>
  </si>
  <si>
    <t>Fee component entries</t>
  </si>
  <si>
    <t>League</t>
  </si>
  <si>
    <t>New arrivals</t>
  </si>
  <si>
    <t>New departures</t>
  </si>
  <si>
    <t>Premier League</t>
  </si>
  <si>
    <t>La Liga</t>
  </si>
  <si>
    <t>Serie A</t>
  </si>
  <si>
    <t>Bundesliga</t>
  </si>
  <si>
    <t>Ligue 1</t>
  </si>
  <si>
    <t>Arrivals and departures overlap for moves between covered leagues.</t>
  </si>
  <si>
    <t>Fees remain in the source currency, GBP. Existing EUR values are unchanged.</t>
  </si>
  <si>
    <t>Quoted amounts may include add-ons. Fee_Components separates known terms.</t>
  </si>
  <si>
    <t>Unknown fees remain blank. Announcement dates are not registration dates.</t>
  </si>
  <si>
    <t>All source rows are accounted for; this is not an independently verified census.</t>
  </si>
  <si>
    <t>Summer coverage follows the source, including early announcements and later exits.</t>
  </si>
  <si>
    <t>Gonçalo Ramos has conflicting fee reports. See Source_Checks.</t>
  </si>
  <si>
    <t>Source</t>
  </si>
  <si>
    <t>https://www.theguardian.com/football/ng-interactive/2026/sep/01/mens-transfer-window-summer-2026-all-deals-from-europes-top-five-leagues</t>
  </si>
  <si>
    <t>Start with Summer26_New. Use Summer26_Matches to review existing records.</t>
  </si>
  <si>
    <t>record_id</t>
  </si>
  <si>
    <t>from_club</t>
  </si>
  <si>
    <t>to_club</t>
  </si>
  <si>
    <t>announcement_date</t>
  </si>
  <si>
    <t>transfer_type</t>
  </si>
  <si>
    <t>fee_status</t>
  </si>
  <si>
    <t>quoted_fee_gbp</t>
  </si>
  <si>
    <t>quote_basis</t>
  </si>
  <si>
    <t>from_league</t>
  </si>
  <si>
    <t>to_league</t>
  </si>
  <si>
    <t>match_status</t>
  </si>
  <si>
    <t>existing_excel_row</t>
  </si>
  <si>
    <t>existing_transfer_date</t>
  </si>
  <si>
    <t>existing_fee_eur</t>
  </si>
  <si>
    <t>review_notes</t>
  </si>
  <si>
    <t>source_url</t>
  </si>
  <si>
    <t>source_data_url</t>
  </si>
  <si>
    <t>retrieved_date</t>
  </si>
  <si>
    <t>S26-0001</t>
  </si>
  <si>
    <t>Free</t>
  </si>
  <si>
    <t>Free transfer</t>
  </si>
  <si>
    <t>Free base transfer; other costs not represented</t>
  </si>
  <si>
    <t>New to workbook</t>
  </si>
  <si>
    <t>https://interactive.guim.co.uk/2024/07/transfers/men-summer-2026.json</t>
  </si>
  <si>
    <t>S26-0002</t>
  </si>
  <si>
    <t>Anass Zaroury</t>
  </si>
  <si>
    <t>Lens</t>
  </si>
  <si>
    <t>Panathinaikos</t>
  </si>
  <si>
    <t>Fee</t>
  </si>
  <si>
    <t>Reported fee</t>
  </si>
  <si>
    <t>Source quote; base/add-on treatment unspecified</t>
  </si>
  <si>
    <t>Outside top five / unattached</t>
  </si>
  <si>
    <t>Winger</t>
  </si>
  <si>
    <t>Early announcement; source assigns to summer window</t>
  </si>
  <si>
    <t>S26-0003</t>
  </si>
  <si>
    <t>Ismaïl Diallo</t>
  </si>
  <si>
    <t>Dijon</t>
  </si>
  <si>
    <t>Toulouse</t>
  </si>
  <si>
    <t>S26-0006</t>
  </si>
  <si>
    <t>Leon Ayinde</t>
  </si>
  <si>
    <t>Ipswich Town</t>
  </si>
  <si>
    <t>Doncaster</t>
  </si>
  <si>
    <t>Undisclosed fee</t>
  </si>
  <si>
    <t>Undisclosed</t>
  </si>
  <si>
    <t>No numeric source quote</t>
  </si>
  <si>
    <t>S26-0008</t>
  </si>
  <si>
    <t>Luka Duric</t>
  </si>
  <si>
    <t>Hoffenheim</t>
  </si>
  <si>
    <t>Paderborn</t>
  </si>
  <si>
    <t>Midfielder</t>
  </si>
  <si>
    <t>S26-0009</t>
  </si>
  <si>
    <t>Bilal El Khannouss</t>
  </si>
  <si>
    <t>Leicester City</t>
  </si>
  <si>
    <t>S26-0011</t>
  </si>
  <si>
    <t>Arijanet Muric</t>
  </si>
  <si>
    <t>Sassuolo</t>
  </si>
  <si>
    <t>S26-0013</t>
  </si>
  <si>
    <t>Luis Sinisterra</t>
  </si>
  <si>
    <t>Cruzeiro</t>
  </si>
  <si>
    <t>S26-0014</t>
  </si>
  <si>
    <t>Issa Doumbia</t>
  </si>
  <si>
    <t>Venezia</t>
  </si>
  <si>
    <t>S26-0015</t>
  </si>
  <si>
    <t>Chuki</t>
  </si>
  <si>
    <t>Real Valladolid</t>
  </si>
  <si>
    <t>Werder Bremen</t>
  </si>
  <si>
    <t>S26-0016</t>
  </si>
  <si>
    <t>Buba Sangaré</t>
  </si>
  <si>
    <t>Elche</t>
  </si>
  <si>
    <t>S26-0017</t>
  </si>
  <si>
    <t>Jakub Kaminski</t>
  </si>
  <si>
    <t>Cologne</t>
  </si>
  <si>
    <t>Future purchase conditions mentioned</t>
  </si>
  <si>
    <t>S26-0018</t>
  </si>
  <si>
    <t>Patrick Wimmer</t>
  </si>
  <si>
    <t>S26-0019</t>
  </si>
  <si>
    <t>Gonzalo Villar</t>
  </si>
  <si>
    <t>Dinamo Zagreb</t>
  </si>
  <si>
    <t>S26-0021</t>
  </si>
  <si>
    <t>Emmanuel Emegha</t>
  </si>
  <si>
    <t>Strasbourg</t>
  </si>
  <si>
    <t>Forward</t>
  </si>
  <si>
    <t>S26-0022</t>
  </si>
  <si>
    <t>Andy Robertson</t>
  </si>
  <si>
    <t>Tottenham Hotspur</t>
  </si>
  <si>
    <t>S26-0023</t>
  </si>
  <si>
    <t>Jonas Omlin</t>
  </si>
  <si>
    <t>Basel</t>
  </si>
  <si>
    <t>S26-0024</t>
  </si>
  <si>
    <t>Alisson Santos</t>
  </si>
  <si>
    <t>S26-0025</t>
  </si>
  <si>
    <t>Albert Grønbaek</t>
  </si>
  <si>
    <t>Rennes</t>
  </si>
  <si>
    <t>Hamburg</t>
  </si>
  <si>
    <t>S26-0026</t>
  </si>
  <si>
    <t>Aleksandar Stankovic</t>
  </si>
  <si>
    <t>Club Brugge</t>
  </si>
  <si>
    <t>S26-0027</t>
  </si>
  <si>
    <t>Daniel Peretz</t>
  </si>
  <si>
    <t>S26-0028</t>
  </si>
  <si>
    <t>Kingstone Mutandwa</t>
  </si>
  <si>
    <t>SV Ried</t>
  </si>
  <si>
    <t>Cagliari</t>
  </si>
  <si>
    <t>S26-0029</t>
  </si>
  <si>
    <t>Lukasz Poreba</t>
  </si>
  <si>
    <t>Elversberg</t>
  </si>
  <si>
    <t>S26-0030</t>
  </si>
  <si>
    <t>Zadok Yohanna</t>
  </si>
  <si>
    <t>AIK</t>
  </si>
  <si>
    <t>S26-0031</t>
  </si>
  <si>
    <t>Raúl Jiménez</t>
  </si>
  <si>
    <t>S26-0032</t>
  </si>
  <si>
    <t>S26-0033</t>
  </si>
  <si>
    <t>S26-0034</t>
  </si>
  <si>
    <t>Jakub Kiwior</t>
  </si>
  <si>
    <t>Add-ons/bonuses mentioned; Early announcement; source assigns to summer window; See Fee_Components</t>
  </si>
  <si>
    <t>S26-0035</t>
  </si>
  <si>
    <t>Merlin Röhl</t>
  </si>
  <si>
    <t>Freiburg</t>
  </si>
  <si>
    <t>S26-0036</t>
  </si>
  <si>
    <t>Patrick Zabi</t>
  </si>
  <si>
    <t>Reims</t>
  </si>
  <si>
    <t>Paris FC</t>
  </si>
  <si>
    <t>S26-0037</t>
  </si>
  <si>
    <t>Kerim Alajbegovic</t>
  </si>
  <si>
    <t>Red Bull Salzburg</t>
  </si>
  <si>
    <t>Bayer Leverkusen</t>
  </si>
  <si>
    <t>S26-0038</t>
  </si>
  <si>
    <t>Saud Abdulhamid</t>
  </si>
  <si>
    <t>S26-0039</t>
  </si>
  <si>
    <t>Kieran Trippier</t>
  </si>
  <si>
    <t>S26-0040</t>
  </si>
  <si>
    <t>Nikolas Veratschnig</t>
  </si>
  <si>
    <t>Mainz 05</t>
  </si>
  <si>
    <t>S26-0041</t>
  </si>
  <si>
    <t>Craig Farquhar</t>
  </si>
  <si>
    <t>Barnet</t>
  </si>
  <si>
    <t>S26-0042</t>
  </si>
  <si>
    <t>Isac Lidberg</t>
  </si>
  <si>
    <t>Darmstadt</t>
  </si>
  <si>
    <t>S26-0043</t>
  </si>
  <si>
    <t>Mats Rots</t>
  </si>
  <si>
    <t>FC Twente</t>
  </si>
  <si>
    <t>S26-0044</t>
  </si>
  <si>
    <t>Ewen Jaouen</t>
  </si>
  <si>
    <t>S26-0045</t>
  </si>
  <si>
    <t>Jon Guridi</t>
  </si>
  <si>
    <t>Alavés</t>
  </si>
  <si>
    <t>Sevilla</t>
  </si>
  <si>
    <t>S26-0046</t>
  </si>
  <si>
    <t>Marcos Senesi</t>
  </si>
  <si>
    <t>S26-0047</t>
  </si>
  <si>
    <t>Denis Huseinbasic</t>
  </si>
  <si>
    <t>Braga</t>
  </si>
  <si>
    <t>S26-0048</t>
  </si>
  <si>
    <t>Noham Kamara</t>
  </si>
  <si>
    <t>S26-0049</t>
  </si>
  <si>
    <t>Marvin Friedrich</t>
  </si>
  <si>
    <t>Union Berlin</t>
  </si>
  <si>
    <t>S26-0050</t>
  </si>
  <si>
    <t>Satoshi Tanaka</t>
  </si>
  <si>
    <t>Fortuna Düsseldorf</t>
  </si>
  <si>
    <t>Schalke 04</t>
  </si>
  <si>
    <t>S26-0051</t>
  </si>
  <si>
    <t>Kennet Eichhorn</t>
  </si>
  <si>
    <t>Hertha Berlin</t>
  </si>
  <si>
    <t>S26-0052</t>
  </si>
  <si>
    <t>Hamza Abdelkarim</t>
  </si>
  <si>
    <t>Al Ahly</t>
  </si>
  <si>
    <t>S26-0053</t>
  </si>
  <si>
    <t>Keisuke Goto</t>
  </si>
  <si>
    <t>Anderlecht</t>
  </si>
  <si>
    <t>S26-0054</t>
  </si>
  <si>
    <t>Juan Iglesias</t>
  </si>
  <si>
    <t>Getafe</t>
  </si>
  <si>
    <t>S26-0055</t>
  </si>
  <si>
    <t>Leonardo Bittencourt</t>
  </si>
  <si>
    <t>Energie Cottbus</t>
  </si>
  <si>
    <t>S26-0056</t>
  </si>
  <si>
    <t>Shio Fukuda</t>
  </si>
  <si>
    <t>Karlsruhe</t>
  </si>
  <si>
    <t>S26-0057</t>
  </si>
  <si>
    <t>Enzo Bardeli</t>
  </si>
  <si>
    <t>Dunkerque</t>
  </si>
  <si>
    <t>Levante</t>
  </si>
  <si>
    <t>S26-0058</t>
  </si>
  <si>
    <t>Junior Adamu</t>
  </si>
  <si>
    <t>S26-0059</t>
  </si>
  <si>
    <t>Michael Gregoritsch</t>
  </si>
  <si>
    <t>Brøndby</t>
  </si>
  <si>
    <t>Augsburg</t>
  </si>
  <si>
    <t>S26-0060</t>
  </si>
  <si>
    <t>Maurice Krattenmacher</t>
  </si>
  <si>
    <t>S26-0061</t>
  </si>
  <si>
    <t>Jahmai Simpson-Pusey</t>
  </si>
  <si>
    <t>S26-0062</t>
  </si>
  <si>
    <t>Fabio Gruber</t>
  </si>
  <si>
    <t>Nuremberg</t>
  </si>
  <si>
    <t>S26-0063</t>
  </si>
  <si>
    <t>André Silva</t>
  </si>
  <si>
    <t>S26-0064</t>
  </si>
  <si>
    <t>Olly Sanderson</t>
  </si>
  <si>
    <t>Stevenage</t>
  </si>
  <si>
    <t>S26-0065</t>
  </si>
  <si>
    <t>Ville Koski</t>
  </si>
  <si>
    <t>NK Istra</t>
  </si>
  <si>
    <t>S26-0066</t>
  </si>
  <si>
    <t>Zeno Van Den Bosch</t>
  </si>
  <si>
    <t>Royal Antwerp</t>
  </si>
  <si>
    <t>S26-0067</t>
  </si>
  <si>
    <t>S26-0068</t>
  </si>
  <si>
    <t>Francis Onyeka</t>
  </si>
  <si>
    <t>Loan</t>
  </si>
  <si>
    <t>Loan fee not stated</t>
  </si>
  <si>
    <t>Blank quote does not mean zero loan fee</t>
  </si>
  <si>
    <t>S26-0069</t>
  </si>
  <si>
    <t>Noah Weisshaupt</t>
  </si>
  <si>
    <t>S26-0070</t>
  </si>
  <si>
    <t>Anthony Lopes</t>
  </si>
  <si>
    <t>Nantes</t>
  </si>
  <si>
    <t>Angers</t>
  </si>
  <si>
    <t>S26-0071</t>
  </si>
  <si>
    <t>Costinha</t>
  </si>
  <si>
    <t>Olympiakos</t>
  </si>
  <si>
    <t>S26-0072</t>
  </si>
  <si>
    <t>Kaïl Boudache</t>
  </si>
  <si>
    <t>Nice</t>
  </si>
  <si>
    <t>S26-0073</t>
  </si>
  <si>
    <t>Nicolò Zaniolo</t>
  </si>
  <si>
    <t>Udinese</t>
  </si>
  <si>
    <t>S26-0074</t>
  </si>
  <si>
    <t>Arouna Sangante</t>
  </si>
  <si>
    <t>Le Havre</t>
  </si>
  <si>
    <t>S26-0075</t>
  </si>
  <si>
    <t>Florian Hellstern</t>
  </si>
  <si>
    <t>Greuther Fürth</t>
  </si>
  <si>
    <t>S26-0076</t>
  </si>
  <si>
    <t>Tjas Begic</t>
  </si>
  <si>
    <t>Parma</t>
  </si>
  <si>
    <t>Sampdoria</t>
  </si>
  <si>
    <t>S26-0077</t>
  </si>
  <si>
    <t>Francesco Camarda</t>
  </si>
  <si>
    <t>Milan</t>
  </si>
  <si>
    <t>Lecce</t>
  </si>
  <si>
    <t>S26-0078</t>
  </si>
  <si>
    <t>Issa Soumaré</t>
  </si>
  <si>
    <t>S26-0079</t>
  </si>
  <si>
    <t>Isaac Heath</t>
  </si>
  <si>
    <t>Cambridge United</t>
  </si>
  <si>
    <t>S26-0080</t>
  </si>
  <si>
    <t>S26-0081</t>
  </si>
  <si>
    <t>Anthony Bermont</t>
  </si>
  <si>
    <t>S26-0082</t>
  </si>
  <si>
    <t>Sebastian Walukiewicz</t>
  </si>
  <si>
    <t>S26-0083</t>
  </si>
  <si>
    <t>Ruan</t>
  </si>
  <si>
    <t>Atlético Mineiro</t>
  </si>
  <si>
    <t>S26-0084</t>
  </si>
  <si>
    <t>Giacomo Calò</t>
  </si>
  <si>
    <t>Cesena</t>
  </si>
  <si>
    <t>Frosinone</t>
  </si>
  <si>
    <t>S26-0085</t>
  </si>
  <si>
    <t>Sean Dulic</t>
  </si>
  <si>
    <t>1860 Munich</t>
  </si>
  <si>
    <t>S26-0086</t>
  </si>
  <si>
    <t>Víctor Chust</t>
  </si>
  <si>
    <t>Cádiz</t>
  </si>
  <si>
    <t>S26-0087</t>
  </si>
  <si>
    <t>Emmanuel Chukwu</t>
  </si>
  <si>
    <t>Austria Lustenau</t>
  </si>
  <si>
    <t>S26-0088</t>
  </si>
  <si>
    <t>Mauro Arambarri</t>
  </si>
  <si>
    <t>River Plate</t>
  </si>
  <si>
    <t>S26-0089</t>
  </si>
  <si>
    <t>Ibrahima Konaté</t>
  </si>
  <si>
    <t>S26-0090</t>
  </si>
  <si>
    <t>Zento Uno</t>
  </si>
  <si>
    <t>Shimizu S-Pulse</t>
  </si>
  <si>
    <t>S26-0091</t>
  </si>
  <si>
    <t>Jano ter Horst</t>
  </si>
  <si>
    <t>Preußen Münster</t>
  </si>
  <si>
    <t>S26-0092</t>
  </si>
  <si>
    <t>Chaka Traorè</t>
  </si>
  <si>
    <t>Partizan Belgrade</t>
  </si>
  <si>
    <t>S26-0093</t>
  </si>
  <si>
    <t>Afonso Moreira</t>
  </si>
  <si>
    <t>S26-0094</t>
  </si>
  <si>
    <t>Víctor Muñoz</t>
  </si>
  <si>
    <t>Osasuna</t>
  </si>
  <si>
    <t>S26-0096</t>
  </si>
  <si>
    <t>Milan Aleksic</t>
  </si>
  <si>
    <t>Sunderland</t>
  </si>
  <si>
    <t>S26-0097</t>
  </si>
  <si>
    <t>Harrison Jones</t>
  </si>
  <si>
    <t>Peterborough</t>
  </si>
  <si>
    <t>S26-0098</t>
  </si>
  <si>
    <t>Tommaso Corazza</t>
  </si>
  <si>
    <t>Bologna</t>
  </si>
  <si>
    <t>Vicenza</t>
  </si>
  <si>
    <t>S26-0099</t>
  </si>
  <si>
    <t>Charles Vanhoutte</t>
  </si>
  <si>
    <t>Feyenoord</t>
  </si>
  <si>
    <t>S26-0100</t>
  </si>
  <si>
    <t>Daouda Guindo</t>
  </si>
  <si>
    <t>Brest</t>
  </si>
  <si>
    <t>S26-0101</t>
  </si>
  <si>
    <t>Dominique Heintz</t>
  </si>
  <si>
    <t>S26-0102</t>
  </si>
  <si>
    <t>Mateo Flores</t>
  </si>
  <si>
    <t>Real Betis</t>
  </si>
  <si>
    <t>Arouca</t>
  </si>
  <si>
    <t>S26-0103</t>
  </si>
  <si>
    <t>Razvan Sava</t>
  </si>
  <si>
    <t>Universitatea Craiova</t>
  </si>
  <si>
    <t>S26-0104</t>
  </si>
  <si>
    <t>Pele Arganese-McDermott</t>
  </si>
  <si>
    <t>Crawley Town</t>
  </si>
  <si>
    <t>S26-0105</t>
  </si>
  <si>
    <t>Giovanni Daffara</t>
  </si>
  <si>
    <t>Avellino</t>
  </si>
  <si>
    <t>S26-0106</t>
  </si>
  <si>
    <t>S26-0107</t>
  </si>
  <si>
    <t>Gonçalo Oliveira</t>
  </si>
  <si>
    <t>S26-0108</t>
  </si>
  <si>
    <t>Alessandro Nunziante</t>
  </si>
  <si>
    <t>Arezzo</t>
  </si>
  <si>
    <t>S26-0109</t>
  </si>
  <si>
    <t>Jimmy-Jay Morgan</t>
  </si>
  <si>
    <t>West Bromwich Albion</t>
  </si>
  <si>
    <t>S26-0110</t>
  </si>
  <si>
    <t>Cedric Itten</t>
  </si>
  <si>
    <t>S26-0111</t>
  </si>
  <si>
    <t>Marcel Lubik</t>
  </si>
  <si>
    <t>Wisla Krakow</t>
  </si>
  <si>
    <t>S26-0112</t>
  </si>
  <si>
    <t>Karl Hein</t>
  </si>
  <si>
    <t>S26-0113</t>
  </si>
  <si>
    <t>Mio Backhaus</t>
  </si>
  <si>
    <t>S26-0114</t>
  </si>
  <si>
    <t>Michael Dacosta</t>
  </si>
  <si>
    <t>Moreirense</t>
  </si>
  <si>
    <t>S26-0115</t>
  </si>
  <si>
    <t>Jannik Schuster</t>
  </si>
  <si>
    <t>S26-0117</t>
  </si>
  <si>
    <t>Cédric Kipré</t>
  </si>
  <si>
    <t>S26-0118</t>
  </si>
  <si>
    <t>Chuba Akpom</t>
  </si>
  <si>
    <t>S26-0120</t>
  </si>
  <si>
    <t>Illan Meslier</t>
  </si>
  <si>
    <t>S26-0121</t>
  </si>
  <si>
    <t>Carter Pinnington</t>
  </si>
  <si>
    <t>S26-0122</t>
  </si>
  <si>
    <t>Robert Wagner</t>
  </si>
  <si>
    <t>Dynamo Dresden</t>
  </si>
  <si>
    <t>S26-0123</t>
  </si>
  <si>
    <t>Iñaki Peña</t>
  </si>
  <si>
    <t>S26-0124</t>
  </si>
  <si>
    <t>Robert Glatzel</t>
  </si>
  <si>
    <t>S26-0125</t>
  </si>
  <si>
    <t>Martin Dubravka</t>
  </si>
  <si>
    <t>Burnley</t>
  </si>
  <si>
    <t>S26-0126</t>
  </si>
  <si>
    <t>Maxime Dupé</t>
  </si>
  <si>
    <t>S26-0127</t>
  </si>
  <si>
    <t>Pierre Mounguengue</t>
  </si>
  <si>
    <t>Dynamo Kyiv</t>
  </si>
  <si>
    <t>S26-0128</t>
  </si>
  <si>
    <t>Diogo Sousa</t>
  </si>
  <si>
    <t>Vitória de Guimarães</t>
  </si>
  <si>
    <t>S26-0129</t>
  </si>
  <si>
    <t>Ilyes Housni</t>
  </si>
  <si>
    <t>Nancy</t>
  </si>
  <si>
    <t>S26-0131</t>
  </si>
  <si>
    <t>Henri Koudossou</t>
  </si>
  <si>
    <t>Arminia Bielefeld</t>
  </si>
  <si>
    <t>S26-0132</t>
  </si>
  <si>
    <t>Matthew Craig</t>
  </si>
  <si>
    <t>Port Vale</t>
  </si>
  <si>
    <t>S26-0133</t>
  </si>
  <si>
    <t>Jacob Slater</t>
  </si>
  <si>
    <t>Tranmere Rovers</t>
  </si>
  <si>
    <t>S26-0134</t>
  </si>
  <si>
    <t>Noah Darvich</t>
  </si>
  <si>
    <t>S26-0135</t>
  </si>
  <si>
    <t>Ilyes Hamache</t>
  </si>
  <si>
    <t>Cambuur</t>
  </si>
  <si>
    <t>S26-0136</t>
  </si>
  <si>
    <t>Alessio Besio</t>
  </si>
  <si>
    <t>S26-0137</t>
  </si>
  <si>
    <t>Michaël Cuisance</t>
  </si>
  <si>
    <t>S26-0138</t>
  </si>
  <si>
    <t>Frankie Okoronkwo</t>
  </si>
  <si>
    <t>S26-0139</t>
  </si>
  <si>
    <t>Nicolas Lemaître</t>
  </si>
  <si>
    <t>Troyes</t>
  </si>
  <si>
    <t>S26-0141</t>
  </si>
  <si>
    <t>Dariusz Stalmach</t>
  </si>
  <si>
    <t>Magdeburg</t>
  </si>
  <si>
    <t>S26-0142</t>
  </si>
  <si>
    <t>Leon Opitz</t>
  </si>
  <si>
    <t>Osnabrück</t>
  </si>
  <si>
    <t>S26-0143</t>
  </si>
  <si>
    <t>Demba Seck</t>
  </si>
  <si>
    <t>S26-0144</t>
  </si>
  <si>
    <t>Nahuel Noll</t>
  </si>
  <si>
    <t>S26-0145</t>
  </si>
  <si>
    <t>Alejo Véliz</t>
  </si>
  <si>
    <t>Bahia</t>
  </si>
  <si>
    <t>S26-0146</t>
  </si>
  <si>
    <t>Jonah Kusi-Asare</t>
  </si>
  <si>
    <t>S26-0147</t>
  </si>
  <si>
    <t>Alexander Staff</t>
  </si>
  <si>
    <t>Saarbrücken</t>
  </si>
  <si>
    <t>S26-0148</t>
  </si>
  <si>
    <t>Aiman Dardari</t>
  </si>
  <si>
    <t>RW Essen</t>
  </si>
  <si>
    <t>S26-0149</t>
  </si>
  <si>
    <t>Charlie McArthur</t>
  </si>
  <si>
    <t>York City</t>
  </si>
  <si>
    <t>S26-0150</t>
  </si>
  <si>
    <t>Zak Johnson</t>
  </si>
  <si>
    <t>S26-0151</t>
  </si>
  <si>
    <t>Tiago Pereira Cardoso</t>
  </si>
  <si>
    <t>La Louvière</t>
  </si>
  <si>
    <t>S26-0152</t>
  </si>
  <si>
    <t>Mathys Detourbet</t>
  </si>
  <si>
    <t>S26-0153</t>
  </si>
  <si>
    <t>Kornel Lisman</t>
  </si>
  <si>
    <t>Lech Poznan</t>
  </si>
  <si>
    <t>S26-0155</t>
  </si>
  <si>
    <t>Benjamin Cremaschi</t>
  </si>
  <si>
    <t>Inter Miami</t>
  </si>
  <si>
    <t>S26-0156</t>
  </si>
  <si>
    <t>Ben Godfrey</t>
  </si>
  <si>
    <t>Rangers</t>
  </si>
  <si>
    <t>S26-0157</t>
  </si>
  <si>
    <t>Laszlo Benes</t>
  </si>
  <si>
    <t>KAA Gent</t>
  </si>
  <si>
    <t>S26-0158</t>
  </si>
  <si>
    <t>Frank Onyeka</t>
  </si>
  <si>
    <t>Coventry City</t>
  </si>
  <si>
    <t>S26-0159</t>
  </si>
  <si>
    <t>; Conflicting fee reports; see Source_Checks</t>
  </si>
  <si>
    <t>S26-0160</t>
  </si>
  <si>
    <t>Alejandro Grimaldo</t>
  </si>
  <si>
    <t>Atlético Madrid</t>
  </si>
  <si>
    <t>Add-ons/bonuses mentioned; See Fee_Components</t>
  </si>
  <si>
    <t>S26-0161</t>
  </si>
  <si>
    <t>Noah Katterbach</t>
  </si>
  <si>
    <t>Future purchase conditions mentioned; Blank quote does not mean zero loan fee</t>
  </si>
  <si>
    <t>S26-0162</t>
  </si>
  <si>
    <t>Peter Remmert</t>
  </si>
  <si>
    <t>Duisburg</t>
  </si>
  <si>
    <t>S26-0163</t>
  </si>
  <si>
    <t>Javi Galán</t>
  </si>
  <si>
    <t>Celta Vigo</t>
  </si>
  <si>
    <t>S26-0164</t>
  </si>
  <si>
    <t>Ansu Fati</t>
  </si>
  <si>
    <t>S26-0165</t>
  </si>
  <si>
    <t>Pascal Struijk</t>
  </si>
  <si>
    <t>S26-0166</t>
  </si>
  <si>
    <t>Marco Palestra</t>
  </si>
  <si>
    <t>S26-0167</t>
  </si>
  <si>
    <t>Rodrigo Rêgo</t>
  </si>
  <si>
    <t>S26-0168</t>
  </si>
  <si>
    <t>Ismael Saibari</t>
  </si>
  <si>
    <t>PSV Eindhoven</t>
  </si>
  <si>
    <t>S26-0169</t>
  </si>
  <si>
    <t>Mads Bidstrup</t>
  </si>
  <si>
    <t>S26-0170</t>
  </si>
  <si>
    <t>Arthur Piedfort</t>
  </si>
  <si>
    <t>Westerlo</t>
  </si>
  <si>
    <t>Auxerre</t>
  </si>
  <si>
    <t>S26-0171</t>
  </si>
  <si>
    <t>Jeff Ekhator</t>
  </si>
  <si>
    <t>Genoa</t>
  </si>
  <si>
    <t>S26-0172</t>
  </si>
  <si>
    <t>Hrvoje Smolcic</t>
  </si>
  <si>
    <t>Corum</t>
  </si>
  <si>
    <t>S26-0173</t>
  </si>
  <si>
    <t>Nazariy Rusyn</t>
  </si>
  <si>
    <t>Karpaty Lviv</t>
  </si>
  <si>
    <t>S26-0174</t>
  </si>
  <si>
    <t>S26-0175</t>
  </si>
  <si>
    <t>Armel Bella-Kotchap</t>
  </si>
  <si>
    <t>Verona</t>
  </si>
  <si>
    <t>S26-0176</t>
  </si>
  <si>
    <t>Rasmus Kristensen</t>
  </si>
  <si>
    <t>FC Midtjylland</t>
  </si>
  <si>
    <t>S26-0177</t>
  </si>
  <si>
    <t>Caio Henrique</t>
  </si>
  <si>
    <t>S26-0178</t>
  </si>
  <si>
    <t>Flávio Nazinho</t>
  </si>
  <si>
    <t>Cercle Brugge</t>
  </si>
  <si>
    <t>S26-0179</t>
  </si>
  <si>
    <t>Sergi Altimira</t>
  </si>
  <si>
    <t>S26-0180</t>
  </si>
  <si>
    <t>Stefan de Vrij</t>
  </si>
  <si>
    <t>S26-0181</t>
  </si>
  <si>
    <t>Clément Lenglet</t>
  </si>
  <si>
    <t>S26-0182</t>
  </si>
  <si>
    <t>Dan Neil</t>
  </si>
  <si>
    <t>S26-0183</t>
  </si>
  <si>
    <t>Robert Lewandowski</t>
  </si>
  <si>
    <t>Chicago Fire</t>
  </si>
  <si>
    <t>S26-0184</t>
  </si>
  <si>
    <t>Oliver Whatmuff</t>
  </si>
  <si>
    <t>Stockport County</t>
  </si>
  <si>
    <t>S26-0185</t>
  </si>
  <si>
    <t>Ethan Brierley</t>
  </si>
  <si>
    <t>Huddersfield</t>
  </si>
  <si>
    <t>S26-0186</t>
  </si>
  <si>
    <t>Matty Young</t>
  </si>
  <si>
    <t>S26-0187</t>
  </si>
  <si>
    <t>Stanley Nsoki</t>
  </si>
  <si>
    <t>S26-0188</t>
  </si>
  <si>
    <t>Alessandro Romano</t>
  </si>
  <si>
    <t>S26-0189</t>
  </si>
  <si>
    <t>Fodé Sylla</t>
  </si>
  <si>
    <t>Sion</t>
  </si>
  <si>
    <t>S26-0190</t>
  </si>
  <si>
    <t>Thórir Jóhann Helgason</t>
  </si>
  <si>
    <t>S26-0191</t>
  </si>
  <si>
    <t>Akin Famewo</t>
  </si>
  <si>
    <t>Hull City</t>
  </si>
  <si>
    <t>Bolton</t>
  </si>
  <si>
    <t>S26-0192</t>
  </si>
  <si>
    <t>Enzo Barrenechea</t>
  </si>
  <si>
    <t>S26-0193</t>
  </si>
  <si>
    <t>Ivor Pandur</t>
  </si>
  <si>
    <t>S26-0194</t>
  </si>
  <si>
    <t>Franz-Ethan Meichtry</t>
  </si>
  <si>
    <t>Thun</t>
  </si>
  <si>
    <t>S26-0195</t>
  </si>
  <si>
    <t>Hayden Hackney</t>
  </si>
  <si>
    <t>Middlesbrough</t>
  </si>
  <si>
    <t>S26-0197</t>
  </si>
  <si>
    <t>Jack Butland</t>
  </si>
  <si>
    <t>S26-0198</t>
  </si>
  <si>
    <t>Thierry Correia</t>
  </si>
  <si>
    <t>Valencia</t>
  </si>
  <si>
    <t>S26-0199</t>
  </si>
  <si>
    <t>Jan Urbich</t>
  </si>
  <si>
    <t>Eintracht Braunschweig</t>
  </si>
  <si>
    <t>S26-0201</t>
  </si>
  <si>
    <t>Michael Svoboda</t>
  </si>
  <si>
    <t>S26-0202</t>
  </si>
  <si>
    <t>Kaiki</t>
  </si>
  <si>
    <t>Future purchase conditions mentioned; Blank quote does not mean zero loan fee; See Fee_Components</t>
  </si>
  <si>
    <t>S26-0203</t>
  </si>
  <si>
    <t>Luca Stephenson</t>
  </si>
  <si>
    <t>S26-0204</t>
  </si>
  <si>
    <t>Sil Swinkels</t>
  </si>
  <si>
    <t>Sheffield Wednesday</t>
  </si>
  <si>
    <t>S26-0205</t>
  </si>
  <si>
    <t>Isaac Smith</t>
  </si>
  <si>
    <t>Barnsley</t>
  </si>
  <si>
    <t>S26-0206</t>
  </si>
  <si>
    <t>Lucas Copado</t>
  </si>
  <si>
    <t>S26-0207</t>
  </si>
  <si>
    <t>Lucas Beltrán</t>
  </si>
  <si>
    <t>S26-0208</t>
  </si>
  <si>
    <t>Julien Duranville</t>
  </si>
  <si>
    <t>S26-0209</t>
  </si>
  <si>
    <t>Diego Bri</t>
  </si>
  <si>
    <t>Córdoba</t>
  </si>
  <si>
    <t>S26-0210</t>
  </si>
  <si>
    <t>S26-0211</t>
  </si>
  <si>
    <t>Álex Calatrava</t>
  </si>
  <si>
    <t>Castellón</t>
  </si>
  <si>
    <t>Espanyol</t>
  </si>
  <si>
    <t>S26-0212</t>
  </si>
  <si>
    <t>Léo Pétrot</t>
  </si>
  <si>
    <t>S26-0213</t>
  </si>
  <si>
    <t>Samuel Wiafe</t>
  </si>
  <si>
    <t>Modena</t>
  </si>
  <si>
    <t>S26-0214</t>
  </si>
  <si>
    <t>David Puczka</t>
  </si>
  <si>
    <t>S26-0215</t>
  </si>
  <si>
    <t>Leonardo Consiglio</t>
  </si>
  <si>
    <t>S26-0216</t>
  </si>
  <si>
    <t>Martino Odero</t>
  </si>
  <si>
    <t>S26-0217</t>
  </si>
  <si>
    <t>Brais Méndez</t>
  </si>
  <si>
    <t>Columbus Crew</t>
  </si>
  <si>
    <t>S26-0218</t>
  </si>
  <si>
    <t>Dani Rodríguez</t>
  </si>
  <si>
    <t>S26-0219</t>
  </si>
  <si>
    <t>Luka Lochoshvili</t>
  </si>
  <si>
    <t>S26-0220</t>
  </si>
  <si>
    <t>Franco Carboni</t>
  </si>
  <si>
    <t>S26-0221</t>
  </si>
  <si>
    <t>Kassoum Ouattara</t>
  </si>
  <si>
    <t>Besiktas</t>
  </si>
  <si>
    <t>S26-0222</t>
  </si>
  <si>
    <t>Luis Milla</t>
  </si>
  <si>
    <t>S26-0223</t>
  </si>
  <si>
    <t>Laurent Abergel</t>
  </si>
  <si>
    <t>Lorient</t>
  </si>
  <si>
    <t>S26-0224</t>
  </si>
  <si>
    <t>Rafael Fernandes</t>
  </si>
  <si>
    <t>Marítimo</t>
  </si>
  <si>
    <t>S26-0225</t>
  </si>
  <si>
    <t>Alfonso Espino</t>
  </si>
  <si>
    <t>Rayo Vallecano</t>
  </si>
  <si>
    <t>Racing Club</t>
  </si>
  <si>
    <t>S26-0226</t>
  </si>
  <si>
    <t>Ota Yamamoto</t>
  </si>
  <si>
    <t>Kashiwa Reysol</t>
  </si>
  <si>
    <t>S26-0227</t>
  </si>
  <si>
    <t>RB Omiya Ardija</t>
  </si>
  <si>
    <t>S26-0228</t>
  </si>
  <si>
    <t>Danny Namaso</t>
  </si>
  <si>
    <t>S26-0229</t>
  </si>
  <si>
    <t>Víctor Barberá</t>
  </si>
  <si>
    <t>S26-0230</t>
  </si>
  <si>
    <t>Dani Pérez</t>
  </si>
  <si>
    <t>S26-0231</t>
  </si>
  <si>
    <t>James Debayo</t>
  </si>
  <si>
    <t>Swindon Town</t>
  </si>
  <si>
    <t>S26-0232</t>
  </si>
  <si>
    <t>Nathaniel Brown</t>
  </si>
  <si>
    <t>S26-0233</t>
  </si>
  <si>
    <t>Alfonso Pedraza</t>
  </si>
  <si>
    <t>Villarreal</t>
  </si>
  <si>
    <t>Lazio</t>
  </si>
  <si>
    <t>S26-0234</t>
  </si>
  <si>
    <t>Cédric Zesiger</t>
  </si>
  <si>
    <t>Young Boys</t>
  </si>
  <si>
    <t>S26-0235</t>
  </si>
  <si>
    <t>Noah Pesch</t>
  </si>
  <si>
    <t>S26-0236</t>
  </si>
  <si>
    <t>David Colina</t>
  </si>
  <si>
    <t>Zaglebie Lubin</t>
  </si>
  <si>
    <t>S26-0237</t>
  </si>
  <si>
    <t>Usman Simbakoli</t>
  </si>
  <si>
    <t>RWDM Brussels</t>
  </si>
  <si>
    <t>S26-0238</t>
  </si>
  <si>
    <t>Bennit Bröger</t>
  </si>
  <si>
    <t>Fortuna Cologne</t>
  </si>
  <si>
    <t>S26-0239</t>
  </si>
  <si>
    <t>Jacopo Mirra</t>
  </si>
  <si>
    <t>S26-0240</t>
  </si>
  <si>
    <t>Mohamed Ouédraogo</t>
  </si>
  <si>
    <t>SCR Altach</t>
  </si>
  <si>
    <t>S26-0241</t>
  </si>
  <si>
    <t>Diego Kochen</t>
  </si>
  <si>
    <t>Lyngby</t>
  </si>
  <si>
    <t>S26-0242</t>
  </si>
  <si>
    <t>Leo Román</t>
  </si>
  <si>
    <t>Mallorca</t>
  </si>
  <si>
    <t>Deportivo La Coruña</t>
  </si>
  <si>
    <t>S26-0243</t>
  </si>
  <si>
    <t>Nathan Aké</t>
  </si>
  <si>
    <t>Fenerbahce</t>
  </si>
  <si>
    <t>S26-0244</t>
  </si>
  <si>
    <t>Benjamin Brantlind</t>
  </si>
  <si>
    <t>IFK Göteborg</t>
  </si>
  <si>
    <t>Add-ons/bonuses mentioned</t>
  </si>
  <si>
    <t>S26-0245</t>
  </si>
  <si>
    <t>Kasey Palmer</t>
  </si>
  <si>
    <t>Luton Town</t>
  </si>
  <si>
    <t>S26-0246</t>
  </si>
  <si>
    <t>Hindolo Mustapha</t>
  </si>
  <si>
    <t>Wigan Athletic</t>
  </si>
  <si>
    <t>S26-0247</t>
  </si>
  <si>
    <t>Tommaso Cassandro</t>
  </si>
  <si>
    <t>Palermo</t>
  </si>
  <si>
    <t>S26-0248</t>
  </si>
  <si>
    <t>Federico Chinetti</t>
  </si>
  <si>
    <t>Mantova</t>
  </si>
  <si>
    <t>S26-0249</t>
  </si>
  <si>
    <t>Leonardo Baroncelli</t>
  </si>
  <si>
    <t>Gubbio</t>
  </si>
  <si>
    <t>S26-0250</t>
  </si>
  <si>
    <t>Denzel Dumfries</t>
  </si>
  <si>
    <t>S26-0251</t>
  </si>
  <si>
    <t>Bazoumana Touré</t>
  </si>
  <si>
    <t>S26-0253</t>
  </si>
  <si>
    <t>Eliezer Mayenda</t>
  </si>
  <si>
    <t>S26-0254</t>
  </si>
  <si>
    <t>Lasse Riess</t>
  </si>
  <si>
    <t>S26-0255</t>
  </si>
  <si>
    <t>Oliver Sorg</t>
  </si>
  <si>
    <t>S26-0256</t>
  </si>
  <si>
    <t>Tyrique George</t>
  </si>
  <si>
    <t>Future purchase conditions mentioned; See Fee_Components</t>
  </si>
  <si>
    <t>S26-0257</t>
  </si>
  <si>
    <t>Giorgi Chakvetadze</t>
  </si>
  <si>
    <t>Watford</t>
  </si>
  <si>
    <t>S26-0258</t>
  </si>
  <si>
    <t>Zaid Romero</t>
  </si>
  <si>
    <t>S26-0259</t>
  </si>
  <si>
    <t>Alessandro Longoni</t>
  </si>
  <si>
    <t>S26-0260</t>
  </si>
  <si>
    <t>Milosz Piekutowski</t>
  </si>
  <si>
    <t>Jagiellonia</t>
  </si>
  <si>
    <t>S26-0261</t>
  </si>
  <si>
    <t>Yoon Do-young</t>
  </si>
  <si>
    <t>S26-0262</t>
  </si>
  <si>
    <t>Felipe Sánchez</t>
  </si>
  <si>
    <t>Santos Laguna</t>
  </si>
  <si>
    <t>S26-0263</t>
  </si>
  <si>
    <t>Facundo Bernal</t>
  </si>
  <si>
    <t>Fluminense</t>
  </si>
  <si>
    <t>S26-0264</t>
  </si>
  <si>
    <t>Jaidon Anthony</t>
  </si>
  <si>
    <t>S26-0265</t>
  </si>
  <si>
    <t>Mamadou Diop</t>
  </si>
  <si>
    <t>Grenoble</t>
  </si>
  <si>
    <t>S26-0266</t>
  </si>
  <si>
    <t>Billal Brahimi</t>
  </si>
  <si>
    <t>Santos FC</t>
  </si>
  <si>
    <t>Le Mans</t>
  </si>
  <si>
    <t>S26-0267</t>
  </si>
  <si>
    <t>Quilindschy Hartman</t>
  </si>
  <si>
    <t>S26-0268</t>
  </si>
  <si>
    <t>Sambou Soumano</t>
  </si>
  <si>
    <t>S26-0269</t>
  </si>
  <si>
    <t>Harry Gray</t>
  </si>
  <si>
    <t>S26-0270</t>
  </si>
  <si>
    <t>Luis Chacón</t>
  </si>
  <si>
    <t>S26-0271</t>
  </si>
  <si>
    <t>Ryunosuke Sato</t>
  </si>
  <si>
    <t>FC Tokyo</t>
  </si>
  <si>
    <t>S26-0272</t>
  </si>
  <si>
    <t>Kaito Mizuta</t>
  </si>
  <si>
    <t>S26-0273</t>
  </si>
  <si>
    <t>Leon Goretzka</t>
  </si>
  <si>
    <t>S26-0274</t>
  </si>
  <si>
    <t>Bright Ede</t>
  </si>
  <si>
    <t>Motor Lublin</t>
  </si>
  <si>
    <t>S26-0275</t>
  </si>
  <si>
    <t>Emersonn</t>
  </si>
  <si>
    <t>S26-0276</t>
  </si>
  <si>
    <t>Gabriel Moscardo</t>
  </si>
  <si>
    <t>S26-0277</t>
  </si>
  <si>
    <t>Radu Dragusin</t>
  </si>
  <si>
    <t>S26-0278</t>
  </si>
  <si>
    <t>Romelle Donovan</t>
  </si>
  <si>
    <t>Sheffield United</t>
  </si>
  <si>
    <t>S26-0279</t>
  </si>
  <si>
    <t>Harry Wilson</t>
  </si>
  <si>
    <t>S26-0280</t>
  </si>
  <si>
    <t>Fran García</t>
  </si>
  <si>
    <t>S26-0281</t>
  </si>
  <si>
    <t>Rasmus Carstensen</t>
  </si>
  <si>
    <t>AGF</t>
  </si>
  <si>
    <t>S26-0282</t>
  </si>
  <si>
    <t>Alexander Nübel</t>
  </si>
  <si>
    <t>S26-0283</t>
  </si>
  <si>
    <t>Eddy Kouadio</t>
  </si>
  <si>
    <t>Monza</t>
  </si>
  <si>
    <t>S26-0284</t>
  </si>
  <si>
    <t>Justin Smith</t>
  </si>
  <si>
    <t>Eldense</t>
  </si>
  <si>
    <t>S26-0285</t>
  </si>
  <si>
    <t>Marco Ladisa</t>
  </si>
  <si>
    <t>Trento</t>
  </si>
  <si>
    <t>S26-0286</t>
  </si>
  <si>
    <t>Basar Onal</t>
  </si>
  <si>
    <t>NEC Nijmegen</t>
  </si>
  <si>
    <t>S26-0287</t>
  </si>
  <si>
    <t>Omar Sadik</t>
  </si>
  <si>
    <t>Ceuta</t>
  </si>
  <si>
    <t>S26-0288</t>
  </si>
  <si>
    <t>Kevin Müller</t>
  </si>
  <si>
    <t>Heidenheim</t>
  </si>
  <si>
    <t>S26-0289</t>
  </si>
  <si>
    <t>Alfie Devine</t>
  </si>
  <si>
    <t>Preston</t>
  </si>
  <si>
    <t>S26-0290</t>
  </si>
  <si>
    <t>S26-0291</t>
  </si>
  <si>
    <t>Óscar Mingueza</t>
  </si>
  <si>
    <t>S26-0292</t>
  </si>
  <si>
    <t>Louie Barry</t>
  </si>
  <si>
    <t>S26-0293</t>
  </si>
  <si>
    <t>Gabin Bernardeau</t>
  </si>
  <si>
    <t>S26-0294</t>
  </si>
  <si>
    <t>Callum Wilson</t>
  </si>
  <si>
    <t>S26-0295</t>
  </si>
  <si>
    <t>Salih Ozcan</t>
  </si>
  <si>
    <t>S26-0296</t>
  </si>
  <si>
    <t>Harrison Ashby</t>
  </si>
  <si>
    <t>S26-0297</t>
  </si>
  <si>
    <t>Sean Steur</t>
  </si>
  <si>
    <t>S26-0298</t>
  </si>
  <si>
    <t>Pierce Charles</t>
  </si>
  <si>
    <t>See Fee_Components</t>
  </si>
  <si>
    <t>S26-0299</t>
  </si>
  <si>
    <t>Aboubaka Soumahoro</t>
  </si>
  <si>
    <t>S26-0300</t>
  </si>
  <si>
    <t>Gianluca Gaetano</t>
  </si>
  <si>
    <t>S26-0301</t>
  </si>
  <si>
    <t>Alejandro Gomes Furtado</t>
  </si>
  <si>
    <t>Real Zaragoza</t>
  </si>
  <si>
    <t>S26-0302</t>
  </si>
  <si>
    <t>Attila Szalai</t>
  </si>
  <si>
    <t>Pogon Szczecin</t>
  </si>
  <si>
    <t>S26-0303</t>
  </si>
  <si>
    <t>Jota Silva</t>
  </si>
  <si>
    <t>S26-0304</t>
  </si>
  <si>
    <t>Bryan Reynolds</t>
  </si>
  <si>
    <t>S26-0305</t>
  </si>
  <si>
    <t>Oskar Wojcik</t>
  </si>
  <si>
    <t>Cracovia</t>
  </si>
  <si>
    <t>S26-0306</t>
  </si>
  <si>
    <t>Albion Rrahmani</t>
  </si>
  <si>
    <t>Sparta Prague</t>
  </si>
  <si>
    <t>S26-0307</t>
  </si>
  <si>
    <t>Kyle Joseph</t>
  </si>
  <si>
    <t>S26-0308</t>
  </si>
  <si>
    <t>Cole Campbell</t>
  </si>
  <si>
    <t>S26-0309</t>
  </si>
  <si>
    <t>Unai Gómez</t>
  </si>
  <si>
    <t>S26-0310</t>
  </si>
  <si>
    <t>Ramon Terrats</t>
  </si>
  <si>
    <t>S26-0311</t>
  </si>
  <si>
    <t>Aritz Aldasoro</t>
  </si>
  <si>
    <t>Racing Santander</t>
  </si>
  <si>
    <t>Real Oviedo</t>
  </si>
  <si>
    <t>S26-0312</t>
  </si>
  <si>
    <t>Nathan De Cat</t>
  </si>
  <si>
    <t>S26-0313</t>
  </si>
  <si>
    <t>Mario Gila</t>
  </si>
  <si>
    <t>S26-0314</t>
  </si>
  <si>
    <t>Sima Suso</t>
  </si>
  <si>
    <t>S26-0315</t>
  </si>
  <si>
    <t>Felix Meiser</t>
  </si>
  <si>
    <t>S26-0316</t>
  </si>
  <si>
    <t>Alexander Schlager</t>
  </si>
  <si>
    <t>S26-0317</t>
  </si>
  <si>
    <t>Elias Havel</t>
  </si>
  <si>
    <t>TSV Hartberg</t>
  </si>
  <si>
    <t>S26-0318</t>
  </si>
  <si>
    <t>Thiago Ojeda</t>
  </si>
  <si>
    <t>S26-0319</t>
  </si>
  <si>
    <t>Álex Petxarroman</t>
  </si>
  <si>
    <t>S26-0320</t>
  </si>
  <si>
    <t>Mario García</t>
  </si>
  <si>
    <t>Widzew Lodz</t>
  </si>
  <si>
    <t>S26-0321</t>
  </si>
  <si>
    <t>Harrison Murray-Campbell</t>
  </si>
  <si>
    <t>KV Kortrijk</t>
  </si>
  <si>
    <t>S26-0322</t>
  </si>
  <si>
    <t>Tommaso Rubino</t>
  </si>
  <si>
    <t>Carrarese</t>
  </si>
  <si>
    <t>S26-0323</t>
  </si>
  <si>
    <t>Pietro Pinelli</t>
  </si>
  <si>
    <t>S26-0324</t>
  </si>
  <si>
    <t>Lorenzo Romani</t>
  </si>
  <si>
    <t>S26-0325</t>
  </si>
  <si>
    <t>Giacomo Marconi</t>
  </si>
  <si>
    <t>S26-0326</t>
  </si>
  <si>
    <t>Alessandro Plizzari</t>
  </si>
  <si>
    <t>Südtirol</t>
  </si>
  <si>
    <t>S26-0327</t>
  </si>
  <si>
    <t>Brando Moruzzi</t>
  </si>
  <si>
    <t>S26-0328</t>
  </si>
  <si>
    <t>Giacomo Faticanti</t>
  </si>
  <si>
    <t>S26-0329</t>
  </si>
  <si>
    <t>Tommaso Martinelli</t>
  </si>
  <si>
    <t>S26-0330</t>
  </si>
  <si>
    <t>Jeremy Monga</t>
  </si>
  <si>
    <t>S26-0331</t>
  </si>
  <si>
    <t>Morten Hjulmand</t>
  </si>
  <si>
    <t>S26-0332</t>
  </si>
  <si>
    <t>Sverre Nypan</t>
  </si>
  <si>
    <t>Lommel SK</t>
  </si>
  <si>
    <t>S26-0333</t>
  </si>
  <si>
    <t>Gideon Mensah</t>
  </si>
  <si>
    <t>S26-0334</t>
  </si>
  <si>
    <t>Haris Tabakovic</t>
  </si>
  <si>
    <t>S26-0335</t>
  </si>
  <si>
    <t>Loum Tchaouna</t>
  </si>
  <si>
    <t>S26-0336</t>
  </si>
  <si>
    <t>Seid Korac</t>
  </si>
  <si>
    <t>S26-0337</t>
  </si>
  <si>
    <t>Peter Federico</t>
  </si>
  <si>
    <t>Gornik Zabrze</t>
  </si>
  <si>
    <t>S26-0338</t>
  </si>
  <si>
    <t>Brad Collins</t>
  </si>
  <si>
    <t>Bristol City</t>
  </si>
  <si>
    <t>S26-0339</t>
  </si>
  <si>
    <t>Yusuf Akhamrich</t>
  </si>
  <si>
    <t>Leyton Orient</t>
  </si>
  <si>
    <t>S26-0340</t>
  </si>
  <si>
    <t>S26-0341</t>
  </si>
  <si>
    <t>Urko Izeta</t>
  </si>
  <si>
    <t>S26-0342</t>
  </si>
  <si>
    <t>Jesse Derry</t>
  </si>
  <si>
    <t>S26-0343</t>
  </si>
  <si>
    <t>Nicola Leali</t>
  </si>
  <si>
    <t>S26-0344</t>
  </si>
  <si>
    <t>Paulo Azzi</t>
  </si>
  <si>
    <t>S26-0345</t>
  </si>
  <si>
    <t>Louis Mafouta</t>
  </si>
  <si>
    <t>Guingamp</t>
  </si>
  <si>
    <t>S26-0346</t>
  </si>
  <si>
    <t>Yassine Kechta</t>
  </si>
  <si>
    <t>Leganés</t>
  </si>
  <si>
    <t>S26-0347</t>
  </si>
  <si>
    <t>Angus Gunn</t>
  </si>
  <si>
    <t>San Jose Earthquakes</t>
  </si>
  <si>
    <t>S26-0348</t>
  </si>
  <si>
    <t>Kjell Wätjen</t>
  </si>
  <si>
    <t>S26-0349</t>
  </si>
  <si>
    <t>Andrey Santos</t>
  </si>
  <si>
    <t>S26-0350</t>
  </si>
  <si>
    <t>Hennes Behrens</t>
  </si>
  <si>
    <t>S26-0351</t>
  </si>
  <si>
    <t>Faik Sakar</t>
  </si>
  <si>
    <t>S26-0352</t>
  </si>
  <si>
    <t>Lluc Castell</t>
  </si>
  <si>
    <t>S26-0353</t>
  </si>
  <si>
    <t>Cieran Slicker</t>
  </si>
  <si>
    <t>S26-0354</t>
  </si>
  <si>
    <t>Yannik Keitel</t>
  </si>
  <si>
    <t>Loan extended</t>
  </si>
  <si>
    <t>S26-0355</t>
  </si>
  <si>
    <t>Calvin Brackelmann</t>
  </si>
  <si>
    <t>S26-0356</t>
  </si>
  <si>
    <t>Rodrigo Ribeiro</t>
  </si>
  <si>
    <t>S26-0357</t>
  </si>
  <si>
    <t>Gaetano Oristanio</t>
  </si>
  <si>
    <t>S26-0358</t>
  </si>
  <si>
    <t>Brajan Gruda</t>
  </si>
  <si>
    <t>S26-0359</t>
  </si>
  <si>
    <t>Valentino Lazaro</t>
  </si>
  <si>
    <t>Al-Ain</t>
  </si>
  <si>
    <t>S26-0360</t>
  </si>
  <si>
    <t>Viery</t>
  </si>
  <si>
    <t>Grêmio</t>
  </si>
  <si>
    <t>S26-0361</t>
  </si>
  <si>
    <t>Allan Saint-Maximin</t>
  </si>
  <si>
    <t>Charlotte FC</t>
  </si>
  <si>
    <t>S26-0362</t>
  </si>
  <si>
    <t>Ben Krauhaus</t>
  </si>
  <si>
    <t>Falkirk</t>
  </si>
  <si>
    <t>S26-0363</t>
  </si>
  <si>
    <t>Alex Paulsen</t>
  </si>
  <si>
    <t>Motherwell</t>
  </si>
  <si>
    <t>S26-0364</t>
  </si>
  <si>
    <t>Orlando City</t>
  </si>
  <si>
    <t>S26-0365</t>
  </si>
  <si>
    <t>Thorgan Hazard</t>
  </si>
  <si>
    <t>S26-0366</t>
  </si>
  <si>
    <t>Matteo Spinaccè</t>
  </si>
  <si>
    <t>S26-0367</t>
  </si>
  <si>
    <t>Alessandro Cardinali</t>
  </si>
  <si>
    <t>Spezia</t>
  </si>
  <si>
    <t>S26-0368</t>
  </si>
  <si>
    <t>Jonathan Asp Jensen</t>
  </si>
  <si>
    <t>S26-0369</t>
  </si>
  <si>
    <t>Martin Adeline</t>
  </si>
  <si>
    <t>S26-0370</t>
  </si>
  <si>
    <t>Elia Plicco</t>
  </si>
  <si>
    <t>Sambenedettese</t>
  </si>
  <si>
    <t>S26-0371</t>
  </si>
  <si>
    <t>Baptiste Santamaria</t>
  </si>
  <si>
    <t>PAOK</t>
  </si>
  <si>
    <t>S26-0372</t>
  </si>
  <si>
    <t>Moustapha Cissé</t>
  </si>
  <si>
    <t>S26-0373</t>
  </si>
  <si>
    <t>Anouar El Azzouzi</t>
  </si>
  <si>
    <t>S26-0374</t>
  </si>
  <si>
    <t>Jacopo Fazzini</t>
  </si>
  <si>
    <t>S26-0375</t>
  </si>
  <si>
    <t>Antonio Cordero</t>
  </si>
  <si>
    <t>S26-0376</t>
  </si>
  <si>
    <t>Yann Sommer</t>
  </si>
  <si>
    <t>S26-0377</t>
  </si>
  <si>
    <t>Luka Vuskovic</t>
  </si>
  <si>
    <t>S26-0378</t>
  </si>
  <si>
    <t>Yasser Larouci</t>
  </si>
  <si>
    <t>S26-0379</t>
  </si>
  <si>
    <t>Lohann Doucet</t>
  </si>
  <si>
    <t>S26-0380</t>
  </si>
  <si>
    <t>Víctor Parada</t>
  </si>
  <si>
    <t>Spartak Moscow</t>
  </si>
  <si>
    <t>S26-0381</t>
  </si>
  <si>
    <t>Álvaro Rodríguez</t>
  </si>
  <si>
    <t>S26-0382</t>
  </si>
  <si>
    <t>Danilho Doekhi</t>
  </si>
  <si>
    <t>S26-0383</t>
  </si>
  <si>
    <t>Fellipe Jack</t>
  </si>
  <si>
    <t>Cremonese</t>
  </si>
  <si>
    <t>S26-0384</t>
  </si>
  <si>
    <t>Youri Tielemans</t>
  </si>
  <si>
    <t>S26-0385</t>
  </si>
  <si>
    <t>Thomas Meunier</t>
  </si>
  <si>
    <t>S26-0386</t>
  </si>
  <si>
    <t>Christ Makosso</t>
  </si>
  <si>
    <t>S26-0387</t>
  </si>
  <si>
    <t>Mattia Liberali</t>
  </si>
  <si>
    <t>Catanzaro</t>
  </si>
  <si>
    <t>S26-0388</t>
  </si>
  <si>
    <t>Ismaël Konaté</t>
  </si>
  <si>
    <t>Empoli</t>
  </si>
  <si>
    <t>S26-0389</t>
  </si>
  <si>
    <t>Lewis Dobbin</t>
  </si>
  <si>
    <t>S26-0390</t>
  </si>
  <si>
    <t>Harry Winks</t>
  </si>
  <si>
    <t>S26-0391</t>
  </si>
  <si>
    <t>Marseille</t>
  </si>
  <si>
    <t>S26-0392</t>
  </si>
  <si>
    <t>Adrián Pica</t>
  </si>
  <si>
    <t>Penafiel</t>
  </si>
  <si>
    <t>S26-0393</t>
  </si>
  <si>
    <t>Horatiu Moldovan</t>
  </si>
  <si>
    <t>Eyupspor</t>
  </si>
  <si>
    <t>S26-0394</t>
  </si>
  <si>
    <t>Michal Skoras</t>
  </si>
  <si>
    <t>S26-0395</t>
  </si>
  <si>
    <t>Jonas Harder</t>
  </si>
  <si>
    <t>S26-0396</t>
  </si>
  <si>
    <t>Maat Daniel Caprini</t>
  </si>
  <si>
    <t>S26-0397</t>
  </si>
  <si>
    <t>Luca Di Maggio</t>
  </si>
  <si>
    <t>S26-0398</t>
  </si>
  <si>
    <t>Leandro Trossard</t>
  </si>
  <si>
    <t>S26-0399</t>
  </si>
  <si>
    <t>Elkan Baggott</t>
  </si>
  <si>
    <t>Millwall</t>
  </si>
  <si>
    <t>S26-0400</t>
  </si>
  <si>
    <t>Oliwier Zych</t>
  </si>
  <si>
    <t>S26-0401</t>
  </si>
  <si>
    <t>Vincent Burlet</t>
  </si>
  <si>
    <t>S26-0402</t>
  </si>
  <si>
    <t>Aïssa Mandi</t>
  </si>
  <si>
    <t>S26-0403</t>
  </si>
  <si>
    <t>Isaac Schmidt</t>
  </si>
  <si>
    <t>S26-0404</t>
  </si>
  <si>
    <t>Diego Coppola</t>
  </si>
  <si>
    <t>S26-0405</t>
  </si>
  <si>
    <t>Andrés García</t>
  </si>
  <si>
    <t>S26-0406</t>
  </si>
  <si>
    <t>Timothée Pembélé</t>
  </si>
  <si>
    <t>S26-0407</t>
  </si>
  <si>
    <t>Lovro Zvonarek</t>
  </si>
  <si>
    <t>Estrela Amadora</t>
  </si>
  <si>
    <t>S26-0408</t>
  </si>
  <si>
    <t>Goduine Koyalipou</t>
  </si>
  <si>
    <t>S26-0409</t>
  </si>
  <si>
    <t>Iron Gomis</t>
  </si>
  <si>
    <t>Zira</t>
  </si>
  <si>
    <t>S26-0410</t>
  </si>
  <si>
    <t>Ben Bobzien</t>
  </si>
  <si>
    <t>S26-0411</t>
  </si>
  <si>
    <t>Alex Kral</t>
  </si>
  <si>
    <t>FC Copenhagen</t>
  </si>
  <si>
    <t>S26-0412</t>
  </si>
  <si>
    <t>Niklas Pyyhtiä</t>
  </si>
  <si>
    <t>S26-0413</t>
  </si>
  <si>
    <t>Joe White</t>
  </si>
  <si>
    <t>Crewe</t>
  </si>
  <si>
    <t>S26-0414</t>
  </si>
  <si>
    <t>Elias Saad</t>
  </si>
  <si>
    <t>Nashville SC</t>
  </si>
  <si>
    <t>S26-0415</t>
  </si>
  <si>
    <t>Mikel Rodríguez</t>
  </si>
  <si>
    <t>S26-0416</t>
  </si>
  <si>
    <t>Mathias Ferrante</t>
  </si>
  <si>
    <t>Ospitaletto Franciacorta</t>
  </si>
  <si>
    <t>S26-0417</t>
  </si>
  <si>
    <t>Conor Chaplin</t>
  </si>
  <si>
    <t>S26-0418</t>
  </si>
  <si>
    <t>Aurèle Amenda</t>
  </si>
  <si>
    <t>S26-0419</t>
  </si>
  <si>
    <t>Karl Darlow</t>
  </si>
  <si>
    <t>S26-0420</t>
  </si>
  <si>
    <t>Omar Traoré</t>
  </si>
  <si>
    <t>S26-0421</t>
  </si>
  <si>
    <t>Diego Mascardi</t>
  </si>
  <si>
    <t>S26-0422</t>
  </si>
  <si>
    <t>Warren Kamanzi</t>
  </si>
  <si>
    <t>Malmö FF</t>
  </si>
  <si>
    <t>S26-0423</t>
  </si>
  <si>
    <t>Zeki Celik</t>
  </si>
  <si>
    <t>S26-0424</t>
  </si>
  <si>
    <t>Maxime Estève</t>
  </si>
  <si>
    <t>S26-0425</t>
  </si>
  <si>
    <t>Alexander Schwolow</t>
  </si>
  <si>
    <t>Hearts</t>
  </si>
  <si>
    <t>S26-0426</t>
  </si>
  <si>
    <t>Pau López</t>
  </si>
  <si>
    <t>FC Andorra</t>
  </si>
  <si>
    <t>S26-0427</t>
  </si>
  <si>
    <t>Tarik Muharemovic</t>
  </si>
  <si>
    <t>S26-0428</t>
  </si>
  <si>
    <t>Robin Gosens</t>
  </si>
  <si>
    <t>S26-0429</t>
  </si>
  <si>
    <t>Hamed Traoré</t>
  </si>
  <si>
    <t>S26-0430</t>
  </si>
  <si>
    <t>Andrés Cuenca</t>
  </si>
  <si>
    <t>S26-0431</t>
  </si>
  <si>
    <t>Kaiden Wilson</t>
  </si>
  <si>
    <t>Rochdale</t>
  </si>
  <si>
    <t>S26-0432</t>
  </si>
  <si>
    <t>Pablo Pagis</t>
  </si>
  <si>
    <t>S26-0433</t>
  </si>
  <si>
    <t>Nelson Weiper</t>
  </si>
  <si>
    <t>Sturm Graz</t>
  </si>
  <si>
    <t>S26-0434</t>
  </si>
  <si>
    <t>Danny Anisjko</t>
  </si>
  <si>
    <t>Chesterfield</t>
  </si>
  <si>
    <t>S26-0435</t>
  </si>
  <si>
    <t>Reigan Heskey</t>
  </si>
  <si>
    <t>S26-0436</t>
  </si>
  <si>
    <t>Julien Yanda</t>
  </si>
  <si>
    <t>S26-0437</t>
  </si>
  <si>
    <t>Grant-Leon Ranos</t>
  </si>
  <si>
    <t>CD Tenerife</t>
  </si>
  <si>
    <t>S26-0438</t>
  </si>
  <si>
    <t>Radoslaw Majecki</t>
  </si>
  <si>
    <t>Pafos</t>
  </si>
  <si>
    <t>S26-0439</t>
  </si>
  <si>
    <t>Includes add-ons or potential total; see components</t>
  </si>
  <si>
    <t>S26-0440</t>
  </si>
  <si>
    <t>S26-0441</t>
  </si>
  <si>
    <t>Maik Nawrocki</t>
  </si>
  <si>
    <t>Celtic</t>
  </si>
  <si>
    <t>S26-0442</t>
  </si>
  <si>
    <t>James Beadle</t>
  </si>
  <si>
    <t>Birmingham City</t>
  </si>
  <si>
    <t>S26-0443</t>
  </si>
  <si>
    <t>Yannik Engelhardt</t>
  </si>
  <si>
    <t>S26-0444</t>
  </si>
  <si>
    <t>Erencan Yardimci</t>
  </si>
  <si>
    <t>Kaiserslautern</t>
  </si>
  <si>
    <t>S26-0445</t>
  </si>
  <si>
    <t>Cenk Ozkacar</t>
  </si>
  <si>
    <t>Trabzonspor</t>
  </si>
  <si>
    <t>S26-0446</t>
  </si>
  <si>
    <t>Luca Ravanelli</t>
  </si>
  <si>
    <t>S26-0447</t>
  </si>
  <si>
    <t>Kyliane Dong</t>
  </si>
  <si>
    <t>S26-0449</t>
  </si>
  <si>
    <t>Elvis Rexhbecaj</t>
  </si>
  <si>
    <t>S26-0450</t>
  </si>
  <si>
    <t>Aleksa Damjanovic</t>
  </si>
  <si>
    <t>Red Star Belgrade</t>
  </si>
  <si>
    <t>S26-0451</t>
  </si>
  <si>
    <t>Matej Kovar</t>
  </si>
  <si>
    <t>S26-0452</t>
  </si>
  <si>
    <t>Issa Traoré</t>
  </si>
  <si>
    <t>AS Trencin</t>
  </si>
  <si>
    <t>S26-0453</t>
  </si>
  <si>
    <t>Noël Aséko</t>
  </si>
  <si>
    <t>S26-0454</t>
  </si>
  <si>
    <t>Mergim Vojvoda</t>
  </si>
  <si>
    <t>S26-0455</t>
  </si>
  <si>
    <t>Filip Marchwinski</t>
  </si>
  <si>
    <t>S26-0456</t>
  </si>
  <si>
    <t>Amir Richardson</t>
  </si>
  <si>
    <t>S26-0457</t>
  </si>
  <si>
    <t>Mattia Fortin</t>
  </si>
  <si>
    <t>S26-0458</t>
  </si>
  <si>
    <t>Sebastiano Desplanches</t>
  </si>
  <si>
    <t>S26-0459</t>
  </si>
  <si>
    <t>Tanguy Nianzou</t>
  </si>
  <si>
    <t>S26-0460</t>
  </si>
  <si>
    <t>Patrick Beach</t>
  </si>
  <si>
    <t>Melbourne City</t>
  </si>
  <si>
    <t>S26-0461</t>
  </si>
  <si>
    <t>Mathieu Cafaro</t>
  </si>
  <si>
    <t>S26-0462</t>
  </si>
  <si>
    <t>Juan Cruz</t>
  </si>
  <si>
    <t>Málaga</t>
  </si>
  <si>
    <t>S26-0463</t>
  </si>
  <si>
    <t>Christ Inao Oulaï</t>
  </si>
  <si>
    <t>S26-0465</t>
  </si>
  <si>
    <t>Deniz Ofli</t>
  </si>
  <si>
    <t>S26-0466</t>
  </si>
  <si>
    <t>S26-0467</t>
  </si>
  <si>
    <t>Tariq Lamptey</t>
  </si>
  <si>
    <t>QPR</t>
  </si>
  <si>
    <t>S26-0468</t>
  </si>
  <si>
    <t>Matty Warhurst</t>
  </si>
  <si>
    <t>Northampton</t>
  </si>
  <si>
    <t>S26-0469</t>
  </si>
  <si>
    <t>Lassine Sinayoko</t>
  </si>
  <si>
    <t>S26-0470</t>
  </si>
  <si>
    <t>Alejo Sarco</t>
  </si>
  <si>
    <t>Sporting Gijón</t>
  </si>
  <si>
    <t>S26-0471</t>
  </si>
  <si>
    <t>Yannick Eduardo</t>
  </si>
  <si>
    <t>ADO Den Haag</t>
  </si>
  <si>
    <t>S26-0472</t>
  </si>
  <si>
    <t>Kayne van Oevelen</t>
  </si>
  <si>
    <t>Volendam</t>
  </si>
  <si>
    <t>S26-0473</t>
  </si>
  <si>
    <t>Mirko Elia</t>
  </si>
  <si>
    <t>Bari</t>
  </si>
  <si>
    <t>S26-0474</t>
  </si>
  <si>
    <t>Amine El Ouazzani</t>
  </si>
  <si>
    <t>S26-0475</t>
  </si>
  <si>
    <t>Diego Conde</t>
  </si>
  <si>
    <t>S26-0476</t>
  </si>
  <si>
    <t>Carlo Sickinger</t>
  </si>
  <si>
    <t>S26-0477</t>
  </si>
  <si>
    <t>Théo de Percin</t>
  </si>
  <si>
    <t>Bastia</t>
  </si>
  <si>
    <t>S26-0478</t>
  </si>
  <si>
    <t>Guilherme Fernandes</t>
  </si>
  <si>
    <t>S26-0479</t>
  </si>
  <si>
    <t>Luca Sirch</t>
  </si>
  <si>
    <t>S26-0480</t>
  </si>
  <si>
    <t>Simon Simoni</t>
  </si>
  <si>
    <t>FC Luzern</t>
  </si>
  <si>
    <t>S26-0481</t>
  </si>
  <si>
    <t>Jeremy Agbonifo</t>
  </si>
  <si>
    <t>S26-0482</t>
  </si>
  <si>
    <t>Abdul Fatawu</t>
  </si>
  <si>
    <t>S26-0483</t>
  </si>
  <si>
    <t>Rahim Alhassane</t>
  </si>
  <si>
    <t>S26-0484</t>
  </si>
  <si>
    <t>Alfie McNally</t>
  </si>
  <si>
    <t>S26-0485</t>
  </si>
  <si>
    <t>Hugo Sotelo</t>
  </si>
  <si>
    <t>S26-0486</t>
  </si>
  <si>
    <t>Huesca</t>
  </si>
  <si>
    <t>S26-0487</t>
  </si>
  <si>
    <t>Alessandro Bianco</t>
  </si>
  <si>
    <t>S26-0488</t>
  </si>
  <si>
    <t>Daniel Fila</t>
  </si>
  <si>
    <t>S26-0489</t>
  </si>
  <si>
    <t>Filippo Distefano</t>
  </si>
  <si>
    <t>S26-0490</t>
  </si>
  <si>
    <t>Spike Brits</t>
  </si>
  <si>
    <t>Sutton United</t>
  </si>
  <si>
    <t>S26-0491</t>
  </si>
  <si>
    <t>Emmanuel Mbemba</t>
  </si>
  <si>
    <t>S26-0493</t>
  </si>
  <si>
    <t>Óscar Zambrano</t>
  </si>
  <si>
    <t>Maribor</t>
  </si>
  <si>
    <t>S26-0494</t>
  </si>
  <si>
    <t>Patson Daka</t>
  </si>
  <si>
    <t>S26-0495</t>
  </si>
  <si>
    <t>Malang Sarr</t>
  </si>
  <si>
    <t>Neom SC</t>
  </si>
  <si>
    <t>S26-0496</t>
  </si>
  <si>
    <t>Coba da Costa</t>
  </si>
  <si>
    <t>Al-Kholood</t>
  </si>
  <si>
    <t>S26-0497</t>
  </si>
  <si>
    <t>Angelo Fulgini</t>
  </si>
  <si>
    <t>Al-Khaleej</t>
  </si>
  <si>
    <t>S26-0498</t>
  </si>
  <si>
    <t>Álex Sala</t>
  </si>
  <si>
    <t>S26-0499</t>
  </si>
  <si>
    <t>Will Lankshear</t>
  </si>
  <si>
    <t>S26-0500</t>
  </si>
  <si>
    <t>Issa Diop</t>
  </si>
  <si>
    <t>S26-0501</t>
  </si>
  <si>
    <t>Antonin Barak</t>
  </si>
  <si>
    <t>Apoel Nicosia</t>
  </si>
  <si>
    <t>S26-0502</t>
  </si>
  <si>
    <t>Andrea Oliveri</t>
  </si>
  <si>
    <t>Ascoli</t>
  </si>
  <si>
    <t>S26-0503</t>
  </si>
  <si>
    <t>Luigi Caccavo</t>
  </si>
  <si>
    <t>Lumezzane</t>
  </si>
  <si>
    <t>S26-0504</t>
  </si>
  <si>
    <t>Juve Stabia</t>
  </si>
  <si>
    <t>S26-0505</t>
  </si>
  <si>
    <t>Demi Akarakiri</t>
  </si>
  <si>
    <t>S26-0506</t>
  </si>
  <si>
    <t>Giuseppe Mazzaglia</t>
  </si>
  <si>
    <t>Caratese</t>
  </si>
  <si>
    <t>S26-0507</t>
  </si>
  <si>
    <t>Álex Jiménez</t>
  </si>
  <si>
    <t>S26-0508</t>
  </si>
  <si>
    <t>Lorenzo Amatucci</t>
  </si>
  <si>
    <t>S26-0509</t>
  </si>
  <si>
    <t>Wisdom Amey</t>
  </si>
  <si>
    <t>S26-0510</t>
  </si>
  <si>
    <t>Riccardo Marchizza</t>
  </si>
  <si>
    <t>S26-0511</t>
  </si>
  <si>
    <t>Abdoulie Ndow</t>
  </si>
  <si>
    <t>S26-0512</t>
  </si>
  <si>
    <t>Kevin Cannavò</t>
  </si>
  <si>
    <t>S26-0513</t>
  </si>
  <si>
    <t>Samuele Capolupo</t>
  </si>
  <si>
    <t>S26-0514</t>
  </si>
  <si>
    <t>Giovanni Di Renzo</t>
  </si>
  <si>
    <t>Pineto</t>
  </si>
  <si>
    <t>S26-0515</t>
  </si>
  <si>
    <t>Marco Delle Monache</t>
  </si>
  <si>
    <t>S26-0516</t>
  </si>
  <si>
    <t>Alessandro Selvini</t>
  </si>
  <si>
    <t>S26-0517</t>
  </si>
  <si>
    <t>Lorenzo Gori</t>
  </si>
  <si>
    <t>Grosseto</t>
  </si>
  <si>
    <t>S26-0518</t>
  </si>
  <si>
    <t>S26-0519</t>
  </si>
  <si>
    <t>Filip Bilbija</t>
  </si>
  <si>
    <t>Derby County</t>
  </si>
  <si>
    <t>S26-0520</t>
  </si>
  <si>
    <t>Ibrahim Cissoko</t>
  </si>
  <si>
    <t>PEC Zwolle</t>
  </si>
  <si>
    <t>S26-0521</t>
  </si>
  <si>
    <t>Bernardo Conde</t>
  </si>
  <si>
    <t>AVS</t>
  </si>
  <si>
    <t>S26-0522</t>
  </si>
  <si>
    <t>Matteo Cocchi</t>
  </si>
  <si>
    <t>Padova</t>
  </si>
  <si>
    <t>S26-0523</t>
  </si>
  <si>
    <t>Akor Adams</t>
  </si>
  <si>
    <t>S26-0524</t>
  </si>
  <si>
    <t>Paul Nardi</t>
  </si>
  <si>
    <t>S26-0525</t>
  </si>
  <si>
    <t>Marcelo Vaz</t>
  </si>
  <si>
    <t>Varesina</t>
  </si>
  <si>
    <t>S26-0526</t>
  </si>
  <si>
    <t>Matt Targett</t>
  </si>
  <si>
    <t>S26-0527</t>
  </si>
  <si>
    <t>Mikayil Faye</t>
  </si>
  <si>
    <t>S26-0528</t>
  </si>
  <si>
    <t>Norman Bassette</t>
  </si>
  <si>
    <t>S26-0529</t>
  </si>
  <si>
    <t>S26-0530</t>
  </si>
  <si>
    <t>Ander Astralaga</t>
  </si>
  <si>
    <t>S26-0531</t>
  </si>
  <si>
    <t>Armin Pecsi</t>
  </si>
  <si>
    <t>S26-0532</t>
  </si>
  <si>
    <t>Filippo Rinaldi</t>
  </si>
  <si>
    <t>Catania</t>
  </si>
  <si>
    <t>S26-0533</t>
  </si>
  <si>
    <t>Christos Tzolis</t>
  </si>
  <si>
    <t>S26-0534</t>
  </si>
  <si>
    <t>Xaver Schlager</t>
  </si>
  <si>
    <t>S26-0535</t>
  </si>
  <si>
    <t>S26-0536</t>
  </si>
  <si>
    <t>Harrison Bettoni</t>
  </si>
  <si>
    <t>S26-0537</t>
  </si>
  <si>
    <t>Muhammed Damar</t>
  </si>
  <si>
    <t>S26-0538</t>
  </si>
  <si>
    <t>Paul Okon-Engstler</t>
  </si>
  <si>
    <t>Sydney FC</t>
  </si>
  <si>
    <t>S26-0539</t>
  </si>
  <si>
    <t>Elijah Upson</t>
  </si>
  <si>
    <t>S26-0540</t>
  </si>
  <si>
    <t>Yeimar Mosquera</t>
  </si>
  <si>
    <t>S26-0541</t>
  </si>
  <si>
    <t>Kadan Young</t>
  </si>
  <si>
    <t>Annecy</t>
  </si>
  <si>
    <t>S26-0542</t>
  </si>
  <si>
    <t>Zépiqueno Redmond</t>
  </si>
  <si>
    <t>S26-0543</t>
  </si>
  <si>
    <t>Sam Proctor</t>
  </si>
  <si>
    <t>Shrewsbury Town</t>
  </si>
  <si>
    <t>S26-0545</t>
  </si>
  <si>
    <t>Michael Olakigbe</t>
  </si>
  <si>
    <t>WSG Tirol</t>
  </si>
  <si>
    <t>S26-0546</t>
  </si>
  <si>
    <t>Romain Faivre</t>
  </si>
  <si>
    <t>S26-0547</t>
  </si>
  <si>
    <t>Owen Bevan</t>
  </si>
  <si>
    <t>Dundee</t>
  </si>
  <si>
    <t>S26-0548</t>
  </si>
  <si>
    <t>Jeremy Sarmiento</t>
  </si>
  <si>
    <t>S26-0550</t>
  </si>
  <si>
    <t>Joël Veltman</t>
  </si>
  <si>
    <t>S26-0551</t>
  </si>
  <si>
    <t>Chris Atherton</t>
  </si>
  <si>
    <t>S26-0552</t>
  </si>
  <si>
    <t>Callum Perry</t>
  </si>
  <si>
    <t>S26-0553</t>
  </si>
  <si>
    <t>Isaac Moore</t>
  </si>
  <si>
    <t>Walsall</t>
  </si>
  <si>
    <t>S26-0554</t>
  </si>
  <si>
    <t>Kevin Bruno</t>
  </si>
  <si>
    <t>Vado</t>
  </si>
  <si>
    <t>S26-0555</t>
  </si>
  <si>
    <t>Sota Nakamura</t>
  </si>
  <si>
    <t>Sanfrecce Hiroshima</t>
  </si>
  <si>
    <t>S26-0556</t>
  </si>
  <si>
    <t>Aladji Bamba</t>
  </si>
  <si>
    <t>S26-0557</t>
  </si>
  <si>
    <t>Antoniu Roca</t>
  </si>
  <si>
    <t>S26-0558</t>
  </si>
  <si>
    <t>Ricardo Mangas</t>
  </si>
  <si>
    <t>S26-0559</t>
  </si>
  <si>
    <t>Iker Bravo</t>
  </si>
  <si>
    <t>S26-0560</t>
  </si>
  <si>
    <t>Idrissa Gueye</t>
  </si>
  <si>
    <t>Al-Diriyah</t>
  </si>
  <si>
    <t>S26-0561</t>
  </si>
  <si>
    <t>S26-0562</t>
  </si>
  <si>
    <t>Maximilian Ibrahimovic</t>
  </si>
  <si>
    <t>AZ Alkmaar</t>
  </si>
  <si>
    <t>S26-0563</t>
  </si>
  <si>
    <t>Alessio Zerbin</t>
  </si>
  <si>
    <t>S26-0564</t>
  </si>
  <si>
    <t>Fabio Desole</t>
  </si>
  <si>
    <t>Carpi</t>
  </si>
  <si>
    <t>S26-0565</t>
  </si>
  <si>
    <t>Mika Wallentowitz</t>
  </si>
  <si>
    <t>S26-0566</t>
  </si>
  <si>
    <t>Hidemasa Morita</t>
  </si>
  <si>
    <t>S26-0567</t>
  </si>
  <si>
    <t>Luca Kjerrumgaard</t>
  </si>
  <si>
    <t>S26-0568</t>
  </si>
  <si>
    <t>Luis Hasa</t>
  </si>
  <si>
    <t>S26-0569</t>
  </si>
  <si>
    <t>Alessio Vacca</t>
  </si>
  <si>
    <t>S26-0570</t>
  </si>
  <si>
    <t>Amara Nallo</t>
  </si>
  <si>
    <t>HJK Helsinki</t>
  </si>
  <si>
    <t>S26-0571</t>
  </si>
  <si>
    <t>Yeray Cabanzón</t>
  </si>
  <si>
    <t>S26-0572</t>
  </si>
  <si>
    <t>Alessandro Milani</t>
  </si>
  <si>
    <t>S26-0573</t>
  </si>
  <si>
    <t>Jacopo Grossi</t>
  </si>
  <si>
    <t>S26-0574</t>
  </si>
  <si>
    <t>Lee Kang-in</t>
  </si>
  <si>
    <t>S26-0575</t>
  </si>
  <si>
    <t>Daizen Maeda</t>
  </si>
  <si>
    <t>S26-0576</t>
  </si>
  <si>
    <t>Bilal Nadir</t>
  </si>
  <si>
    <t>S26-0577</t>
  </si>
  <si>
    <t>S26-0578</t>
  </si>
  <si>
    <t>Carlos Fernández</t>
  </si>
  <si>
    <t>S26-0579</t>
  </si>
  <si>
    <t>Maximilian Wöber</t>
  </si>
  <si>
    <t>S26-0580</t>
  </si>
  <si>
    <t>Lorenzo Riccio</t>
  </si>
  <si>
    <t>Dordrecht</t>
  </si>
  <si>
    <t>S26-0581</t>
  </si>
  <si>
    <t>Luca Erlein</t>
  </si>
  <si>
    <t>S26-0582</t>
  </si>
  <si>
    <t>Arnau Tenas</t>
  </si>
  <si>
    <t>S26-0583</t>
  </si>
  <si>
    <t>Jackson Izquierdo</t>
  </si>
  <si>
    <t>S26-0584</t>
  </si>
  <si>
    <t>Matthew Cox</t>
  </si>
  <si>
    <t>S26-0585</t>
  </si>
  <si>
    <t>Conor Townsend</t>
  </si>
  <si>
    <t>S26-0586</t>
  </si>
  <si>
    <t>Owen Goodman</t>
  </si>
  <si>
    <t>S26-0587</t>
  </si>
  <si>
    <t>Borna Knezovic</t>
  </si>
  <si>
    <t>Casarano</t>
  </si>
  <si>
    <t>S26-0588</t>
  </si>
  <si>
    <t>Nobel Mendy</t>
  </si>
  <si>
    <t>S26-0589</t>
  </si>
  <si>
    <t>Justin de Haas</t>
  </si>
  <si>
    <t>Famalicão</t>
  </si>
  <si>
    <t>S26-0590</t>
  </si>
  <si>
    <t>Franco Cervi</t>
  </si>
  <si>
    <t>Rosario Central</t>
  </si>
  <si>
    <t>S26-0591</t>
  </si>
  <si>
    <t>Egoitz Muñoz</t>
  </si>
  <si>
    <t>S26-0592</t>
  </si>
  <si>
    <t>Jon García</t>
  </si>
  <si>
    <t>Cultural Leonesa</t>
  </si>
  <si>
    <t>S26-0593</t>
  </si>
  <si>
    <t>Víctor Fernández</t>
  </si>
  <si>
    <t>S26-0594</t>
  </si>
  <si>
    <t>Javi Pamies</t>
  </si>
  <si>
    <t>Orihuela</t>
  </si>
  <si>
    <t>S26-0595</t>
  </si>
  <si>
    <t>Wesley Saïd</t>
  </si>
  <si>
    <t>Al-Shamal</t>
  </si>
  <si>
    <t>S26-0596</t>
  </si>
  <si>
    <t>Kazunari Kita</t>
  </si>
  <si>
    <t>Kyoto Sanga</t>
  </si>
  <si>
    <t>S26-0598</t>
  </si>
  <si>
    <t>Jano Monserrate</t>
  </si>
  <si>
    <t>S26-0599</t>
  </si>
  <si>
    <t>José Gragera</t>
  </si>
  <si>
    <t>Burgos</t>
  </si>
  <si>
    <t>S26-0600</t>
  </si>
  <si>
    <t>Jack Harrison</t>
  </si>
  <si>
    <t>New England Revolution</t>
  </si>
  <si>
    <t>S26-0601</t>
  </si>
  <si>
    <t>Jusuf Gazibegovic</t>
  </si>
  <si>
    <t>S26-0602</t>
  </si>
  <si>
    <t>José Salinas</t>
  </si>
  <si>
    <t>S26-0603</t>
  </si>
  <si>
    <t>Gift Orban</t>
  </si>
  <si>
    <t>Amedspor</t>
  </si>
  <si>
    <t>S26-0604</t>
  </si>
  <si>
    <t>Gustavo Varela</t>
  </si>
  <si>
    <t>S26-0605</t>
  </si>
  <si>
    <t>Lanroy Machine</t>
  </si>
  <si>
    <t>Heerenveen</t>
  </si>
  <si>
    <t>S26-0606</t>
  </si>
  <si>
    <t>S26-0607</t>
  </si>
  <si>
    <t>Jonathan Dubasin</t>
  </si>
  <si>
    <t>S26-0608</t>
  </si>
  <si>
    <t>Tommaso Vannucchi</t>
  </si>
  <si>
    <t>Arzignano</t>
  </si>
  <si>
    <t>S26-0609</t>
  </si>
  <si>
    <t>Miguel Rodríguez</t>
  </si>
  <si>
    <t>FC Utrecht</t>
  </si>
  <si>
    <t>S26-0610</t>
  </si>
  <si>
    <t>Kjell Scherpen</t>
  </si>
  <si>
    <t>Union St-Gilloise</t>
  </si>
  <si>
    <t>S26-0611</t>
  </si>
  <si>
    <t>S26-0612</t>
  </si>
  <si>
    <t>Joe Gauci</t>
  </si>
  <si>
    <t>Lincoln City</t>
  </si>
  <si>
    <t>S26-0613</t>
  </si>
  <si>
    <t>Fynn Schenten</t>
  </si>
  <si>
    <t>Roda JC</t>
  </si>
  <si>
    <t>S26-0614</t>
  </si>
  <si>
    <t>Ugo Raghouber</t>
  </si>
  <si>
    <t>S26-0615</t>
  </si>
  <si>
    <t>Óscar Perea</t>
  </si>
  <si>
    <t>Club América</t>
  </si>
  <si>
    <t>S26-0616</t>
  </si>
  <si>
    <t>Loïs Openda</t>
  </si>
  <si>
    <t>S26-0617</t>
  </si>
  <si>
    <t>Adrian Benedyczak</t>
  </si>
  <si>
    <t>Kasimpasa</t>
  </si>
  <si>
    <t>S26-0618</t>
  </si>
  <si>
    <t>Lorenzo Villa</t>
  </si>
  <si>
    <t>S26-0619</t>
  </si>
  <si>
    <t>Rares Ilie</t>
  </si>
  <si>
    <t>S26-0620</t>
  </si>
  <si>
    <t>Harvey Cartwright</t>
  </si>
  <si>
    <t>Grimsby Town</t>
  </si>
  <si>
    <t>S26-0621</t>
  </si>
  <si>
    <t>Julio Díaz</t>
  </si>
  <si>
    <t>S26-0622</t>
  </si>
  <si>
    <t>Rémy Labeau-Lascary</t>
  </si>
  <si>
    <t>S26-0623</t>
  </si>
  <si>
    <t>Hugo Solozábal</t>
  </si>
  <si>
    <t>S26-0624</t>
  </si>
  <si>
    <t>Darling Bladi</t>
  </si>
  <si>
    <t>S26-0625</t>
  </si>
  <si>
    <t>Ander Yoldi</t>
  </si>
  <si>
    <t>Ibiza</t>
  </si>
  <si>
    <t>S26-0626</t>
  </si>
  <si>
    <t>Jon de Luis</t>
  </si>
  <si>
    <t>Kifisia</t>
  </si>
  <si>
    <t>S26-0627</t>
  </si>
  <si>
    <t>Jokin Ezkieta</t>
  </si>
  <si>
    <t>S26-0628</t>
  </si>
  <si>
    <t>Damián Cáceres</t>
  </si>
  <si>
    <t>S26-0629</t>
  </si>
  <si>
    <t>Javi Castro</t>
  </si>
  <si>
    <t>S26-0630</t>
  </si>
  <si>
    <t>Jean Ives Valou</t>
  </si>
  <si>
    <t>S26-0631</t>
  </si>
  <si>
    <t>Aliou Dieng</t>
  </si>
  <si>
    <t>Al-Ahly</t>
  </si>
  <si>
    <t>Fee amount not stated</t>
  </si>
  <si>
    <t>S26-0632</t>
  </si>
  <si>
    <t>Ibon Sánchez</t>
  </si>
  <si>
    <t>S26-0633</t>
  </si>
  <si>
    <t>Eder García</t>
  </si>
  <si>
    <t>S26-0634</t>
  </si>
  <si>
    <t>Aimar Duñabeitia</t>
  </si>
  <si>
    <t>S26-0635</t>
  </si>
  <si>
    <t>Unai Ropero</t>
  </si>
  <si>
    <t>Racing Ferrol</t>
  </si>
  <si>
    <t>S26-0636</t>
  </si>
  <si>
    <t>Hamza Bellari</t>
  </si>
  <si>
    <t>S26-0637</t>
  </si>
  <si>
    <t>Dimitrios Stamatakis</t>
  </si>
  <si>
    <t>S26-0638</t>
  </si>
  <si>
    <t>Cheick Condé</t>
  </si>
  <si>
    <t>Beveren</t>
  </si>
  <si>
    <t>S26-0639</t>
  </si>
  <si>
    <t>Sankhoun Diawara</t>
  </si>
  <si>
    <t>S26-0640</t>
  </si>
  <si>
    <t>Ekain Díaz</t>
  </si>
  <si>
    <t>Amorebieta</t>
  </si>
  <si>
    <t>S26-0641</t>
  </si>
  <si>
    <t>Luca Koleosho</t>
  </si>
  <si>
    <t>S26-0643</t>
  </si>
  <si>
    <t>Germán García</t>
  </si>
  <si>
    <t>Cacereño</t>
  </si>
  <si>
    <t>S26-0644</t>
  </si>
  <si>
    <t>Aitor Gismera</t>
  </si>
  <si>
    <t>Hércules</t>
  </si>
  <si>
    <t>S26-0645</t>
  </si>
  <si>
    <t>José Luis Català</t>
  </si>
  <si>
    <t>Sabadell</t>
  </si>
  <si>
    <t>S26-0646</t>
  </si>
  <si>
    <t>Dani Requena</t>
  </si>
  <si>
    <t>S26-0647</t>
  </si>
  <si>
    <t>Daouda Doumbia</t>
  </si>
  <si>
    <t>S26-0648</t>
  </si>
  <si>
    <t>Ginés Sorroche</t>
  </si>
  <si>
    <t>S26-0649</t>
  </si>
  <si>
    <t>Carlos Dotor</t>
  </si>
  <si>
    <t>S26-0650</t>
  </si>
  <si>
    <t>Manu Sánchez</t>
  </si>
  <si>
    <t>S26-0651</t>
  </si>
  <si>
    <t>Endika Buján</t>
  </si>
  <si>
    <t>S26-0652</t>
  </si>
  <si>
    <t>Pablo Rivera</t>
  </si>
  <si>
    <t>Alcorcón</t>
  </si>
  <si>
    <t>S26-0653</t>
  </si>
  <si>
    <t>Carlos Lumbreras</t>
  </si>
  <si>
    <t>Eibar</t>
  </si>
  <si>
    <t>S26-0654</t>
  </si>
  <si>
    <t>Lucas Núñez</t>
  </si>
  <si>
    <t>S26-0655</t>
  </si>
  <si>
    <t>Alejandro Mestanza</t>
  </si>
  <si>
    <t>Académico Viseu</t>
  </si>
  <si>
    <t>S26-0656</t>
  </si>
  <si>
    <t>Gil Juanpe</t>
  </si>
  <si>
    <t>Móstoles</t>
  </si>
  <si>
    <t>S26-0657</t>
  </si>
  <si>
    <t>Diego Morcillo</t>
  </si>
  <si>
    <t>Real Jaén</t>
  </si>
  <si>
    <t>S26-0658</t>
  </si>
  <si>
    <t>Joel Ndala</t>
  </si>
  <si>
    <t>S26-0659</t>
  </si>
  <si>
    <t>Bema Sina</t>
  </si>
  <si>
    <t>Rayo Majadahonda</t>
  </si>
  <si>
    <t>S26-0660</t>
  </si>
  <si>
    <t>Martín Pedroarena</t>
  </si>
  <si>
    <t>Arenas Getxo</t>
  </si>
  <si>
    <t>S26-0661</t>
  </si>
  <si>
    <t>Samuel Calera</t>
  </si>
  <si>
    <t>Barakaldo</t>
  </si>
  <si>
    <t>S26-0662</t>
  </si>
  <si>
    <t>Luis Balbo</t>
  </si>
  <si>
    <t>S26-0663</t>
  </si>
  <si>
    <t>Stefan Ortega</t>
  </si>
  <si>
    <t>S26-0664</t>
  </si>
  <si>
    <t>Leo Sauer</t>
  </si>
  <si>
    <t>S26-0665</t>
  </si>
  <si>
    <t>Damián Pizarro</t>
  </si>
  <si>
    <t>Audax Italiano</t>
  </si>
  <si>
    <t>S26-0666</t>
  </si>
  <si>
    <t>Junior Mwanga</t>
  </si>
  <si>
    <t>S26-0667</t>
  </si>
  <si>
    <t>Pietro Comuzzo</t>
  </si>
  <si>
    <t>S26-0668</t>
  </si>
  <si>
    <t>Eray Cömert</t>
  </si>
  <si>
    <t>S26-0669</t>
  </si>
  <si>
    <t>Mikel Amondarain</t>
  </si>
  <si>
    <t>Estudiantes</t>
  </si>
  <si>
    <t>S26-0670</t>
  </si>
  <si>
    <t>Gennaro Anatriello</t>
  </si>
  <si>
    <t>S26-0671</t>
  </si>
  <si>
    <t>Riccardo Pagano</t>
  </si>
  <si>
    <t>S26-0672</t>
  </si>
  <si>
    <t>Maxence Lacroix</t>
  </si>
  <si>
    <t>S26-0673</t>
  </si>
  <si>
    <t>S26-0674</t>
  </si>
  <si>
    <t>Danny Imray</t>
  </si>
  <si>
    <t>Wrexham</t>
  </si>
  <si>
    <t>S26-0675</t>
  </si>
  <si>
    <t>Tyler Fredricson</t>
  </si>
  <si>
    <t>Lausanne</t>
  </si>
  <si>
    <t>S26-0676</t>
  </si>
  <si>
    <t>Daiki Hashioka</t>
  </si>
  <si>
    <t>Slavia Prague</t>
  </si>
  <si>
    <t>S26-0677</t>
  </si>
  <si>
    <t>Rayan Bamba</t>
  </si>
  <si>
    <t>S26-0678</t>
  </si>
  <si>
    <t>Matthis Abline</t>
  </si>
  <si>
    <t>S26-0679</t>
  </si>
  <si>
    <t>Gustavo Sá</t>
  </si>
  <si>
    <t>S26-0680</t>
  </si>
  <si>
    <t>Joan Tincres</t>
  </si>
  <si>
    <t>S26-0681</t>
  </si>
  <si>
    <t>Alessandro Dellavalle</t>
  </si>
  <si>
    <t>S26-0682</t>
  </si>
  <si>
    <t>Rares Burnete</t>
  </si>
  <si>
    <t>S26-0683</t>
  </si>
  <si>
    <t>Artem Dovbyk</t>
  </si>
  <si>
    <t>Blank quote does not mean zero loan fee; See Fee_Components</t>
  </si>
  <si>
    <t>S26-0684</t>
  </si>
  <si>
    <t>Carlos Espí</t>
  </si>
  <si>
    <t>S26-0685</t>
  </si>
  <si>
    <t>Mathys Tourraine</t>
  </si>
  <si>
    <t>Pau</t>
  </si>
  <si>
    <t>S26-0686</t>
  </si>
  <si>
    <t>Lucas Michal</t>
  </si>
  <si>
    <t>S26-0687</t>
  </si>
  <si>
    <t>Matías Moreno</t>
  </si>
  <si>
    <t>S26-0688</t>
  </si>
  <si>
    <t>Saba Sazonov</t>
  </si>
  <si>
    <t>S26-0689</t>
  </si>
  <si>
    <t>Kieron Bowie</t>
  </si>
  <si>
    <t>S26-0690</t>
  </si>
  <si>
    <t>Ollie Harrison</t>
  </si>
  <si>
    <t>Wimbledon</t>
  </si>
  <si>
    <t>S26-0691</t>
  </si>
  <si>
    <t>Josh Maja</t>
  </si>
  <si>
    <t>S26-0692</t>
  </si>
  <si>
    <t>Martín Payero</t>
  </si>
  <si>
    <t>S26-0693</t>
  </si>
  <si>
    <t>Mason Burstow</t>
  </si>
  <si>
    <t>S26-0694</t>
  </si>
  <si>
    <t>Federico Ravaglia</t>
  </si>
  <si>
    <t>S26-0695</t>
  </si>
  <si>
    <t>Mateusz Wieteska</t>
  </si>
  <si>
    <t>Wieczysta</t>
  </si>
  <si>
    <t>S26-0696</t>
  </si>
  <si>
    <t>Kian Fitz-Jim</t>
  </si>
  <si>
    <t>S26-0697</t>
  </si>
  <si>
    <t>Ousmane Diallo</t>
  </si>
  <si>
    <t>S26-0698</t>
  </si>
  <si>
    <t>Mattia Viti</t>
  </si>
  <si>
    <t>S26-0699</t>
  </si>
  <si>
    <t>Julian Brandt</t>
  </si>
  <si>
    <t>S26-0700</t>
  </si>
  <si>
    <t>Samuele Mulattieri</t>
  </si>
  <si>
    <t>S26-0701</t>
  </si>
  <si>
    <t>Mario Mitaj</t>
  </si>
  <si>
    <t>S26-0702</t>
  </si>
  <si>
    <t>Emanuele Rao</t>
  </si>
  <si>
    <t>Pisa</t>
  </si>
  <si>
    <t>S26-0703</t>
  </si>
  <si>
    <t>António Silva</t>
  </si>
  <si>
    <t>S26-0704</t>
  </si>
  <si>
    <t>Sam Szmodics</t>
  </si>
  <si>
    <t>S26-0705</t>
  </si>
  <si>
    <t>Damían Rodríguez</t>
  </si>
  <si>
    <t>S26-0706</t>
  </si>
  <si>
    <t>Hervé Koffi</t>
  </si>
  <si>
    <t>S26-0707</t>
  </si>
  <si>
    <t>Kevin Akpoguma</t>
  </si>
  <si>
    <t>S26-0708</t>
  </si>
  <si>
    <t>Ebenezer Akinsanmiro</t>
  </si>
  <si>
    <t>S26-0709</t>
  </si>
  <si>
    <t>Danny Welbeck</t>
  </si>
  <si>
    <t>S26-0710</t>
  </si>
  <si>
    <t>Mamadou Sangaré</t>
  </si>
  <si>
    <t>S26-0711</t>
  </si>
  <si>
    <t>Nathan Tinsdale</t>
  </si>
  <si>
    <t>S26-0712</t>
  </si>
  <si>
    <t>Tommy Watson</t>
  </si>
  <si>
    <t>S26-0713</t>
  </si>
  <si>
    <t>Konstantinos Koulierakis</t>
  </si>
  <si>
    <t>S26-0714</t>
  </si>
  <si>
    <t>Mikel Vesga</t>
  </si>
  <si>
    <t>Almería</t>
  </si>
  <si>
    <t>S26-0715</t>
  </si>
  <si>
    <t>Nordan Mukiele</t>
  </si>
  <si>
    <t>Montpellier</t>
  </si>
  <si>
    <t>S26-0716</t>
  </si>
  <si>
    <t>Jordan Zemura</t>
  </si>
  <si>
    <t>S26-0717</t>
  </si>
  <si>
    <t>Raphael Onyedika</t>
  </si>
  <si>
    <t>S26-0718</t>
  </si>
  <si>
    <t>Simon Sohm</t>
  </si>
  <si>
    <t>S26-0719</t>
  </si>
  <si>
    <t>Velizar-Iliya Iliev</t>
  </si>
  <si>
    <t>Cosenza</t>
  </si>
  <si>
    <t>S26-0720</t>
  </si>
  <si>
    <t>Willem Geubbels</t>
  </si>
  <si>
    <t>S26-0721</t>
  </si>
  <si>
    <t>S26-0722</t>
  </si>
  <si>
    <t>Emmanuel Latte Lath</t>
  </si>
  <si>
    <t>Atlanta United</t>
  </si>
  <si>
    <t>S26-0723</t>
  </si>
  <si>
    <t>Valentín Barco</t>
  </si>
  <si>
    <t>S26-0724</t>
  </si>
  <si>
    <t>S26-0725</t>
  </si>
  <si>
    <t>Adam Daghim</t>
  </si>
  <si>
    <t>S26-0726</t>
  </si>
  <si>
    <t>Souleymane Faye</t>
  </si>
  <si>
    <t>S26-0727</t>
  </si>
  <si>
    <t>Fran González</t>
  </si>
  <si>
    <t>S26-0728</t>
  </si>
  <si>
    <t>Lukas Hornicek</t>
  </si>
  <si>
    <t>S26-0729</t>
  </si>
  <si>
    <t>Konstantinos Karetsas</t>
  </si>
  <si>
    <t>Genk</t>
  </si>
  <si>
    <t>S26-0730</t>
  </si>
  <si>
    <t>Felix Bacher</t>
  </si>
  <si>
    <t>Estoril</t>
  </si>
  <si>
    <t>S26-0731</t>
  </si>
  <si>
    <t>Redouane Halhal</t>
  </si>
  <si>
    <t>Mechelen</t>
  </si>
  <si>
    <t>S26-0732</t>
  </si>
  <si>
    <t>Luca Montenegro</t>
  </si>
  <si>
    <t>Dolomiti</t>
  </si>
  <si>
    <t>S26-0733</t>
  </si>
  <si>
    <t>Dominic Vavassori</t>
  </si>
  <si>
    <t>S26-0734</t>
  </si>
  <si>
    <t>Abdoulaye Faye</t>
  </si>
  <si>
    <t>S26-0735</t>
  </si>
  <si>
    <t>Glen Kamara</t>
  </si>
  <si>
    <t>S26-0736</t>
  </si>
  <si>
    <t>Jordan Henderson</t>
  </si>
  <si>
    <t>S26-0737</t>
  </si>
  <si>
    <t>Vasilije Adzic</t>
  </si>
  <si>
    <t>Reported loan fee</t>
  </si>
  <si>
    <t>Loan fee</t>
  </si>
  <si>
    <t>S26-0738</t>
  </si>
  <si>
    <t>Peter Gulacsi</t>
  </si>
  <si>
    <t>S26-0739</t>
  </si>
  <si>
    <t>João Mário</t>
  </si>
  <si>
    <t>S26-0740</t>
  </si>
  <si>
    <t>Yacine Titraoui</t>
  </si>
  <si>
    <t>Charleroi</t>
  </si>
  <si>
    <t>S26-0741</t>
  </si>
  <si>
    <t>Gonzalo García</t>
  </si>
  <si>
    <t>S26-0742</t>
  </si>
  <si>
    <t>Carl Rushworth</t>
  </si>
  <si>
    <t>S26-0743</t>
  </si>
  <si>
    <t>César Palacios</t>
  </si>
  <si>
    <t>S26-0744</t>
  </si>
  <si>
    <t>Marc-André ter Stegen</t>
  </si>
  <si>
    <t>S26-0745</t>
  </si>
  <si>
    <t>Ørjan Nyland</t>
  </si>
  <si>
    <t>S26-0746</t>
  </si>
  <si>
    <t>Charlie Cresswell</t>
  </si>
  <si>
    <t>S26-0747</t>
  </si>
  <si>
    <t>Gio Reyna</t>
  </si>
  <si>
    <t>S26-0748</t>
  </si>
  <si>
    <t>Ahmed Abdullahi</t>
  </si>
  <si>
    <t>S26-0749</t>
  </si>
  <si>
    <t>Leonardo Cerri</t>
  </si>
  <si>
    <t>S26-0750</t>
  </si>
  <si>
    <t>Tom Louchet</t>
  </si>
  <si>
    <t>S26-0751</t>
  </si>
  <si>
    <t>Florentino Luís</t>
  </si>
  <si>
    <t>S26-0752</t>
  </si>
  <si>
    <t>Rafa Mir</t>
  </si>
  <si>
    <t>Aris Saloniki</t>
  </si>
  <si>
    <t>S26-0753</t>
  </si>
  <si>
    <t>Victor Valdepeñas</t>
  </si>
  <si>
    <t>S26-0754</t>
  </si>
  <si>
    <t>Khalil Ayari</t>
  </si>
  <si>
    <t>S26-0755</t>
  </si>
  <si>
    <t>Pedro Felipe</t>
  </si>
  <si>
    <t>S26-0756</t>
  </si>
  <si>
    <t>Darlin Yongwa</t>
  </si>
  <si>
    <t>Norwich City</t>
  </si>
  <si>
    <t>S26-0757</t>
  </si>
  <si>
    <t>Alimami Gory</t>
  </si>
  <si>
    <t>Abha Club</t>
  </si>
  <si>
    <t>S26-0758</t>
  </si>
  <si>
    <t>Alessandro Debenedetti</t>
  </si>
  <si>
    <t>S26-0759</t>
  </si>
  <si>
    <t>Gauthier Hein</t>
  </si>
  <si>
    <t>Metz</t>
  </si>
  <si>
    <t>S26-0760</t>
  </si>
  <si>
    <t>Vlad Silva</t>
  </si>
  <si>
    <t>Paços de Ferreira</t>
  </si>
  <si>
    <t>S26-0761</t>
  </si>
  <si>
    <t>Mohamed Salah</t>
  </si>
  <si>
    <t>S26-0762</t>
  </si>
  <si>
    <t>Yassir Zabiri</t>
  </si>
  <si>
    <t>S26-0763</t>
  </si>
  <si>
    <t>Pablo Ramón</t>
  </si>
  <si>
    <t>S26-0764</t>
  </si>
  <si>
    <t>Unai Elgezabal</t>
  </si>
  <si>
    <t>S26-0765</t>
  </si>
  <si>
    <t>Konstantinos Tzolakis</t>
  </si>
  <si>
    <t>S26-0766</t>
  </si>
  <si>
    <t>Miguel Gutiérrez</t>
  </si>
  <si>
    <t>S26-0767</t>
  </si>
  <si>
    <t>Joseph Nonge</t>
  </si>
  <si>
    <t>Kocaelispor</t>
  </si>
  <si>
    <t>S26-0768</t>
  </si>
  <si>
    <t>Kevin Leone</t>
  </si>
  <si>
    <t>S26-0769</t>
  </si>
  <si>
    <t>Reece Welch</t>
  </si>
  <si>
    <t>Bradford City</t>
  </si>
  <si>
    <t>S26-0770</t>
  </si>
  <si>
    <t>David Ankeye</t>
  </si>
  <si>
    <t>Zeleznicar Pancevo</t>
  </si>
  <si>
    <t>S26-0771</t>
  </si>
  <si>
    <t>Ruslan Malinovskyi</t>
  </si>
  <si>
    <t>S26-0772</t>
  </si>
  <si>
    <t>Hugo Cuenca</t>
  </si>
  <si>
    <t>S26-0773</t>
  </si>
  <si>
    <t>Gianluca Rossi</t>
  </si>
  <si>
    <t>Treviso</t>
  </si>
  <si>
    <t>S26-0774</t>
  </si>
  <si>
    <t>Gabriele Pessolani</t>
  </si>
  <si>
    <t>Crema</t>
  </si>
  <si>
    <t>S26-0775</t>
  </si>
  <si>
    <t>Tommaso Pittino</t>
  </si>
  <si>
    <t>Livorno</t>
  </si>
  <si>
    <t>S26-0776</t>
  </si>
  <si>
    <t>Lorenzo Gagliardi</t>
  </si>
  <si>
    <t>Altamura</t>
  </si>
  <si>
    <t>S26-0777</t>
  </si>
  <si>
    <t>Simone Calvani</t>
  </si>
  <si>
    <t>S26-0778</t>
  </si>
  <si>
    <t>Edoardo Meconi</t>
  </si>
  <si>
    <t>S26-0780</t>
  </si>
  <si>
    <t>Charlie Crew</t>
  </si>
  <si>
    <t>S26-0781</t>
  </si>
  <si>
    <t>Thimothée Lo-Tutala</t>
  </si>
  <si>
    <t>Colchester</t>
  </si>
  <si>
    <t>S26-0782</t>
  </si>
  <si>
    <t>Archie Harris</t>
  </si>
  <si>
    <t>S26-0783</t>
  </si>
  <si>
    <t>Wes Burns</t>
  </si>
  <si>
    <t>S26-0784</t>
  </si>
  <si>
    <t>Juanlu Sánchez</t>
  </si>
  <si>
    <t>S26-0785</t>
  </si>
  <si>
    <t>Christian Nørgaard</t>
  </si>
  <si>
    <t>S26-0786</t>
  </si>
  <si>
    <t>James Trafford</t>
  </si>
  <si>
    <t>S26-0787</t>
  </si>
  <si>
    <t>Cristian Orozco</t>
  </si>
  <si>
    <t>Fortaleza CEIF</t>
  </si>
  <si>
    <t>S26-0788</t>
  </si>
  <si>
    <t>Andrea Ceresoli</t>
  </si>
  <si>
    <t>S26-0789</t>
  </si>
  <si>
    <t>Yan Couto</t>
  </si>
  <si>
    <t>S26-0790</t>
  </si>
  <si>
    <t>Kevin Fustini</t>
  </si>
  <si>
    <t>S26-0791</t>
  </si>
  <si>
    <t>Djibril Sow</t>
  </si>
  <si>
    <t>S26-0792</t>
  </si>
  <si>
    <t>Christian Früchtl</t>
  </si>
  <si>
    <t>S26-0793</t>
  </si>
  <si>
    <t>Giacomo Satalino</t>
  </si>
  <si>
    <t>Free agent</t>
  </si>
  <si>
    <t>S26-0794</t>
  </si>
  <si>
    <t>Dimitris Giannoulis</t>
  </si>
  <si>
    <t>S26-0795</t>
  </si>
  <si>
    <t>Georg Ermolaev</t>
  </si>
  <si>
    <t>Alemannia Aachen</t>
  </si>
  <si>
    <t>S26-0796</t>
  </si>
  <si>
    <t>Jesse Bisiwu</t>
  </si>
  <si>
    <t>S26-0797</t>
  </si>
  <si>
    <t>Unai Núñez</t>
  </si>
  <si>
    <t>S26-0798</t>
  </si>
  <si>
    <t>Angeliño</t>
  </si>
  <si>
    <t>S26-0799</t>
  </si>
  <si>
    <t>Javi Morcillo</t>
  </si>
  <si>
    <t>S26-0800</t>
  </si>
  <si>
    <t>Altay Bayindir</t>
  </si>
  <si>
    <t>S26-0801</t>
  </si>
  <si>
    <t>Tyler Onyango</t>
  </si>
  <si>
    <t>S26-0802</t>
  </si>
  <si>
    <t>Alfie Merritt</t>
  </si>
  <si>
    <t>Newport County</t>
  </si>
  <si>
    <t>S26-0803</t>
  </si>
  <si>
    <t>El Bilal Touré</t>
  </si>
  <si>
    <t>S26-0804</t>
  </si>
  <si>
    <t>Franco Mastantuono</t>
  </si>
  <si>
    <t>S26-0805</t>
  </si>
  <si>
    <t>Takehiro Tomiyasu</t>
  </si>
  <si>
    <t>S26-0806</t>
  </si>
  <si>
    <t>Sonny Aljofree</t>
  </si>
  <si>
    <t>Rotherham</t>
  </si>
  <si>
    <t>S26-0807</t>
  </si>
  <si>
    <t>Junior Dina Ebimbe</t>
  </si>
  <si>
    <t>S26-0808</t>
  </si>
  <si>
    <t>Gil Neves</t>
  </si>
  <si>
    <t>S26-0809</t>
  </si>
  <si>
    <t>Orel Mangala</t>
  </si>
  <si>
    <t>S26-0810</t>
  </si>
  <si>
    <t>Saïdou Sow</t>
  </si>
  <si>
    <t>S26-0811</t>
  </si>
  <si>
    <t>Jens Hjertø-Dahl</t>
  </si>
  <si>
    <t>Tromsø</t>
  </si>
  <si>
    <t>S26-0812</t>
  </si>
  <si>
    <t>Gabriele Conti</t>
  </si>
  <si>
    <t>Perugia</t>
  </si>
  <si>
    <t>S26-0813</t>
  </si>
  <si>
    <t>Dimitar Papazov</t>
  </si>
  <si>
    <t>S26-0815</t>
  </si>
  <si>
    <t>Davide Veroli</t>
  </si>
  <si>
    <t>S26-0816</t>
  </si>
  <si>
    <t>Coli Saco</t>
  </si>
  <si>
    <t>Riga FC</t>
  </si>
  <si>
    <t>S26-0817</t>
  </si>
  <si>
    <t>Abdelhamid Sabiri</t>
  </si>
  <si>
    <t>S26-0818</t>
  </si>
  <si>
    <t>Odysseas Vlachodimos</t>
  </si>
  <si>
    <t>S26-0819</t>
  </si>
  <si>
    <t>Tynan Thompson</t>
  </si>
  <si>
    <t>S26-0820</t>
  </si>
  <si>
    <t>S26-0821</t>
  </si>
  <si>
    <t>S26-0822</t>
  </si>
  <si>
    <t>Cole Ramsey</t>
  </si>
  <si>
    <t>S26-0823</t>
  </si>
  <si>
    <t>Luca Gunter</t>
  </si>
  <si>
    <t>Boreham Wood</t>
  </si>
  <si>
    <t>S26-0825</t>
  </si>
  <si>
    <t>Travis Hernes</t>
  </si>
  <si>
    <t>Groningen</t>
  </si>
  <si>
    <t>S26-0826</t>
  </si>
  <si>
    <t>Aidon Shehu</t>
  </si>
  <si>
    <t>S26-0827</t>
  </si>
  <si>
    <t>Ben Robinson</t>
  </si>
  <si>
    <t>S26-0828</t>
  </si>
  <si>
    <t>Caleb Yirenkyi</t>
  </si>
  <si>
    <t>Nordsjælland</t>
  </si>
  <si>
    <t>S26-0829</t>
  </si>
  <si>
    <t>Reiss Russell-Denny</t>
  </si>
  <si>
    <t>Bristol Rovers</t>
  </si>
  <si>
    <t>S26-0830</t>
  </si>
  <si>
    <t>Yanis Musuayi</t>
  </si>
  <si>
    <t>S26-0831</t>
  </si>
  <si>
    <t>Edgar Alcañiz</t>
  </si>
  <si>
    <t>S26-0832</t>
  </si>
  <si>
    <t>Finley Barbrook</t>
  </si>
  <si>
    <t>S26-0833</t>
  </si>
  <si>
    <t>Miguel Auría</t>
  </si>
  <si>
    <t>Mirandés</t>
  </si>
  <si>
    <t>S26-0834</t>
  </si>
  <si>
    <t>Álex Forés</t>
  </si>
  <si>
    <t>S26-0835</t>
  </si>
  <si>
    <t>Pau Cabanes</t>
  </si>
  <si>
    <t>S26-0836</t>
  </si>
  <si>
    <t>Iwan Morgan</t>
  </si>
  <si>
    <t>S26-0837</t>
  </si>
  <si>
    <t>Facundo Buonanotte</t>
  </si>
  <si>
    <t>S26-0838</t>
  </si>
  <si>
    <t>Daouda Traoré</t>
  </si>
  <si>
    <t>S26-0839</t>
  </si>
  <si>
    <t>Ichem Ferrah</t>
  </si>
  <si>
    <t>S26-0840</t>
  </si>
  <si>
    <t>S26-0841</t>
  </si>
  <si>
    <t>Sion Oppong</t>
  </si>
  <si>
    <t>Brommapojkarna</t>
  </si>
  <si>
    <t>S26-0842</t>
  </si>
  <si>
    <t>Sasa Lukic</t>
  </si>
  <si>
    <t>S26-0844</t>
  </si>
  <si>
    <t>Marash Kumbulla</t>
  </si>
  <si>
    <t>S26-0845</t>
  </si>
  <si>
    <t>Nicolás Valentini</t>
  </si>
  <si>
    <t>S26-0846</t>
  </si>
  <si>
    <t>Alexis Olmedo</t>
  </si>
  <si>
    <t>S26-0847</t>
  </si>
  <si>
    <t>Radek Vitek</t>
  </si>
  <si>
    <t>S26-0848</t>
  </si>
  <si>
    <t>Daniel Mikolajewski</t>
  </si>
  <si>
    <t>S26-0849</t>
  </si>
  <si>
    <t>Thiago Almada</t>
  </si>
  <si>
    <t>S26-0850</t>
  </si>
  <si>
    <t>Jay Robinson</t>
  </si>
  <si>
    <t>S26-0852</t>
  </si>
  <si>
    <t>Noah Nsoki</t>
  </si>
  <si>
    <t>S26-0853</t>
  </si>
  <si>
    <t>Jahnoah Markelo</t>
  </si>
  <si>
    <t>Shabab Al-Ahli</t>
  </si>
  <si>
    <t>S26-0854</t>
  </si>
  <si>
    <t>Noah Mbamba</t>
  </si>
  <si>
    <t>S26-0855</t>
  </si>
  <si>
    <t>Sergi Roberto</t>
  </si>
  <si>
    <t>LA Galaxy</t>
  </si>
  <si>
    <t>S26-0856</t>
  </si>
  <si>
    <t>Yusuf Kabadayi</t>
  </si>
  <si>
    <t>Rijeka</t>
  </si>
  <si>
    <t>S26-0857</t>
  </si>
  <si>
    <t>Mauro Zalazar</t>
  </si>
  <si>
    <t>Kustosija Zagreb</t>
  </si>
  <si>
    <t>S26-0858</t>
  </si>
  <si>
    <t>Daniel Maldini</t>
  </si>
  <si>
    <t>S26-0859</t>
  </si>
  <si>
    <t>Mario Domínguez</t>
  </si>
  <si>
    <t>Excelsior</t>
  </si>
  <si>
    <t>S26-0860</t>
  </si>
  <si>
    <t>Ahmed Sidibé</t>
  </si>
  <si>
    <t>S26-0861</t>
  </si>
  <si>
    <t>Bjarki Bjarkason</t>
  </si>
  <si>
    <t>S26-0862</t>
  </si>
  <si>
    <t>Simone Ascione</t>
  </si>
  <si>
    <t>Vis Pesaro</t>
  </si>
  <si>
    <t>S26-0863</t>
  </si>
  <si>
    <t>Elliot Stroud</t>
  </si>
  <si>
    <t>Mjällby</t>
  </si>
  <si>
    <t>S26-0864</t>
  </si>
  <si>
    <t>Trevoh Chalobah</t>
  </si>
  <si>
    <t>S26-0865</t>
  </si>
  <si>
    <t>Lucas Digne</t>
  </si>
  <si>
    <t>S26-0866</t>
  </si>
  <si>
    <t>Deniz Zeitler</t>
  </si>
  <si>
    <t>S26-0867</t>
  </si>
  <si>
    <t>Abu Kamara</t>
  </si>
  <si>
    <t>Portsmouth</t>
  </si>
  <si>
    <t>S26-0868</t>
  </si>
  <si>
    <t>Dzenan Pejcinovic</t>
  </si>
  <si>
    <t>S26-0869</t>
  </si>
  <si>
    <t>Kevin Carlos</t>
  </si>
  <si>
    <t>S26-0870</t>
  </si>
  <si>
    <t>Bara Sapoko Ndiaye</t>
  </si>
  <si>
    <t>Gambinos Stars Africa</t>
  </si>
  <si>
    <t>S26-0871</t>
  </si>
  <si>
    <t>Mansour Ouro-Tagba</t>
  </si>
  <si>
    <t>Bochum</t>
  </si>
  <si>
    <t>S26-0872</t>
  </si>
  <si>
    <t>Patrizio Masini</t>
  </si>
  <si>
    <t>S26-0873</t>
  </si>
  <si>
    <t>Valdrin Mustafa</t>
  </si>
  <si>
    <t>Kickers Offenbach</t>
  </si>
  <si>
    <t>S26-0874</t>
  </si>
  <si>
    <t>Ronald Araújo</t>
  </si>
  <si>
    <t>S26-0875</t>
  </si>
  <si>
    <t>Manor Solomon</t>
  </si>
  <si>
    <t>S26-0876</t>
  </si>
  <si>
    <t>Giuseppe Aurelio</t>
  </si>
  <si>
    <t>S26-0877</t>
  </si>
  <si>
    <t>Aymen Zouin</t>
  </si>
  <si>
    <t>S26-0878</t>
  </si>
  <si>
    <t>Arthur Masuaku</t>
  </si>
  <si>
    <t>Konyaspor</t>
  </si>
  <si>
    <t>S26-0879</t>
  </si>
  <si>
    <t>Julen Agirrezabala</t>
  </si>
  <si>
    <t>S26-0880</t>
  </si>
  <si>
    <t>Joan Jordán</t>
  </si>
  <si>
    <t>S26-0881</t>
  </si>
  <si>
    <t>Alberto Flores</t>
  </si>
  <si>
    <t>Granada</t>
  </si>
  <si>
    <t>S26-0882</t>
  </si>
  <si>
    <t>Giovanni Bonfanti</t>
  </si>
  <si>
    <t>Las Palmas</t>
  </si>
  <si>
    <t>S26-0883</t>
  </si>
  <si>
    <t>Ousmane Diomande</t>
  </si>
  <si>
    <t>S26-0884</t>
  </si>
  <si>
    <t>Shea Charles</t>
  </si>
  <si>
    <t>S26-0885</t>
  </si>
  <si>
    <t>Filip Jörgensen</t>
  </si>
  <si>
    <t>S26-0886</t>
  </si>
  <si>
    <t>Swap</t>
  </si>
  <si>
    <t>S26-0887</t>
  </si>
  <si>
    <t>Dwight McNeil</t>
  </si>
  <si>
    <t>S26-0888</t>
  </si>
  <si>
    <t>Alex Murphy</t>
  </si>
  <si>
    <t>S26-0889</t>
  </si>
  <si>
    <t>Divin Mubama</t>
  </si>
  <si>
    <t>S26-0890</t>
  </si>
  <si>
    <t>Berat Djimsiti</t>
  </si>
  <si>
    <t>S26-0891</t>
  </si>
  <si>
    <t>Robbie Ure</t>
  </si>
  <si>
    <t>Sirius</t>
  </si>
  <si>
    <t>S26-0892</t>
  </si>
  <si>
    <t>Carlos Domínguez</t>
  </si>
  <si>
    <t>S26-0894</t>
  </si>
  <si>
    <t>Ishé Samuels-Smith</t>
  </si>
  <si>
    <t>Notts County</t>
  </si>
  <si>
    <t>S26-0895</t>
  </si>
  <si>
    <t>Roman Dixon</t>
  </si>
  <si>
    <t>S26-0896</t>
  </si>
  <si>
    <t>Facundo Medina</t>
  </si>
  <si>
    <t>S26-0897</t>
  </si>
  <si>
    <t>Christian Corradi</t>
  </si>
  <si>
    <t>S26-0898</t>
  </si>
  <si>
    <t>Hugo López</t>
  </si>
  <si>
    <t>S26-0899</t>
  </si>
  <si>
    <t>Gerónimo Rulli</t>
  </si>
  <si>
    <t>S26-0900</t>
  </si>
  <si>
    <t>Pep Chavarría</t>
  </si>
  <si>
    <t>S26-0901</t>
  </si>
  <si>
    <t>Gautier Lloris</t>
  </si>
  <si>
    <t>S26-0902</t>
  </si>
  <si>
    <t>Evann Guessand</t>
  </si>
  <si>
    <t>S26-0903</t>
  </si>
  <si>
    <t>Diego Rico</t>
  </si>
  <si>
    <t>S26-0904</t>
  </si>
  <si>
    <t>Gustavo Hamer</t>
  </si>
  <si>
    <t>S26-0905</t>
  </si>
  <si>
    <t>Nahuel Molina</t>
  </si>
  <si>
    <t>S26-0906</t>
  </si>
  <si>
    <t>Stefan Posch</t>
  </si>
  <si>
    <t>S26-0907</t>
  </si>
  <si>
    <t>Lucas Herrington</t>
  </si>
  <si>
    <t>Colorado Rapids</t>
  </si>
  <si>
    <t>S26-0908</t>
  </si>
  <si>
    <t>S26-0909</t>
  </si>
  <si>
    <t>S26-0910</t>
  </si>
  <si>
    <t>Yang Min-hyeok</t>
  </si>
  <si>
    <t>S26-0911</t>
  </si>
  <si>
    <t>Anthony Patterson</t>
  </si>
  <si>
    <t>S26-0912</t>
  </si>
  <si>
    <t>Leo Hjelde</t>
  </si>
  <si>
    <t>S26-0913</t>
  </si>
  <si>
    <t>Alexis Sánchez</t>
  </si>
  <si>
    <t>CF Montréal</t>
  </si>
  <si>
    <t>S26-0914</t>
  </si>
  <si>
    <t>Kauã Prates</t>
  </si>
  <si>
    <t>S26-0915</t>
  </si>
  <si>
    <t>Benjamín Domínguez</t>
  </si>
  <si>
    <t>S26-0916</t>
  </si>
  <si>
    <t>Thiago Fernández</t>
  </si>
  <si>
    <t>S26-0917</t>
  </si>
  <si>
    <t>Riccardo Braschi</t>
  </si>
  <si>
    <t>S26-0918</t>
  </si>
  <si>
    <t>Justin Kumi</t>
  </si>
  <si>
    <t>S26-0919</t>
  </si>
  <si>
    <t>Enzo Molebe</t>
  </si>
  <si>
    <t>S26-0920</t>
  </si>
  <si>
    <t>Dusan Vlahovic</t>
  </si>
  <si>
    <t>S26-0921</t>
  </si>
  <si>
    <t>Dennis Cirkin</t>
  </si>
  <si>
    <t>S26-0922</t>
  </si>
  <si>
    <t>Giorgi Tsitaishvili</t>
  </si>
  <si>
    <t>S26-0923</t>
  </si>
  <si>
    <t>Romano Schmid</t>
  </si>
  <si>
    <t>S26-0924</t>
  </si>
  <si>
    <t>Florian Grillitsch</t>
  </si>
  <si>
    <t>S26-0925</t>
  </si>
  <si>
    <t>Franjo Ivanovic</t>
  </si>
  <si>
    <t>S26-0926</t>
  </si>
  <si>
    <t>Othniël Raterink</t>
  </si>
  <si>
    <t>S26-0927</t>
  </si>
  <si>
    <t>Federico Gattoni</t>
  </si>
  <si>
    <t>S26-0928</t>
  </si>
  <si>
    <t>Noam Obougou</t>
  </si>
  <si>
    <t>S26-0929</t>
  </si>
  <si>
    <t>Ethan Williams</t>
  </si>
  <si>
    <t>S26-0930</t>
  </si>
  <si>
    <t>Marco Romano</t>
  </si>
  <si>
    <t>Novara</t>
  </si>
  <si>
    <t>S26-0931</t>
  </si>
  <si>
    <t>Mamady Diambou</t>
  </si>
  <si>
    <t>S26-0932</t>
  </si>
  <si>
    <t>Mika Baur</t>
  </si>
  <si>
    <t>S26-0933</t>
  </si>
  <si>
    <t>Enes Unal</t>
  </si>
  <si>
    <t>S26-0934</t>
  </si>
  <si>
    <t>Roberto Piccoli</t>
  </si>
  <si>
    <t>S26-0935</t>
  </si>
  <si>
    <t>Mateo Pellegrino</t>
  </si>
  <si>
    <t>S26-0936</t>
  </si>
  <si>
    <t>Thomas Kristensen</t>
  </si>
  <si>
    <t>S26-0937</t>
  </si>
  <si>
    <t>Gabriele Bertolini</t>
  </si>
  <si>
    <t>S26-0938</t>
  </si>
  <si>
    <t>Johan Mojica</t>
  </si>
  <si>
    <t>S26-0939</t>
  </si>
  <si>
    <t>Saná Fernandes</t>
  </si>
  <si>
    <t>S26-0940</t>
  </si>
  <si>
    <t>Egil Selvik</t>
  </si>
  <si>
    <t>S26-0941</t>
  </si>
  <si>
    <t>Matías Pérez</t>
  </si>
  <si>
    <t>La Serena</t>
  </si>
  <si>
    <t>S26-0942</t>
  </si>
  <si>
    <t>Tiziano Perrotta</t>
  </si>
  <si>
    <t>Banfield</t>
  </si>
  <si>
    <t>S26-0943</t>
  </si>
  <si>
    <t>Defensa y Justicia</t>
  </si>
  <si>
    <t>S26-0944</t>
  </si>
  <si>
    <t>Harry Howell</t>
  </si>
  <si>
    <t>S26-0945</t>
  </si>
  <si>
    <t>Armindo Sieb</t>
  </si>
  <si>
    <t>Los Angeles FC</t>
  </si>
  <si>
    <t>S26-0946</t>
  </si>
  <si>
    <t>Jacob Ondrejka</t>
  </si>
  <si>
    <t>S26-0947</t>
  </si>
  <si>
    <t>Aleksa Terzic</t>
  </si>
  <si>
    <t>S26-0948</t>
  </si>
  <si>
    <t>Almugera Kabar</t>
  </si>
  <si>
    <t>S26-0949</t>
  </si>
  <si>
    <t>Andréa Le Borgne</t>
  </si>
  <si>
    <t>S26-0950</t>
  </si>
  <si>
    <t>Enis Destan</t>
  </si>
  <si>
    <t>S26-0951</t>
  </si>
  <si>
    <t>Rayane Messi</t>
  </si>
  <si>
    <t>Ettifaq</t>
  </si>
  <si>
    <t>S26-0952</t>
  </si>
  <si>
    <t>Flavio Russo</t>
  </si>
  <si>
    <t>S26-0953</t>
  </si>
  <si>
    <t>Fabio Baldé</t>
  </si>
  <si>
    <t>S26-0954</t>
  </si>
  <si>
    <t>Giorgio Altare</t>
  </si>
  <si>
    <t>Pescara</t>
  </si>
  <si>
    <t>S26-0955</t>
  </si>
  <si>
    <t>David Romero</t>
  </si>
  <si>
    <t>Club Atlético Tigre</t>
  </si>
  <si>
    <t>S26-0956</t>
  </si>
  <si>
    <t>Emilio Lawrence</t>
  </si>
  <si>
    <t>S26-0957</t>
  </si>
  <si>
    <t>Ryan Kavuma-McQueen</t>
  </si>
  <si>
    <t>S26-0958</t>
  </si>
  <si>
    <t>Lakyle Samuel</t>
  </si>
  <si>
    <t>Exeter City</t>
  </si>
  <si>
    <t>S26-0959</t>
  </si>
  <si>
    <t>Finley Burns</t>
  </si>
  <si>
    <t>S26-0960</t>
  </si>
  <si>
    <t>Max Alleyne</t>
  </si>
  <si>
    <t>S26-0961</t>
  </si>
  <si>
    <t>Dastan Satpayev</t>
  </si>
  <si>
    <t>S26-0962</t>
  </si>
  <si>
    <t>Samuel Iling-Junior</t>
  </si>
  <si>
    <t>S26-0963</t>
  </si>
  <si>
    <t>Harry Clarke</t>
  </si>
  <si>
    <t>S26-0966</t>
  </si>
  <si>
    <t>Ludovit Reis</t>
  </si>
  <si>
    <t>S26-0967</t>
  </si>
  <si>
    <t>Marius Courcoul</t>
  </si>
  <si>
    <t>S26-0968</t>
  </si>
  <si>
    <t>Vanja Drkusic</t>
  </si>
  <si>
    <t>Zenit</t>
  </si>
  <si>
    <t>S26-0969</t>
  </si>
  <si>
    <t>Umut Tohumcu</t>
  </si>
  <si>
    <t>S26-0970</t>
  </si>
  <si>
    <t>S26-0971</t>
  </si>
  <si>
    <t>S26-0972</t>
  </si>
  <si>
    <t>Ashley Phillips</t>
  </si>
  <si>
    <t>S26-0973</t>
  </si>
  <si>
    <t>Steven Benda</t>
  </si>
  <si>
    <t>S26-0974</t>
  </si>
  <si>
    <t>Joe Gelhardt</t>
  </si>
  <si>
    <t>S26-0975</t>
  </si>
  <si>
    <t>Janis Antiste</t>
  </si>
  <si>
    <t>S26-0976</t>
  </si>
  <si>
    <t>Lucas Gourna-Douath</t>
  </si>
  <si>
    <t>S26-0977</t>
  </si>
  <si>
    <t>Anan Khalaili</t>
  </si>
  <si>
    <t>S26-0978</t>
  </si>
  <si>
    <t>Agustín Álvarez</t>
  </si>
  <si>
    <t>Talleres</t>
  </si>
  <si>
    <t>S26-0979</t>
  </si>
  <si>
    <t>Davide Frattesi</t>
  </si>
  <si>
    <t>S26-0980</t>
  </si>
  <si>
    <t>Iker Benito</t>
  </si>
  <si>
    <t>Querétaro</t>
  </si>
  <si>
    <t>S26-0981</t>
  </si>
  <si>
    <t>Rafael Obrador</t>
  </si>
  <si>
    <t>S26-0982</t>
  </si>
  <si>
    <t>Noel Futkeu</t>
  </si>
  <si>
    <t>S26-0983</t>
  </si>
  <si>
    <t>Djed Spence</t>
  </si>
  <si>
    <t>S26-0984</t>
  </si>
  <si>
    <t>Mika Godts</t>
  </si>
  <si>
    <t>S26-0985</t>
  </si>
  <si>
    <t>Laurin Ulrich</t>
  </si>
  <si>
    <t>S26-0986</t>
  </si>
  <si>
    <t>Calum Scanlon</t>
  </si>
  <si>
    <t>Cardiff City</t>
  </si>
  <si>
    <t>S26-0987</t>
  </si>
  <si>
    <t>Abdoul Ouattara</t>
  </si>
  <si>
    <t>S26-0988</t>
  </si>
  <si>
    <t>Anthony Munda</t>
  </si>
  <si>
    <t>S26-0989</t>
  </si>
  <si>
    <t>Julio Enciso</t>
  </si>
  <si>
    <t>S26-0990</t>
  </si>
  <si>
    <t>Taiwo Awoniyi</t>
  </si>
  <si>
    <t>S26-0991</t>
  </si>
  <si>
    <t>Michy Batshuayi</t>
  </si>
  <si>
    <t>S26-0992</t>
  </si>
  <si>
    <t>Giannis Konstantelias</t>
  </si>
  <si>
    <t>S26-0993</t>
  </si>
  <si>
    <t>Jhon Lucumí</t>
  </si>
  <si>
    <t>S26-0994</t>
  </si>
  <si>
    <t>Jacobo Ortega</t>
  </si>
  <si>
    <t>S26-0995</t>
  </si>
  <si>
    <t>Remo Freuler</t>
  </si>
  <si>
    <t>S26-0996</t>
  </si>
  <si>
    <t>Diant Ramaj</t>
  </si>
  <si>
    <t>S26-0997</t>
  </si>
  <si>
    <t>Eren Dinkci</t>
  </si>
  <si>
    <t>S26-0998</t>
  </si>
  <si>
    <t>Hugo Picard</t>
  </si>
  <si>
    <t>S26-0999</t>
  </si>
  <si>
    <t>Jofre Torrents</t>
  </si>
  <si>
    <t>S26-1000</t>
  </si>
  <si>
    <t>Thijs Dallinga</t>
  </si>
  <si>
    <t>S26-1001</t>
  </si>
  <si>
    <t>Nathan Ngoumou</t>
  </si>
  <si>
    <t>S26-1002</t>
  </si>
  <si>
    <t>Kervin Arriaga</t>
  </si>
  <si>
    <t>AEK Athens</t>
  </si>
  <si>
    <t>S26-1003</t>
  </si>
  <si>
    <t>Javi López</t>
  </si>
  <si>
    <t>S26-1004</t>
  </si>
  <si>
    <t>Ousmane Traoré</t>
  </si>
  <si>
    <t>S26-1005</t>
  </si>
  <si>
    <t>Amar Dedic</t>
  </si>
  <si>
    <t>S26-1006</t>
  </si>
  <si>
    <t>Guglielmo Vicario</t>
  </si>
  <si>
    <t>S26-1007</t>
  </si>
  <si>
    <t>Djibril Sidibé</t>
  </si>
  <si>
    <t>S26-1008</t>
  </si>
  <si>
    <t>Fabio Rispoli</t>
  </si>
  <si>
    <t>S26-1009</t>
  </si>
  <si>
    <t>Luigi Cherubini</t>
  </si>
  <si>
    <t>Benevento</t>
  </si>
  <si>
    <t>S26-1010</t>
  </si>
  <si>
    <t>Niclas Füllkrug</t>
  </si>
  <si>
    <t>S26-1011</t>
  </si>
  <si>
    <t>Joel Mvuka</t>
  </si>
  <si>
    <t>Bodø/Glimt</t>
  </si>
  <si>
    <t>S26-1013</t>
  </si>
  <si>
    <t>Wisdom Acquah</t>
  </si>
  <si>
    <t>S26-1014</t>
  </si>
  <si>
    <t>Gabriel Vidovic</t>
  </si>
  <si>
    <t>S26-1015</t>
  </si>
  <si>
    <t>Francho Serrano</t>
  </si>
  <si>
    <t>S26-1016</t>
  </si>
  <si>
    <t>Joey Veerman</t>
  </si>
  <si>
    <t>S26-1017</t>
  </si>
  <si>
    <t>David Odogu</t>
  </si>
  <si>
    <t>S26-1018</t>
  </si>
  <si>
    <t>Chec Bebel Doumbia</t>
  </si>
  <si>
    <t>Rapid Bucharest</t>
  </si>
  <si>
    <t>S26-1019</t>
  </si>
  <si>
    <t>Zavier Gozo</t>
  </si>
  <si>
    <t>Real Salt Lake</t>
  </si>
  <si>
    <t>S26-1020</t>
  </si>
  <si>
    <t>Abdul Mumin</t>
  </si>
  <si>
    <t>Girona</t>
  </si>
  <si>
    <t>S26-1021</t>
  </si>
  <si>
    <t>Nunzio Lella</t>
  </si>
  <si>
    <t>S26-1022</t>
  </si>
  <si>
    <t>Yunus Konak</t>
  </si>
  <si>
    <t>S26-1023</t>
  </si>
  <si>
    <t>Ethan Ennis</t>
  </si>
  <si>
    <t>S26-1024</t>
  </si>
  <si>
    <t>Promise David</t>
  </si>
  <si>
    <t>S26-1025</t>
  </si>
  <si>
    <t>S26-1026</t>
  </si>
  <si>
    <t>Thomás De Martis</t>
  </si>
  <si>
    <t>Lanús</t>
  </si>
  <si>
    <t>S26-1027</t>
  </si>
  <si>
    <t>Joël Piroe</t>
  </si>
  <si>
    <t>S26-1028</t>
  </si>
  <si>
    <t>Reggie Walsh</t>
  </si>
  <si>
    <t>S26-1029</t>
  </si>
  <si>
    <t>Kosta Nedeljkovic</t>
  </si>
  <si>
    <t>S26-1030</t>
  </si>
  <si>
    <t>Harvey Araujo</t>
  </si>
  <si>
    <t>Burton Albion</t>
  </si>
  <si>
    <t>S26-1031</t>
  </si>
  <si>
    <t>Zion Suzuki</t>
  </si>
  <si>
    <t>S26-1032</t>
  </si>
  <si>
    <t>Matteo Ruggeri</t>
  </si>
  <si>
    <t>S26-1033</t>
  </si>
  <si>
    <t>Sebastiaan Bornauw</t>
  </si>
  <si>
    <t>S26-1034</t>
  </si>
  <si>
    <t>Michael Aebischer</t>
  </si>
  <si>
    <t>S26-1035</t>
  </si>
  <si>
    <t>Rodrigo Mora</t>
  </si>
  <si>
    <t>S26-1036</t>
  </si>
  <si>
    <t>Nico Elvedi</t>
  </si>
  <si>
    <t>S26-1037</t>
  </si>
  <si>
    <t>Axel Witsel</t>
  </si>
  <si>
    <t>S26-1038</t>
  </si>
  <si>
    <t>Thomas Jørgensen</t>
  </si>
  <si>
    <t>Viborg</t>
  </si>
  <si>
    <t>S26-1039</t>
  </si>
  <si>
    <t>Lorenzo Montipò</t>
  </si>
  <si>
    <t>S26-1040</t>
  </si>
  <si>
    <t>Sidiki Cherif</t>
  </si>
  <si>
    <t>S26-1041</t>
  </si>
  <si>
    <t>S26-1042</t>
  </si>
  <si>
    <t>S26-1043</t>
  </si>
  <si>
    <t>Jordan James</t>
  </si>
  <si>
    <t>S26-1044</t>
  </si>
  <si>
    <t>Farid Alfa-Ruprecht</t>
  </si>
  <si>
    <t>S26-1045</t>
  </si>
  <si>
    <t>Ko Itakura</t>
  </si>
  <si>
    <t>S26-1046</t>
  </si>
  <si>
    <t>Jonathan Norbye</t>
  </si>
  <si>
    <t>Haugesund</t>
  </si>
  <si>
    <t>S26-1047</t>
  </si>
  <si>
    <t>S26-1048</t>
  </si>
  <si>
    <t>Kieran Morrison</t>
  </si>
  <si>
    <t>S26-1049</t>
  </si>
  <si>
    <t>Pablo Maffeo</t>
  </si>
  <si>
    <t>S26-1050</t>
  </si>
  <si>
    <t>Troy Parrott</t>
  </si>
  <si>
    <t>S26-1051</t>
  </si>
  <si>
    <t>S26-1052</t>
  </si>
  <si>
    <t>Ellyes Skhiri</t>
  </si>
  <si>
    <t>S26-1053</t>
  </si>
  <si>
    <t>Dan Bentley</t>
  </si>
  <si>
    <t>S26-1054</t>
  </si>
  <si>
    <t>Ben Johnson</t>
  </si>
  <si>
    <t>Stoke City</t>
  </si>
  <si>
    <t>S26-1055</t>
  </si>
  <si>
    <t>George Hirst</t>
  </si>
  <si>
    <t>S26-1056</t>
  </si>
  <si>
    <t>Divine Mukasa</t>
  </si>
  <si>
    <t>S26-1057</t>
  </si>
  <si>
    <t>Karim Coulibaly</t>
  </si>
  <si>
    <t>S26-1059</t>
  </si>
  <si>
    <t>Luke Harris</t>
  </si>
  <si>
    <t>S26-1060</t>
  </si>
  <si>
    <t>Elias Jelert</t>
  </si>
  <si>
    <t>S26-1061</t>
  </si>
  <si>
    <t>S26-1062</t>
  </si>
  <si>
    <t>Alieu Fadera</t>
  </si>
  <si>
    <t>S26-1063</t>
  </si>
  <si>
    <t>Dermane Karim</t>
  </si>
  <si>
    <t>S26-1064</t>
  </si>
  <si>
    <t>Dayann Méthalie</t>
  </si>
  <si>
    <t>S26-1065</t>
  </si>
  <si>
    <t>Alessandro Circati</t>
  </si>
  <si>
    <t>S26-1066</t>
  </si>
  <si>
    <t>Benoît Badiashile</t>
  </si>
  <si>
    <t>S26-1067</t>
  </si>
  <si>
    <t>Ifeanyi Ndukwe</t>
  </si>
  <si>
    <t>Austria Vienna</t>
  </si>
  <si>
    <t>S26-1068</t>
  </si>
  <si>
    <t>S26-1069</t>
  </si>
  <si>
    <t>Josip Sutalo</t>
  </si>
  <si>
    <t>S26-1070</t>
  </si>
  <si>
    <t>Eljif Elmas</t>
  </si>
  <si>
    <t>S26-1071</t>
  </si>
  <si>
    <t>Mihailo Ristic</t>
  </si>
  <si>
    <t>S26-1072</t>
  </si>
  <si>
    <t>Abdoulaye Camara</t>
  </si>
  <si>
    <t>S26-1073</t>
  </si>
  <si>
    <t>Miguel Rubio</t>
  </si>
  <si>
    <t>S26-1074</t>
  </si>
  <si>
    <t>Manuel Fernández</t>
  </si>
  <si>
    <t>S26-1075</t>
  </si>
  <si>
    <t>Pablo Martínez</t>
  </si>
  <si>
    <t>S26-1076</t>
  </si>
  <si>
    <t>Fedde Leysen</t>
  </si>
  <si>
    <t>S26-1077</t>
  </si>
  <si>
    <t>Tommy Marqués</t>
  </si>
  <si>
    <t>S26-1078</t>
  </si>
  <si>
    <t>Lutsharel Geertruida</t>
  </si>
  <si>
    <t>S26-1079</t>
  </si>
  <si>
    <t>Iván Martín</t>
  </si>
  <si>
    <t>S26-1080</t>
  </si>
  <si>
    <t>Adam Buksa</t>
  </si>
  <si>
    <t>S26-1081</t>
  </si>
  <si>
    <t>Antonio Casas</t>
  </si>
  <si>
    <t>S26-1082</t>
  </si>
  <si>
    <t>Josh Stephenson</t>
  </si>
  <si>
    <t>S26-1083</t>
  </si>
  <si>
    <t>Omar Richards</t>
  </si>
  <si>
    <t>S26-1084</t>
  </si>
  <si>
    <t>Antoine Joujou</t>
  </si>
  <si>
    <t>S26-1085</t>
  </si>
  <si>
    <t>Giorgi Kochorashvili</t>
  </si>
  <si>
    <t>S26-1086</t>
  </si>
  <si>
    <t>Vanja Vlahovic</t>
  </si>
  <si>
    <t>S26-1087</t>
  </si>
  <si>
    <t>Jeyland Mitchell</t>
  </si>
  <si>
    <t>S26-1088</t>
  </si>
  <si>
    <t>Juanpe Jiménez</t>
  </si>
  <si>
    <t>Gamba Osaka</t>
  </si>
  <si>
    <t>S26-1089</t>
  </si>
  <si>
    <t>Breel Embolo</t>
  </si>
  <si>
    <t>S26-1090</t>
  </si>
  <si>
    <t>Terem Moffi</t>
  </si>
  <si>
    <t>S26-1092</t>
  </si>
  <si>
    <t>Manu Fernández</t>
  </si>
  <si>
    <t>S26-1093</t>
  </si>
  <si>
    <t>Aron Yaakobishvili</t>
  </si>
  <si>
    <t>S26-1094</t>
  </si>
  <si>
    <t>Dani Budesca</t>
  </si>
  <si>
    <t>S26-1095</t>
  </si>
  <si>
    <t>Moussa Diarra</t>
  </si>
  <si>
    <t>Al-Wahda</t>
  </si>
  <si>
    <t>S26-1096</t>
  </si>
  <si>
    <t>Ezequiel Ponce</t>
  </si>
  <si>
    <t>Houston Dynamo</t>
  </si>
  <si>
    <t>S26-1097</t>
  </si>
  <si>
    <t>Rockson Yeboah</t>
  </si>
  <si>
    <t>S26-1098</t>
  </si>
  <si>
    <t>Jacob Devaney</t>
  </si>
  <si>
    <t>Hibernian</t>
  </si>
  <si>
    <t>S26-1099</t>
  </si>
  <si>
    <t>Mofe Jemide</t>
  </si>
  <si>
    <t>Alverca</t>
  </si>
  <si>
    <t>S26-1100</t>
  </si>
  <si>
    <t>Darwin Guagua</t>
  </si>
  <si>
    <t>Independiente del Valle</t>
  </si>
  <si>
    <t>S26-1101</t>
  </si>
  <si>
    <t>Cathal McCarthy</t>
  </si>
  <si>
    <t>Kilmarnock</t>
  </si>
  <si>
    <t>S26-1102</t>
  </si>
  <si>
    <t>Tayo Adaramola</t>
  </si>
  <si>
    <t>S26-1103</t>
  </si>
  <si>
    <t>Ismeal Kabia</t>
  </si>
  <si>
    <t>St Mirren</t>
  </si>
  <si>
    <t>S26-1104</t>
  </si>
  <si>
    <t>Jovan Milosevic</t>
  </si>
  <si>
    <t>S26-1105</t>
  </si>
  <si>
    <t>Alberto Moreno</t>
  </si>
  <si>
    <t>S26-1106</t>
  </si>
  <si>
    <t>Mads Valentin Pedersen</t>
  </si>
  <si>
    <t>S26-1107</t>
  </si>
  <si>
    <t>Sam Byram</t>
  </si>
  <si>
    <t>S26-1108</t>
  </si>
  <si>
    <t>S26-1109</t>
  </si>
  <si>
    <t>Elye Wahi</t>
  </si>
  <si>
    <t>S26-1110</t>
  </si>
  <si>
    <t>Sávio</t>
  </si>
  <si>
    <t>Base fee; add-ons separately reported</t>
  </si>
  <si>
    <t>S26-1111</t>
  </si>
  <si>
    <t>Omari Kellyman</t>
  </si>
  <si>
    <t>S26-1112</t>
  </si>
  <si>
    <t>Agustín Albarracín</t>
  </si>
  <si>
    <t>Albacete</t>
  </si>
  <si>
    <t>S26-1113</t>
  </si>
  <si>
    <t>Milutin Osmajic</t>
  </si>
  <si>
    <t>S26-1114</t>
  </si>
  <si>
    <t>Isak Jensen</t>
  </si>
  <si>
    <t>S26-1115</t>
  </si>
  <si>
    <t>Marco Dalla Vecchia</t>
  </si>
  <si>
    <t>S26-1116</t>
  </si>
  <si>
    <t>Michele Di Gregorio</t>
  </si>
  <si>
    <t>S26-1117</t>
  </si>
  <si>
    <t>Carlos Baleba</t>
  </si>
  <si>
    <t>S26-1118</t>
  </si>
  <si>
    <t>S26-1120</t>
  </si>
  <si>
    <t>Axel Disasi</t>
  </si>
  <si>
    <t>S26-1121</t>
  </si>
  <si>
    <t>Calvin Ramsay</t>
  </si>
  <si>
    <t>S26-1122</t>
  </si>
  <si>
    <t>Jaouen Hadjam</t>
  </si>
  <si>
    <t>S26-1123</t>
  </si>
  <si>
    <t>Eric da Silva Moreira</t>
  </si>
  <si>
    <t>S26-1124</t>
  </si>
  <si>
    <t>Ali al-Hamadi</t>
  </si>
  <si>
    <t>S26-1125</t>
  </si>
  <si>
    <t>Dilane Bakwa</t>
  </si>
  <si>
    <t>S26-1126</t>
  </si>
  <si>
    <t>Ethan Pinnock</t>
  </si>
  <si>
    <t>S26-1127</t>
  </si>
  <si>
    <t>Nathan Saliba</t>
  </si>
  <si>
    <t>S26-1128</t>
  </si>
  <si>
    <t>S26-1129</t>
  </si>
  <si>
    <t>Orlando Gill</t>
  </si>
  <si>
    <t>San Lorenzo</t>
  </si>
  <si>
    <t>S26-1130</t>
  </si>
  <si>
    <t>Seko Fofana</t>
  </si>
  <si>
    <t>S26-1131</t>
  </si>
  <si>
    <t>S26-1132</t>
  </si>
  <si>
    <t>Mario Sauer</t>
  </si>
  <si>
    <t>S26-1133</t>
  </si>
  <si>
    <t>Marvin Pieringer</t>
  </si>
  <si>
    <t>S26-1134</t>
  </si>
  <si>
    <t>Arnau Martínez</t>
  </si>
  <si>
    <t>S26-1135</t>
  </si>
  <si>
    <t>Jesús Owono</t>
  </si>
  <si>
    <t>S26-1136</t>
  </si>
  <si>
    <t>Niccolò Corrado</t>
  </si>
  <si>
    <t>S26-1137</t>
  </si>
  <si>
    <t>Mattia Perin</t>
  </si>
  <si>
    <t>S26-1138</t>
  </si>
  <si>
    <t>Adama Traoré</t>
  </si>
  <si>
    <t>S26-1139</t>
  </si>
  <si>
    <t>Willy Kambwala</t>
  </si>
  <si>
    <t>S26-1140</t>
  </si>
  <si>
    <t>Liam Delap</t>
  </si>
  <si>
    <t>S26-1141</t>
  </si>
  <si>
    <t>Mohamed-Ali Cho</t>
  </si>
  <si>
    <t>S26-1142</t>
  </si>
  <si>
    <t>John Ruddy</t>
  </si>
  <si>
    <t>S26-1143</t>
  </si>
  <si>
    <t>Jenson Seelt</t>
  </si>
  <si>
    <t>S26-1144</t>
  </si>
  <si>
    <t>Lamin Sillah</t>
  </si>
  <si>
    <t>Gillingham</t>
  </si>
  <si>
    <t>S26-1145</t>
  </si>
  <si>
    <t>Bryan Zaragoza</t>
  </si>
  <si>
    <t>S26-1146</t>
  </si>
  <si>
    <t>S26-1147</t>
  </si>
  <si>
    <t>Adrià Pedrosa</t>
  </si>
  <si>
    <t>S26-1148</t>
  </si>
  <si>
    <t>Kareem Tunde</t>
  </si>
  <si>
    <t>S26-1149</t>
  </si>
  <si>
    <t>Keven Schlotterbeck</t>
  </si>
  <si>
    <t>S26-1150</t>
  </si>
  <si>
    <t>Exequiel Palacios</t>
  </si>
  <si>
    <t>S26-1151</t>
  </si>
  <si>
    <t>Mamadou Sarr</t>
  </si>
  <si>
    <t>S26-1152</t>
  </si>
  <si>
    <t>El Hadji Malick Diouf</t>
  </si>
  <si>
    <t>S26-1153</t>
  </si>
  <si>
    <t>Noah Atubolu</t>
  </si>
  <si>
    <t>S26-1154</t>
  </si>
  <si>
    <t>Jean-Luc Dompé</t>
  </si>
  <si>
    <t>S26-1155</t>
  </si>
  <si>
    <t>Caleb Wiley</t>
  </si>
  <si>
    <t>S26-1156</t>
  </si>
  <si>
    <t>Miguel Ángel Brau</t>
  </si>
  <si>
    <t>S26-1157</t>
  </si>
  <si>
    <t>Nicolas Jackson</t>
  </si>
  <si>
    <t>S26-1158</t>
  </si>
  <si>
    <t>Giovanni Fabbian</t>
  </si>
  <si>
    <t>S26-1159</t>
  </si>
  <si>
    <t>Dennis Geiger</t>
  </si>
  <si>
    <t>S26-1160</t>
  </si>
  <si>
    <t>Tomas Bobcek</t>
  </si>
  <si>
    <t>Lechia Gdansk</t>
  </si>
  <si>
    <t>S26-1161</t>
  </si>
  <si>
    <t>S26-1162</t>
  </si>
  <si>
    <t>Fabio Miretti</t>
  </si>
  <si>
    <t>S26-1163</t>
  </si>
  <si>
    <t>Kojo Peprah Oppong</t>
  </si>
  <si>
    <t>S26-1164</t>
  </si>
  <si>
    <t>Bartosz Mrozek</t>
  </si>
  <si>
    <t>S26-1165</t>
  </si>
  <si>
    <t>Gabriele Zappa</t>
  </si>
  <si>
    <t>S26-1166</t>
  </si>
  <si>
    <t>Walid Cheddira</t>
  </si>
  <si>
    <t>S26-1167</t>
  </si>
  <si>
    <t>William Bøving</t>
  </si>
  <si>
    <t>S26-1168</t>
  </si>
  <si>
    <t>Javi Montero</t>
  </si>
  <si>
    <t>S26-1169</t>
  </si>
  <si>
    <t>Jon Karrikaburu</t>
  </si>
  <si>
    <t>S26-1170</t>
  </si>
  <si>
    <t>Patrick Nuamah</t>
  </si>
  <si>
    <t>S26-1171</t>
  </si>
  <si>
    <t>Issa Kaboré</t>
  </si>
  <si>
    <t>S26-1172</t>
  </si>
  <si>
    <t>Matai Akinmboni</t>
  </si>
  <si>
    <t>S26-1173</t>
  </si>
  <si>
    <t>Yanis Zouaoui</t>
  </si>
  <si>
    <t>S26-1174</t>
  </si>
  <si>
    <t>Michael Folorunsho</t>
  </si>
  <si>
    <t>S26-1175</t>
  </si>
  <si>
    <t>Cyril Ngonge</t>
  </si>
  <si>
    <t>S26-1176</t>
  </si>
  <si>
    <t>Reiss Nelson</t>
  </si>
  <si>
    <t>After main leagues deadline; retained under source summer coverage</t>
  </si>
  <si>
    <t>S26-1177</t>
  </si>
  <si>
    <t>Javi Muñoz</t>
  </si>
  <si>
    <t>S26-1178</t>
  </si>
  <si>
    <t>Rachid Kouda</t>
  </si>
  <si>
    <t>S26-1179</t>
  </si>
  <si>
    <t>Dominik Livakovic</t>
  </si>
  <si>
    <t>S26-1180</t>
  </si>
  <si>
    <t>Kai Andrews</t>
  </si>
  <si>
    <t>Oxford United</t>
  </si>
  <si>
    <t>S26-1181</t>
  </si>
  <si>
    <t>Matteo Prati</t>
  </si>
  <si>
    <t>S26-1182</t>
  </si>
  <si>
    <t>Couhaib Driouech</t>
  </si>
  <si>
    <t>S26-1183</t>
  </si>
  <si>
    <t>Álex Sancris</t>
  </si>
  <si>
    <t>S26-1184</t>
  </si>
  <si>
    <t>Ernest Poku</t>
  </si>
  <si>
    <t>S26-1185</t>
  </si>
  <si>
    <t>Felix Uduokhai</t>
  </si>
  <si>
    <t>S26-1186</t>
  </si>
  <si>
    <t>Seol Young-woo</t>
  </si>
  <si>
    <t>S26-1187</t>
  </si>
  <si>
    <t>Youssoupha Niang</t>
  </si>
  <si>
    <t>St Pauli</t>
  </si>
  <si>
    <t>S26-1188</t>
  </si>
  <si>
    <t>Felipe Chávez</t>
  </si>
  <si>
    <t>S26-1189</t>
  </si>
  <si>
    <t>S26-1190</t>
  </si>
  <si>
    <t>Samuele Ricci</t>
  </si>
  <si>
    <t>S26-1191</t>
  </si>
  <si>
    <t>Kristjan Asllani</t>
  </si>
  <si>
    <t>Al-Jazira</t>
  </si>
  <si>
    <t>S26-1192</t>
  </si>
  <si>
    <t>Alvin Okoro</t>
  </si>
  <si>
    <t>S26-1193</t>
  </si>
  <si>
    <t>Sebastiano Esposito</t>
  </si>
  <si>
    <t>S26-1194</t>
  </si>
  <si>
    <t>Semuel Pizzignacco</t>
  </si>
  <si>
    <t>S26-1195</t>
  </si>
  <si>
    <t>Gabriele Artistico</t>
  </si>
  <si>
    <t>S26-1196</t>
  </si>
  <si>
    <t>Daniel Birligea</t>
  </si>
  <si>
    <t>FCSB</t>
  </si>
  <si>
    <t>S26-1197</t>
  </si>
  <si>
    <t>Andrea Pinamonti</t>
  </si>
  <si>
    <t>S26-1198</t>
  </si>
  <si>
    <t>Ivan Ilic</t>
  </si>
  <si>
    <t>S26-1199</t>
  </si>
  <si>
    <t>Filippo Grosso</t>
  </si>
  <si>
    <t>Crotone</t>
  </si>
  <si>
    <t>S26-1200</t>
  </si>
  <si>
    <t>Alan Matturro</t>
  </si>
  <si>
    <t>Shakhtar Donetsk</t>
  </si>
  <si>
    <t>S26-1201</t>
  </si>
  <si>
    <t>Emiliano Martínez</t>
  </si>
  <si>
    <t>S26-1202</t>
  </si>
  <si>
    <t>Riccardo Ciervo</t>
  </si>
  <si>
    <t>S26-1203</t>
  </si>
  <si>
    <t>Jamie Donley</t>
  </si>
  <si>
    <t>S26-1204</t>
  </si>
  <si>
    <t>William Mikelbrencis</t>
  </si>
  <si>
    <t>S26-1205</t>
  </si>
  <si>
    <t>Marcus Pedersen</t>
  </si>
  <si>
    <t>S26-1206</t>
  </si>
  <si>
    <t>Lucas Perri</t>
  </si>
  <si>
    <t>S26-1207</t>
  </si>
  <si>
    <t>Nemanja Gudelj</t>
  </si>
  <si>
    <t>S26-1208</t>
  </si>
  <si>
    <t>Arthur Theate</t>
  </si>
  <si>
    <t>S26-1209</t>
  </si>
  <si>
    <t>Leonardo Balerdi</t>
  </si>
  <si>
    <t>S26-1210</t>
  </si>
  <si>
    <t>Tyler Bindon</t>
  </si>
  <si>
    <t>Charlton Athletic</t>
  </si>
  <si>
    <t>S26-1211</t>
  </si>
  <si>
    <t>Nick Bätzner</t>
  </si>
  <si>
    <t>S26-1212</t>
  </si>
  <si>
    <t>Toby Collyer</t>
  </si>
  <si>
    <t>S26-1213</t>
  </si>
  <si>
    <t>Ernestas Lysionok</t>
  </si>
  <si>
    <t>S26-1214</t>
  </si>
  <si>
    <t>Oso</t>
  </si>
  <si>
    <t>S26-1215</t>
  </si>
  <si>
    <t>Stephen Mfuni</t>
  </si>
  <si>
    <t>S26-1216</t>
  </si>
  <si>
    <t>Ollie Watkins</t>
  </si>
  <si>
    <t>S26-1217</t>
  </si>
  <si>
    <t>Marten de Roon</t>
  </si>
  <si>
    <t>S26-1218</t>
  </si>
  <si>
    <t>Matías Orozco</t>
  </si>
  <si>
    <t>Deportivo Cali</t>
  </si>
  <si>
    <t>S26-1219</t>
  </si>
  <si>
    <t>Ignace Van Der Brempt</t>
  </si>
  <si>
    <t>S26-1220</t>
  </si>
  <si>
    <t>Alieu Njie</t>
  </si>
  <si>
    <t>S26-1221</t>
  </si>
  <si>
    <t>Axel Tape</t>
  </si>
  <si>
    <t>S26-1222</t>
  </si>
  <si>
    <t>Emil Bohinen</t>
  </si>
  <si>
    <t>S26-1223</t>
  </si>
  <si>
    <t>Ali Dembélé</t>
  </si>
  <si>
    <t>S26-1224</t>
  </si>
  <si>
    <t>Eman Kospo</t>
  </si>
  <si>
    <t>S26-1225</t>
  </si>
  <si>
    <t>Sergio Martínez</t>
  </si>
  <si>
    <t>S26-1226</t>
  </si>
  <si>
    <t>Yanis Massolin</t>
  </si>
  <si>
    <t>S26-1227</t>
  </si>
  <si>
    <t>Jayce Fitzgerald</t>
  </si>
  <si>
    <t>S26-1228</t>
  </si>
  <si>
    <t>Daniel Muñoz</t>
  </si>
  <si>
    <t>S26-1229</t>
  </si>
  <si>
    <t>Allan</t>
  </si>
  <si>
    <t>S26-1231</t>
  </si>
  <si>
    <t>Filippo Missori</t>
  </si>
  <si>
    <t>S26-1232</t>
  </si>
  <si>
    <t>Alessandro Vogt</t>
  </si>
  <si>
    <t>S26-1233</t>
  </si>
  <si>
    <t>Lino Sousa</t>
  </si>
  <si>
    <t>S26-1234</t>
  </si>
  <si>
    <t>Josh Feeney</t>
  </si>
  <si>
    <t>S26-1235</t>
  </si>
  <si>
    <t>Joel Catesby</t>
  </si>
  <si>
    <t>Accrington</t>
  </si>
  <si>
    <t>S26-1236</t>
  </si>
  <si>
    <t>Stefan Bajcetic</t>
  </si>
  <si>
    <t>S26-1237</t>
  </si>
  <si>
    <t>Omari Hutchinson</t>
  </si>
  <si>
    <t>S26-1238</t>
  </si>
  <si>
    <t>Adam Aznou</t>
  </si>
  <si>
    <t>S26-1239</t>
  </si>
  <si>
    <t>David Datro Fofana</t>
  </si>
  <si>
    <t>Servette</t>
  </si>
  <si>
    <t>S26-1240</t>
  </si>
  <si>
    <t>Conrad Harder</t>
  </si>
  <si>
    <t>S26-1241</t>
  </si>
  <si>
    <t>Luís Semedo</t>
  </si>
  <si>
    <t>Clermont Foot</t>
  </si>
  <si>
    <t>S26-1242</t>
  </si>
  <si>
    <t>Marc Guiu</t>
  </si>
  <si>
    <t>S26-1243</t>
  </si>
  <si>
    <t>Pasquale Mazzocchi</t>
  </si>
  <si>
    <t>S26-1244</t>
  </si>
  <si>
    <t>Romain Del Castillo</t>
  </si>
  <si>
    <t>S26-1245</t>
  </si>
  <si>
    <t>Duje Caleta-Car</t>
  </si>
  <si>
    <t>S26-1246</t>
  </si>
  <si>
    <t>Zakaria El Ouahdi</t>
  </si>
  <si>
    <t>S26-1247</t>
  </si>
  <si>
    <t>Aarón Martín</t>
  </si>
  <si>
    <t>S26-1248</t>
  </si>
  <si>
    <t>Ilyas Ansah</t>
  </si>
  <si>
    <t>S26-1249</t>
  </si>
  <si>
    <t>Souza</t>
  </si>
  <si>
    <t>S26-1250</t>
  </si>
  <si>
    <t>Nicolas Galazzi</t>
  </si>
  <si>
    <t>S26-1251</t>
  </si>
  <si>
    <t>John Chetauya</t>
  </si>
  <si>
    <t>S26-1252</t>
  </si>
  <si>
    <t>Gonzalo Petit</t>
  </si>
  <si>
    <t>S26-1253</t>
  </si>
  <si>
    <t>Mathis Amougou</t>
  </si>
  <si>
    <t>S26-1255</t>
  </si>
  <si>
    <t>Fábio Vieira</t>
  </si>
  <si>
    <t>S26-1256</t>
  </si>
  <si>
    <t>Kota Takai</t>
  </si>
  <si>
    <t>Sint-Truiden</t>
  </si>
  <si>
    <t>S26-1257</t>
  </si>
  <si>
    <t>Kastriot Imeri</t>
  </si>
  <si>
    <t>S26-1258</t>
  </si>
  <si>
    <t>Taylor Harwood-Bellis</t>
  </si>
  <si>
    <t>S26-1259</t>
  </si>
  <si>
    <t>Lazar Jovanovic</t>
  </si>
  <si>
    <t>S26-1260</t>
  </si>
  <si>
    <t>Maurits Kjaergaard</t>
  </si>
  <si>
    <t>S26-1261</t>
  </si>
  <si>
    <t>Mikey Moore</t>
  </si>
  <si>
    <t>S26-1262</t>
  </si>
  <si>
    <t>Christian Gomis</t>
  </si>
  <si>
    <t>S26-1264</t>
  </si>
  <si>
    <t>Dylan Leonard</t>
  </si>
  <si>
    <t>S26-1265</t>
  </si>
  <si>
    <t>Mahamadou Diawara</t>
  </si>
  <si>
    <t>Red Star</t>
  </si>
  <si>
    <t>S26-1266</t>
  </si>
  <si>
    <t>Honest Ahanor</t>
  </si>
  <si>
    <t>S26-1267</t>
  </si>
  <si>
    <t>S26-1268</t>
  </si>
  <si>
    <t>Cameron Humphreys</t>
  </si>
  <si>
    <t>S26-1269</t>
  </si>
  <si>
    <t>Botond Balogh</t>
  </si>
  <si>
    <t>S26-1270</t>
  </si>
  <si>
    <t>Rayan Philippe</t>
  </si>
  <si>
    <t>S26-1271</t>
  </si>
  <si>
    <t>Marko Farji</t>
  </si>
  <si>
    <t>S26-1272</t>
  </si>
  <si>
    <t>Moussa N'Diaye</t>
  </si>
  <si>
    <t>S26-1273</t>
  </si>
  <si>
    <t>Juan Berrocal</t>
  </si>
  <si>
    <t>S26-1274</t>
  </si>
  <si>
    <t>S26-1275</t>
  </si>
  <si>
    <t>Edoardo Iannoni</t>
  </si>
  <si>
    <t>S26-1276</t>
  </si>
  <si>
    <t>Branimir Mlacic</t>
  </si>
  <si>
    <t>S26-1277</t>
  </si>
  <si>
    <t>Filippo Delli Carri</t>
  </si>
  <si>
    <t>S26-1278</t>
  </si>
  <si>
    <t>Jérémy Hatchi</t>
  </si>
  <si>
    <t>S26-1279</t>
  </si>
  <si>
    <t>Joe Whitworth</t>
  </si>
  <si>
    <t>S26-1280</t>
  </si>
  <si>
    <t>Matias Fernandez-Pardo</t>
  </si>
  <si>
    <t>S26-1281</t>
  </si>
  <si>
    <t>Rui Modesto</t>
  </si>
  <si>
    <t>Vancouver Whitecaps</t>
  </si>
  <si>
    <t>S26-1282</t>
  </si>
  <si>
    <t>Arijon Ibrahimović</t>
  </si>
  <si>
    <t>S26-1283</t>
  </si>
  <si>
    <t>Timothé Nkada</t>
  </si>
  <si>
    <t>Standard Liège</t>
  </si>
  <si>
    <t>S26-1284</t>
  </si>
  <si>
    <t>Largie Ramazani</t>
  </si>
  <si>
    <t>S26-1285</t>
  </si>
  <si>
    <t>Paolo Vismara</t>
  </si>
  <si>
    <t>S26-1286</t>
  </si>
  <si>
    <t>Mattia Mannini</t>
  </si>
  <si>
    <t>S26-1287</t>
  </si>
  <si>
    <t>Pape Matar Sarr</t>
  </si>
  <si>
    <t>S26-1288</t>
  </si>
  <si>
    <t>Louey Ben Farhat</t>
  </si>
  <si>
    <t>S26-1289</t>
  </si>
  <si>
    <t>Habib Diallo</t>
  </si>
  <si>
    <t>S26-1290</t>
  </si>
  <si>
    <t>Jeanuël Belocian</t>
  </si>
  <si>
    <t>S26-1291</t>
  </si>
  <si>
    <t>Jean-Clair Todibo</t>
  </si>
  <si>
    <t>S26-1292</t>
  </si>
  <si>
    <t>Emir Sahiti</t>
  </si>
  <si>
    <t>Hannover 96</t>
  </si>
  <si>
    <t>S26-1293</t>
  </si>
  <si>
    <t>Harvey Elliott</t>
  </si>
  <si>
    <t>S26-1294</t>
  </si>
  <si>
    <t>Joyeux Masanka Bungi</t>
  </si>
  <si>
    <t>S26-1295</t>
  </si>
  <si>
    <t>Caleb Ekuban</t>
  </si>
  <si>
    <t>S26-1296</t>
  </si>
  <si>
    <t>Oliver Sørensen</t>
  </si>
  <si>
    <t>S26-1297</t>
  </si>
  <si>
    <t>Arthur</t>
  </si>
  <si>
    <t>S26-1298</t>
  </si>
  <si>
    <t>Niko Sigur</t>
  </si>
  <si>
    <t>Hajduk Split</t>
  </si>
  <si>
    <t>S26-1299</t>
  </si>
  <si>
    <t>Robinho Junior</t>
  </si>
  <si>
    <t>S26-1300</t>
  </si>
  <si>
    <t>Cameron Archer</t>
  </si>
  <si>
    <t>S26-1301</t>
  </si>
  <si>
    <t>Freddie Simmonds</t>
  </si>
  <si>
    <t>S26-1302</t>
  </si>
  <si>
    <t>Samuel Mbangula</t>
  </si>
  <si>
    <t>S26-1303</t>
  </si>
  <si>
    <t>Tudor Mendel</t>
  </si>
  <si>
    <t>S26-1304</t>
  </si>
  <si>
    <t>Jaden Heskey</t>
  </si>
  <si>
    <t>S26-1305</t>
  </si>
  <si>
    <t>Sam Chambers</t>
  </si>
  <si>
    <t>S26-1306</t>
  </si>
  <si>
    <t>Josh Powell</t>
  </si>
  <si>
    <t>S26-1308</t>
  </si>
  <si>
    <t>Caylan Vickers</t>
  </si>
  <si>
    <t>S26-1309</t>
  </si>
  <si>
    <t>Dan Gore</t>
  </si>
  <si>
    <t>S26-1310</t>
  </si>
  <si>
    <t>David Obou</t>
  </si>
  <si>
    <t>Örgryte</t>
  </si>
  <si>
    <t>S26-1311</t>
  </si>
  <si>
    <t>Kennedy Okpala</t>
  </si>
  <si>
    <t>S26-1312</t>
  </si>
  <si>
    <t>Diego Carlos</t>
  </si>
  <si>
    <t>S26-1313</t>
  </si>
  <si>
    <t>Andreas Hanche-Olsen</t>
  </si>
  <si>
    <t>S26-1314</t>
  </si>
  <si>
    <t>Jonathan Rowe</t>
  </si>
  <si>
    <t>S26-1315</t>
  </si>
  <si>
    <t>David Møller Wolfe</t>
  </si>
  <si>
    <t>S26-1316</t>
  </si>
  <si>
    <t>Ibrahim Sulemana</t>
  </si>
  <si>
    <t>S26-1317</t>
  </si>
  <si>
    <t>Theo Bair</t>
  </si>
  <si>
    <t>S26-1318</t>
  </si>
  <si>
    <t>Nicolas Kühn</t>
  </si>
  <si>
    <t>S26-1319</t>
  </si>
  <si>
    <t>André Almeida</t>
  </si>
  <si>
    <t>S26-1320</t>
  </si>
  <si>
    <t>Santiago Gimenez</t>
  </si>
  <si>
    <t>S26-1321</t>
  </si>
  <si>
    <t>Jay Enem</t>
  </si>
  <si>
    <t>S26-1322</t>
  </si>
  <si>
    <t>Guéla Doué</t>
  </si>
  <si>
    <t>S26-1323</t>
  </si>
  <si>
    <t>Beto</t>
  </si>
  <si>
    <t>S26-1324</t>
  </si>
  <si>
    <t>Félix Correia</t>
  </si>
  <si>
    <t>S26-1325</t>
  </si>
  <si>
    <t>Yukinari Sugawara</t>
  </si>
  <si>
    <t>S26-1326</t>
  </si>
  <si>
    <t>Axel Tuanzebe</t>
  </si>
  <si>
    <t>S26-1327</t>
  </si>
  <si>
    <t>Jesper Lindstrøm</t>
  </si>
  <si>
    <t>S26-1328</t>
  </si>
  <si>
    <t>S26-1329</t>
  </si>
  <si>
    <t>Deivid Washington</t>
  </si>
  <si>
    <t>S26-1330</t>
  </si>
  <si>
    <t>Mikel Goti</t>
  </si>
  <si>
    <t>S26-1331</t>
  </si>
  <si>
    <t>Guille Fernández</t>
  </si>
  <si>
    <t>S26-1332</t>
  </si>
  <si>
    <t>Moise Kean</t>
  </si>
  <si>
    <t>Add-ons/bonuses mentioned; Future purchase conditions mentioned; Blank quote does not mean zero loan fee; See Fee_Components</t>
  </si>
  <si>
    <t>S26-1333</t>
  </si>
  <si>
    <t>Albert Gudmundsson</t>
  </si>
  <si>
    <t>S26-1334</t>
  </si>
  <si>
    <t>Fodé Doucouré</t>
  </si>
  <si>
    <t>S26-1335</t>
  </si>
  <si>
    <t>Iván Azón</t>
  </si>
  <si>
    <t>S26-1336</t>
  </si>
  <si>
    <t>Rubén Sánchez</t>
  </si>
  <si>
    <t>S26-1337</t>
  </si>
  <si>
    <t>Zach Abbott</t>
  </si>
  <si>
    <t>S26-1338</t>
  </si>
  <si>
    <t>Lucca Brughmans</t>
  </si>
  <si>
    <t>S26-1339</t>
  </si>
  <si>
    <t>Ethan Nwaneri</t>
  </si>
  <si>
    <t>S26-1340</t>
  </si>
  <si>
    <t>Oluwaseun Ogbemudia</t>
  </si>
  <si>
    <t>Waldhof Mannheim</t>
  </si>
  <si>
    <t>S26-1341</t>
  </si>
  <si>
    <t>Ayodele Thomas</t>
  </si>
  <si>
    <t>S26-1342</t>
  </si>
  <si>
    <t>Exequiel Zeballos</t>
  </si>
  <si>
    <t>Boca Juniors</t>
  </si>
  <si>
    <t>S26-1343</t>
  </si>
  <si>
    <t>Dário Essugo</t>
  </si>
  <si>
    <t>S26-1344</t>
  </si>
  <si>
    <t>Jonathan David</t>
  </si>
  <si>
    <t>S26-1345</t>
  </si>
  <si>
    <t>Robert Sánchez</t>
  </si>
  <si>
    <t>S26-1346</t>
  </si>
  <si>
    <t>Eiran Cashin</t>
  </si>
  <si>
    <t>S26-1347</t>
  </si>
  <si>
    <t>Gustavo Puerta</t>
  </si>
  <si>
    <t>S26-1348</t>
  </si>
  <si>
    <t>Liam Millar</t>
  </si>
  <si>
    <t>S26-1349</t>
  </si>
  <si>
    <t>Andoni Gorosabel</t>
  </si>
  <si>
    <t>S26-1350</t>
  </si>
  <si>
    <t>Noah Edjouma</t>
  </si>
  <si>
    <t>S26-1351</t>
  </si>
  <si>
    <t>Lucas Stassin</t>
  </si>
  <si>
    <t>Saint-Etienne</t>
  </si>
  <si>
    <t>S26-1352</t>
  </si>
  <si>
    <t>Kevin Danso</t>
  </si>
  <si>
    <t>S26-1353</t>
  </si>
  <si>
    <t>Igor Julio</t>
  </si>
  <si>
    <t>S26-1354</t>
  </si>
  <si>
    <t>Boulaye Dia</t>
  </si>
  <si>
    <t>S26-1355</t>
  </si>
  <si>
    <t>Liam Kitching</t>
  </si>
  <si>
    <t>S26-1356</t>
  </si>
  <si>
    <t>Borna Sosa</t>
  </si>
  <si>
    <t>S26-1357</t>
  </si>
  <si>
    <t>Tay Abed</t>
  </si>
  <si>
    <t>S26-1358</t>
  </si>
  <si>
    <t>Roy Revivo</t>
  </si>
  <si>
    <t>Maccabi Tel Aviv</t>
  </si>
  <si>
    <t>S26-1359</t>
  </si>
  <si>
    <t>Morato</t>
  </si>
  <si>
    <t>S26-1360</t>
  </si>
  <si>
    <t>Godson Kyeremeh</t>
  </si>
  <si>
    <t>S26-1361</t>
  </si>
  <si>
    <t>Dujuan Richards</t>
  </si>
  <si>
    <t>S26-1362</t>
  </si>
  <si>
    <t>Elijah Campbell</t>
  </si>
  <si>
    <t>MK Dons</t>
  </si>
  <si>
    <t>S26-1363</t>
  </si>
  <si>
    <t>Brad Burrowes</t>
  </si>
  <si>
    <t>S26-1365</t>
  </si>
  <si>
    <t>Hwang Hee-chan</t>
  </si>
  <si>
    <t>S26-1366</t>
  </si>
  <si>
    <t>Neil El Aynaoui</t>
  </si>
  <si>
    <t>S26-1367</t>
  </si>
  <si>
    <t>Federico Cassa</t>
  </si>
  <si>
    <t>S26-1368</t>
  </si>
  <si>
    <t>George Abbott</t>
  </si>
  <si>
    <t>Mansfield Town</t>
  </si>
  <si>
    <t>S26-1369</t>
  </si>
  <si>
    <t>Sebastián Cáceres</t>
  </si>
  <si>
    <t>S26-1370</t>
  </si>
  <si>
    <t>Mujaid Sadick</t>
  </si>
  <si>
    <t>S26-1371</t>
  </si>
  <si>
    <t>Tom Wisbereit</t>
  </si>
  <si>
    <t>S26-1372</t>
  </si>
  <si>
    <t>Ibrahima Baldé</t>
  </si>
  <si>
    <t>Rodez</t>
  </si>
  <si>
    <t>S26-1373</t>
  </si>
  <si>
    <t>Álvaro Cortés</t>
  </si>
  <si>
    <t>S26-1374</t>
  </si>
  <si>
    <t>Manuel Ángel</t>
  </si>
  <si>
    <t>S26-1375</t>
  </si>
  <si>
    <t>Lilian Brassier</t>
  </si>
  <si>
    <t>S26-1376</t>
  </si>
  <si>
    <t>Youri Regeer</t>
  </si>
  <si>
    <t>S26-1377</t>
  </si>
  <si>
    <t>Alessandro Di Bitonto</t>
  </si>
  <si>
    <t>S26-1378</t>
  </si>
  <si>
    <t>Mark O'Mahony</t>
  </si>
  <si>
    <t>S26-1379</t>
  </si>
  <si>
    <t>Rolando Mandragora</t>
  </si>
  <si>
    <t>S26-1380</t>
  </si>
  <si>
    <t>Ndjicoura Bomba</t>
  </si>
  <si>
    <t>CS Bamako</t>
  </si>
  <si>
    <t>S26-1381</t>
  </si>
  <si>
    <t>Jeremiah Mensah</t>
  </si>
  <si>
    <t>S26-1382</t>
  </si>
  <si>
    <t>Tim Iroegbunam</t>
  </si>
  <si>
    <t>S26-1383</t>
  </si>
  <si>
    <t>Andrea Natali</t>
  </si>
  <si>
    <t>S26-1384</t>
  </si>
  <si>
    <t>Mykhailo Mudryk</t>
  </si>
  <si>
    <t>S26-1385</t>
  </si>
  <si>
    <t>Hugo Larsson</t>
  </si>
  <si>
    <t>S26-1386</t>
  </si>
  <si>
    <t>Toni Fernández</t>
  </si>
  <si>
    <t>S26-1387</t>
  </si>
  <si>
    <t>S26-1388</t>
  </si>
  <si>
    <t>Javier Fernández</t>
  </si>
  <si>
    <t>S26-1389</t>
  </si>
  <si>
    <t>Jens Cajuste</t>
  </si>
  <si>
    <t>S26-1390</t>
  </si>
  <si>
    <t>Wisdom Mike</t>
  </si>
  <si>
    <t>S26-1391</t>
  </si>
  <si>
    <t>Brooke Norton-Cuffy</t>
  </si>
  <si>
    <t>S26-1392</t>
  </si>
  <si>
    <t>Cody Drameh</t>
  </si>
  <si>
    <t>S26-1393</t>
  </si>
  <si>
    <t>Joane Gadou</t>
  </si>
  <si>
    <t>S26-1394</t>
  </si>
  <si>
    <t>Justin Lerma</t>
  </si>
  <si>
    <t>S26-1395</t>
  </si>
  <si>
    <t>Elias Benkara</t>
  </si>
  <si>
    <t>S26-1396</t>
  </si>
  <si>
    <t>Pablo García</t>
  </si>
  <si>
    <t>S26-1397</t>
  </si>
  <si>
    <t>Taycan Etcibasi</t>
  </si>
  <si>
    <t>S26-1398</t>
  </si>
  <si>
    <t>S26-1399</t>
  </si>
  <si>
    <t>Petar Ratkov</t>
  </si>
  <si>
    <t>S26-1400</t>
  </si>
  <si>
    <t>Niklas Süle</t>
  </si>
  <si>
    <t>SV Tiefenbach</t>
  </si>
  <si>
    <t>S26-1401</t>
  </si>
  <si>
    <t>Nathan Patterson</t>
  </si>
  <si>
    <t>S26-1403</t>
  </si>
  <si>
    <t>Tommy Setford</t>
  </si>
  <si>
    <t>S26-1404</t>
  </si>
  <si>
    <t>Jayden Meghoma</t>
  </si>
  <si>
    <t>S26-1405</t>
  </si>
  <si>
    <t>Pedro Gonçalves</t>
  </si>
  <si>
    <t>S26-1406</t>
  </si>
  <si>
    <t>Daniel Batz</t>
  </si>
  <si>
    <t>S26-1407</t>
  </si>
  <si>
    <t>Melvin Bard</t>
  </si>
  <si>
    <t>S26-1408</t>
  </si>
  <si>
    <t>Hugo Bolin</t>
  </si>
  <si>
    <t>S26-1409</t>
  </si>
  <si>
    <t>David Herold</t>
  </si>
  <si>
    <t>S26-1410</t>
  </si>
  <si>
    <t>Tosin Adarabioyo</t>
  </si>
  <si>
    <t>S26-1411</t>
  </si>
  <si>
    <t>Yukhym Konoplia</t>
  </si>
  <si>
    <t>S26-1412</t>
  </si>
  <si>
    <t>Marc Casadó</t>
  </si>
  <si>
    <t>S26-1413</t>
  </si>
  <si>
    <t>Zian Flemming</t>
  </si>
  <si>
    <t>S26-1414</t>
  </si>
  <si>
    <t>Chiedozie Ogbene</t>
  </si>
  <si>
    <t>S26-1415</t>
  </si>
  <si>
    <t>Emil Audero</t>
  </si>
  <si>
    <t>S26-1416</t>
  </si>
  <si>
    <t>Robinio Vaz</t>
  </si>
  <si>
    <t>S26-1417</t>
  </si>
  <si>
    <t>Soumaïla Coulibaly</t>
  </si>
  <si>
    <t>S26-1418</t>
  </si>
  <si>
    <t>Youssouf Fofana</t>
  </si>
  <si>
    <t>S26-1419</t>
  </si>
  <si>
    <t>Armario Cozier-Duberry</t>
  </si>
  <si>
    <t>S26-1421</t>
  </si>
  <si>
    <t>José María Giménez</t>
  </si>
  <si>
    <t>S26-1422</t>
  </si>
  <si>
    <t>Sorba Thomas</t>
  </si>
  <si>
    <t>S26-1423</t>
  </si>
  <si>
    <t>Chema Andrés</t>
  </si>
  <si>
    <t>S26-1424</t>
  </si>
  <si>
    <t>S26-1425</t>
  </si>
  <si>
    <t>Christos Mouzakitis</t>
  </si>
  <si>
    <t>S26-1426</t>
  </si>
  <si>
    <t>Kevin Lomónaco</t>
  </si>
  <si>
    <t>Independiente</t>
  </si>
  <si>
    <t>S26-1427</t>
  </si>
  <si>
    <t>Mirza Catovic</t>
  </si>
  <si>
    <t>S26-1428</t>
  </si>
  <si>
    <t>Unai Vencedor</t>
  </si>
  <si>
    <t>S26-1429</t>
  </si>
  <si>
    <t>David Affengruber</t>
  </si>
  <si>
    <t>S26-1430</t>
  </si>
  <si>
    <t>Ainsley Maitland-Niles</t>
  </si>
  <si>
    <t>S26-1431</t>
  </si>
  <si>
    <t>Malick Fofana</t>
  </si>
  <si>
    <t>S26-1432</t>
  </si>
  <si>
    <t>David Ozoh</t>
  </si>
  <si>
    <t>S26-1433</t>
  </si>
  <si>
    <t>Quinten Timber</t>
  </si>
  <si>
    <t>S26-1434</t>
  </si>
  <si>
    <t>Jean-Mattéo Bahoya</t>
  </si>
  <si>
    <t>Future purchase conditions mentioned; Blank quote does not mean zero loan fee; After main leagues deadline; retained under source summer coverage</t>
  </si>
  <si>
    <t>S26-1435</t>
  </si>
  <si>
    <t>Darío Osorio</t>
  </si>
  <si>
    <t>Blank quote does not mean zero loan fee; After main leagues deadline; retained under source summer coverage</t>
  </si>
  <si>
    <t>S26-1436</t>
  </si>
  <si>
    <t>Michael Zetterer</t>
  </si>
  <si>
    <t>S26-1437</t>
  </si>
  <si>
    <t>Femi Azeez</t>
  </si>
  <si>
    <t>S26-1438</t>
  </si>
  <si>
    <t>Damola Ajayi</t>
  </si>
  <si>
    <t>S26-1439</t>
  </si>
  <si>
    <t>Kamari Doyle</t>
  </si>
  <si>
    <t>S26-1440</t>
  </si>
  <si>
    <t>Adama Boiro</t>
  </si>
  <si>
    <t>S26-1441</t>
  </si>
  <si>
    <t>Yvan Neyou</t>
  </si>
  <si>
    <t>Volos</t>
  </si>
  <si>
    <t>S26-1442</t>
  </si>
  <si>
    <t>S26-1443</t>
  </si>
  <si>
    <t>Julian Pauli</t>
  </si>
  <si>
    <t>Odense</t>
  </si>
  <si>
    <t>S26-1444</t>
  </si>
  <si>
    <t>Thilo Kehrer</t>
  </si>
  <si>
    <t>S26-1445</t>
  </si>
  <si>
    <t>El Chadaille Bitshiabu</t>
  </si>
  <si>
    <t>S26-1447</t>
  </si>
  <si>
    <t>Juma Bah</t>
  </si>
  <si>
    <t>S26-1448</t>
  </si>
  <si>
    <t>Romain Esse</t>
  </si>
  <si>
    <t>S26-1449</t>
  </si>
  <si>
    <t>Justin Devenny</t>
  </si>
  <si>
    <t>S26-1450</t>
  </si>
  <si>
    <t>S26-1451</t>
  </si>
  <si>
    <t>Oliver Dovin</t>
  </si>
  <si>
    <t>S26-1453</t>
  </si>
  <si>
    <t>Enzo Leopold</t>
  </si>
  <si>
    <t>S26-1454</t>
  </si>
  <si>
    <t>Jan Leszczynski</t>
  </si>
  <si>
    <t>Legia Warsaw</t>
  </si>
  <si>
    <t>S26-1455</t>
  </si>
  <si>
    <t>Niko Horvat</t>
  </si>
  <si>
    <t>Zulte Waregem</t>
  </si>
  <si>
    <t>S26-1456</t>
  </si>
  <si>
    <t>S26-1457</t>
  </si>
  <si>
    <t>Niklas Swider</t>
  </si>
  <si>
    <t>Viktoria Köln</t>
  </si>
  <si>
    <t>S26-1458</t>
  </si>
  <si>
    <t>Nathanaël Mbuku</t>
  </si>
  <si>
    <t>S26-1459</t>
  </si>
  <si>
    <t>Lasso Coulibaly</t>
  </si>
  <si>
    <t>S26-1460</t>
  </si>
  <si>
    <t>Carlos Martín</t>
  </si>
  <si>
    <t>S26-1461</t>
  </si>
  <si>
    <t>Mounaïm El Idrissy</t>
  </si>
  <si>
    <t>Raja Casablanca</t>
  </si>
  <si>
    <t>S26-1462</t>
  </si>
  <si>
    <t>Claudio Echeverri</t>
  </si>
  <si>
    <t>S26-1463</t>
  </si>
  <si>
    <t>Chido Obi</t>
  </si>
  <si>
    <t>Willem II</t>
  </si>
  <si>
    <t>S26-1464</t>
  </si>
  <si>
    <t>Leon Bailey</t>
  </si>
  <si>
    <t>S26-1465</t>
  </si>
  <si>
    <t>Tomas Cvancara</t>
  </si>
  <si>
    <t>Hradec Kralove</t>
  </si>
  <si>
    <t>S26-1466</t>
  </si>
  <si>
    <t>Martin James</t>
  </si>
  <si>
    <t>S26-1467</t>
  </si>
  <si>
    <t>S26-1468</t>
  </si>
  <si>
    <t>Elias Bakatukanda</t>
  </si>
  <si>
    <t>S26-1470</t>
  </si>
  <si>
    <t>Patrik Kristal</t>
  </si>
  <si>
    <t>S26-1472</t>
  </si>
  <si>
    <t>Eric Martel</t>
  </si>
  <si>
    <t>S26-1473</t>
  </si>
  <si>
    <t>Rayane Belaid</t>
  </si>
  <si>
    <t>S26-1474</t>
  </si>
  <si>
    <t>Carlos Álvarez</t>
  </si>
  <si>
    <t>S26-1475</t>
  </si>
  <si>
    <t>Yann Gboho</t>
  </si>
  <si>
    <t>S26-1476</t>
  </si>
  <si>
    <t>Elijah Odede</t>
  </si>
  <si>
    <t>S26-1477</t>
  </si>
  <si>
    <t>Brad Mantsounga</t>
  </si>
  <si>
    <t>RE Virton</t>
  </si>
  <si>
    <t>S26-1478</t>
  </si>
  <si>
    <t>Axel Camblan</t>
  </si>
  <si>
    <t>S26-1479</t>
  </si>
  <si>
    <t>Xavi Grande</t>
  </si>
  <si>
    <t>Académica de Coimbra</t>
  </si>
  <si>
    <t>S26-1480</t>
  </si>
  <si>
    <t>Matheus França</t>
  </si>
  <si>
    <t>S26-1481</t>
  </si>
  <si>
    <t>Jesurun Rak-Sakyi</t>
  </si>
  <si>
    <t>S26-1482</t>
  </si>
  <si>
    <t>Issiaka Kamate</t>
  </si>
  <si>
    <t>S26-1483</t>
  </si>
  <si>
    <t>Gerónimo Spina</t>
  </si>
  <si>
    <t>S26-1484</t>
  </si>
  <si>
    <t>Iker Luque</t>
  </si>
  <si>
    <t>S26-1485</t>
  </si>
  <si>
    <t>Charlie Patiño</t>
  </si>
  <si>
    <t>S26-1486</t>
  </si>
  <si>
    <t>Héctor Fort</t>
  </si>
  <si>
    <t>S26-1487</t>
  </si>
  <si>
    <t>Oscar Naasei</t>
  </si>
  <si>
    <t>S26-1488</t>
  </si>
  <si>
    <t>Javier Boñar</t>
  </si>
  <si>
    <t>S26-1489</t>
  </si>
  <si>
    <t>Giovani Versini</t>
  </si>
  <si>
    <t>S26-1490</t>
  </si>
  <si>
    <t>Keito Nakamura</t>
  </si>
  <si>
    <t>S26-1491</t>
  </si>
  <si>
    <t>Srdjan Kuzmic</t>
  </si>
  <si>
    <t>S26-1492</t>
  </si>
  <si>
    <t>Casper Tengstedt</t>
  </si>
  <si>
    <t>S26-1493</t>
  </si>
  <si>
    <t>Pape Diong</t>
  </si>
  <si>
    <t>S26-1494</t>
  </si>
  <si>
    <t>Jacques Ekomié</t>
  </si>
  <si>
    <t>S26-1495</t>
  </si>
  <si>
    <t>Amar Fatah</t>
  </si>
  <si>
    <t>S26-1496</t>
  </si>
  <si>
    <t>Mory Diaw</t>
  </si>
  <si>
    <t>Al-Shabab</t>
  </si>
  <si>
    <t>S26-1497</t>
  </si>
  <si>
    <t>Joseph Kalulu</t>
  </si>
  <si>
    <t>S26-1499</t>
  </si>
  <si>
    <t>Kiano Dyer</t>
  </si>
  <si>
    <t>S26-1500</t>
  </si>
  <si>
    <t>Mathys De Carvalho</t>
  </si>
  <si>
    <t>S26-1501</t>
  </si>
  <si>
    <t>Matty Jacob</t>
  </si>
  <si>
    <t>S26-1502</t>
  </si>
  <si>
    <t>Luka Lynch</t>
  </si>
  <si>
    <t>S26-1503</t>
  </si>
  <si>
    <t>Francisco Sierralta</t>
  </si>
  <si>
    <t>Piast Gliwice</t>
  </si>
  <si>
    <t>S26-1504</t>
  </si>
  <si>
    <t>Kristijan Jakic</t>
  </si>
  <si>
    <t>S26-1505</t>
  </si>
  <si>
    <t>Jesper Karlsson</t>
  </si>
  <si>
    <t>S26-1506</t>
  </si>
  <si>
    <t>Edoardo Piana</t>
  </si>
  <si>
    <t>Koper</t>
  </si>
  <si>
    <t>S26-1507</t>
  </si>
  <si>
    <t>Sean Neave</t>
  </si>
  <si>
    <t>S26-1508</t>
  </si>
  <si>
    <t>Josh Robertson</t>
  </si>
  <si>
    <t>Fleetwood Town</t>
  </si>
  <si>
    <t>S26-1509</t>
  </si>
  <si>
    <t>Cristian Perea</t>
  </si>
  <si>
    <t>CFR Cluj</t>
  </si>
  <si>
    <t>S26-1510</t>
  </si>
  <si>
    <t>Diogo Leite</t>
  </si>
  <si>
    <t>S26-1511</t>
  </si>
  <si>
    <t>Harry Vaughan</t>
  </si>
  <si>
    <t>Bohemians</t>
  </si>
  <si>
    <t>S26-1512</t>
  </si>
  <si>
    <t>Ryan Trevitt</t>
  </si>
  <si>
    <t>S26-1513</t>
  </si>
  <si>
    <t>Benjamin Arthur</t>
  </si>
  <si>
    <t>S26-1514</t>
  </si>
  <si>
    <t>Julian Eyestone</t>
  </si>
  <si>
    <t>S26-1515</t>
  </si>
  <si>
    <t>Leo Shahar</t>
  </si>
  <si>
    <t>S26-1516</t>
  </si>
  <si>
    <t>Wilfried Gnonto</t>
  </si>
  <si>
    <t>S26-1517</t>
  </si>
  <si>
    <t>Josué Casimir</t>
  </si>
  <si>
    <t>Dinamo Moscow</t>
  </si>
  <si>
    <t>S26-1518</t>
  </si>
  <si>
    <t>Nikola Maras</t>
  </si>
  <si>
    <t>OFK Beograd</t>
  </si>
  <si>
    <t>S26-1519</t>
  </si>
  <si>
    <t>David Akintola</t>
  </si>
  <si>
    <t>Omonia Nicosia</t>
  </si>
  <si>
    <t>S26-1520</t>
  </si>
  <si>
    <t>Luc De Fougerolles</t>
  </si>
  <si>
    <t>S26-1521</t>
  </si>
  <si>
    <t>Will Dennis</t>
  </si>
  <si>
    <t>S26-0007</t>
  </si>
  <si>
    <t>Already in workbook</t>
  </si>
  <si>
    <t>S26-0010</t>
  </si>
  <si>
    <t>Early announcement; source assigns to summer window; Announcement date differs from workbook transfer date</t>
  </si>
  <si>
    <t>S26-0020</t>
  </si>
  <si>
    <t>Announcement date differs from workbook transfer date</t>
  </si>
  <si>
    <t>S26-0095</t>
  </si>
  <si>
    <t>S26-0130</t>
  </si>
  <si>
    <t>S26-0196</t>
  </si>
  <si>
    <t>S26-0200</t>
  </si>
  <si>
    <t>S26-0252</t>
  </si>
  <si>
    <t>S26-0492</t>
  </si>
  <si>
    <t>S26-0779</t>
  </si>
  <si>
    <t>S26-0843</t>
  </si>
  <si>
    <t>S26-1012</t>
  </si>
  <si>
    <t>S26-1058</t>
  </si>
  <si>
    <t>Add-ons/bonuses mentioned; See Fee_Components; Announcement date differs from workbook transfer date</t>
  </si>
  <si>
    <t>S26-1119</t>
  </si>
  <si>
    <t>S26-1230</t>
  </si>
  <si>
    <t>S26-1254</t>
  </si>
  <si>
    <t>S26-1364</t>
  </si>
  <si>
    <t>S26-1420</t>
  </si>
  <si>
    <t>S26-0004</t>
  </si>
  <si>
    <t>David Alaba</t>
  </si>
  <si>
    <t>Released</t>
  </si>
  <si>
    <t>Retirement or release; not a transfer fee; Early announcement; source assigns to summer window</t>
  </si>
  <si>
    <t>S26-0005</t>
  </si>
  <si>
    <t>César Azpilicueta</t>
  </si>
  <si>
    <t>Retired</t>
  </si>
  <si>
    <t>S26-0012</t>
  </si>
  <si>
    <t>James Milner</t>
  </si>
  <si>
    <t>Retirement or release; not a transfer fee</t>
  </si>
  <si>
    <t>S26-0116</t>
  </si>
  <si>
    <t>Solly March</t>
  </si>
  <si>
    <t>S26-0119</t>
  </si>
  <si>
    <t>Séamus Coleman</t>
  </si>
  <si>
    <t>S26-0140</t>
  </si>
  <si>
    <t>Dani Ceballos</t>
  </si>
  <si>
    <t>S26-0154</t>
  </si>
  <si>
    <t>Wilitty Younoussa</t>
  </si>
  <si>
    <t>Neither club in source top-five roster</t>
  </si>
  <si>
    <t>S26-0448</t>
  </si>
  <si>
    <t>Daniel Klein</t>
  </si>
  <si>
    <t>S26-0464</t>
  </si>
  <si>
    <t>Raphaël Guerreiro</t>
  </si>
  <si>
    <t>S26-0544</t>
  </si>
  <si>
    <t>Modou Kéba Cissé</t>
  </si>
  <si>
    <t>LASK</t>
  </si>
  <si>
    <t>Pre-contract agreemen</t>
  </si>
  <si>
    <t>Future arrival; outside summer-2026 completion</t>
  </si>
  <si>
    <t>S26-0549</t>
  </si>
  <si>
    <t>Adam Webster</t>
  </si>
  <si>
    <t>S26-0597</t>
  </si>
  <si>
    <t>Hugo Pérez</t>
  </si>
  <si>
    <t>Torreense</t>
  </si>
  <si>
    <t>Fre</t>
  </si>
  <si>
    <t>Malformed source transfer type</t>
  </si>
  <si>
    <t>S26-0642</t>
  </si>
  <si>
    <t>Luismi</t>
  </si>
  <si>
    <t>S26-0814</t>
  </si>
  <si>
    <t>Raphael Kofler</t>
  </si>
  <si>
    <t>Source type Fee but description says loan with conditional purchase; Future purchase conditions mentioned</t>
  </si>
  <si>
    <t>S26-0824</t>
  </si>
  <si>
    <t>Samuel Martínez</t>
  </si>
  <si>
    <t>Atlético Nacional</t>
  </si>
  <si>
    <t>joining in 2027</t>
  </si>
  <si>
    <t>S26-0851</t>
  </si>
  <si>
    <t>Ismaël Bennacer</t>
  </si>
  <si>
    <t>S26-0893</t>
  </si>
  <si>
    <t>Rabby Nzingoula</t>
  </si>
  <si>
    <t>Fee-status conflict: undisclosed with numeric quote</t>
  </si>
  <si>
    <t>S26-0964</t>
  </si>
  <si>
    <t>Ciro Immobile</t>
  </si>
  <si>
    <t>S26-0965</t>
  </si>
  <si>
    <t>Zachary Athekame</t>
  </si>
  <si>
    <t>Missing announcement date; Blank quote does not mean zero loan fee</t>
  </si>
  <si>
    <t>S26-1091</t>
  </si>
  <si>
    <t>Matías Vecino</t>
  </si>
  <si>
    <t>S26-1263</t>
  </si>
  <si>
    <t>Aris Bayindir</t>
  </si>
  <si>
    <t>S26-1307</t>
  </si>
  <si>
    <t>Thomas Kastanaras</t>
  </si>
  <si>
    <t>Würzburg</t>
  </si>
  <si>
    <t>S26-1402</t>
  </si>
  <si>
    <t>Thierry Tazemeta</t>
  </si>
  <si>
    <t>S26-1446</t>
  </si>
  <si>
    <t>Marco Richter</t>
  </si>
  <si>
    <t>Retirement or release; not a transfer fee; After main leagues deadline; retained under source summer coverage</t>
  </si>
  <si>
    <t>S26-1452</t>
  </si>
  <si>
    <t>Carles Pérez</t>
  </si>
  <si>
    <t>S26-1469</t>
  </si>
  <si>
    <t>Florian Kainz</t>
  </si>
  <si>
    <t>S26-1471</t>
  </si>
  <si>
    <t>Luca Kilian</t>
  </si>
  <si>
    <t>S26-1498</t>
  </si>
  <si>
    <t>Djylian N'Guessan</t>
  </si>
  <si>
    <t>Future arrival; outside summer-2026 completion; After main leagues deadline; retained under source summer coverage</t>
  </si>
  <si>
    <t>component</t>
  </si>
  <si>
    <t>amount</t>
  </si>
  <si>
    <t>currency</t>
  </si>
  <si>
    <t>note</t>
  </si>
  <si>
    <t>Add-ons maximum</t>
  </si>
  <si>
    <t>EUR</t>
  </si>
  <si>
    <t>Reported in source detail; do not add potential totals to base fees or future purchases to current spend.</t>
  </si>
  <si>
    <t>GBP</t>
  </si>
  <si>
    <t>Base fee</t>
  </si>
  <si>
    <t>Potential total</t>
  </si>
  <si>
    <t>Future purchase obligation</t>
  </si>
  <si>
    <t>Future purchase option</t>
  </si>
  <si>
    <t>Future purchase price</t>
  </si>
  <si>
    <t>Numeric price on source loan row.</t>
  </si>
  <si>
    <t>Conditional bonuses</t>
  </si>
  <si>
    <t>Loan fee plus add-ons combined</t>
  </si>
  <si>
    <t>Add-ons included in quoted amount</t>
  </si>
  <si>
    <t>https://app.standard.co.uk/sport/football/de-zerbi-savio-warning-tottenham-b1294639.html</t>
  </si>
  <si>
    <t>Reported by secondary fee source; base and add-ons separately identified.</t>
  </si>
  <si>
    <t>https://www.youtube.com/watch?v=PehqAJSZQ5M</t>
  </si>
  <si>
    <t>finding</t>
  </si>
  <si>
    <t>base_fee</t>
  </si>
  <si>
    <t>addons_max</t>
  </si>
  <si>
    <t>checked_date</t>
  </si>
  <si>
    <t>Transfer confirmed; no fee disclosed by club</t>
  </si>
  <si>
    <t>https://www.tottenhamhotspur.com/news/1086712/savio-joins-from-manchester-city</t>
  </si>
  <si>
    <t>Reported base plus add-ons</t>
  </si>
  <si>
    <t>Fee conflict: Sky reports EUR65m plus EUR5m</t>
  </si>
  <si>
    <t>https://sport.sky.it/calciomercato/2026/06/30/milan-goncalo-ramos-ufficiale-calciomercato-news</t>
  </si>
  <si>
    <t>Fee conflict: Mundo Deportivo reports EUR74m plus unspecified bonuses</t>
  </si>
  <si>
    <t>https://www.mundodeportivo.com/futbol/fichajes/oficial/20260630/1004201207/fichaje-historico-italia.html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</si>
</sst>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5" formatCode="dd\ mmm\ yyyy"/>
    <numFmt numFmtId="166" formatCode="&quot;€&quot;#,##0"/>
    <numFmt numFmtId="167" formatCode="0.00&quot;x&quot;"/>
    <numFmt numFmtId="168" formatCode="dd mmm yyyy"/>
    <numFmt numFmtId="169" formatCode="#,##0"/>
    <numFmt numFmtId="170" formatCode="0"/>
    <numFmt numFmtId="171" formatCode="0.0"/>
    <numFmt numFmtId="172" formatCode="0%"/>
    <numFmt numFmtId="173" formatCode="&quot;€&quot;#,##0"/>
    <numFmt numFmtId="174" formatCode="0"/>
    <numFmt numFmtId="175" formatCode="dd mmm yyyy"/>
    <numFmt numFmtId="176" formatCode="#,##0"/>
    <numFmt numFmtId="177" formatCode="0"/>
    <numFmt numFmtId="178" formatCode="0.0"/>
    <numFmt numFmtId="179" formatCode="0%"/>
  </numFmts>
  <fonts count="27" x14ac:knownFonts="1">
    <font>
      <sz val="11"/>
      <color theme="1"/>
      <name val="Calibri"/>
      <family val="2"/>
      <scheme val="minor"/>
    </font>
    <font>
      <sz val="11"/>
      <color rgb="FF243B53"/>
      <name val="Calibri"/>
      <family val="2"/>
      <scheme val="minor"/>
    </font>
    <font>
      <b/>
      <sz val="11"/>
      <color rgb="FFFFFFFF"/>
      <name val="Segoe UI"/>
    </font>
    <font>
      <b/>
      <sz val="11"/>
      <color rgb="FFFFFFFF"/>
      <name val="Calibri"/>
      <family val="2"/>
      <scheme val="minor"/>
    </font>
    <font>
      <b/>
      <sz val="17"/>
      <color rgb="FF102A43"/>
      <name val="Segoe UI"/>
    </font>
    <font>
      <b/>
      <sz val="11"/>
      <color rgb="FF087F5B"/>
      <name val="Calibri"/>
      <family val="2"/>
      <scheme val="minor"/>
    </font>
    <font>
      <b/>
      <sz val="15"/>
      <color rgb="FF102A43"/>
      <name val="Calibri"/>
      <family val="2"/>
      <scheme val="minor"/>
    </font>
    <font>
      <b/>
      <sz val="11"/>
      <color rgb="FFA97C24"/>
      <name val="Segoe UI"/>
    </font>
    <font>
      <b/>
      <sz val="13"/>
      <color rgb="FF102A43"/>
      <name val="Calibri"/>
      <family val="2"/>
      <scheme val="minor"/>
    </font>
    <font>
      <b/>
      <sz val="17"/>
      <color rgb="FF102A43"/>
      <name val="Calibri"/>
      <family val="2"/>
      <scheme val="minor"/>
    </font>
    <font>
      <sz val="11"/>
      <color rgb="FF627D98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4"/>
      <color rgb="FF087F5B"/>
      <name val="Calibri"/>
      <family val="2"/>
      <scheme val="minor"/>
    </font>
    <font>
      <i/>
      <sz val="11"/>
      <color rgb="FF627D98"/>
      <name val="Calibri"/>
      <family val="2"/>
      <scheme val="minor"/>
    </font>
    <font>
      <sz val="11"/>
      <color rgb="FFA97C24"/>
      <name val="Calibri"/>
      <family val="2"/>
      <scheme val="minor"/>
    </font>
    <font>
      <sz val="11"/>
      <color rgb="FF0E8F9A"/>
      <name val="Calibri"/>
      <family val="2"/>
      <scheme val="minor"/>
    </font>
    <font>
      <sz val="11"/>
      <name val="Carlito"/>
    </font>
    <font>
      <sz val="11"/>
      <color rgb="FF243B53"/>
      <name val="Segoe UI"/>
    </font>
    <font>
      <b/>
      <sz val="16"/>
      <color rgb="FF102A43"/>
      <name val="Segoe UI"/>
    </font>
    <font>
      <b/>
      <sz val="11"/>
      <color rgb="FFFFFFFF"/>
      <name val="Segoe UI"/>
    </font>
    <font>
      <sz val="11"/>
      <name val="Carlito"/>
    </font>
    <font>
      <sz val="11"/>
      <color rgb="FF243B53"/>
      <name val="Segoe UI"/>
    </font>
    <font>
      <b/>
      <sz val="11"/>
      <color rgb="FFFFFFFF"/>
      <name val="Segoe UI"/>
    </font>
    <font>
      <sz val="11"/>
      <name val="Carlito"/>
    </font>
    <font>
      <sz val="11"/>
      <color rgb="FF243B53"/>
      <name val="Segoe UI"/>
    </font>
    <font>
      <b/>
      <sz val="16"/>
      <color rgb="FF102A43"/>
      <name val="Segoe UI"/>
    </font>
    <font>
      <b/>
      <sz val="11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2F6F9"/>
      </patternFill>
    </fill>
    <fill>
      <patternFill patternType="solid">
        <fgColor rgb="FF102A43"/>
      </patternFill>
    </fill>
    <fill>
      <patternFill patternType="solid">
        <fgColor rgb="FFE8F4EF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2F6F9"/>
      </patternFill>
    </fill>
    <fill>
      <patternFill patternType="solid">
        <fgColor rgb="FFFFF4DC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FF4DC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2F6F9"/>
      </patternFill>
    </fill>
    <fill>
      <patternFill patternType="solid">
        <fgColor rgb="FFFFF4DC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87F5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16" fillId="6" borderId="3"/>
    <xf numFmtId="0" fontId="20" fillId="11" borderId="4"/>
    <xf numFmtId="0" fontId="23" fillId="15" borderId="5"/>
  </cellStyleXfs>
  <cellXfs count="87">
    <xf numFmtId="0" fontId="0" fillId="0" borderId="0" xfId="0"/>
    <xf numFmtId="0" fontId="1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vertical="center"/>
    </xf>
    <xf numFmtId="165" fontId="1" fillId="3" borderId="1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3" fontId="8" fillId="2" borderId="1" xfId="0" applyNumberFormat="1" applyFont="1" applyFill="1" applyBorder="1" applyAlignment="1">
      <alignment vertical="center"/>
    </xf>
    <xf numFmtId="3" fontId="8" fillId="3" borderId="1" xfId="0" applyNumberFormat="1" applyFont="1" applyFill="1" applyBorder="1" applyAlignment="1">
      <alignment vertical="center"/>
    </xf>
    <xf numFmtId="166" fontId="8" fillId="2" borderId="1" xfId="0" applyNumberFormat="1" applyFont="1" applyFill="1" applyBorder="1" applyAlignment="1">
      <alignment vertical="center"/>
    </xf>
    <xf numFmtId="166" fontId="8" fillId="3" borderId="1" xfId="0" applyNumberFormat="1" applyFont="1" applyFill="1" applyBorder="1" applyAlignment="1">
      <alignment vertical="center"/>
    </xf>
    <xf numFmtId="167" fontId="8" fillId="2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166" fontId="1" fillId="3" borderId="1" xfId="0" applyNumberFormat="1" applyFont="1" applyFill="1" applyBorder="1" applyAlignment="1">
      <alignment vertical="center"/>
    </xf>
    <xf numFmtId="166" fontId="1" fillId="2" borderId="1" xfId="0" applyNumberFormat="1" applyFont="1" applyFill="1" applyBorder="1" applyAlignment="1">
      <alignment vertical="center"/>
    </xf>
    <xf numFmtId="3" fontId="1" fillId="3" borderId="1" xfId="0" applyNumberFormat="1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67" fontId="1" fillId="2" borderId="1" xfId="0" applyNumberFormat="1" applyFont="1" applyFill="1" applyBorder="1" applyAlignment="1">
      <alignment vertical="center"/>
    </xf>
    <xf numFmtId="167" fontId="1" fillId="3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vertical="center"/>
    </xf>
    <xf numFmtId="3" fontId="12" fillId="3" borderId="1" xfId="0" applyNumberFormat="1" applyFont="1" applyFill="1" applyBorder="1" applyAlignment="1">
      <alignment vertical="center"/>
    </xf>
    <xf numFmtId="3" fontId="11" fillId="3" borderId="1" xfId="0" applyNumberFormat="1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6" fillId="6" borderId="3" xfId="1"/>
    <xf numFmtId="0" fontId="17" fillId="6" borderId="3" xfId="1" applyNumberFormat="1" applyFont="1" applyFill="1" applyBorder="1"/>
    <xf numFmtId="0" fontId="17" fillId="6" borderId="3" xfId="1" applyNumberFormat="1" applyFont="1" applyFill="1" applyBorder="1" applyAlignment="1">
      <alignment vertical="center"/>
    </xf>
    <xf numFmtId="0" fontId="18" fillId="6" borderId="3" xfId="1" applyNumberFormat="1" applyFont="1" applyFill="1" applyBorder="1" applyAlignment="1">
      <alignment vertical="center"/>
    </xf>
    <xf numFmtId="0" fontId="17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 wrapText="1"/>
    </xf>
    <xf numFmtId="0" fontId="19" fillId="8" borderId="3" xfId="1" applyNumberFormat="1" applyFont="1" applyFill="1" applyBorder="1" applyAlignment="1">
      <alignment horizontal="center" vertical="center" wrapText="1"/>
    </xf>
    <xf numFmtId="0" fontId="17" fillId="9" borderId="3" xfId="1" applyNumberFormat="1" applyFont="1" applyFill="1" applyBorder="1" applyAlignment="1">
      <alignment vertical="center"/>
    </xf>
    <xf numFmtId="168" fontId="17" fillId="6" borderId="3" xfId="1" applyNumberFormat="1" applyFont="1" applyFill="1" applyBorder="1" applyAlignment="1">
      <alignment vertical="center"/>
    </xf>
    <xf numFmtId="168" fontId="17" fillId="9" borderId="3" xfId="1" applyNumberFormat="1" applyFont="1" applyFill="1" applyBorder="1" applyAlignment="1">
      <alignment vertical="center"/>
    </xf>
    <xf numFmtId="169" fontId="17" fillId="6" borderId="3" xfId="1" applyNumberFormat="1" applyFont="1" applyFill="1" applyBorder="1" applyAlignment="1">
      <alignment vertical="center"/>
    </xf>
    <xf numFmtId="169" fontId="17" fillId="9" borderId="3" xfId="1" applyNumberFormat="1" applyFont="1" applyFill="1" applyBorder="1" applyAlignment="1">
      <alignment vertical="center"/>
    </xf>
    <xf numFmtId="170" fontId="17" fillId="6" borderId="3" xfId="1" applyNumberFormat="1" applyFont="1" applyFill="1" applyBorder="1" applyAlignment="1">
      <alignment vertical="center"/>
    </xf>
    <xf numFmtId="170" fontId="17" fillId="9" borderId="3" xfId="1" applyNumberFormat="1" applyFont="1" applyFill="1" applyBorder="1" applyAlignment="1">
      <alignment vertical="center"/>
    </xf>
    <xf numFmtId="171" fontId="17" fillId="6" borderId="3" xfId="1" applyNumberFormat="1" applyFont="1" applyFill="1" applyBorder="1" applyAlignment="1">
      <alignment vertical="center"/>
    </xf>
    <xf numFmtId="171" fontId="17" fillId="9" borderId="3" xfId="1" applyNumberFormat="1" applyFont="1" applyFill="1" applyBorder="1" applyAlignment="1">
      <alignment vertical="center"/>
    </xf>
    <xf numFmtId="172" fontId="17" fillId="6" borderId="3" xfId="1" applyNumberFormat="1" applyFont="1" applyFill="1" applyBorder="1" applyAlignment="1">
      <alignment vertical="center"/>
    </xf>
    <xf numFmtId="0" fontId="17" fillId="6" borderId="3" xfId="1" applyNumberFormat="1" applyFont="1" applyFill="1" applyBorder="1" applyAlignment="1">
      <alignment vertical="center" wrapText="1"/>
    </xf>
    <xf numFmtId="171" fontId="17" fillId="10" borderId="3" xfId="1" applyNumberFormat="1" applyFont="1" applyFill="1" applyBorder="1" applyAlignment="1">
      <alignment vertical="center"/>
    </xf>
    <xf numFmtId="0" fontId="20" fillId="11" borderId="4" xfId="2"/>
    <xf numFmtId="0" fontId="21" fillId="11" borderId="4" xfId="2" applyNumberFormat="1" applyFont="1" applyFill="1" applyBorder="1"/>
    <xf numFmtId="0" fontId="21" fillId="13" borderId="4" xfId="2" applyNumberFormat="1" applyFont="1" applyFill="1" applyBorder="1"/>
    <xf numFmtId="0" fontId="22" fillId="13" borderId="4" xfId="2" applyNumberFormat="1" applyFont="1" applyFill="1" applyBorder="1"/>
    <xf numFmtId="0" fontId="22" fillId="13" borderId="4" xfId="2" applyNumberFormat="1" applyFont="1" applyFill="1" applyBorder="1" applyAlignment="1">
      <alignment wrapText="1"/>
    </xf>
    <xf numFmtId="0" fontId="21" fillId="14" borderId="4" xfId="2" applyNumberFormat="1" applyFont="1" applyFill="1" applyBorder="1"/>
    <xf numFmtId="173" fontId="21" fillId="14" borderId="4" xfId="2" applyNumberFormat="1" applyFont="1" applyFill="1" applyBorder="1"/>
    <xf numFmtId="173" fontId="21" fillId="11" borderId="4" xfId="2" applyNumberFormat="1" applyFont="1" applyFill="1" applyBorder="1"/>
    <xf numFmtId="174" fontId="21" fillId="11" borderId="4" xfId="2" applyNumberFormat="1" applyFont="1" applyFill="1" applyBorder="1"/>
    <xf numFmtId="0" fontId="23" fillId="15" borderId="5" xfId="3"/>
    <xf numFmtId="0" fontId="24" fillId="15" borderId="5" xfId="3" applyNumberFormat="1" applyFont="1" applyFill="1" applyBorder="1"/>
    <xf numFmtId="0" fontId="24" fillId="15" borderId="5" xfId="3" applyNumberFormat="1" applyFont="1" applyFill="1" applyBorder="1" applyAlignment="1">
      <alignment vertical="center"/>
    </xf>
    <xf numFmtId="0" fontId="25" fillId="15" borderId="5" xfId="3" applyNumberFormat="1" applyFont="1" applyFill="1" applyBorder="1" applyAlignment="1">
      <alignment vertical="center"/>
    </xf>
    <xf numFmtId="0" fontId="24" fillId="17" borderId="5" xfId="3" applyNumberFormat="1" applyFont="1" applyFill="1" applyBorder="1" applyAlignment="1">
      <alignment vertical="center"/>
    </xf>
    <xf numFmtId="0" fontId="26" fillId="17" borderId="5" xfId="3" applyNumberFormat="1" applyFont="1" applyFill="1" applyBorder="1" applyAlignment="1">
      <alignment vertical="center"/>
    </xf>
    <xf numFmtId="0" fontId="26" fillId="17" borderId="5" xfId="3" applyNumberFormat="1" applyFont="1" applyFill="1" applyBorder="1" applyAlignment="1">
      <alignment vertical="center" wrapText="1"/>
    </xf>
    <xf numFmtId="0" fontId="26" fillId="17" borderId="5" xfId="3" applyNumberFormat="1" applyFont="1" applyFill="1" applyBorder="1" applyAlignment="1">
      <alignment horizontal="center" vertical="center" wrapText="1"/>
    </xf>
    <xf numFmtId="0" fontId="24" fillId="18" borderId="5" xfId="3" applyNumberFormat="1" applyFont="1" applyFill="1" applyBorder="1" applyAlignment="1">
      <alignment vertical="center"/>
    </xf>
    <xf numFmtId="175" fontId="24" fillId="15" borderId="5" xfId="3" applyNumberFormat="1" applyFont="1" applyFill="1" applyBorder="1" applyAlignment="1">
      <alignment vertical="center"/>
    </xf>
    <xf numFmtId="175" fontId="24" fillId="18" borderId="5" xfId="3" applyNumberFormat="1" applyFont="1" applyFill="1" applyBorder="1" applyAlignment="1">
      <alignment vertical="center"/>
    </xf>
    <xf numFmtId="176" fontId="24" fillId="15" borderId="5" xfId="3" applyNumberFormat="1" applyFont="1" applyFill="1" applyBorder="1" applyAlignment="1">
      <alignment vertical="center"/>
    </xf>
    <xf numFmtId="176" fontId="24" fillId="18" borderId="5" xfId="3" applyNumberFormat="1" applyFont="1" applyFill="1" applyBorder="1" applyAlignment="1">
      <alignment vertical="center"/>
    </xf>
    <xf numFmtId="177" fontId="24" fillId="15" borderId="5" xfId="3" applyNumberFormat="1" applyFont="1" applyFill="1" applyBorder="1" applyAlignment="1">
      <alignment vertical="center"/>
    </xf>
    <xf numFmtId="177" fontId="24" fillId="18" borderId="5" xfId="3" applyNumberFormat="1" applyFont="1" applyFill="1" applyBorder="1" applyAlignment="1">
      <alignment vertical="center"/>
    </xf>
    <xf numFmtId="178" fontId="24" fillId="15" borderId="5" xfId="3" applyNumberFormat="1" applyFont="1" applyFill="1" applyBorder="1" applyAlignment="1">
      <alignment vertical="center"/>
    </xf>
    <xf numFmtId="178" fontId="24" fillId="18" borderId="5" xfId="3" applyNumberFormat="1" applyFont="1" applyFill="1" applyBorder="1" applyAlignment="1">
      <alignment vertical="center"/>
    </xf>
    <xf numFmtId="179" fontId="24" fillId="15" borderId="5" xfId="3" applyNumberFormat="1" applyFont="1" applyFill="1" applyBorder="1" applyAlignment="1">
      <alignment vertical="center"/>
    </xf>
    <xf numFmtId="0" fontId="24" fillId="15" borderId="5" xfId="3" applyNumberFormat="1" applyFont="1" applyFill="1" applyBorder="1" applyAlignment="1">
      <alignment vertical="center" wrapText="1"/>
    </xf>
    <xf numFmtId="178" fontId="24" fillId="19" borderId="5" xfId="3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Rating15" Type="http://schemas.openxmlformats.org/officeDocument/2006/relationships/worksheet" Target="/xl/worksheets/sheet15.xml"/><Relationship Id="rIdRating16" Type="http://schemas.openxmlformats.org/officeDocument/2006/relationships/worksheet" Target="/xl/worksheets/sheet16.xml"/><Relationship Id="rIdRating17" Type="http://schemas.openxmlformats.org/officeDocument/2006/relationships/worksheet" Target="/xl/worksheets/sheet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200">
                <a:latin typeface="Segoe UI"/>
                <a:ea typeface="Segoe UI"/>
                <a:cs typeface="Segoe UI"/>
              </a:rPr>
              <a:t>Paid spend by position (last 5y)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spend_eur</c:v>
          </c:tx>
          <c:spPr>
            <a:solidFill>
              <a:srgbClr val="087F5B"/>
            </a:solidFill>
          </c:spPr>
          <c:invertIfNegative val="1"/>
          <c:cat>
            <c:strRef>
              <c:f>By_Position!$A$2:$A$6</c:f>
              <c:strCache>
                <c:ptCount val="5"/>
                <c:pt idx="0">
                  <c:v>Attack</c:v>
                </c:pt>
                <c:pt idx="1">
                  <c:v>Midfield</c:v>
                </c:pt>
                <c:pt idx="2">
                  <c:v>Defender</c:v>
                </c:pt>
                <c:pt idx="3">
                  <c:v>Goalkeeper</c:v>
                </c:pt>
                <c:pt idx="4">
                  <c:v>Missing</c:v>
                </c:pt>
              </c:strCache>
            </c:strRef>
          </c:cat>
          <c:val>
            <c:numRef>
              <c:f>By_Position!$C$2:$C$6</c:f>
              <c:numCache>
                <c:formatCode>"€"#,##0</c:formatCode>
                <c:ptCount val="5"/>
                <c:pt idx="0">
                  <c:v>20760365800</c:v>
                </c:pt>
                <c:pt idx="1">
                  <c:v>14388499000</c:v>
                </c:pt>
                <c:pt idx="2">
                  <c:v>12224069000</c:v>
                </c:pt>
                <c:pt idx="3">
                  <c:v>1819418000</c:v>
                </c:pt>
                <c:pt idx="4">
                  <c:v>400000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197F-449E-B883-530FA02E2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243B53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buNone/>
                </a:pPr>
                <a:r>
                  <a:rPr lang="en-US"/>
                  <a:t>EUR</a:t>
                </a:r>
              </a:p>
            </c:rich>
          </c:tx>
          <c:overlay val="1"/>
        </c:title>
        <c:numFmt formatCode="\€0.0,,,&quot;bn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627D98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ummerNew" displayName="tblSummerNew" ref="A1:T1476" totalsRowShown="0">
  <tableColumns count="20">
    <tableColumn id="1" xr3:uid="{00000000-0010-0000-0000-000001000000}" name="record_id"/>
    <tableColumn id="2" xr3:uid="{00000000-0010-0000-0000-000002000000}" name="player_name"/>
    <tableColumn id="3" xr3:uid="{00000000-0010-0000-0000-000003000000}" name="from_club"/>
    <tableColumn id="4" xr3:uid="{00000000-0010-0000-0000-000004000000}" name="to_club"/>
    <tableColumn id="5" xr3:uid="{00000000-0010-0000-0000-000005000000}" name="announcement_date"/>
    <tableColumn id="6" xr3:uid="{00000000-0010-0000-0000-000006000000}" name="transfer_type"/>
    <tableColumn id="7" xr3:uid="{00000000-0010-0000-0000-000007000000}" name="fee_status"/>
    <tableColumn id="8" xr3:uid="{00000000-0010-0000-0000-000008000000}" name="quoted_fee_gbp"/>
    <tableColumn id="9" xr3:uid="{00000000-0010-0000-0000-000009000000}" name="quote_basis"/>
    <tableColumn id="10" xr3:uid="{00000000-0010-0000-0000-00000A000000}" name="from_league"/>
    <tableColumn id="11" xr3:uid="{00000000-0010-0000-0000-00000B000000}" name="to_league"/>
    <tableColumn id="12" xr3:uid="{00000000-0010-0000-0000-00000C000000}" name="position"/>
    <tableColumn id="13" xr3:uid="{00000000-0010-0000-0000-00000D000000}" name="match_status"/>
    <tableColumn id="14" xr3:uid="{00000000-0010-0000-0000-00000E000000}" name="existing_excel_row"/>
    <tableColumn id="15" xr3:uid="{00000000-0010-0000-0000-00000F000000}" name="existing_transfer_date"/>
    <tableColumn id="16" xr3:uid="{00000000-0010-0000-0000-000010000000}" name="existing_fee_eur"/>
    <tableColumn id="17" xr3:uid="{00000000-0010-0000-0000-000011000000}" name="review_notes"/>
    <tableColumn id="18" xr3:uid="{00000000-0010-0000-0000-000012000000}" name="source_url"/>
    <tableColumn id="19" xr3:uid="{00000000-0010-0000-0000-000013000000}" name="source_data_url"/>
    <tableColumn id="20" xr3:uid="{00000000-0010-0000-0000-000014000000}" name="retrieved_da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ummerMatches" displayName="tblSummerMatches" ref="A1:T19" totalsRowShown="0">
  <tableColumns count="20">
    <tableColumn id="1" xr3:uid="{00000000-0010-0000-0100-000001000000}" name="record_id"/>
    <tableColumn id="2" xr3:uid="{00000000-0010-0000-0100-000002000000}" name="player_name"/>
    <tableColumn id="3" xr3:uid="{00000000-0010-0000-0100-000003000000}" name="from_club"/>
    <tableColumn id="4" xr3:uid="{00000000-0010-0000-0100-000004000000}" name="to_club"/>
    <tableColumn id="5" xr3:uid="{00000000-0010-0000-0100-000005000000}" name="announcement_date"/>
    <tableColumn id="6" xr3:uid="{00000000-0010-0000-0100-000006000000}" name="transfer_type"/>
    <tableColumn id="7" xr3:uid="{00000000-0010-0000-0100-000007000000}" name="fee_status"/>
    <tableColumn id="8" xr3:uid="{00000000-0010-0000-0100-000008000000}" name="quoted_fee_gbp"/>
    <tableColumn id="9" xr3:uid="{00000000-0010-0000-0100-000009000000}" name="quote_basis"/>
    <tableColumn id="10" xr3:uid="{00000000-0010-0000-0100-00000A000000}" name="from_league"/>
    <tableColumn id="11" xr3:uid="{00000000-0010-0000-0100-00000B000000}" name="to_league"/>
    <tableColumn id="12" xr3:uid="{00000000-0010-0000-0100-00000C000000}" name="position"/>
    <tableColumn id="13" xr3:uid="{00000000-0010-0000-0100-00000D000000}" name="match_status"/>
    <tableColumn id="14" xr3:uid="{00000000-0010-0000-0100-00000E000000}" name="existing_excel_row"/>
    <tableColumn id="15" xr3:uid="{00000000-0010-0000-0100-00000F000000}" name="existing_transfer_date"/>
    <tableColumn id="16" xr3:uid="{00000000-0010-0000-0100-000010000000}" name="existing_fee_eur"/>
    <tableColumn id="17" xr3:uid="{00000000-0010-0000-0100-000011000000}" name="review_notes"/>
    <tableColumn id="18" xr3:uid="{00000000-0010-0000-0100-000012000000}" name="source_url"/>
    <tableColumn id="19" xr3:uid="{00000000-0010-0000-0100-000013000000}" name="source_data_url"/>
    <tableColumn id="20" xr3:uid="{00000000-0010-0000-0100-000014000000}" name="retrieved_dat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ummerReview" displayName="tblSummerReview" ref="A1:T29" totalsRowShown="0">
  <tableColumns count="20">
    <tableColumn id="1" xr3:uid="{00000000-0010-0000-0200-000001000000}" name="record_id"/>
    <tableColumn id="2" xr3:uid="{00000000-0010-0000-0200-000002000000}" name="player_name"/>
    <tableColumn id="3" xr3:uid="{00000000-0010-0000-0200-000003000000}" name="from_club"/>
    <tableColumn id="4" xr3:uid="{00000000-0010-0000-0200-000004000000}" name="to_club"/>
    <tableColumn id="5" xr3:uid="{00000000-0010-0000-0200-000005000000}" name="announcement_date"/>
    <tableColumn id="6" xr3:uid="{00000000-0010-0000-0200-000006000000}" name="transfer_type"/>
    <tableColumn id="7" xr3:uid="{00000000-0010-0000-0200-000007000000}" name="fee_status"/>
    <tableColumn id="8" xr3:uid="{00000000-0010-0000-0200-000008000000}" name="quoted_fee_gbp"/>
    <tableColumn id="9" xr3:uid="{00000000-0010-0000-0200-000009000000}" name="quote_basis"/>
    <tableColumn id="10" xr3:uid="{00000000-0010-0000-0200-00000A000000}" name="from_league"/>
    <tableColumn id="11" xr3:uid="{00000000-0010-0000-0200-00000B000000}" name="to_league"/>
    <tableColumn id="12" xr3:uid="{00000000-0010-0000-0200-00000C000000}" name="position"/>
    <tableColumn id="13" xr3:uid="{00000000-0010-0000-0200-00000D000000}" name="match_status"/>
    <tableColumn id="14" xr3:uid="{00000000-0010-0000-0200-00000E000000}" name="existing_excel_row"/>
    <tableColumn id="15" xr3:uid="{00000000-0010-0000-0200-00000F000000}" name="existing_transfer_date"/>
    <tableColumn id="16" xr3:uid="{00000000-0010-0000-0200-000010000000}" name="existing_fee_eur"/>
    <tableColumn id="17" xr3:uid="{00000000-0010-0000-0200-000011000000}" name="review_notes"/>
    <tableColumn id="18" xr3:uid="{00000000-0010-0000-0200-000012000000}" name="source_url"/>
    <tableColumn id="19" xr3:uid="{00000000-0010-0000-0200-000013000000}" name="source_data_url"/>
    <tableColumn id="20" xr3:uid="{00000000-0010-0000-0200-000014000000}" name="retrieved_da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FeeComponents" displayName="tblFeeComponents" ref="A1:G70" totalsRowShown="0">
  <tableColumns count="7">
    <tableColumn id="1" xr3:uid="{00000000-0010-0000-0300-000001000000}" name="record_id"/>
    <tableColumn id="2" xr3:uid="{00000000-0010-0000-0300-000002000000}" name="player_name"/>
    <tableColumn id="3" xr3:uid="{00000000-0010-0000-0300-000003000000}" name="component"/>
    <tableColumn id="4" xr3:uid="{00000000-0010-0000-0300-000004000000}" name="amount"/>
    <tableColumn id="5" xr3:uid="{00000000-0010-0000-0300-000005000000}" name="currency"/>
    <tableColumn id="6" xr3:uid="{00000000-0010-0000-0300-000006000000}" name="source_url"/>
    <tableColumn id="7" xr3:uid="{00000000-0010-0000-0300-000007000000}" name="no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SourceChecks" displayName="tblSourceChecks" ref="A1:H6" totalsRowShown="0">
  <tableColumns count="8">
    <tableColumn id="1" xr3:uid="{00000000-0010-0000-0400-000001000000}" name="record_id"/>
    <tableColumn id="2" xr3:uid="{00000000-0010-0000-0400-000002000000}" name="player_name"/>
    <tableColumn id="3" xr3:uid="{00000000-0010-0000-0400-000003000000}" name="finding"/>
    <tableColumn id="4" xr3:uid="{00000000-0010-0000-0400-000004000000}" name="base_fee"/>
    <tableColumn id="5" xr3:uid="{00000000-0010-0000-0400-000005000000}" name="addons_max"/>
    <tableColumn id="6" xr3:uid="{00000000-0010-0000-0400-000006000000}" name="currency"/>
    <tableColumn id="7" xr3:uid="{00000000-0010-0000-0400-000007000000}" name="source_url"/>
    <tableColumn id="8" xr3:uid="{00000000-0010-0000-0400-000008000000}" name="checked_d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2A43"/>
  </sheetPr>
  <dimension ref="A1:B14"/>
  <sheetViews>
    <sheetView showGridLines="0" topLeftCell="A8" workbookViewId="0">
      <selection activeCell="A14" sqref="A14"/>
    </sheetView>
  </sheetViews>
  <sheetFormatPr defaultRowHeight="14.5" x14ac:dyDescent="0.35"/>
  <cols>
    <col min="1" max="1" width="78" customWidth="1"/>
    <col min="2" max="2" width="110" customWidth="1"/>
  </cols>
  <sheetData>
    <row r="1" spans="1:2" ht="42" customHeight="1" x14ac:dyDescent="0.35">
      <c r="A1" s="36" t="s">
        <v>0</v>
      </c>
      <c r="B1" s="37"/>
    </row>
    <row r="2" spans="1:2" ht="24" customHeight="1" x14ac:dyDescent="0.35">
      <c r="A2" s="1"/>
      <c r="B2" s="1"/>
    </row>
    <row r="3" spans="1:2" ht="45" customHeight="1" x14ac:dyDescent="0.35">
      <c r="A3" s="2" t="s">
        <v>1</v>
      </c>
      <c r="B3" s="3" t="s">
        <v>2</v>
      </c>
    </row>
    <row r="4" spans="1:2" ht="24" customHeight="1" x14ac:dyDescent="0.35">
      <c r="A4" s="1"/>
      <c r="B4" s="1"/>
    </row>
    <row r="5" spans="1:2" ht="45" customHeight="1" x14ac:dyDescent="0.35">
      <c r="A5" s="2" t="s">
        <v>3</v>
      </c>
      <c r="B5" s="3" t="s">
        <v>4</v>
      </c>
    </row>
    <row r="6" spans="1:2" ht="24" customHeight="1" x14ac:dyDescent="0.35">
      <c r="A6" s="1"/>
      <c r="B6" s="1"/>
    </row>
    <row r="7" spans="1:2" ht="24" customHeight="1" x14ac:dyDescent="0.35">
      <c r="A7" s="2" t="s">
        <v>5</v>
      </c>
      <c r="B7" s="1"/>
    </row>
    <row r="8" spans="1:2" ht="40" customHeight="1" x14ac:dyDescent="0.35">
      <c r="A8" s="4" t="s">
        <v>6</v>
      </c>
      <c r="B8" s="5"/>
    </row>
    <row r="9" spans="1:2" ht="40" customHeight="1" x14ac:dyDescent="0.35">
      <c r="A9" s="3" t="s">
        <v>7</v>
      </c>
      <c r="B9" s="1"/>
    </row>
    <row r="10" spans="1:2" ht="40" customHeight="1" x14ac:dyDescent="0.35">
      <c r="A10" s="4" t="s">
        <v>8</v>
      </c>
      <c r="B10" s="5"/>
    </row>
    <row r="11" spans="1:2" ht="40" customHeight="1" x14ac:dyDescent="0.35">
      <c r="A11" s="3" t="s">
        <v>9</v>
      </c>
      <c r="B11" s="1"/>
    </row>
    <row r="12" spans="1:2" ht="40" customHeight="1" x14ac:dyDescent="0.35">
      <c r="A12" s="4" t="s">
        <v>10</v>
      </c>
      <c r="B12" s="5"/>
    </row>
    <row r="13" spans="1:2" ht="40" customHeight="1" x14ac:dyDescent="0.35">
      <c r="A13" s="3" t="s">
        <v>11</v>
      </c>
      <c r="B13" s="1"/>
    </row>
    <row r="14" spans="1:2" ht="40" customHeight="1" x14ac:dyDescent="0.35">
      <c r="A14" s="4" t="s">
        <v>12</v>
      </c>
      <c r="B1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87F5B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60" customWidth="1"/>
    <col min="3" max="3" width="16" customWidth="1"/>
    <col min="4" max="4" width="29" customWidth="1"/>
    <col min="5" max="5" width="22" customWidth="1"/>
    <col min="6" max="6" width="57" customWidth="1"/>
  </cols>
  <sheetData>
    <row r="1" spans="1:6" ht="38" customHeight="1" x14ac:dyDescent="0.35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</row>
    <row r="2" spans="1:6" ht="24" customHeight="1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</row>
    <row r="3" spans="1:6" ht="24" customHeight="1" x14ac:dyDescent="0.35">
      <c r="A3" s="5" t="s">
        <v>25</v>
      </c>
      <c r="B3" s="5" t="s">
        <v>26</v>
      </c>
      <c r="C3" s="5" t="s">
        <v>27</v>
      </c>
      <c r="D3" s="5" t="s">
        <v>28</v>
      </c>
      <c r="E3" s="5" t="s">
        <v>29</v>
      </c>
      <c r="F3" s="5" t="s">
        <v>30</v>
      </c>
    </row>
    <row r="4" spans="1:6" ht="24" customHeight="1" x14ac:dyDescent="0.35">
      <c r="A4" s="1" t="s">
        <v>31</v>
      </c>
      <c r="B4" s="1" t="s">
        <v>32</v>
      </c>
      <c r="C4" s="1" t="s">
        <v>27</v>
      </c>
      <c r="D4" s="1" t="s">
        <v>28</v>
      </c>
      <c r="E4" s="1" t="s">
        <v>33</v>
      </c>
      <c r="F4" s="1" t="s">
        <v>34</v>
      </c>
    </row>
    <row r="5" spans="1:6" ht="24" customHeight="1" x14ac:dyDescent="0.35">
      <c r="A5" s="5" t="s">
        <v>35</v>
      </c>
      <c r="B5" s="5" t="s">
        <v>36</v>
      </c>
      <c r="C5" s="5" t="s">
        <v>27</v>
      </c>
      <c r="D5" s="5" t="s">
        <v>37</v>
      </c>
      <c r="E5" s="5" t="s">
        <v>38</v>
      </c>
      <c r="F5" s="5" t="s">
        <v>39</v>
      </c>
    </row>
    <row r="6" spans="1:6" ht="24" customHeight="1" x14ac:dyDescent="0.35">
      <c r="A6" s="1" t="s">
        <v>40</v>
      </c>
      <c r="B6" s="1" t="s">
        <v>41</v>
      </c>
      <c r="C6" s="1" t="s">
        <v>21</v>
      </c>
      <c r="D6" s="1" t="s">
        <v>37</v>
      </c>
      <c r="E6" s="1" t="s">
        <v>42</v>
      </c>
      <c r="F6" s="1" t="s">
        <v>43</v>
      </c>
    </row>
    <row r="7" spans="1:6" ht="24" customHeight="1" x14ac:dyDescent="0.35">
      <c r="A7" s="5" t="s">
        <v>44</v>
      </c>
      <c r="B7" s="5" t="s">
        <v>45</v>
      </c>
      <c r="C7" s="5" t="s">
        <v>27</v>
      </c>
      <c r="D7" s="5" t="s">
        <v>46</v>
      </c>
      <c r="E7" s="5" t="s">
        <v>47</v>
      </c>
      <c r="F7" s="5" t="s">
        <v>48</v>
      </c>
    </row>
    <row r="8" spans="1:6" ht="24" customHeight="1" x14ac:dyDescent="0.35">
      <c r="A8" s="1" t="s">
        <v>49</v>
      </c>
      <c r="B8" s="1" t="s">
        <v>50</v>
      </c>
      <c r="C8" s="1" t="s">
        <v>27</v>
      </c>
      <c r="D8" s="1" t="s">
        <v>51</v>
      </c>
      <c r="E8" s="1" t="s">
        <v>52</v>
      </c>
      <c r="F8" s="1" t="s">
        <v>53</v>
      </c>
    </row>
    <row r="9" spans="1:6" ht="24" customHeight="1" x14ac:dyDescent="0.35">
      <c r="A9" s="5" t="s">
        <v>54</v>
      </c>
      <c r="B9" s="5" t="s">
        <v>55</v>
      </c>
      <c r="C9" s="5" t="s">
        <v>27</v>
      </c>
      <c r="D9" s="5" t="s">
        <v>56</v>
      </c>
      <c r="E9" s="5" t="s">
        <v>57</v>
      </c>
      <c r="F9" s="5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87F5B"/>
  </sheetPr>
  <dimension ref="A1:G4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  <col min="2" max="3" width="26" customWidth="1"/>
    <col min="4" max="5" width="23" customWidth="1"/>
    <col min="6" max="6" width="21" customWidth="1"/>
    <col min="7" max="7" width="23" customWidth="1"/>
  </cols>
  <sheetData>
    <row r="1" spans="1:7" ht="38" customHeight="1" x14ac:dyDescent="0.3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ht="34" customHeight="1" x14ac:dyDescent="0.35">
      <c r="A2" s="7">
        <v>175182</v>
      </c>
      <c r="B2" s="7">
        <v>61526</v>
      </c>
      <c r="C2" s="7">
        <v>96085</v>
      </c>
      <c r="D2" s="7">
        <v>68160</v>
      </c>
      <c r="E2" s="7">
        <v>0</v>
      </c>
      <c r="F2" s="7">
        <v>488</v>
      </c>
      <c r="G2" s="7">
        <v>17571</v>
      </c>
    </row>
    <row r="3" spans="1:7" ht="24" customHeight="1" x14ac:dyDescent="0.35">
      <c r="A3" s="5"/>
      <c r="B3" s="5"/>
      <c r="C3" s="5"/>
      <c r="D3" s="5"/>
      <c r="E3" s="5"/>
      <c r="F3" s="8"/>
      <c r="G3" s="5"/>
    </row>
    <row r="4" spans="1:7" ht="110" customHeight="1" x14ac:dyDescent="0.35">
      <c r="A4" s="9" t="s">
        <v>66</v>
      </c>
      <c r="B4" s="3" t="s">
        <v>67</v>
      </c>
      <c r="C4" s="1"/>
      <c r="D4" s="1"/>
      <c r="E4" s="1"/>
      <c r="F4" s="10"/>
      <c r="G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2A43"/>
  </sheetPr>
  <dimension ref="A1:C14"/>
  <sheetViews>
    <sheetView showGridLines="0" workbookViewId="0"/>
  </sheetViews>
  <sheetFormatPr defaultRowHeight="14.5" x14ac:dyDescent="0.35"/>
  <cols>
    <col min="1" max="1" width="64" customWidth="1"/>
    <col min="2" max="2" width="30" customWidth="1"/>
    <col min="3" max="3" width="45" customWidth="1"/>
  </cols>
  <sheetData>
    <row r="1" spans="1:3" ht="38" customHeight="1" x14ac:dyDescent="0.35">
      <c r="A1" s="6" t="s">
        <v>68</v>
      </c>
      <c r="B1" s="6" t="s">
        <v>69</v>
      </c>
      <c r="C1" s="6" t="s">
        <v>70</v>
      </c>
    </row>
    <row r="2" spans="1:3" ht="24" customHeight="1" x14ac:dyDescent="0.35">
      <c r="A2" s="1" t="s">
        <v>71</v>
      </c>
      <c r="B2" s="11">
        <v>174694</v>
      </c>
      <c r="C2" s="1"/>
    </row>
    <row r="3" spans="1:3" ht="24" customHeight="1" x14ac:dyDescent="0.35">
      <c r="A3" s="5" t="s">
        <v>72</v>
      </c>
      <c r="B3" s="12">
        <v>17570</v>
      </c>
      <c r="C3" s="5"/>
    </row>
    <row r="4" spans="1:3" ht="24" customHeight="1" x14ac:dyDescent="0.35">
      <c r="A4" s="1" t="s">
        <v>73</v>
      </c>
      <c r="B4" s="13">
        <v>85568419752</v>
      </c>
      <c r="C4" s="1"/>
    </row>
    <row r="5" spans="1:3" ht="24" customHeight="1" x14ac:dyDescent="0.35">
      <c r="A5" s="5" t="s">
        <v>74</v>
      </c>
      <c r="B5" s="14">
        <v>1500000</v>
      </c>
      <c r="C5" s="5"/>
    </row>
    <row r="6" spans="1:3" ht="24" customHeight="1" x14ac:dyDescent="0.35">
      <c r="A6" s="1" t="s">
        <v>75</v>
      </c>
      <c r="B6" s="15">
        <v>0.9375</v>
      </c>
      <c r="C6" s="1"/>
    </row>
    <row r="7" spans="1:3" ht="24" customHeight="1" x14ac:dyDescent="0.35">
      <c r="A7" s="5" t="s">
        <v>76</v>
      </c>
      <c r="B7" s="16" t="s">
        <v>77</v>
      </c>
      <c r="C7" s="5"/>
    </row>
    <row r="8" spans="1:3" ht="24" customHeight="1" x14ac:dyDescent="0.35">
      <c r="A8" s="1" t="s">
        <v>78</v>
      </c>
      <c r="B8" s="17" t="s">
        <v>79</v>
      </c>
      <c r="C8" s="1"/>
    </row>
    <row r="9" spans="1:3" ht="24" customHeight="1" x14ac:dyDescent="0.35">
      <c r="A9" s="5"/>
      <c r="B9" s="5"/>
      <c r="C9" s="5"/>
    </row>
    <row r="10" spans="1:3" ht="34" customHeight="1" x14ac:dyDescent="0.35">
      <c r="A10" s="18" t="s">
        <v>80</v>
      </c>
      <c r="B10" s="19"/>
      <c r="C10" s="19"/>
    </row>
    <row r="11" spans="1:3" ht="24" customHeight="1" x14ac:dyDescent="0.35">
      <c r="A11" s="5" t="s">
        <v>81</v>
      </c>
      <c r="B11" s="20">
        <f>SUM(Paid_Sample!E:E)</f>
        <v>14334360000</v>
      </c>
      <c r="C11" s="5"/>
    </row>
    <row r="12" spans="1:3" ht="24" customHeight="1" x14ac:dyDescent="0.35">
      <c r="A12" s="1" t="s">
        <v>82</v>
      </c>
      <c r="B12" s="21">
        <f>AVERAGE(Paid_Sample!E:E)</f>
        <v>71671800</v>
      </c>
      <c r="C12" s="1"/>
    </row>
    <row r="13" spans="1:3" ht="24" customHeight="1" x14ac:dyDescent="0.35">
      <c r="A13" s="5" t="s">
        <v>83</v>
      </c>
      <c r="B13" s="22">
        <f>COUNTA(Paid_Sample!A:A)-1</f>
        <v>200</v>
      </c>
      <c r="C13" s="5"/>
    </row>
    <row r="14" spans="1:3" ht="24" customHeight="1" x14ac:dyDescent="0.35">
      <c r="A14" s="1" t="s">
        <v>84</v>
      </c>
      <c r="B14" s="23">
        <f>COUNTIF(Paid_Sample!E:E,"&gt;=100000000")</f>
        <v>24</v>
      </c>
      <c r="C1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87F5B"/>
  </sheetPr>
  <dimension ref="A1:I20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8" customWidth="1"/>
    <col min="4" max="4" width="21" customWidth="1"/>
    <col min="5" max="5" width="26" customWidth="1"/>
    <col min="6" max="6" width="23" customWidth="1"/>
    <col min="7" max="7" width="26" customWidth="1"/>
    <col min="8" max="8" width="23" customWidth="1"/>
    <col min="9" max="9" width="20" customWidth="1"/>
  </cols>
  <sheetData>
    <row r="1" spans="1:9" ht="38" customHeight="1" x14ac:dyDescent="0.35">
      <c r="A1" s="6" t="s">
        <v>85</v>
      </c>
      <c r="B1" s="6" t="s">
        <v>86</v>
      </c>
      <c r="C1" s="6" t="s">
        <v>87</v>
      </c>
      <c r="D1" s="6" t="s">
        <v>88</v>
      </c>
      <c r="E1" s="6" t="s">
        <v>25</v>
      </c>
      <c r="F1" s="6" t="s">
        <v>31</v>
      </c>
      <c r="G1" s="6" t="s">
        <v>35</v>
      </c>
      <c r="H1" s="6" t="s">
        <v>89</v>
      </c>
      <c r="I1" s="6" t="s">
        <v>40</v>
      </c>
    </row>
    <row r="2" spans="1:9" ht="24" customHeight="1" x14ac:dyDescent="0.35">
      <c r="A2" s="1" t="s">
        <v>90</v>
      </c>
      <c r="B2" s="1" t="s">
        <v>91</v>
      </c>
      <c r="C2" s="1" t="s">
        <v>92</v>
      </c>
      <c r="D2" s="10">
        <v>42950</v>
      </c>
      <c r="E2" s="21">
        <v>222000000</v>
      </c>
      <c r="F2" s="21">
        <v>100000000</v>
      </c>
      <c r="G2" s="24">
        <v>2.2200000000000002</v>
      </c>
      <c r="H2" s="1" t="s">
        <v>93</v>
      </c>
      <c r="I2" s="1">
        <v>25</v>
      </c>
    </row>
    <row r="3" spans="1:9" ht="24" customHeight="1" x14ac:dyDescent="0.35">
      <c r="A3" s="5" t="s">
        <v>94</v>
      </c>
      <c r="B3" s="5" t="s">
        <v>95</v>
      </c>
      <c r="C3" s="5" t="s">
        <v>92</v>
      </c>
      <c r="D3" s="8">
        <v>43282</v>
      </c>
      <c r="E3" s="20">
        <v>180000000</v>
      </c>
      <c r="F3" s="20">
        <v>120000000</v>
      </c>
      <c r="G3" s="25">
        <v>1.5</v>
      </c>
      <c r="H3" s="5" t="s">
        <v>96</v>
      </c>
      <c r="I3" s="5">
        <v>20</v>
      </c>
    </row>
    <row r="4" spans="1:9" ht="24" customHeight="1" x14ac:dyDescent="0.35">
      <c r="A4" s="1" t="s">
        <v>97</v>
      </c>
      <c r="B4" s="1" t="s">
        <v>98</v>
      </c>
      <c r="C4" s="1" t="s">
        <v>91</v>
      </c>
      <c r="D4" s="10">
        <v>42972</v>
      </c>
      <c r="E4" s="21">
        <v>148000000</v>
      </c>
      <c r="F4" s="21">
        <v>33000000</v>
      </c>
      <c r="G4" s="24">
        <v>4.4848484848484844</v>
      </c>
      <c r="H4" s="1" t="s">
        <v>96</v>
      </c>
      <c r="I4" s="1">
        <v>20</v>
      </c>
    </row>
    <row r="5" spans="1:9" ht="24" customHeight="1" x14ac:dyDescent="0.35">
      <c r="A5" s="5" t="s">
        <v>99</v>
      </c>
      <c r="B5" s="5" t="s">
        <v>100</v>
      </c>
      <c r="C5" s="5" t="s">
        <v>101</v>
      </c>
      <c r="D5" s="8">
        <v>45901</v>
      </c>
      <c r="E5" s="20">
        <v>145000000</v>
      </c>
      <c r="F5" s="20">
        <v>120000000</v>
      </c>
      <c r="G5" s="25">
        <v>1.208333333333333</v>
      </c>
      <c r="H5" s="5" t="s">
        <v>96</v>
      </c>
      <c r="I5" s="5">
        <v>26</v>
      </c>
    </row>
    <row r="6" spans="1:9" ht="24" customHeight="1" x14ac:dyDescent="0.35">
      <c r="A6" s="1" t="s">
        <v>102</v>
      </c>
      <c r="B6" s="1" t="s">
        <v>103</v>
      </c>
      <c r="C6" s="1" t="s">
        <v>104</v>
      </c>
      <c r="D6" s="10">
        <v>46266</v>
      </c>
      <c r="E6" s="21">
        <v>145000000</v>
      </c>
      <c r="F6" s="21">
        <v>90000000</v>
      </c>
      <c r="G6" s="24">
        <v>1.6111111111111109</v>
      </c>
      <c r="H6" s="1" t="s">
        <v>93</v>
      </c>
      <c r="I6" s="1">
        <v>25</v>
      </c>
    </row>
    <row r="7" spans="1:9" ht="24" customHeight="1" x14ac:dyDescent="0.35">
      <c r="A7" s="5" t="s">
        <v>105</v>
      </c>
      <c r="B7" s="5" t="s">
        <v>106</v>
      </c>
      <c r="C7" s="5" t="s">
        <v>103</v>
      </c>
      <c r="D7" s="8">
        <v>46254</v>
      </c>
      <c r="E7" s="20">
        <v>136000000</v>
      </c>
      <c r="F7" s="20">
        <v>90000000</v>
      </c>
      <c r="G7" s="25">
        <v>1.5111111111111111</v>
      </c>
      <c r="H7" s="5" t="s">
        <v>93</v>
      </c>
      <c r="I7" s="5">
        <v>24</v>
      </c>
    </row>
    <row r="8" spans="1:9" ht="24" customHeight="1" x14ac:dyDescent="0.35">
      <c r="A8" s="1" t="s">
        <v>107</v>
      </c>
      <c r="B8" s="1" t="s">
        <v>101</v>
      </c>
      <c r="C8" s="1" t="s">
        <v>91</v>
      </c>
      <c r="D8" s="10">
        <v>43108</v>
      </c>
      <c r="E8" s="21">
        <v>135000000</v>
      </c>
      <c r="F8" s="21">
        <v>90000000</v>
      </c>
      <c r="G8" s="24">
        <v>1.5</v>
      </c>
      <c r="H8" s="1" t="s">
        <v>93</v>
      </c>
      <c r="I8" s="1">
        <v>26</v>
      </c>
    </row>
    <row r="9" spans="1:9" ht="24" customHeight="1" x14ac:dyDescent="0.35">
      <c r="A9" s="5" t="s">
        <v>108</v>
      </c>
      <c r="B9" s="5" t="s">
        <v>109</v>
      </c>
      <c r="C9" s="5" t="s">
        <v>104</v>
      </c>
      <c r="D9" s="8">
        <v>46218</v>
      </c>
      <c r="E9" s="20">
        <v>135000000</v>
      </c>
      <c r="F9" s="20">
        <v>75000000</v>
      </c>
      <c r="G9" s="25">
        <v>1.8</v>
      </c>
      <c r="H9" s="5" t="s">
        <v>93</v>
      </c>
      <c r="I9" s="5">
        <v>24</v>
      </c>
    </row>
    <row r="10" spans="1:9" ht="24" customHeight="1" x14ac:dyDescent="0.35">
      <c r="A10" s="1" t="s">
        <v>110</v>
      </c>
      <c r="B10" s="1" t="s">
        <v>111</v>
      </c>
      <c r="C10" s="1" t="s">
        <v>112</v>
      </c>
      <c r="D10" s="10">
        <v>43649</v>
      </c>
      <c r="E10" s="21">
        <v>127200000</v>
      </c>
      <c r="F10" s="21">
        <v>70000000</v>
      </c>
      <c r="G10" s="24">
        <v>1.8171428571428569</v>
      </c>
      <c r="H10" s="1" t="s">
        <v>96</v>
      </c>
      <c r="I10" s="1">
        <v>20</v>
      </c>
    </row>
    <row r="11" spans="1:9" ht="24" customHeight="1" x14ac:dyDescent="0.35">
      <c r="A11" s="5" t="s">
        <v>113</v>
      </c>
      <c r="B11" s="5" t="s">
        <v>98</v>
      </c>
      <c r="C11" s="5" t="s">
        <v>114</v>
      </c>
      <c r="D11" s="8">
        <v>45108</v>
      </c>
      <c r="E11" s="20">
        <v>127000000</v>
      </c>
      <c r="F11" s="20">
        <v>120000000</v>
      </c>
      <c r="G11" s="25">
        <v>1.0583333333333329</v>
      </c>
      <c r="H11" s="5" t="s">
        <v>93</v>
      </c>
      <c r="I11" s="5">
        <v>20</v>
      </c>
    </row>
    <row r="12" spans="1:9" ht="24" customHeight="1" x14ac:dyDescent="0.35">
      <c r="A12" s="1" t="s">
        <v>115</v>
      </c>
      <c r="B12" s="1" t="s">
        <v>116</v>
      </c>
      <c r="C12" s="1" t="s">
        <v>101</v>
      </c>
      <c r="D12" s="10">
        <v>45839</v>
      </c>
      <c r="E12" s="21">
        <v>125000000</v>
      </c>
      <c r="F12" s="21">
        <v>140000000</v>
      </c>
      <c r="G12" s="24">
        <v>0.8928571428571429</v>
      </c>
      <c r="H12" s="1" t="s">
        <v>93</v>
      </c>
      <c r="I12" s="1">
        <v>22</v>
      </c>
    </row>
    <row r="13" spans="1:9" ht="24" customHeight="1" x14ac:dyDescent="0.35">
      <c r="A13" s="5" t="s">
        <v>117</v>
      </c>
      <c r="B13" s="5" t="s">
        <v>92</v>
      </c>
      <c r="C13" s="5" t="s">
        <v>101</v>
      </c>
      <c r="D13" s="8">
        <v>46265</v>
      </c>
      <c r="E13" s="20">
        <v>125000000</v>
      </c>
      <c r="F13" s="20">
        <v>70000000</v>
      </c>
      <c r="G13" s="25">
        <v>1.785714285714286</v>
      </c>
      <c r="H13" s="5" t="s">
        <v>96</v>
      </c>
      <c r="I13" s="5">
        <v>24</v>
      </c>
    </row>
    <row r="14" spans="1:9" ht="24" customHeight="1" x14ac:dyDescent="0.35">
      <c r="A14" s="1" t="s">
        <v>118</v>
      </c>
      <c r="B14" s="1" t="s">
        <v>119</v>
      </c>
      <c r="C14" s="1" t="s">
        <v>114</v>
      </c>
      <c r="D14" s="10">
        <v>46244</v>
      </c>
      <c r="E14" s="21">
        <v>124000000</v>
      </c>
      <c r="F14" s="21">
        <v>90000000</v>
      </c>
      <c r="G14" s="24">
        <v>1.377777777777778</v>
      </c>
      <c r="H14" s="1" t="s">
        <v>96</v>
      </c>
      <c r="I14" s="1">
        <v>20</v>
      </c>
    </row>
    <row r="15" spans="1:9" ht="24" customHeight="1" x14ac:dyDescent="0.35">
      <c r="A15" s="5" t="s">
        <v>102</v>
      </c>
      <c r="B15" s="5" t="s">
        <v>111</v>
      </c>
      <c r="C15" s="5" t="s">
        <v>103</v>
      </c>
      <c r="D15" s="8">
        <v>44957</v>
      </c>
      <c r="E15" s="20">
        <v>121000000</v>
      </c>
      <c r="F15" s="20">
        <v>55000000</v>
      </c>
      <c r="G15" s="25">
        <v>2.2000000000000002</v>
      </c>
      <c r="H15" s="5" t="s">
        <v>93</v>
      </c>
      <c r="I15" s="5">
        <v>22</v>
      </c>
    </row>
    <row r="16" spans="1:9" ht="24" customHeight="1" x14ac:dyDescent="0.35">
      <c r="A16" s="1" t="s">
        <v>120</v>
      </c>
      <c r="B16" s="1" t="s">
        <v>112</v>
      </c>
      <c r="C16" s="1" t="s">
        <v>91</v>
      </c>
      <c r="D16" s="10">
        <v>43660</v>
      </c>
      <c r="E16" s="21">
        <v>120000000</v>
      </c>
      <c r="F16" s="21">
        <v>130000000</v>
      </c>
      <c r="G16" s="24">
        <v>0.92307692307692313</v>
      </c>
      <c r="H16" s="1" t="s">
        <v>96</v>
      </c>
      <c r="I16" s="1">
        <v>28</v>
      </c>
    </row>
    <row r="17" spans="1:9" ht="24" customHeight="1" x14ac:dyDescent="0.35">
      <c r="A17" s="5" t="s">
        <v>121</v>
      </c>
      <c r="B17" s="5" t="s">
        <v>106</v>
      </c>
      <c r="C17" s="5" t="s">
        <v>104</v>
      </c>
      <c r="D17" s="8">
        <v>44413</v>
      </c>
      <c r="E17" s="20">
        <v>117500000</v>
      </c>
      <c r="F17" s="20">
        <v>65000000</v>
      </c>
      <c r="G17" s="25">
        <v>1.8076923076923079</v>
      </c>
      <c r="H17" s="5" t="s">
        <v>96</v>
      </c>
      <c r="I17" s="5">
        <v>26</v>
      </c>
    </row>
    <row r="18" spans="1:9" ht="24" customHeight="1" x14ac:dyDescent="0.35">
      <c r="A18" s="1" t="s">
        <v>122</v>
      </c>
      <c r="B18" s="1" t="s">
        <v>114</v>
      </c>
      <c r="C18" s="1" t="s">
        <v>123</v>
      </c>
      <c r="D18" s="10">
        <v>43291</v>
      </c>
      <c r="E18" s="21">
        <v>117000000</v>
      </c>
      <c r="F18" s="21">
        <v>100000000</v>
      </c>
      <c r="G18" s="24">
        <v>1.17</v>
      </c>
      <c r="H18" s="1" t="s">
        <v>96</v>
      </c>
      <c r="I18" s="1">
        <v>33</v>
      </c>
    </row>
    <row r="19" spans="1:9" ht="24" customHeight="1" x14ac:dyDescent="0.35">
      <c r="A19" s="5" t="s">
        <v>124</v>
      </c>
      <c r="B19" s="5" t="s">
        <v>125</v>
      </c>
      <c r="C19" s="5" t="s">
        <v>126</v>
      </c>
      <c r="D19" s="8">
        <v>45122</v>
      </c>
      <c r="E19" s="20">
        <v>116600000</v>
      </c>
      <c r="F19" s="20">
        <v>90000000</v>
      </c>
      <c r="G19" s="25">
        <v>1.295555555555556</v>
      </c>
      <c r="H19" s="5" t="s">
        <v>93</v>
      </c>
      <c r="I19" s="5">
        <v>24</v>
      </c>
    </row>
    <row r="20" spans="1:9" ht="24" customHeight="1" x14ac:dyDescent="0.35">
      <c r="A20" s="1" t="s">
        <v>127</v>
      </c>
      <c r="B20" s="1" t="s">
        <v>128</v>
      </c>
      <c r="C20" s="1" t="s">
        <v>103</v>
      </c>
      <c r="D20" s="10">
        <v>45152</v>
      </c>
      <c r="E20" s="21">
        <v>116000000</v>
      </c>
      <c r="F20" s="21">
        <v>75000000</v>
      </c>
      <c r="G20" s="24">
        <v>1.5466666666666671</v>
      </c>
      <c r="H20" s="1" t="s">
        <v>93</v>
      </c>
      <c r="I20" s="1">
        <v>22</v>
      </c>
    </row>
    <row r="21" spans="1:9" ht="24" customHeight="1" x14ac:dyDescent="0.35">
      <c r="A21" s="5" t="s">
        <v>129</v>
      </c>
      <c r="B21" s="5" t="s">
        <v>130</v>
      </c>
      <c r="C21" s="5" t="s">
        <v>103</v>
      </c>
      <c r="D21" s="8">
        <v>44420</v>
      </c>
      <c r="E21" s="20">
        <v>113000000</v>
      </c>
      <c r="F21" s="20">
        <v>100000000</v>
      </c>
      <c r="G21" s="25">
        <v>1.1299999999999999</v>
      </c>
      <c r="H21" s="5" t="s">
        <v>96</v>
      </c>
      <c r="I21" s="5">
        <v>28</v>
      </c>
    </row>
    <row r="22" spans="1:9" ht="24" customHeight="1" x14ac:dyDescent="0.35">
      <c r="A22" s="1" t="s">
        <v>131</v>
      </c>
      <c r="B22" s="1" t="s">
        <v>100</v>
      </c>
      <c r="C22" s="1" t="s">
        <v>132</v>
      </c>
      <c r="D22" s="10">
        <v>46235</v>
      </c>
      <c r="E22" s="21">
        <v>107000000</v>
      </c>
      <c r="F22" s="21">
        <v>80000000</v>
      </c>
      <c r="G22" s="24">
        <v>1.3374999999999999</v>
      </c>
      <c r="H22" s="1" t="s">
        <v>93</v>
      </c>
      <c r="I22" s="1">
        <v>26</v>
      </c>
    </row>
    <row r="23" spans="1:9" ht="24" customHeight="1" x14ac:dyDescent="0.35">
      <c r="A23" s="5" t="s">
        <v>133</v>
      </c>
      <c r="B23" s="5" t="s">
        <v>123</v>
      </c>
      <c r="C23" s="5" t="s">
        <v>134</v>
      </c>
      <c r="D23" s="8">
        <v>42591</v>
      </c>
      <c r="E23" s="20">
        <v>105000000</v>
      </c>
      <c r="F23" s="20">
        <v>70000000</v>
      </c>
      <c r="G23" s="25">
        <v>1.5</v>
      </c>
      <c r="H23" s="5" t="s">
        <v>93</v>
      </c>
      <c r="I23" s="5">
        <v>23</v>
      </c>
    </row>
    <row r="24" spans="1:9" ht="24" customHeight="1" x14ac:dyDescent="0.35">
      <c r="A24" s="1" t="s">
        <v>135</v>
      </c>
      <c r="B24" s="1" t="s">
        <v>116</v>
      </c>
      <c r="C24" s="1" t="s">
        <v>103</v>
      </c>
      <c r="D24" s="10">
        <v>44078</v>
      </c>
      <c r="E24" s="21">
        <v>100000000</v>
      </c>
      <c r="F24" s="21">
        <v>81000000</v>
      </c>
      <c r="G24" s="24">
        <v>1.2345679012345681</v>
      </c>
      <c r="H24" s="1" t="s">
        <v>96</v>
      </c>
      <c r="I24" s="1">
        <v>21</v>
      </c>
    </row>
    <row r="25" spans="1:9" ht="24" customHeight="1" x14ac:dyDescent="0.35">
      <c r="A25" s="5" t="s">
        <v>136</v>
      </c>
      <c r="B25" s="5" t="s">
        <v>137</v>
      </c>
      <c r="C25" s="5" t="s">
        <v>104</v>
      </c>
      <c r="D25" s="8">
        <v>46223</v>
      </c>
      <c r="E25" s="20">
        <v>100000000</v>
      </c>
      <c r="F25" s="20">
        <v>50000000</v>
      </c>
      <c r="G25" s="25">
        <v>2</v>
      </c>
      <c r="H25" s="5" t="s">
        <v>93</v>
      </c>
      <c r="I25" s="5">
        <v>19</v>
      </c>
    </row>
    <row r="26" spans="1:9" ht="24" customHeight="1" x14ac:dyDescent="0.35">
      <c r="A26" s="1" t="s">
        <v>138</v>
      </c>
      <c r="B26" s="1" t="s">
        <v>125</v>
      </c>
      <c r="C26" s="1" t="s">
        <v>132</v>
      </c>
      <c r="D26" s="10">
        <v>46205</v>
      </c>
      <c r="E26" s="21">
        <v>99000000</v>
      </c>
      <c r="F26" s="21">
        <v>50000000</v>
      </c>
      <c r="G26" s="24">
        <v>1.98</v>
      </c>
      <c r="H26" s="1" t="s">
        <v>93</v>
      </c>
      <c r="I26" s="1">
        <v>22</v>
      </c>
    </row>
    <row r="27" spans="1:9" ht="24" customHeight="1" x14ac:dyDescent="0.35">
      <c r="A27" s="5" t="s">
        <v>139</v>
      </c>
      <c r="B27" s="5" t="s">
        <v>140</v>
      </c>
      <c r="C27" s="5" t="s">
        <v>101</v>
      </c>
      <c r="D27" s="8">
        <v>45861</v>
      </c>
      <c r="E27" s="20">
        <v>95000000</v>
      </c>
      <c r="F27" s="20">
        <v>75000000</v>
      </c>
      <c r="G27" s="25">
        <v>1.2666666666666671</v>
      </c>
      <c r="H27" s="5" t="s">
        <v>96</v>
      </c>
      <c r="I27" s="5">
        <v>23</v>
      </c>
    </row>
    <row r="28" spans="1:9" ht="24" customHeight="1" x14ac:dyDescent="0.35">
      <c r="A28" s="1" t="s">
        <v>141</v>
      </c>
      <c r="B28" s="1" t="s">
        <v>132</v>
      </c>
      <c r="C28" s="1" t="s">
        <v>142</v>
      </c>
      <c r="D28" s="10">
        <v>45150</v>
      </c>
      <c r="E28" s="21">
        <v>95000000</v>
      </c>
      <c r="F28" s="21">
        <v>90000000</v>
      </c>
      <c r="G28" s="24">
        <v>1.055555555555556</v>
      </c>
      <c r="H28" s="1" t="s">
        <v>96</v>
      </c>
      <c r="I28" s="1">
        <v>30</v>
      </c>
    </row>
    <row r="29" spans="1:9" ht="24" customHeight="1" x14ac:dyDescent="0.35">
      <c r="A29" s="5" t="s">
        <v>143</v>
      </c>
      <c r="B29" s="5" t="s">
        <v>144</v>
      </c>
      <c r="C29" s="5" t="s">
        <v>134</v>
      </c>
      <c r="D29" s="8">
        <v>44803</v>
      </c>
      <c r="E29" s="20">
        <v>95000000</v>
      </c>
      <c r="F29" s="20">
        <v>35000000</v>
      </c>
      <c r="G29" s="25">
        <v>2.714285714285714</v>
      </c>
      <c r="H29" s="5" t="s">
        <v>96</v>
      </c>
      <c r="I29" s="5">
        <v>22</v>
      </c>
    </row>
    <row r="30" spans="1:9" ht="24" customHeight="1" x14ac:dyDescent="0.35">
      <c r="A30" s="1" t="s">
        <v>145</v>
      </c>
      <c r="B30" s="1" t="s">
        <v>140</v>
      </c>
      <c r="C30" s="1" t="s">
        <v>92</v>
      </c>
      <c r="D30" s="10">
        <v>45170</v>
      </c>
      <c r="E30" s="21">
        <v>95000000</v>
      </c>
      <c r="F30" s="21">
        <v>80000000</v>
      </c>
      <c r="G30" s="24">
        <v>1.1875</v>
      </c>
      <c r="H30" s="1" t="s">
        <v>96</v>
      </c>
      <c r="I30" s="1">
        <v>25</v>
      </c>
    </row>
    <row r="31" spans="1:9" ht="24" customHeight="1" x14ac:dyDescent="0.35">
      <c r="A31" s="5" t="s">
        <v>122</v>
      </c>
      <c r="B31" s="5" t="s">
        <v>134</v>
      </c>
      <c r="C31" s="5" t="s">
        <v>114</v>
      </c>
      <c r="D31" s="8">
        <v>40000</v>
      </c>
      <c r="E31" s="20">
        <v>94000000</v>
      </c>
      <c r="F31" s="20">
        <v>60000000</v>
      </c>
      <c r="G31" s="25">
        <v>1.5666666666666671</v>
      </c>
      <c r="H31" s="5" t="s">
        <v>96</v>
      </c>
      <c r="I31" s="5">
        <v>24</v>
      </c>
    </row>
    <row r="32" spans="1:9" ht="24" customHeight="1" x14ac:dyDescent="0.35">
      <c r="A32" s="1" t="s">
        <v>90</v>
      </c>
      <c r="B32" s="1" t="s">
        <v>92</v>
      </c>
      <c r="C32" s="1" t="s">
        <v>146</v>
      </c>
      <c r="D32" s="10">
        <v>45153</v>
      </c>
      <c r="E32" s="21">
        <v>90000000</v>
      </c>
      <c r="F32" s="21">
        <v>60000000</v>
      </c>
      <c r="G32" s="24">
        <v>1.5</v>
      </c>
      <c r="H32" s="1" t="s">
        <v>93</v>
      </c>
      <c r="I32" s="1">
        <v>31</v>
      </c>
    </row>
    <row r="33" spans="1:9" ht="24" customHeight="1" x14ac:dyDescent="0.35">
      <c r="A33" s="5" t="s">
        <v>147</v>
      </c>
      <c r="B33" s="5" t="s">
        <v>148</v>
      </c>
      <c r="C33" s="5" t="s">
        <v>104</v>
      </c>
      <c r="D33" s="8">
        <v>45143</v>
      </c>
      <c r="E33" s="20">
        <v>90000000</v>
      </c>
      <c r="F33" s="20">
        <v>75000000</v>
      </c>
      <c r="G33" s="25">
        <v>1.2</v>
      </c>
      <c r="H33" s="5" t="s">
        <v>149</v>
      </c>
      <c r="I33" s="5">
        <v>21</v>
      </c>
    </row>
    <row r="34" spans="1:9" ht="24" customHeight="1" x14ac:dyDescent="0.35">
      <c r="A34" s="1" t="s">
        <v>90</v>
      </c>
      <c r="B34" s="1" t="s">
        <v>150</v>
      </c>
      <c r="C34" s="1" t="s">
        <v>91</v>
      </c>
      <c r="D34" s="10">
        <v>41456</v>
      </c>
      <c r="E34" s="21">
        <v>88000000</v>
      </c>
      <c r="F34" s="21">
        <v>50000000</v>
      </c>
      <c r="G34" s="24">
        <v>1.76</v>
      </c>
      <c r="H34" s="1" t="s">
        <v>93</v>
      </c>
      <c r="I34" s="1">
        <v>21</v>
      </c>
    </row>
    <row r="35" spans="1:9" ht="24" customHeight="1" x14ac:dyDescent="0.35">
      <c r="A35" s="5" t="s">
        <v>151</v>
      </c>
      <c r="B35" s="5" t="s">
        <v>152</v>
      </c>
      <c r="C35" s="5" t="s">
        <v>134</v>
      </c>
      <c r="D35" s="8">
        <v>43682</v>
      </c>
      <c r="E35" s="20">
        <v>87000000</v>
      </c>
      <c r="F35" s="20">
        <v>50000000</v>
      </c>
      <c r="G35" s="25">
        <v>1.74</v>
      </c>
      <c r="H35" s="5" t="s">
        <v>149</v>
      </c>
      <c r="I35" s="5">
        <v>26</v>
      </c>
    </row>
    <row r="36" spans="1:9" ht="24" customHeight="1" x14ac:dyDescent="0.35">
      <c r="A36" s="1" t="s">
        <v>153</v>
      </c>
      <c r="B36" s="1" t="s">
        <v>100</v>
      </c>
      <c r="C36" s="1" t="s">
        <v>126</v>
      </c>
      <c r="D36" s="10">
        <v>46213</v>
      </c>
      <c r="E36" s="21">
        <v>87000000</v>
      </c>
      <c r="F36" s="21">
        <v>70000000</v>
      </c>
      <c r="G36" s="24">
        <v>1.2428571428571431</v>
      </c>
      <c r="H36" s="1" t="s">
        <v>93</v>
      </c>
      <c r="I36" s="1">
        <v>29</v>
      </c>
    </row>
    <row r="37" spans="1:9" ht="24" customHeight="1" x14ac:dyDescent="0.35">
      <c r="A37" s="5" t="s">
        <v>154</v>
      </c>
      <c r="B37" s="5" t="s">
        <v>144</v>
      </c>
      <c r="C37" s="5" t="s">
        <v>91</v>
      </c>
      <c r="D37" s="8">
        <v>43647</v>
      </c>
      <c r="E37" s="20">
        <v>86000000</v>
      </c>
      <c r="F37" s="20">
        <v>85000000</v>
      </c>
      <c r="G37" s="25">
        <v>1.0117647058823529</v>
      </c>
      <c r="H37" s="5" t="s">
        <v>93</v>
      </c>
      <c r="I37" s="5">
        <v>22</v>
      </c>
    </row>
    <row r="38" spans="1:9" ht="24" customHeight="1" x14ac:dyDescent="0.35">
      <c r="A38" s="1" t="s">
        <v>155</v>
      </c>
      <c r="B38" s="1" t="s">
        <v>144</v>
      </c>
      <c r="C38" s="1" t="s">
        <v>123</v>
      </c>
      <c r="D38" s="10">
        <v>43664</v>
      </c>
      <c r="E38" s="21">
        <v>85500000</v>
      </c>
      <c r="F38" s="21">
        <v>75000000</v>
      </c>
      <c r="G38" s="24">
        <v>1.1399999999999999</v>
      </c>
      <c r="H38" s="1" t="s">
        <v>149</v>
      </c>
      <c r="I38" s="1">
        <v>20</v>
      </c>
    </row>
    <row r="39" spans="1:9" ht="24" customHeight="1" x14ac:dyDescent="0.35">
      <c r="A39" s="5" t="s">
        <v>156</v>
      </c>
      <c r="B39" s="5" t="s">
        <v>157</v>
      </c>
      <c r="C39" s="5" t="s">
        <v>123</v>
      </c>
      <c r="D39" s="8">
        <v>44589</v>
      </c>
      <c r="E39" s="20">
        <v>85400000</v>
      </c>
      <c r="F39" s="20">
        <v>70000000</v>
      </c>
      <c r="G39" s="25">
        <v>1.22</v>
      </c>
      <c r="H39" s="5" t="s">
        <v>96</v>
      </c>
      <c r="I39" s="5">
        <v>22</v>
      </c>
    </row>
    <row r="40" spans="1:9" ht="24" customHeight="1" x14ac:dyDescent="0.35">
      <c r="A40" s="1" t="s">
        <v>158</v>
      </c>
      <c r="B40" s="1" t="s">
        <v>98</v>
      </c>
      <c r="C40" s="1" t="s">
        <v>134</v>
      </c>
      <c r="D40" s="10">
        <v>44400</v>
      </c>
      <c r="E40" s="21">
        <v>85000000</v>
      </c>
      <c r="F40" s="21">
        <v>100000000</v>
      </c>
      <c r="G40" s="24">
        <v>0.85</v>
      </c>
      <c r="H40" s="1" t="s">
        <v>96</v>
      </c>
      <c r="I40" s="1">
        <v>21</v>
      </c>
    </row>
    <row r="41" spans="1:9" ht="24" customHeight="1" x14ac:dyDescent="0.35">
      <c r="A41" s="5" t="s">
        <v>159</v>
      </c>
      <c r="B41" s="5" t="s">
        <v>111</v>
      </c>
      <c r="C41" s="5" t="s">
        <v>101</v>
      </c>
      <c r="D41" s="8">
        <v>44743</v>
      </c>
      <c r="E41" s="20">
        <v>85000000</v>
      </c>
      <c r="F41" s="20">
        <v>55000000</v>
      </c>
      <c r="G41" s="25">
        <v>1.545454545454545</v>
      </c>
      <c r="H41" s="5" t="s">
        <v>96</v>
      </c>
      <c r="I41" s="5">
        <v>23</v>
      </c>
    </row>
    <row r="42" spans="1:9" ht="24" customHeight="1" x14ac:dyDescent="0.35">
      <c r="A42" s="1" t="s">
        <v>129</v>
      </c>
      <c r="B42" s="1" t="s">
        <v>160</v>
      </c>
      <c r="C42" s="1" t="s">
        <v>134</v>
      </c>
      <c r="D42" s="10">
        <v>42926</v>
      </c>
      <c r="E42" s="21">
        <v>84700000</v>
      </c>
      <c r="F42" s="21">
        <v>50000000</v>
      </c>
      <c r="G42" s="24">
        <v>1.694</v>
      </c>
      <c r="H42" s="1" t="s">
        <v>96</v>
      </c>
      <c r="I42" s="1">
        <v>24</v>
      </c>
    </row>
    <row r="43" spans="1:9" ht="24" customHeight="1" x14ac:dyDescent="0.35">
      <c r="A43" s="5" t="s">
        <v>161</v>
      </c>
      <c r="B43" s="5" t="s">
        <v>162</v>
      </c>
      <c r="C43" s="5" t="s">
        <v>101</v>
      </c>
      <c r="D43" s="8">
        <v>43101</v>
      </c>
      <c r="E43" s="20">
        <v>84650000</v>
      </c>
      <c r="F43" s="20">
        <v>30000000</v>
      </c>
      <c r="G43" s="25">
        <v>2.8216666666666672</v>
      </c>
      <c r="H43" s="5" t="s">
        <v>149</v>
      </c>
      <c r="I43" s="5">
        <v>27</v>
      </c>
    </row>
    <row r="44" spans="1:9" ht="24" customHeight="1" x14ac:dyDescent="0.35">
      <c r="A44" s="1" t="s">
        <v>163</v>
      </c>
      <c r="B44" s="1" t="s">
        <v>101</v>
      </c>
      <c r="C44" s="1" t="s">
        <v>91</v>
      </c>
      <c r="D44" s="10">
        <v>41831</v>
      </c>
      <c r="E44" s="21">
        <v>81720000</v>
      </c>
      <c r="F44" s="21">
        <v>52000000</v>
      </c>
      <c r="G44" s="24">
        <v>1.571538461538462</v>
      </c>
      <c r="H44" s="1" t="s">
        <v>96</v>
      </c>
      <c r="I44" s="1">
        <v>27</v>
      </c>
    </row>
    <row r="45" spans="1:9" ht="24" customHeight="1" x14ac:dyDescent="0.35">
      <c r="A45" s="5" t="s">
        <v>164</v>
      </c>
      <c r="B45" s="5" t="s">
        <v>91</v>
      </c>
      <c r="C45" s="5" t="s">
        <v>123</v>
      </c>
      <c r="D45" s="8">
        <v>44075</v>
      </c>
      <c r="E45" s="20">
        <v>80600000</v>
      </c>
      <c r="F45" s="20">
        <v>56000000</v>
      </c>
      <c r="G45" s="25">
        <v>1.4392857142857141</v>
      </c>
      <c r="H45" s="5" t="s">
        <v>93</v>
      </c>
      <c r="I45" s="5">
        <v>24</v>
      </c>
    </row>
    <row r="46" spans="1:9" ht="24" customHeight="1" x14ac:dyDescent="0.35">
      <c r="A46" s="1" t="s">
        <v>165</v>
      </c>
      <c r="B46" s="1" t="s">
        <v>152</v>
      </c>
      <c r="C46" s="1" t="s">
        <v>103</v>
      </c>
      <c r="D46" s="10">
        <v>44804</v>
      </c>
      <c r="E46" s="21">
        <v>80400000</v>
      </c>
      <c r="F46" s="21">
        <v>40000000</v>
      </c>
      <c r="G46" s="24">
        <v>2.0099999999999998</v>
      </c>
      <c r="H46" s="1" t="s">
        <v>149</v>
      </c>
      <c r="I46" s="1">
        <v>22</v>
      </c>
    </row>
    <row r="47" spans="1:9" ht="24" customHeight="1" x14ac:dyDescent="0.35">
      <c r="A47" s="5" t="s">
        <v>166</v>
      </c>
      <c r="B47" s="5" t="s">
        <v>112</v>
      </c>
      <c r="C47" s="5" t="s">
        <v>142</v>
      </c>
      <c r="D47" s="8">
        <v>43647</v>
      </c>
      <c r="E47" s="20">
        <v>80000000</v>
      </c>
      <c r="F47" s="20">
        <v>70000000</v>
      </c>
      <c r="G47" s="25">
        <v>1.142857142857143</v>
      </c>
      <c r="H47" s="5" t="s">
        <v>149</v>
      </c>
      <c r="I47" s="5">
        <v>23</v>
      </c>
    </row>
    <row r="48" spans="1:9" ht="24" customHeight="1" x14ac:dyDescent="0.35">
      <c r="A48" s="1" t="s">
        <v>167</v>
      </c>
      <c r="B48" s="1" t="s">
        <v>137</v>
      </c>
      <c r="C48" s="1" t="s">
        <v>126</v>
      </c>
      <c r="D48" s="10">
        <v>43678</v>
      </c>
      <c r="E48" s="21">
        <v>80000000</v>
      </c>
      <c r="F48" s="21">
        <v>65000000</v>
      </c>
      <c r="G48" s="24">
        <v>1.2307692307692311</v>
      </c>
      <c r="H48" s="1" t="s">
        <v>96</v>
      </c>
      <c r="I48" s="1">
        <v>24</v>
      </c>
    </row>
    <row r="49" spans="1:9" ht="24" customHeight="1" x14ac:dyDescent="0.35">
      <c r="A49" s="5" t="s">
        <v>168</v>
      </c>
      <c r="B49" s="5" t="s">
        <v>95</v>
      </c>
      <c r="C49" s="5" t="s">
        <v>114</v>
      </c>
      <c r="D49" s="8">
        <v>44743</v>
      </c>
      <c r="E49" s="20">
        <v>80000000</v>
      </c>
      <c r="F49" s="20">
        <v>60000000</v>
      </c>
      <c r="G49" s="25">
        <v>1.333333333333333</v>
      </c>
      <c r="H49" s="5" t="s">
        <v>93</v>
      </c>
      <c r="I49" s="5">
        <v>22</v>
      </c>
    </row>
    <row r="50" spans="1:9" ht="24" customHeight="1" x14ac:dyDescent="0.35">
      <c r="A50" s="1" t="s">
        <v>169</v>
      </c>
      <c r="B50" s="1" t="s">
        <v>100</v>
      </c>
      <c r="C50" s="1" t="s">
        <v>91</v>
      </c>
      <c r="D50" s="10">
        <v>46204</v>
      </c>
      <c r="E50" s="21">
        <v>80000000</v>
      </c>
      <c r="F50" s="21">
        <v>65000000</v>
      </c>
      <c r="G50" s="24">
        <v>1.2307692307692311</v>
      </c>
      <c r="H50" s="1" t="s">
        <v>96</v>
      </c>
      <c r="I50" s="1">
        <v>25</v>
      </c>
    </row>
    <row r="51" spans="1:9" ht="24" customHeight="1" x14ac:dyDescent="0.35">
      <c r="A51" s="5" t="s">
        <v>170</v>
      </c>
      <c r="B51" s="5" t="s">
        <v>171</v>
      </c>
      <c r="C51" s="5" t="s">
        <v>103</v>
      </c>
      <c r="D51" s="8">
        <v>43320</v>
      </c>
      <c r="E51" s="20">
        <v>80000000</v>
      </c>
      <c r="F51" s="20">
        <v>20000000</v>
      </c>
      <c r="G51" s="25">
        <v>4</v>
      </c>
      <c r="H51" s="5" t="s">
        <v>172</v>
      </c>
      <c r="I51" s="5">
        <v>24</v>
      </c>
    </row>
    <row r="52" spans="1:9" ht="24" customHeight="1" x14ac:dyDescent="0.35">
      <c r="A52" s="1" t="s">
        <v>173</v>
      </c>
      <c r="B52" s="1" t="s">
        <v>174</v>
      </c>
      <c r="C52" s="1" t="s">
        <v>92</v>
      </c>
      <c r="D52" s="10">
        <v>45674</v>
      </c>
      <c r="E52" s="21">
        <v>80000000</v>
      </c>
      <c r="F52" s="21">
        <v>85000000</v>
      </c>
      <c r="G52" s="24">
        <v>0.94117647058823528</v>
      </c>
      <c r="H52" s="1" t="s">
        <v>96</v>
      </c>
      <c r="I52" s="1">
        <v>24</v>
      </c>
    </row>
    <row r="53" spans="1:9" ht="24" customHeight="1" x14ac:dyDescent="0.35">
      <c r="A53" s="5" t="s">
        <v>175</v>
      </c>
      <c r="B53" s="5" t="s">
        <v>176</v>
      </c>
      <c r="C53" s="5" t="s">
        <v>134</v>
      </c>
      <c r="D53" s="8">
        <v>45143</v>
      </c>
      <c r="E53" s="20">
        <v>79800000</v>
      </c>
      <c r="F53" s="20">
        <v>45000000</v>
      </c>
      <c r="G53" s="25">
        <v>1.773333333333333</v>
      </c>
      <c r="H53" s="5" t="s">
        <v>96</v>
      </c>
      <c r="I53" s="5">
        <v>20</v>
      </c>
    </row>
    <row r="54" spans="1:9" ht="24" customHeight="1" x14ac:dyDescent="0.35">
      <c r="A54" s="1" t="s">
        <v>177</v>
      </c>
      <c r="B54" s="1" t="s">
        <v>137</v>
      </c>
      <c r="C54" s="1" t="s">
        <v>174</v>
      </c>
      <c r="D54" s="10">
        <v>44075</v>
      </c>
      <c r="E54" s="21">
        <v>78900000</v>
      </c>
      <c r="F54" s="21">
        <v>40000000</v>
      </c>
      <c r="G54" s="24">
        <v>1.9724999999999999</v>
      </c>
      <c r="H54" s="1" t="s">
        <v>96</v>
      </c>
      <c r="I54" s="1">
        <v>22</v>
      </c>
    </row>
    <row r="55" spans="1:9" ht="24" customHeight="1" x14ac:dyDescent="0.35">
      <c r="A55" s="5" t="s">
        <v>99</v>
      </c>
      <c r="B55" s="5" t="s">
        <v>178</v>
      </c>
      <c r="C55" s="5" t="s">
        <v>100</v>
      </c>
      <c r="D55" s="8">
        <v>44799</v>
      </c>
      <c r="E55" s="20">
        <v>77500000</v>
      </c>
      <c r="F55" s="20">
        <v>30000000</v>
      </c>
      <c r="G55" s="25">
        <v>2.583333333333333</v>
      </c>
      <c r="H55" s="5" t="s">
        <v>96</v>
      </c>
      <c r="I55" s="5">
        <v>23</v>
      </c>
    </row>
    <row r="56" spans="1:9" ht="24" customHeight="1" x14ac:dyDescent="0.35">
      <c r="A56" s="1" t="s">
        <v>179</v>
      </c>
      <c r="B56" s="1" t="s">
        <v>106</v>
      </c>
      <c r="C56" s="1" t="s">
        <v>180</v>
      </c>
      <c r="D56" s="10">
        <v>45688</v>
      </c>
      <c r="E56" s="21">
        <v>77000000</v>
      </c>
      <c r="F56" s="21">
        <v>40000000</v>
      </c>
      <c r="G56" s="24">
        <v>1.925</v>
      </c>
      <c r="H56" s="1" t="s">
        <v>96</v>
      </c>
      <c r="I56" s="1">
        <v>22</v>
      </c>
    </row>
    <row r="57" spans="1:9" ht="24" customHeight="1" x14ac:dyDescent="0.35">
      <c r="A57" s="5" t="s">
        <v>181</v>
      </c>
      <c r="B57" s="5" t="s">
        <v>104</v>
      </c>
      <c r="C57" s="5" t="s">
        <v>91</v>
      </c>
      <c r="D57" s="8">
        <v>46252</v>
      </c>
      <c r="E57" s="20">
        <v>76500000</v>
      </c>
      <c r="F57" s="20">
        <v>50000000</v>
      </c>
      <c r="G57" s="25">
        <v>1.53</v>
      </c>
      <c r="H57" s="5" t="s">
        <v>93</v>
      </c>
      <c r="I57" s="5">
        <v>30</v>
      </c>
    </row>
    <row r="58" spans="1:9" ht="24" customHeight="1" x14ac:dyDescent="0.35">
      <c r="A58" s="1" t="s">
        <v>182</v>
      </c>
      <c r="B58" s="1" t="s">
        <v>148</v>
      </c>
      <c r="C58" s="1" t="s">
        <v>134</v>
      </c>
      <c r="D58" s="10">
        <v>45878</v>
      </c>
      <c r="E58" s="21">
        <v>76500000</v>
      </c>
      <c r="F58" s="21">
        <v>70000000</v>
      </c>
      <c r="G58" s="24">
        <v>1.092857142857143</v>
      </c>
      <c r="H58" s="1" t="s">
        <v>96</v>
      </c>
      <c r="I58" s="1">
        <v>22</v>
      </c>
    </row>
    <row r="59" spans="1:9" ht="24" customHeight="1" x14ac:dyDescent="0.35">
      <c r="A59" s="5" t="s">
        <v>183</v>
      </c>
      <c r="B59" s="5" t="s">
        <v>184</v>
      </c>
      <c r="C59" s="5" t="s">
        <v>104</v>
      </c>
      <c r="D59" s="8">
        <v>42246</v>
      </c>
      <c r="E59" s="20">
        <v>76000000</v>
      </c>
      <c r="F59" s="20">
        <v>45000000</v>
      </c>
      <c r="G59" s="25">
        <v>1.6888888888888891</v>
      </c>
      <c r="H59" s="5" t="s">
        <v>93</v>
      </c>
      <c r="I59" s="5">
        <v>24</v>
      </c>
    </row>
    <row r="60" spans="1:9" ht="24" customHeight="1" x14ac:dyDescent="0.35">
      <c r="A60" s="1" t="s">
        <v>185</v>
      </c>
      <c r="B60" s="1" t="s">
        <v>186</v>
      </c>
      <c r="C60" s="1" t="s">
        <v>100</v>
      </c>
      <c r="D60" s="10">
        <v>45899</v>
      </c>
      <c r="E60" s="21">
        <v>75000000</v>
      </c>
      <c r="F60" s="21">
        <v>30000000</v>
      </c>
      <c r="G60" s="24">
        <v>2.5</v>
      </c>
      <c r="H60" s="1" t="s">
        <v>96</v>
      </c>
      <c r="I60" s="1">
        <v>23</v>
      </c>
    </row>
    <row r="61" spans="1:9" ht="24" customHeight="1" x14ac:dyDescent="0.35">
      <c r="A61" s="5" t="s">
        <v>187</v>
      </c>
      <c r="B61" s="5" t="s">
        <v>140</v>
      </c>
      <c r="C61" s="5" t="s">
        <v>104</v>
      </c>
      <c r="D61" s="8">
        <v>45680</v>
      </c>
      <c r="E61" s="20">
        <v>75000000</v>
      </c>
      <c r="F61" s="20">
        <v>60000000</v>
      </c>
      <c r="G61" s="25">
        <v>1.25</v>
      </c>
      <c r="H61" s="5" t="s">
        <v>96</v>
      </c>
      <c r="I61" s="5">
        <v>26</v>
      </c>
    </row>
    <row r="62" spans="1:9" ht="24" customHeight="1" x14ac:dyDescent="0.35">
      <c r="A62" s="1" t="s">
        <v>177</v>
      </c>
      <c r="B62" s="1" t="s">
        <v>174</v>
      </c>
      <c r="C62" s="1" t="s">
        <v>188</v>
      </c>
      <c r="D62" s="10">
        <v>45869</v>
      </c>
      <c r="E62" s="21">
        <v>75000000</v>
      </c>
      <c r="F62" s="21">
        <v>70000000</v>
      </c>
      <c r="G62" s="24">
        <v>1.071428571428571</v>
      </c>
      <c r="H62" s="1" t="s">
        <v>96</v>
      </c>
      <c r="I62" s="1">
        <v>27</v>
      </c>
    </row>
    <row r="63" spans="1:9" ht="24" customHeight="1" x14ac:dyDescent="0.35">
      <c r="A63" s="5" t="s">
        <v>189</v>
      </c>
      <c r="B63" s="5" t="s">
        <v>190</v>
      </c>
      <c r="C63" s="5" t="s">
        <v>134</v>
      </c>
      <c r="D63" s="8">
        <v>45859</v>
      </c>
      <c r="E63" s="20">
        <v>75000000</v>
      </c>
      <c r="F63" s="20">
        <v>55000000</v>
      </c>
      <c r="G63" s="25">
        <v>1.363636363636364</v>
      </c>
      <c r="H63" s="5" t="s">
        <v>96</v>
      </c>
      <c r="I63" s="5">
        <v>26</v>
      </c>
    </row>
    <row r="64" spans="1:9" ht="24" customHeight="1" x14ac:dyDescent="0.35">
      <c r="A64" s="1" t="s">
        <v>191</v>
      </c>
      <c r="B64" s="1" t="s">
        <v>104</v>
      </c>
      <c r="C64" s="1" t="s">
        <v>112</v>
      </c>
      <c r="D64" s="10">
        <v>45516</v>
      </c>
      <c r="E64" s="21">
        <v>75000000</v>
      </c>
      <c r="F64" s="21">
        <v>90000000</v>
      </c>
      <c r="G64" s="24">
        <v>0.83333333333333337</v>
      </c>
      <c r="H64" s="1" t="s">
        <v>96</v>
      </c>
      <c r="I64" s="1">
        <v>24</v>
      </c>
    </row>
    <row r="65" spans="1:9" ht="24" customHeight="1" x14ac:dyDescent="0.35">
      <c r="A65" s="5" t="s">
        <v>192</v>
      </c>
      <c r="B65" s="5" t="s">
        <v>114</v>
      </c>
      <c r="C65" s="5" t="s">
        <v>134</v>
      </c>
      <c r="D65" s="8">
        <v>41877</v>
      </c>
      <c r="E65" s="20">
        <v>75000000</v>
      </c>
      <c r="F65" s="20">
        <v>50000000</v>
      </c>
      <c r="G65" s="25">
        <v>1.5</v>
      </c>
      <c r="H65" s="5" t="s">
        <v>96</v>
      </c>
      <c r="I65" s="5">
        <v>26</v>
      </c>
    </row>
    <row r="66" spans="1:9" ht="24" customHeight="1" x14ac:dyDescent="0.35">
      <c r="A66" s="1" t="s">
        <v>193</v>
      </c>
      <c r="B66" s="1" t="s">
        <v>95</v>
      </c>
      <c r="C66" s="1" t="s">
        <v>114</v>
      </c>
      <c r="D66" s="10">
        <v>41842</v>
      </c>
      <c r="E66" s="21">
        <v>75000000</v>
      </c>
      <c r="F66" s="21">
        <v>60000000</v>
      </c>
      <c r="G66" s="24">
        <v>1.25</v>
      </c>
      <c r="H66" s="1" t="s">
        <v>93</v>
      </c>
      <c r="I66" s="1">
        <v>23</v>
      </c>
    </row>
    <row r="67" spans="1:9" ht="24" customHeight="1" x14ac:dyDescent="0.35">
      <c r="A67" s="5" t="s">
        <v>135</v>
      </c>
      <c r="B67" s="5" t="s">
        <v>103</v>
      </c>
      <c r="C67" s="5" t="s">
        <v>126</v>
      </c>
      <c r="D67" s="8">
        <v>45108</v>
      </c>
      <c r="E67" s="20">
        <v>75000000</v>
      </c>
      <c r="F67" s="20">
        <v>55000000</v>
      </c>
      <c r="G67" s="25">
        <v>1.363636363636364</v>
      </c>
      <c r="H67" s="5" t="s">
        <v>96</v>
      </c>
      <c r="I67" s="5">
        <v>24</v>
      </c>
    </row>
    <row r="68" spans="1:9" ht="24" customHeight="1" x14ac:dyDescent="0.35">
      <c r="A68" s="1" t="s">
        <v>194</v>
      </c>
      <c r="B68" s="1" t="s">
        <v>160</v>
      </c>
      <c r="C68" s="1" t="s">
        <v>104</v>
      </c>
      <c r="D68" s="10">
        <v>46266</v>
      </c>
      <c r="E68" s="21">
        <v>75000000</v>
      </c>
      <c r="F68" s="21">
        <v>55000000</v>
      </c>
      <c r="G68" s="24">
        <v>1.363636363636364</v>
      </c>
      <c r="H68" s="1" t="s">
        <v>96</v>
      </c>
      <c r="I68" s="1">
        <v>26</v>
      </c>
    </row>
    <row r="69" spans="1:9" ht="24" customHeight="1" x14ac:dyDescent="0.35">
      <c r="A69" s="5" t="s">
        <v>195</v>
      </c>
      <c r="B69" s="5" t="s">
        <v>196</v>
      </c>
      <c r="C69" s="5" t="s">
        <v>134</v>
      </c>
      <c r="D69" s="8">
        <v>45839</v>
      </c>
      <c r="E69" s="20">
        <v>74200000</v>
      </c>
      <c r="F69" s="20">
        <v>60000000</v>
      </c>
      <c r="G69" s="25">
        <v>1.236666666666667</v>
      </c>
      <c r="H69" s="5" t="s">
        <v>96</v>
      </c>
      <c r="I69" s="5">
        <v>26</v>
      </c>
    </row>
    <row r="70" spans="1:9" ht="24" customHeight="1" x14ac:dyDescent="0.35">
      <c r="A70" s="1" t="s">
        <v>129</v>
      </c>
      <c r="B70" s="1" t="s">
        <v>134</v>
      </c>
      <c r="C70" s="1" t="s">
        <v>130</v>
      </c>
      <c r="D70" s="10">
        <v>43685</v>
      </c>
      <c r="E70" s="21">
        <v>74000000</v>
      </c>
      <c r="F70" s="21">
        <v>75000000</v>
      </c>
      <c r="G70" s="24">
        <v>0.98666666666666669</v>
      </c>
      <c r="H70" s="1" t="s">
        <v>96</v>
      </c>
      <c r="I70" s="1">
        <v>26</v>
      </c>
    </row>
    <row r="71" spans="1:9" ht="24" customHeight="1" x14ac:dyDescent="0.35">
      <c r="A71" s="5" t="s">
        <v>197</v>
      </c>
      <c r="B71" s="5" t="s">
        <v>198</v>
      </c>
      <c r="C71" s="5" t="s">
        <v>101</v>
      </c>
      <c r="D71" s="8">
        <v>43300</v>
      </c>
      <c r="E71" s="20">
        <v>72500000</v>
      </c>
      <c r="F71" s="20">
        <v>60000000</v>
      </c>
      <c r="G71" s="25">
        <v>1.208333333333333</v>
      </c>
      <c r="H71" s="5" t="s">
        <v>172</v>
      </c>
      <c r="I71" s="5">
        <v>26</v>
      </c>
    </row>
    <row r="72" spans="1:9" ht="24" customHeight="1" x14ac:dyDescent="0.35">
      <c r="A72" s="1" t="s">
        <v>199</v>
      </c>
      <c r="B72" s="1" t="s">
        <v>200</v>
      </c>
      <c r="C72" s="1" t="s">
        <v>104</v>
      </c>
      <c r="D72" s="10">
        <v>46031</v>
      </c>
      <c r="E72" s="21">
        <v>72000000</v>
      </c>
      <c r="F72" s="21">
        <v>65000000</v>
      </c>
      <c r="G72" s="24">
        <v>1.107692307692308</v>
      </c>
      <c r="H72" s="1" t="s">
        <v>96</v>
      </c>
      <c r="I72" s="1">
        <v>26</v>
      </c>
    </row>
    <row r="73" spans="1:9" ht="24" customHeight="1" x14ac:dyDescent="0.35">
      <c r="A73" s="5" t="s">
        <v>201</v>
      </c>
      <c r="B73" s="5" t="s">
        <v>95</v>
      </c>
      <c r="C73" s="5" t="s">
        <v>112</v>
      </c>
      <c r="D73" s="8">
        <v>43282</v>
      </c>
      <c r="E73" s="20">
        <v>72000000</v>
      </c>
      <c r="F73" s="20">
        <v>65000000</v>
      </c>
      <c r="G73" s="25">
        <v>1.107692307692308</v>
      </c>
      <c r="H73" s="5" t="s">
        <v>93</v>
      </c>
      <c r="I73" s="5">
        <v>23</v>
      </c>
    </row>
    <row r="74" spans="1:9" ht="24" customHeight="1" x14ac:dyDescent="0.35">
      <c r="A74" s="1" t="s">
        <v>202</v>
      </c>
      <c r="B74" s="1" t="s">
        <v>111</v>
      </c>
      <c r="C74" s="1" t="s">
        <v>104</v>
      </c>
      <c r="D74" s="10">
        <v>44103</v>
      </c>
      <c r="E74" s="21">
        <v>71600000</v>
      </c>
      <c r="F74" s="21">
        <v>35000000</v>
      </c>
      <c r="G74" s="24">
        <v>2.0457142857142858</v>
      </c>
      <c r="H74" s="1" t="s">
        <v>149</v>
      </c>
      <c r="I74" s="1">
        <v>23</v>
      </c>
    </row>
    <row r="75" spans="1:9" ht="24" customHeight="1" x14ac:dyDescent="0.35">
      <c r="A75" s="5" t="s">
        <v>203</v>
      </c>
      <c r="B75" s="5" t="s">
        <v>114</v>
      </c>
      <c r="C75" s="5" t="s">
        <v>134</v>
      </c>
      <c r="D75" s="8">
        <v>44795</v>
      </c>
      <c r="E75" s="20">
        <v>70650000</v>
      </c>
      <c r="F75" s="20">
        <v>40000000</v>
      </c>
      <c r="G75" s="25">
        <v>1.7662500000000001</v>
      </c>
      <c r="H75" s="5" t="s">
        <v>93</v>
      </c>
      <c r="I75" s="5">
        <v>30</v>
      </c>
    </row>
    <row r="76" spans="1:9" ht="24" customHeight="1" x14ac:dyDescent="0.35">
      <c r="A76" s="1" t="s">
        <v>181</v>
      </c>
      <c r="B76" s="1" t="s">
        <v>112</v>
      </c>
      <c r="C76" s="1" t="s">
        <v>104</v>
      </c>
      <c r="D76" s="10">
        <v>43650</v>
      </c>
      <c r="E76" s="21">
        <v>70000000</v>
      </c>
      <c r="F76" s="21">
        <v>80000000</v>
      </c>
      <c r="G76" s="24">
        <v>0.875</v>
      </c>
      <c r="H76" s="1" t="s">
        <v>93</v>
      </c>
      <c r="I76" s="1">
        <v>23</v>
      </c>
    </row>
    <row r="77" spans="1:9" ht="24" customHeight="1" x14ac:dyDescent="0.35">
      <c r="A77" s="5" t="s">
        <v>204</v>
      </c>
      <c r="B77" s="5" t="s">
        <v>101</v>
      </c>
      <c r="C77" s="5" t="s">
        <v>142</v>
      </c>
      <c r="D77" s="8">
        <v>45868</v>
      </c>
      <c r="E77" s="20">
        <v>70000000</v>
      </c>
      <c r="F77" s="20">
        <v>70000000</v>
      </c>
      <c r="G77" s="25">
        <v>1</v>
      </c>
      <c r="H77" s="5" t="s">
        <v>96</v>
      </c>
      <c r="I77" s="5">
        <v>28</v>
      </c>
    </row>
    <row r="78" spans="1:9" ht="24" customHeight="1" x14ac:dyDescent="0.35">
      <c r="A78" s="1" t="s">
        <v>205</v>
      </c>
      <c r="B78" s="1" t="s">
        <v>178</v>
      </c>
      <c r="C78" s="1" t="s">
        <v>126</v>
      </c>
      <c r="D78" s="10">
        <v>45844</v>
      </c>
      <c r="E78" s="21">
        <v>70000000</v>
      </c>
      <c r="F78" s="21">
        <v>60000000</v>
      </c>
      <c r="G78" s="24">
        <v>1.166666666666667</v>
      </c>
      <c r="H78" s="1" t="s">
        <v>93</v>
      </c>
      <c r="I78" s="1">
        <v>26</v>
      </c>
    </row>
    <row r="79" spans="1:9" ht="24" customHeight="1" x14ac:dyDescent="0.35">
      <c r="A79" s="5" t="s">
        <v>206</v>
      </c>
      <c r="B79" s="5" t="s">
        <v>207</v>
      </c>
      <c r="C79" s="5" t="s">
        <v>103</v>
      </c>
      <c r="D79" s="8">
        <v>44941</v>
      </c>
      <c r="E79" s="20">
        <v>70000000</v>
      </c>
      <c r="F79" s="20">
        <v>40000000</v>
      </c>
      <c r="G79" s="25">
        <v>1.75</v>
      </c>
      <c r="H79" s="5" t="s">
        <v>96</v>
      </c>
      <c r="I79" s="5">
        <v>22</v>
      </c>
    </row>
    <row r="80" spans="1:9" ht="24" customHeight="1" x14ac:dyDescent="0.35">
      <c r="A80" s="1" t="s">
        <v>208</v>
      </c>
      <c r="B80" s="1" t="s">
        <v>148</v>
      </c>
      <c r="C80" s="1" t="s">
        <v>101</v>
      </c>
      <c r="D80" s="10">
        <v>45109</v>
      </c>
      <c r="E80" s="21">
        <v>70000000</v>
      </c>
      <c r="F80" s="21">
        <v>50000000</v>
      </c>
      <c r="G80" s="24">
        <v>1.4</v>
      </c>
      <c r="H80" s="1" t="s">
        <v>93</v>
      </c>
      <c r="I80" s="1">
        <v>23</v>
      </c>
    </row>
    <row r="81" spans="1:9" ht="24" customHeight="1" x14ac:dyDescent="0.35">
      <c r="A81" s="5" t="s">
        <v>209</v>
      </c>
      <c r="B81" s="5" t="s">
        <v>210</v>
      </c>
      <c r="C81" s="5" t="s">
        <v>126</v>
      </c>
      <c r="D81" s="8">
        <v>45892</v>
      </c>
      <c r="E81" s="20">
        <v>69300000</v>
      </c>
      <c r="F81" s="20">
        <v>55000000</v>
      </c>
      <c r="G81" s="25">
        <v>1.26</v>
      </c>
      <c r="H81" s="5" t="s">
        <v>93</v>
      </c>
      <c r="I81" s="5">
        <v>27</v>
      </c>
    </row>
    <row r="82" spans="1:9" ht="24" customHeight="1" x14ac:dyDescent="0.35">
      <c r="A82" s="1" t="s">
        <v>211</v>
      </c>
      <c r="B82" s="1" t="s">
        <v>130</v>
      </c>
      <c r="C82" s="1" t="s">
        <v>92</v>
      </c>
      <c r="D82" s="10">
        <v>44383</v>
      </c>
      <c r="E82" s="21">
        <v>68000000</v>
      </c>
      <c r="F82" s="21">
        <v>60000000</v>
      </c>
      <c r="G82" s="24">
        <v>1.1333333333333331</v>
      </c>
      <c r="H82" s="1" t="s">
        <v>149</v>
      </c>
      <c r="I82" s="1">
        <v>23</v>
      </c>
    </row>
    <row r="83" spans="1:9" ht="24" customHeight="1" x14ac:dyDescent="0.35">
      <c r="A83" s="5" t="s">
        <v>212</v>
      </c>
      <c r="B83" s="5" t="s">
        <v>152</v>
      </c>
      <c r="C83" s="5" t="s">
        <v>104</v>
      </c>
      <c r="D83" s="8">
        <v>43291</v>
      </c>
      <c r="E83" s="20">
        <v>67800000</v>
      </c>
      <c r="F83" s="20">
        <v>50000000</v>
      </c>
      <c r="G83" s="25">
        <v>1.3560000000000001</v>
      </c>
      <c r="H83" s="5" t="s">
        <v>96</v>
      </c>
      <c r="I83" s="5">
        <v>27</v>
      </c>
    </row>
    <row r="84" spans="1:9" ht="24" customHeight="1" x14ac:dyDescent="0.35">
      <c r="A84" s="1" t="s">
        <v>213</v>
      </c>
      <c r="B84" s="1" t="s">
        <v>103</v>
      </c>
      <c r="C84" s="1" t="s">
        <v>134</v>
      </c>
      <c r="D84" s="10">
        <v>45112</v>
      </c>
      <c r="E84" s="21">
        <v>67700000</v>
      </c>
      <c r="F84" s="21">
        <v>60000000</v>
      </c>
      <c r="G84" s="24">
        <v>1.128333333333333</v>
      </c>
      <c r="H84" s="1" t="s">
        <v>93</v>
      </c>
      <c r="I84" s="1">
        <v>24</v>
      </c>
    </row>
    <row r="85" spans="1:9" ht="24" customHeight="1" x14ac:dyDescent="0.35">
      <c r="A85" s="5" t="s">
        <v>155</v>
      </c>
      <c r="B85" s="5" t="s">
        <v>123</v>
      </c>
      <c r="C85" s="5" t="s">
        <v>142</v>
      </c>
      <c r="D85" s="8">
        <v>44761</v>
      </c>
      <c r="E85" s="20">
        <v>67000000</v>
      </c>
      <c r="F85" s="20">
        <v>70000000</v>
      </c>
      <c r="G85" s="25">
        <v>0.95714285714285718</v>
      </c>
      <c r="H85" s="5" t="s">
        <v>149</v>
      </c>
      <c r="I85" s="5">
        <v>23</v>
      </c>
    </row>
    <row r="86" spans="1:9" ht="24" customHeight="1" x14ac:dyDescent="0.35">
      <c r="A86" s="1" t="s">
        <v>214</v>
      </c>
      <c r="B86" s="1" t="s">
        <v>215</v>
      </c>
      <c r="C86" s="1" t="s">
        <v>126</v>
      </c>
      <c r="D86" s="10">
        <v>45864</v>
      </c>
      <c r="E86" s="21">
        <v>66900000</v>
      </c>
      <c r="F86" s="21">
        <v>75000000</v>
      </c>
      <c r="G86" s="24">
        <v>0.89200000000000002</v>
      </c>
      <c r="H86" s="1" t="s">
        <v>96</v>
      </c>
      <c r="I86" s="1">
        <v>27</v>
      </c>
    </row>
    <row r="87" spans="1:9" ht="24" customHeight="1" x14ac:dyDescent="0.35">
      <c r="A87" s="5" t="s">
        <v>216</v>
      </c>
      <c r="B87" s="5" t="s">
        <v>114</v>
      </c>
      <c r="C87" s="5" t="s">
        <v>103</v>
      </c>
      <c r="D87" s="8">
        <v>42937</v>
      </c>
      <c r="E87" s="20">
        <v>66000000</v>
      </c>
      <c r="F87" s="20">
        <v>40000000</v>
      </c>
      <c r="G87" s="25">
        <v>1.65</v>
      </c>
      <c r="H87" s="5" t="s">
        <v>96</v>
      </c>
      <c r="I87" s="5">
        <v>25</v>
      </c>
    </row>
    <row r="88" spans="1:9" ht="24" customHeight="1" x14ac:dyDescent="0.35">
      <c r="A88" s="1" t="s">
        <v>217</v>
      </c>
      <c r="B88" s="1" t="s">
        <v>111</v>
      </c>
      <c r="C88" s="1" t="s">
        <v>92</v>
      </c>
      <c r="D88" s="10">
        <v>45509</v>
      </c>
      <c r="E88" s="21">
        <v>65920000</v>
      </c>
      <c r="F88" s="21">
        <v>55000000</v>
      </c>
      <c r="G88" s="24">
        <v>1.198545454545455</v>
      </c>
      <c r="H88" s="1" t="s">
        <v>93</v>
      </c>
      <c r="I88" s="1">
        <v>20</v>
      </c>
    </row>
    <row r="89" spans="1:9" ht="24" customHeight="1" x14ac:dyDescent="0.35">
      <c r="A89" s="5" t="s">
        <v>218</v>
      </c>
      <c r="B89" s="5" t="s">
        <v>128</v>
      </c>
      <c r="C89" s="5" t="s">
        <v>103</v>
      </c>
      <c r="D89" s="8">
        <v>44778</v>
      </c>
      <c r="E89" s="20">
        <v>65300000</v>
      </c>
      <c r="F89" s="20">
        <v>28000000</v>
      </c>
      <c r="G89" s="25">
        <v>2.3321428571428569</v>
      </c>
      <c r="H89" s="5" t="s">
        <v>149</v>
      </c>
      <c r="I89" s="5">
        <v>24</v>
      </c>
    </row>
    <row r="90" spans="1:9" ht="24" customHeight="1" x14ac:dyDescent="0.35">
      <c r="A90" s="1" t="s">
        <v>219</v>
      </c>
      <c r="B90" s="1" t="s">
        <v>111</v>
      </c>
      <c r="C90" s="1" t="s">
        <v>92</v>
      </c>
      <c r="D90" s="10">
        <v>45292</v>
      </c>
      <c r="E90" s="21">
        <v>65000000</v>
      </c>
      <c r="F90" s="21">
        <v>50000000</v>
      </c>
      <c r="G90" s="24">
        <v>1.3</v>
      </c>
      <c r="H90" s="1" t="s">
        <v>96</v>
      </c>
      <c r="I90" s="1">
        <v>23</v>
      </c>
    </row>
    <row r="91" spans="1:9" ht="24" customHeight="1" x14ac:dyDescent="0.35">
      <c r="A91" s="5" t="s">
        <v>220</v>
      </c>
      <c r="B91" s="5" t="s">
        <v>148</v>
      </c>
      <c r="C91" s="5" t="s">
        <v>132</v>
      </c>
      <c r="D91" s="8">
        <v>45898</v>
      </c>
      <c r="E91" s="20">
        <v>65000000</v>
      </c>
      <c r="F91" s="20">
        <v>70000000</v>
      </c>
      <c r="G91" s="25">
        <v>0.9285714285714286</v>
      </c>
      <c r="H91" s="5" t="s">
        <v>93</v>
      </c>
      <c r="I91" s="5">
        <v>22</v>
      </c>
    </row>
    <row r="92" spans="1:9" ht="24" customHeight="1" x14ac:dyDescent="0.35">
      <c r="A92" s="1" t="s">
        <v>221</v>
      </c>
      <c r="B92" s="1" t="s">
        <v>171</v>
      </c>
      <c r="C92" s="1" t="s">
        <v>104</v>
      </c>
      <c r="D92" s="10">
        <v>43130</v>
      </c>
      <c r="E92" s="21">
        <v>65000000</v>
      </c>
      <c r="F92" s="21">
        <v>25000000</v>
      </c>
      <c r="G92" s="24">
        <v>2.6</v>
      </c>
      <c r="H92" s="1" t="s">
        <v>149</v>
      </c>
      <c r="I92" s="1">
        <v>24</v>
      </c>
    </row>
    <row r="93" spans="1:9" ht="24" customHeight="1" x14ac:dyDescent="0.35">
      <c r="A93" s="5" t="s">
        <v>222</v>
      </c>
      <c r="B93" s="5" t="s">
        <v>215</v>
      </c>
      <c r="C93" s="5" t="s">
        <v>134</v>
      </c>
      <c r="D93" s="8">
        <v>43859</v>
      </c>
      <c r="E93" s="20">
        <v>65000000</v>
      </c>
      <c r="F93" s="20">
        <v>60000000</v>
      </c>
      <c r="G93" s="25">
        <v>1.083333333333333</v>
      </c>
      <c r="H93" s="5" t="s">
        <v>93</v>
      </c>
      <c r="I93" s="5">
        <v>26</v>
      </c>
    </row>
    <row r="94" spans="1:9" ht="24" customHeight="1" x14ac:dyDescent="0.35">
      <c r="A94" s="1" t="s">
        <v>223</v>
      </c>
      <c r="B94" s="1" t="s">
        <v>123</v>
      </c>
      <c r="C94" s="1" t="s">
        <v>104</v>
      </c>
      <c r="D94" s="10">
        <v>43684</v>
      </c>
      <c r="E94" s="21">
        <v>65000000</v>
      </c>
      <c r="F94" s="21">
        <v>55000000</v>
      </c>
      <c r="G94" s="24">
        <v>1.1818181818181821</v>
      </c>
      <c r="H94" s="1" t="s">
        <v>149</v>
      </c>
      <c r="I94" s="1">
        <v>25</v>
      </c>
    </row>
    <row r="95" spans="1:9" ht="24" customHeight="1" x14ac:dyDescent="0.35">
      <c r="A95" s="5" t="s">
        <v>224</v>
      </c>
      <c r="B95" s="5" t="s">
        <v>174</v>
      </c>
      <c r="C95" s="5" t="s">
        <v>92</v>
      </c>
      <c r="D95" s="8">
        <v>41471</v>
      </c>
      <c r="E95" s="20">
        <v>64500000</v>
      </c>
      <c r="F95" s="20">
        <v>55000000</v>
      </c>
      <c r="G95" s="25">
        <v>1.1727272727272731</v>
      </c>
      <c r="H95" s="5" t="s">
        <v>96</v>
      </c>
      <c r="I95" s="5">
        <v>26</v>
      </c>
    </row>
    <row r="96" spans="1:9" ht="24" customHeight="1" x14ac:dyDescent="0.35">
      <c r="A96" s="1" t="s">
        <v>225</v>
      </c>
      <c r="B96" s="1" t="s">
        <v>200</v>
      </c>
      <c r="C96" s="1" t="s">
        <v>132</v>
      </c>
      <c r="D96" s="10">
        <v>45514</v>
      </c>
      <c r="E96" s="21">
        <v>64300000</v>
      </c>
      <c r="F96" s="21">
        <v>40000000</v>
      </c>
      <c r="G96" s="24">
        <v>1.6074999999999999</v>
      </c>
      <c r="H96" s="1" t="s">
        <v>96</v>
      </c>
      <c r="I96" s="1">
        <v>27</v>
      </c>
    </row>
    <row r="97" spans="1:9" ht="24" customHeight="1" x14ac:dyDescent="0.35">
      <c r="A97" s="5" t="s">
        <v>226</v>
      </c>
      <c r="B97" s="5" t="s">
        <v>98</v>
      </c>
      <c r="C97" s="5" t="s">
        <v>103</v>
      </c>
      <c r="D97" s="8">
        <v>43467</v>
      </c>
      <c r="E97" s="20">
        <v>64000000</v>
      </c>
      <c r="F97" s="20">
        <v>50000000</v>
      </c>
      <c r="G97" s="25">
        <v>1.28</v>
      </c>
      <c r="H97" s="5" t="s">
        <v>96</v>
      </c>
      <c r="I97" s="5">
        <v>21</v>
      </c>
    </row>
    <row r="98" spans="1:9" ht="24" customHeight="1" x14ac:dyDescent="0.35">
      <c r="A98" s="1" t="s">
        <v>227</v>
      </c>
      <c r="B98" s="1" t="s">
        <v>125</v>
      </c>
      <c r="C98" s="1" t="s">
        <v>132</v>
      </c>
      <c r="D98" s="10">
        <v>45848</v>
      </c>
      <c r="E98" s="21">
        <v>63800000</v>
      </c>
      <c r="F98" s="21">
        <v>45000000</v>
      </c>
      <c r="G98" s="24">
        <v>1.417777777777778</v>
      </c>
      <c r="H98" s="1" t="s">
        <v>96</v>
      </c>
      <c r="I98" s="1">
        <v>25</v>
      </c>
    </row>
    <row r="99" spans="1:9" ht="24" customHeight="1" x14ac:dyDescent="0.35">
      <c r="A99" s="5" t="s">
        <v>228</v>
      </c>
      <c r="B99" s="5" t="s">
        <v>98</v>
      </c>
      <c r="C99" s="5" t="s">
        <v>126</v>
      </c>
      <c r="D99" s="8">
        <v>43131</v>
      </c>
      <c r="E99" s="20">
        <v>63750000</v>
      </c>
      <c r="F99" s="20">
        <v>65000000</v>
      </c>
      <c r="G99" s="25">
        <v>0.98076923076923073</v>
      </c>
      <c r="H99" s="5" t="s">
        <v>96</v>
      </c>
      <c r="I99" s="5">
        <v>29</v>
      </c>
    </row>
    <row r="100" spans="1:9" ht="24" customHeight="1" x14ac:dyDescent="0.35">
      <c r="A100" s="1" t="s">
        <v>229</v>
      </c>
      <c r="B100" s="1" t="s">
        <v>128</v>
      </c>
      <c r="C100" s="1" t="s">
        <v>103</v>
      </c>
      <c r="D100" s="10">
        <v>45840</v>
      </c>
      <c r="E100" s="21">
        <v>63700000</v>
      </c>
      <c r="F100" s="21">
        <v>50000000</v>
      </c>
      <c r="G100" s="24">
        <v>1.274</v>
      </c>
      <c r="H100" s="1" t="s">
        <v>96</v>
      </c>
      <c r="I100" s="1">
        <v>24</v>
      </c>
    </row>
    <row r="101" spans="1:9" ht="24" customHeight="1" x14ac:dyDescent="0.35">
      <c r="A101" s="5" t="s">
        <v>230</v>
      </c>
      <c r="B101" s="5" t="s">
        <v>101</v>
      </c>
      <c r="C101" s="5" t="s">
        <v>104</v>
      </c>
      <c r="D101" s="8">
        <v>42199</v>
      </c>
      <c r="E101" s="20">
        <v>63700000</v>
      </c>
      <c r="F101" s="20">
        <v>40000000</v>
      </c>
      <c r="G101" s="25">
        <v>1.5925</v>
      </c>
      <c r="H101" s="5" t="s">
        <v>96</v>
      </c>
      <c r="I101" s="5">
        <v>21</v>
      </c>
    </row>
    <row r="102" spans="1:9" ht="24" customHeight="1" x14ac:dyDescent="0.35">
      <c r="A102" s="1" t="s">
        <v>231</v>
      </c>
      <c r="B102" s="1" t="s">
        <v>232</v>
      </c>
      <c r="C102" s="1" t="s">
        <v>101</v>
      </c>
      <c r="D102" s="10">
        <v>46204</v>
      </c>
      <c r="E102" s="21">
        <v>63600000</v>
      </c>
      <c r="F102" s="21">
        <v>55000000</v>
      </c>
      <c r="G102" s="24">
        <v>1.156363636363636</v>
      </c>
      <c r="H102" s="1" t="s">
        <v>149</v>
      </c>
      <c r="I102" s="1">
        <v>21</v>
      </c>
    </row>
    <row r="103" spans="1:9" ht="24" customHeight="1" x14ac:dyDescent="0.35">
      <c r="A103" s="5" t="s">
        <v>233</v>
      </c>
      <c r="B103" s="5" t="s">
        <v>200</v>
      </c>
      <c r="C103" s="5" t="s">
        <v>92</v>
      </c>
      <c r="D103" s="8">
        <v>45881</v>
      </c>
      <c r="E103" s="20">
        <v>63000000</v>
      </c>
      <c r="F103" s="20">
        <v>42000000</v>
      </c>
      <c r="G103" s="25">
        <v>1.5</v>
      </c>
      <c r="H103" s="5" t="s">
        <v>149</v>
      </c>
      <c r="I103" s="5">
        <v>23</v>
      </c>
    </row>
    <row r="104" spans="1:9" ht="24" customHeight="1" x14ac:dyDescent="0.35">
      <c r="A104" s="1" t="s">
        <v>234</v>
      </c>
      <c r="B104" s="1" t="s">
        <v>140</v>
      </c>
      <c r="C104" s="1" t="s">
        <v>114</v>
      </c>
      <c r="D104" s="10">
        <v>43648</v>
      </c>
      <c r="E104" s="21">
        <v>63000000</v>
      </c>
      <c r="F104" s="21">
        <v>60000000</v>
      </c>
      <c r="G104" s="24">
        <v>1.05</v>
      </c>
      <c r="H104" s="1" t="s">
        <v>96</v>
      </c>
      <c r="I104" s="1">
        <v>22</v>
      </c>
    </row>
    <row r="105" spans="1:9" ht="24" customHeight="1" x14ac:dyDescent="0.35">
      <c r="A105" s="5" t="s">
        <v>192</v>
      </c>
      <c r="B105" s="5" t="s">
        <v>134</v>
      </c>
      <c r="C105" s="5" t="s">
        <v>92</v>
      </c>
      <c r="D105" s="8">
        <v>42222</v>
      </c>
      <c r="E105" s="20">
        <v>63000000</v>
      </c>
      <c r="F105" s="20">
        <v>50000000</v>
      </c>
      <c r="G105" s="25">
        <v>1.26</v>
      </c>
      <c r="H105" s="5" t="s">
        <v>96</v>
      </c>
      <c r="I105" s="5">
        <v>27</v>
      </c>
    </row>
    <row r="106" spans="1:9" ht="24" customHeight="1" x14ac:dyDescent="0.35">
      <c r="A106" s="1" t="s">
        <v>235</v>
      </c>
      <c r="B106" s="1" t="s">
        <v>200</v>
      </c>
      <c r="C106" s="1" t="s">
        <v>114</v>
      </c>
      <c r="D106" s="10">
        <v>45809</v>
      </c>
      <c r="E106" s="21">
        <v>62500000</v>
      </c>
      <c r="F106" s="21">
        <v>60000000</v>
      </c>
      <c r="G106" s="24">
        <v>1.041666666666667</v>
      </c>
      <c r="H106" s="1" t="s">
        <v>149</v>
      </c>
      <c r="I106" s="1">
        <v>20</v>
      </c>
    </row>
    <row r="107" spans="1:9" ht="24" customHeight="1" x14ac:dyDescent="0.35">
      <c r="A107" s="5" t="s">
        <v>236</v>
      </c>
      <c r="B107" s="5" t="s">
        <v>162</v>
      </c>
      <c r="C107" s="5" t="s">
        <v>103</v>
      </c>
      <c r="D107" s="8">
        <v>45156</v>
      </c>
      <c r="E107" s="20">
        <v>62100000</v>
      </c>
      <c r="F107" s="20">
        <v>32000000</v>
      </c>
      <c r="G107" s="25">
        <v>1.940625</v>
      </c>
      <c r="H107" s="5" t="s">
        <v>93</v>
      </c>
      <c r="I107" s="5">
        <v>19</v>
      </c>
    </row>
    <row r="108" spans="1:9" ht="24" customHeight="1" x14ac:dyDescent="0.35">
      <c r="A108" s="1" t="s">
        <v>237</v>
      </c>
      <c r="B108" s="1" t="s">
        <v>196</v>
      </c>
      <c r="C108" s="1" t="s">
        <v>104</v>
      </c>
      <c r="D108" s="10">
        <v>45170</v>
      </c>
      <c r="E108" s="21">
        <v>62000000</v>
      </c>
      <c r="F108" s="21">
        <v>45000000</v>
      </c>
      <c r="G108" s="24">
        <v>1.377777777777778</v>
      </c>
      <c r="H108" s="1" t="s">
        <v>149</v>
      </c>
      <c r="I108" s="1">
        <v>25</v>
      </c>
    </row>
    <row r="109" spans="1:9" ht="24" customHeight="1" x14ac:dyDescent="0.35">
      <c r="A109" s="5" t="s">
        <v>238</v>
      </c>
      <c r="B109" s="5" t="s">
        <v>137</v>
      </c>
      <c r="C109" s="5" t="s">
        <v>134</v>
      </c>
      <c r="D109" s="8">
        <v>45491</v>
      </c>
      <c r="E109" s="20">
        <v>62000000</v>
      </c>
      <c r="F109" s="20">
        <v>50000000</v>
      </c>
      <c r="G109" s="25">
        <v>1.24</v>
      </c>
      <c r="H109" s="5" t="s">
        <v>149</v>
      </c>
      <c r="I109" s="5">
        <v>19</v>
      </c>
    </row>
    <row r="110" spans="1:9" ht="24" customHeight="1" x14ac:dyDescent="0.35">
      <c r="A110" s="1" t="s">
        <v>239</v>
      </c>
      <c r="B110" s="1" t="s">
        <v>240</v>
      </c>
      <c r="C110" s="1" t="s">
        <v>132</v>
      </c>
      <c r="D110" s="10">
        <v>43648</v>
      </c>
      <c r="E110" s="21">
        <v>62000000</v>
      </c>
      <c r="F110" s="21">
        <v>65000000</v>
      </c>
      <c r="G110" s="24">
        <v>0.9538461538461539</v>
      </c>
      <c r="H110" s="1" t="s">
        <v>93</v>
      </c>
      <c r="I110" s="1">
        <v>23</v>
      </c>
    </row>
    <row r="111" spans="1:9" ht="24" customHeight="1" x14ac:dyDescent="0.35">
      <c r="A111" s="5" t="s">
        <v>241</v>
      </c>
      <c r="B111" s="5" t="s">
        <v>176</v>
      </c>
      <c r="C111" s="5" t="s">
        <v>242</v>
      </c>
      <c r="D111" s="8">
        <v>45859</v>
      </c>
      <c r="E111" s="20">
        <v>61750000</v>
      </c>
      <c r="F111" s="20">
        <v>45000000</v>
      </c>
      <c r="G111" s="25">
        <v>1.372222222222222</v>
      </c>
      <c r="H111" s="5" t="s">
        <v>96</v>
      </c>
      <c r="I111" s="5">
        <v>26</v>
      </c>
    </row>
    <row r="112" spans="1:9" ht="24" customHeight="1" x14ac:dyDescent="0.35">
      <c r="A112" s="1" t="s">
        <v>243</v>
      </c>
      <c r="B112" s="1" t="s">
        <v>244</v>
      </c>
      <c r="C112" s="1" t="s">
        <v>100</v>
      </c>
      <c r="D112" s="10">
        <v>45849</v>
      </c>
      <c r="E112" s="21">
        <v>61400000</v>
      </c>
      <c r="F112" s="21">
        <v>42000000</v>
      </c>
      <c r="G112" s="24">
        <v>1.461904761904762</v>
      </c>
      <c r="H112" s="1" t="s">
        <v>96</v>
      </c>
      <c r="I112" s="1">
        <v>23</v>
      </c>
    </row>
    <row r="113" spans="1:9" ht="24" customHeight="1" x14ac:dyDescent="0.35">
      <c r="A113" s="5" t="s">
        <v>245</v>
      </c>
      <c r="B113" s="5" t="s">
        <v>148</v>
      </c>
      <c r="C113" s="5" t="s">
        <v>91</v>
      </c>
      <c r="D113" s="8">
        <v>45513</v>
      </c>
      <c r="E113" s="20">
        <v>61000000</v>
      </c>
      <c r="F113" s="20">
        <v>60000000</v>
      </c>
      <c r="G113" s="25">
        <v>1.0166666666666671</v>
      </c>
      <c r="H113" s="5" t="s">
        <v>93</v>
      </c>
      <c r="I113" s="5">
        <v>26</v>
      </c>
    </row>
    <row r="114" spans="1:9" ht="24" customHeight="1" x14ac:dyDescent="0.35">
      <c r="A114" s="1" t="s">
        <v>131</v>
      </c>
      <c r="B114" s="1" t="s">
        <v>246</v>
      </c>
      <c r="C114" s="1" t="s">
        <v>100</v>
      </c>
      <c r="D114" s="10">
        <v>45110</v>
      </c>
      <c r="E114" s="21">
        <v>60800000</v>
      </c>
      <c r="F114" s="21">
        <v>50000000</v>
      </c>
      <c r="G114" s="24">
        <v>1.216</v>
      </c>
      <c r="H114" s="1" t="s">
        <v>93</v>
      </c>
      <c r="I114" s="1">
        <v>23</v>
      </c>
    </row>
    <row r="115" spans="1:9" ht="24" customHeight="1" x14ac:dyDescent="0.35">
      <c r="A115" s="5" t="s">
        <v>247</v>
      </c>
      <c r="B115" s="5" t="s">
        <v>123</v>
      </c>
      <c r="C115" s="5" t="s">
        <v>91</v>
      </c>
      <c r="D115" s="8">
        <v>44075</v>
      </c>
      <c r="E115" s="20">
        <v>60000000</v>
      </c>
      <c r="F115" s="20">
        <v>45000000</v>
      </c>
      <c r="G115" s="25">
        <v>1.333333333333333</v>
      </c>
      <c r="H115" s="5" t="s">
        <v>93</v>
      </c>
      <c r="I115" s="5">
        <v>30</v>
      </c>
    </row>
    <row r="116" spans="1:9" ht="24" customHeight="1" x14ac:dyDescent="0.35">
      <c r="A116" s="1" t="s">
        <v>248</v>
      </c>
      <c r="B116" s="1" t="s">
        <v>106</v>
      </c>
      <c r="C116" s="1" t="s">
        <v>249</v>
      </c>
      <c r="D116" s="10">
        <v>45497</v>
      </c>
      <c r="E116" s="21">
        <v>60000000</v>
      </c>
      <c r="F116" s="21">
        <v>55000000</v>
      </c>
      <c r="G116" s="24">
        <v>1.0909090909090911</v>
      </c>
      <c r="H116" s="1" t="s">
        <v>96</v>
      </c>
      <c r="I116" s="1">
        <v>25</v>
      </c>
    </row>
    <row r="117" spans="1:9" ht="24" customHeight="1" x14ac:dyDescent="0.35">
      <c r="A117" s="5" t="s">
        <v>250</v>
      </c>
      <c r="B117" s="5" t="s">
        <v>128</v>
      </c>
      <c r="C117" s="5" t="s">
        <v>132</v>
      </c>
      <c r="D117" s="8">
        <v>46192</v>
      </c>
      <c r="E117" s="20">
        <v>60000000</v>
      </c>
      <c r="F117" s="20">
        <v>45000000</v>
      </c>
      <c r="G117" s="25">
        <v>1.333333333333333</v>
      </c>
      <c r="H117" s="5" t="s">
        <v>149</v>
      </c>
      <c r="I117" s="5">
        <v>26</v>
      </c>
    </row>
    <row r="118" spans="1:9" ht="24" customHeight="1" x14ac:dyDescent="0.35">
      <c r="A118" s="1" t="s">
        <v>251</v>
      </c>
      <c r="B118" s="1" t="s">
        <v>119</v>
      </c>
      <c r="C118" s="1" t="s">
        <v>101</v>
      </c>
      <c r="D118" s="10">
        <v>43282</v>
      </c>
      <c r="E118" s="21">
        <v>60000000</v>
      </c>
      <c r="F118" s="21">
        <v>65000000</v>
      </c>
      <c r="G118" s="24">
        <v>0.92307692307692313</v>
      </c>
      <c r="H118" s="1" t="s">
        <v>93</v>
      </c>
      <c r="I118" s="1">
        <v>23</v>
      </c>
    </row>
    <row r="119" spans="1:9" ht="24" customHeight="1" x14ac:dyDescent="0.35">
      <c r="A119" s="5" t="s">
        <v>252</v>
      </c>
      <c r="B119" s="5" t="s">
        <v>98</v>
      </c>
      <c r="C119" s="5" t="s">
        <v>104</v>
      </c>
      <c r="D119" s="8">
        <v>44743</v>
      </c>
      <c r="E119" s="20">
        <v>60000000</v>
      </c>
      <c r="F119" s="20">
        <v>150000000</v>
      </c>
      <c r="G119" s="25">
        <v>0.4</v>
      </c>
      <c r="H119" s="5" t="s">
        <v>96</v>
      </c>
      <c r="I119" s="5">
        <v>22</v>
      </c>
    </row>
    <row r="120" spans="1:9" ht="24" customHeight="1" x14ac:dyDescent="0.35">
      <c r="A120" s="1" t="s">
        <v>253</v>
      </c>
      <c r="B120" s="1" t="s">
        <v>254</v>
      </c>
      <c r="C120" s="1" t="s">
        <v>146</v>
      </c>
      <c r="D120" s="10">
        <v>45133</v>
      </c>
      <c r="E120" s="21">
        <v>60000000</v>
      </c>
      <c r="F120" s="21">
        <v>30000000</v>
      </c>
      <c r="G120" s="24">
        <v>2</v>
      </c>
      <c r="H120" s="1" t="s">
        <v>96</v>
      </c>
      <c r="I120" s="1">
        <v>26</v>
      </c>
    </row>
    <row r="121" spans="1:9" ht="24" customHeight="1" x14ac:dyDescent="0.35">
      <c r="A121" s="5" t="s">
        <v>255</v>
      </c>
      <c r="B121" s="5" t="s">
        <v>95</v>
      </c>
      <c r="C121" s="5" t="s">
        <v>134</v>
      </c>
      <c r="D121" s="8">
        <v>42248</v>
      </c>
      <c r="E121" s="20">
        <v>60000000</v>
      </c>
      <c r="F121" s="20">
        <v>8000000</v>
      </c>
      <c r="G121" s="25">
        <v>7.5</v>
      </c>
      <c r="H121" s="5" t="s">
        <v>96</v>
      </c>
      <c r="I121" s="5">
        <v>20</v>
      </c>
    </row>
    <row r="122" spans="1:9" ht="24" customHeight="1" x14ac:dyDescent="0.35">
      <c r="A122" s="1" t="s">
        <v>256</v>
      </c>
      <c r="B122" s="1" t="s">
        <v>257</v>
      </c>
      <c r="C122" s="1" t="s">
        <v>104</v>
      </c>
      <c r="D122" s="10">
        <v>45691</v>
      </c>
      <c r="E122" s="21">
        <v>60000000</v>
      </c>
      <c r="F122" s="21">
        <v>18000000</v>
      </c>
      <c r="G122" s="24">
        <v>3.333333333333333</v>
      </c>
      <c r="H122" s="1" t="s">
        <v>93</v>
      </c>
      <c r="I122" s="1">
        <v>23</v>
      </c>
    </row>
    <row r="123" spans="1:9" ht="24" customHeight="1" x14ac:dyDescent="0.35">
      <c r="A123" s="5" t="s">
        <v>258</v>
      </c>
      <c r="B123" s="5" t="s">
        <v>215</v>
      </c>
      <c r="C123" s="5" t="s">
        <v>92</v>
      </c>
      <c r="D123" s="8">
        <v>45114</v>
      </c>
      <c r="E123" s="20">
        <v>60000000</v>
      </c>
      <c r="F123" s="20">
        <v>50000000</v>
      </c>
      <c r="G123" s="25">
        <v>1.2</v>
      </c>
      <c r="H123" s="5" t="s">
        <v>93</v>
      </c>
      <c r="I123" s="5">
        <v>22</v>
      </c>
    </row>
    <row r="124" spans="1:9" ht="24" customHeight="1" x14ac:dyDescent="0.35">
      <c r="A124" s="1" t="s">
        <v>259</v>
      </c>
      <c r="B124" s="1" t="s">
        <v>148</v>
      </c>
      <c r="C124" s="1" t="s">
        <v>103</v>
      </c>
      <c r="D124" s="10">
        <v>45108</v>
      </c>
      <c r="E124" s="21">
        <v>60000000</v>
      </c>
      <c r="F124" s="21">
        <v>80000000</v>
      </c>
      <c r="G124" s="24">
        <v>0.75</v>
      </c>
      <c r="H124" s="1" t="s">
        <v>96</v>
      </c>
      <c r="I124" s="1">
        <v>26</v>
      </c>
    </row>
    <row r="125" spans="1:9" ht="24" customHeight="1" x14ac:dyDescent="0.35">
      <c r="A125" s="5" t="s">
        <v>260</v>
      </c>
      <c r="B125" s="5" t="s">
        <v>257</v>
      </c>
      <c r="C125" s="5" t="s">
        <v>180</v>
      </c>
      <c r="D125" s="8">
        <v>45160</v>
      </c>
      <c r="E125" s="20">
        <v>60000000</v>
      </c>
      <c r="F125" s="20">
        <v>35000000</v>
      </c>
      <c r="G125" s="25">
        <v>1.714285714285714</v>
      </c>
      <c r="H125" s="5" t="s">
        <v>93</v>
      </c>
      <c r="I125" s="5">
        <v>28</v>
      </c>
    </row>
    <row r="126" spans="1:9" ht="24" customHeight="1" x14ac:dyDescent="0.35">
      <c r="A126" s="1" t="s">
        <v>261</v>
      </c>
      <c r="B126" s="1" t="s">
        <v>232</v>
      </c>
      <c r="C126" s="1" t="s">
        <v>104</v>
      </c>
      <c r="D126" s="10">
        <v>45162</v>
      </c>
      <c r="E126" s="21">
        <v>60000000</v>
      </c>
      <c r="F126" s="21">
        <v>28000000</v>
      </c>
      <c r="G126" s="24">
        <v>2.1428571428571428</v>
      </c>
      <c r="H126" s="1" t="s">
        <v>96</v>
      </c>
      <c r="I126" s="1">
        <v>21</v>
      </c>
    </row>
    <row r="127" spans="1:9" ht="24" customHeight="1" x14ac:dyDescent="0.35">
      <c r="A127" s="5" t="s">
        <v>262</v>
      </c>
      <c r="B127" s="5" t="s">
        <v>196</v>
      </c>
      <c r="C127" s="5" t="s">
        <v>103</v>
      </c>
      <c r="D127" s="8">
        <v>45515</v>
      </c>
      <c r="E127" s="20">
        <v>60000000</v>
      </c>
      <c r="F127" s="20">
        <v>55000000</v>
      </c>
      <c r="G127" s="25">
        <v>1.0909090909090911</v>
      </c>
      <c r="H127" s="5" t="s">
        <v>96</v>
      </c>
      <c r="I127" s="5">
        <v>24</v>
      </c>
    </row>
    <row r="128" spans="1:9" ht="24" customHeight="1" x14ac:dyDescent="0.35">
      <c r="A128" s="1" t="s">
        <v>263</v>
      </c>
      <c r="B128" s="1" t="s">
        <v>160</v>
      </c>
      <c r="C128" s="1" t="s">
        <v>106</v>
      </c>
      <c r="D128" s="10">
        <v>45495</v>
      </c>
      <c r="E128" s="21">
        <v>59350000</v>
      </c>
      <c r="F128" s="21">
        <v>50000000</v>
      </c>
      <c r="G128" s="24">
        <v>1.1870000000000001</v>
      </c>
      <c r="H128" s="1" t="s">
        <v>93</v>
      </c>
      <c r="I128" s="1">
        <v>23</v>
      </c>
    </row>
    <row r="129" spans="1:9" ht="24" customHeight="1" x14ac:dyDescent="0.35">
      <c r="A129" s="5" t="s">
        <v>264</v>
      </c>
      <c r="B129" s="5" t="s">
        <v>207</v>
      </c>
      <c r="C129" s="5" t="s">
        <v>134</v>
      </c>
      <c r="D129" s="8">
        <v>43282</v>
      </c>
      <c r="E129" s="20">
        <v>59000000</v>
      </c>
      <c r="F129" s="20">
        <v>32000000</v>
      </c>
      <c r="G129" s="25">
        <v>1.84375</v>
      </c>
      <c r="H129" s="5" t="s">
        <v>93</v>
      </c>
      <c r="I129" s="5">
        <v>25</v>
      </c>
    </row>
    <row r="130" spans="1:9" ht="24" customHeight="1" x14ac:dyDescent="0.35">
      <c r="A130" s="1" t="s">
        <v>265</v>
      </c>
      <c r="B130" s="1" t="s">
        <v>106</v>
      </c>
      <c r="C130" s="1" t="s">
        <v>126</v>
      </c>
      <c r="D130" s="10">
        <v>46204</v>
      </c>
      <c r="E130" s="21">
        <v>59000000</v>
      </c>
      <c r="F130" s="21">
        <v>40000000</v>
      </c>
      <c r="G130" s="24">
        <v>1.4750000000000001</v>
      </c>
      <c r="H130" s="1" t="s">
        <v>149</v>
      </c>
      <c r="I130" s="1">
        <v>29</v>
      </c>
    </row>
    <row r="131" spans="1:9" ht="24" customHeight="1" x14ac:dyDescent="0.35">
      <c r="A131" s="5" t="s">
        <v>266</v>
      </c>
      <c r="B131" s="5" t="s">
        <v>128</v>
      </c>
      <c r="C131" s="5" t="s">
        <v>126</v>
      </c>
      <c r="D131" s="8">
        <v>44407</v>
      </c>
      <c r="E131" s="20">
        <v>58500000</v>
      </c>
      <c r="F131" s="20">
        <v>28000000</v>
      </c>
      <c r="G131" s="25">
        <v>2.089285714285714</v>
      </c>
      <c r="H131" s="5" t="s">
        <v>149</v>
      </c>
      <c r="I131" s="5">
        <v>24</v>
      </c>
    </row>
    <row r="132" spans="1:9" ht="24" customHeight="1" x14ac:dyDescent="0.35">
      <c r="A132" s="1" t="s">
        <v>267</v>
      </c>
      <c r="B132" s="1" t="s">
        <v>176</v>
      </c>
      <c r="C132" s="1" t="s">
        <v>123</v>
      </c>
      <c r="D132" s="10">
        <v>45532</v>
      </c>
      <c r="E132" s="21">
        <v>58400000</v>
      </c>
      <c r="F132" s="21">
        <v>50000000</v>
      </c>
      <c r="G132" s="24">
        <v>1.1679999999999999</v>
      </c>
      <c r="H132" s="1" t="s">
        <v>93</v>
      </c>
      <c r="I132" s="1">
        <v>26</v>
      </c>
    </row>
    <row r="133" spans="1:9" ht="24" customHeight="1" x14ac:dyDescent="0.35">
      <c r="A133" s="5" t="s">
        <v>268</v>
      </c>
      <c r="B133" s="5" t="s">
        <v>160</v>
      </c>
      <c r="C133" s="5" t="s">
        <v>132</v>
      </c>
      <c r="D133" s="8">
        <v>44743</v>
      </c>
      <c r="E133" s="20">
        <v>58000000</v>
      </c>
      <c r="F133" s="20">
        <v>48000000</v>
      </c>
      <c r="G133" s="25">
        <v>1.208333333333333</v>
      </c>
      <c r="H133" s="5" t="s">
        <v>96</v>
      </c>
      <c r="I133" s="5">
        <v>25</v>
      </c>
    </row>
    <row r="134" spans="1:9" ht="24" customHeight="1" x14ac:dyDescent="0.35">
      <c r="A134" s="1" t="s">
        <v>269</v>
      </c>
      <c r="B134" s="1" t="s">
        <v>270</v>
      </c>
      <c r="C134" s="1" t="s">
        <v>91</v>
      </c>
      <c r="D134" s="10">
        <v>44755</v>
      </c>
      <c r="E134" s="21">
        <v>58000000</v>
      </c>
      <c r="F134" s="21">
        <v>45000000</v>
      </c>
      <c r="G134" s="24">
        <v>1.288888888888889</v>
      </c>
      <c r="H134" s="1" t="s">
        <v>96</v>
      </c>
      <c r="I134" s="1">
        <v>26</v>
      </c>
    </row>
    <row r="135" spans="1:9" ht="24" customHeight="1" x14ac:dyDescent="0.35">
      <c r="A135" s="5" t="s">
        <v>271</v>
      </c>
      <c r="B135" s="5" t="s">
        <v>190</v>
      </c>
      <c r="C135" s="5" t="s">
        <v>100</v>
      </c>
      <c r="D135" s="8">
        <v>45901</v>
      </c>
      <c r="E135" s="20">
        <v>57700000</v>
      </c>
      <c r="F135" s="20">
        <v>32000000</v>
      </c>
      <c r="G135" s="25">
        <v>1.8031250000000001</v>
      </c>
      <c r="H135" s="5" t="s">
        <v>96</v>
      </c>
      <c r="I135" s="5">
        <v>29</v>
      </c>
    </row>
    <row r="136" spans="1:9" ht="24" customHeight="1" x14ac:dyDescent="0.35">
      <c r="A136" s="1" t="s">
        <v>272</v>
      </c>
      <c r="B136" s="1" t="s">
        <v>95</v>
      </c>
      <c r="C136" s="1" t="s">
        <v>104</v>
      </c>
      <c r="D136" s="10">
        <v>42940</v>
      </c>
      <c r="E136" s="21">
        <v>57500000</v>
      </c>
      <c r="F136" s="21">
        <v>13000000</v>
      </c>
      <c r="G136" s="24">
        <v>4.4230769230769234</v>
      </c>
      <c r="H136" s="1" t="s">
        <v>149</v>
      </c>
      <c r="I136" s="1">
        <v>23</v>
      </c>
    </row>
    <row r="137" spans="1:9" ht="24" customHeight="1" x14ac:dyDescent="0.35">
      <c r="A137" s="5" t="s">
        <v>273</v>
      </c>
      <c r="B137" s="5" t="s">
        <v>144</v>
      </c>
      <c r="C137" s="5" t="s">
        <v>134</v>
      </c>
      <c r="D137" s="8">
        <v>44769</v>
      </c>
      <c r="E137" s="20">
        <v>57370000</v>
      </c>
      <c r="F137" s="20">
        <v>32000000</v>
      </c>
      <c r="G137" s="25">
        <v>1.7928124999999999</v>
      </c>
      <c r="H137" s="5" t="s">
        <v>149</v>
      </c>
      <c r="I137" s="5">
        <v>24</v>
      </c>
    </row>
    <row r="138" spans="1:9" ht="24" customHeight="1" x14ac:dyDescent="0.35">
      <c r="A138" s="1" t="s">
        <v>274</v>
      </c>
      <c r="B138" s="1" t="s">
        <v>174</v>
      </c>
      <c r="C138" s="1" t="s">
        <v>103</v>
      </c>
      <c r="D138" s="10">
        <v>43295</v>
      </c>
      <c r="E138" s="21">
        <v>57000000</v>
      </c>
      <c r="F138" s="21">
        <v>50000000</v>
      </c>
      <c r="G138" s="24">
        <v>1.1399999999999999</v>
      </c>
      <c r="H138" s="1" t="s">
        <v>93</v>
      </c>
      <c r="I138" s="1">
        <v>27</v>
      </c>
    </row>
    <row r="139" spans="1:9" ht="24" customHeight="1" x14ac:dyDescent="0.35">
      <c r="A139" s="5" t="s">
        <v>230</v>
      </c>
      <c r="B139" s="5" t="s">
        <v>104</v>
      </c>
      <c r="C139" s="5" t="s">
        <v>103</v>
      </c>
      <c r="D139" s="8">
        <v>44755</v>
      </c>
      <c r="E139" s="20">
        <v>56200000</v>
      </c>
      <c r="F139" s="20">
        <v>70000000</v>
      </c>
      <c r="G139" s="25">
        <v>0.80285714285714282</v>
      </c>
      <c r="H139" s="5" t="s">
        <v>96</v>
      </c>
      <c r="I139" s="5">
        <v>28</v>
      </c>
    </row>
    <row r="140" spans="1:9" ht="24" customHeight="1" x14ac:dyDescent="0.35">
      <c r="A140" s="1" t="s">
        <v>275</v>
      </c>
      <c r="B140" s="1" t="s">
        <v>103</v>
      </c>
      <c r="C140" s="1" t="s">
        <v>126</v>
      </c>
      <c r="D140" s="10">
        <v>45856</v>
      </c>
      <c r="E140" s="21">
        <v>56000000</v>
      </c>
      <c r="F140" s="21">
        <v>40000000</v>
      </c>
      <c r="G140" s="24">
        <v>1.4</v>
      </c>
      <c r="H140" s="1" t="s">
        <v>96</v>
      </c>
      <c r="I140" s="1">
        <v>23</v>
      </c>
    </row>
    <row r="141" spans="1:9" ht="24" customHeight="1" x14ac:dyDescent="0.35">
      <c r="A141" s="5" t="s">
        <v>276</v>
      </c>
      <c r="B141" s="5" t="s">
        <v>98</v>
      </c>
      <c r="C141" s="5" t="s">
        <v>103</v>
      </c>
      <c r="D141" s="8">
        <v>45843</v>
      </c>
      <c r="E141" s="20">
        <v>56000000</v>
      </c>
      <c r="F141" s="20">
        <v>50000000</v>
      </c>
      <c r="G141" s="25">
        <v>1.1200000000000001</v>
      </c>
      <c r="H141" s="5" t="s">
        <v>96</v>
      </c>
      <c r="I141" s="5">
        <v>21</v>
      </c>
    </row>
    <row r="142" spans="1:9" ht="24" customHeight="1" x14ac:dyDescent="0.35">
      <c r="A142" s="1" t="s">
        <v>277</v>
      </c>
      <c r="B142" s="1" t="s">
        <v>254</v>
      </c>
      <c r="C142" s="1" t="s">
        <v>278</v>
      </c>
      <c r="D142" s="10">
        <v>42552</v>
      </c>
      <c r="E142" s="21">
        <v>56000000</v>
      </c>
      <c r="F142" s="21">
        <v>32000000</v>
      </c>
      <c r="G142" s="24">
        <v>1.75</v>
      </c>
      <c r="H142" s="1" t="s">
        <v>96</v>
      </c>
      <c r="I142" s="1">
        <v>30</v>
      </c>
    </row>
    <row r="143" spans="1:9" ht="24" customHeight="1" x14ac:dyDescent="0.35">
      <c r="A143" s="5" t="s">
        <v>279</v>
      </c>
      <c r="B143" s="5" t="s">
        <v>160</v>
      </c>
      <c r="C143" s="5" t="s">
        <v>104</v>
      </c>
      <c r="D143" s="8">
        <v>42591</v>
      </c>
      <c r="E143" s="20">
        <v>55600000</v>
      </c>
      <c r="F143" s="20">
        <v>28000000</v>
      </c>
      <c r="G143" s="25">
        <v>1.985714285714286</v>
      </c>
      <c r="H143" s="5" t="s">
        <v>149</v>
      </c>
      <c r="I143" s="5">
        <v>22</v>
      </c>
    </row>
    <row r="144" spans="1:9" ht="24" customHeight="1" x14ac:dyDescent="0.35">
      <c r="A144" s="1" t="s">
        <v>248</v>
      </c>
      <c r="B144" s="1" t="s">
        <v>116</v>
      </c>
      <c r="C144" s="1" t="s">
        <v>106</v>
      </c>
      <c r="D144" s="10">
        <v>45129</v>
      </c>
      <c r="E144" s="21">
        <v>55000000</v>
      </c>
      <c r="F144" s="21">
        <v>50000000</v>
      </c>
      <c r="G144" s="24">
        <v>1.1000000000000001</v>
      </c>
      <c r="H144" s="1" t="s">
        <v>96</v>
      </c>
      <c r="I144" s="1">
        <v>24</v>
      </c>
    </row>
    <row r="145" spans="1:9" ht="24" customHeight="1" x14ac:dyDescent="0.35">
      <c r="A145" s="5" t="s">
        <v>280</v>
      </c>
      <c r="B145" s="5" t="s">
        <v>244</v>
      </c>
      <c r="C145" s="5" t="s">
        <v>132</v>
      </c>
      <c r="D145" s="8">
        <v>45170</v>
      </c>
      <c r="E145" s="20">
        <v>55000000</v>
      </c>
      <c r="F145" s="20">
        <v>38000000</v>
      </c>
      <c r="G145" s="25">
        <v>1.4473684210526321</v>
      </c>
      <c r="H145" s="5" t="s">
        <v>96</v>
      </c>
      <c r="I145" s="5">
        <v>22</v>
      </c>
    </row>
    <row r="146" spans="1:9" ht="24" customHeight="1" x14ac:dyDescent="0.35">
      <c r="A146" s="1" t="s">
        <v>281</v>
      </c>
      <c r="B146" s="1" t="s">
        <v>92</v>
      </c>
      <c r="C146" s="1" t="s">
        <v>106</v>
      </c>
      <c r="D146" s="10">
        <v>46266</v>
      </c>
      <c r="E146" s="21">
        <v>55000000</v>
      </c>
      <c r="F146" s="21">
        <v>30000000</v>
      </c>
      <c r="G146" s="24">
        <v>1.833333333333333</v>
      </c>
      <c r="H146" s="1" t="s">
        <v>96</v>
      </c>
      <c r="I146" s="1">
        <v>18</v>
      </c>
    </row>
    <row r="147" spans="1:9" ht="24" customHeight="1" x14ac:dyDescent="0.35">
      <c r="A147" s="5" t="s">
        <v>282</v>
      </c>
      <c r="B147" s="5" t="s">
        <v>210</v>
      </c>
      <c r="C147" s="5" t="s">
        <v>134</v>
      </c>
      <c r="D147" s="8">
        <v>43647</v>
      </c>
      <c r="E147" s="20">
        <v>55000000</v>
      </c>
      <c r="F147" s="20">
        <v>35000000</v>
      </c>
      <c r="G147" s="25">
        <v>1.571428571428571</v>
      </c>
      <c r="H147" s="5" t="s">
        <v>149</v>
      </c>
      <c r="I147" s="5">
        <v>22</v>
      </c>
    </row>
    <row r="148" spans="1:9" ht="24" customHeight="1" x14ac:dyDescent="0.35">
      <c r="A148" s="1" t="s">
        <v>283</v>
      </c>
      <c r="B148" s="1" t="s">
        <v>196</v>
      </c>
      <c r="C148" s="1" t="s">
        <v>146</v>
      </c>
      <c r="D148" s="10">
        <v>45108</v>
      </c>
      <c r="E148" s="21">
        <v>55000000</v>
      </c>
      <c r="F148" s="21">
        <v>40000000</v>
      </c>
      <c r="G148" s="24">
        <v>1.375</v>
      </c>
      <c r="H148" s="1" t="s">
        <v>93</v>
      </c>
      <c r="I148" s="1">
        <v>26</v>
      </c>
    </row>
    <row r="149" spans="1:9" ht="24" customHeight="1" x14ac:dyDescent="0.35">
      <c r="A149" s="5" t="s">
        <v>284</v>
      </c>
      <c r="B149" s="5" t="s">
        <v>104</v>
      </c>
      <c r="C149" s="5" t="s">
        <v>91</v>
      </c>
      <c r="D149" s="8">
        <v>44562</v>
      </c>
      <c r="E149" s="20">
        <v>55000000</v>
      </c>
      <c r="F149" s="20">
        <v>45000000</v>
      </c>
      <c r="G149" s="25">
        <v>1.2222222222222221</v>
      </c>
      <c r="H149" s="5" t="s">
        <v>96</v>
      </c>
      <c r="I149" s="5">
        <v>22</v>
      </c>
    </row>
    <row r="150" spans="1:9" ht="24" customHeight="1" x14ac:dyDescent="0.35">
      <c r="A150" s="1" t="s">
        <v>285</v>
      </c>
      <c r="B150" s="1" t="s">
        <v>246</v>
      </c>
      <c r="C150" s="1" t="s">
        <v>104</v>
      </c>
      <c r="D150" s="10">
        <v>45818</v>
      </c>
      <c r="E150" s="21">
        <v>54900000</v>
      </c>
      <c r="F150" s="21">
        <v>50000000</v>
      </c>
      <c r="G150" s="24">
        <v>1.0980000000000001</v>
      </c>
      <c r="H150" s="1" t="s">
        <v>93</v>
      </c>
      <c r="I150" s="1">
        <v>27</v>
      </c>
    </row>
    <row r="151" spans="1:9" ht="24" customHeight="1" x14ac:dyDescent="0.35">
      <c r="A151" s="5" t="s">
        <v>120</v>
      </c>
      <c r="B151" s="5" t="s">
        <v>178</v>
      </c>
      <c r="C151" s="5" t="s">
        <v>112</v>
      </c>
      <c r="D151" s="8">
        <v>41848</v>
      </c>
      <c r="E151" s="20">
        <v>54000000</v>
      </c>
      <c r="F151" s="20">
        <v>30000000</v>
      </c>
      <c r="G151" s="25">
        <v>1.8</v>
      </c>
      <c r="H151" s="5" t="s">
        <v>96</v>
      </c>
      <c r="I151" s="5">
        <v>23</v>
      </c>
    </row>
    <row r="152" spans="1:9" ht="24" customHeight="1" x14ac:dyDescent="0.35">
      <c r="A152" s="1" t="s">
        <v>286</v>
      </c>
      <c r="B152" s="1" t="s">
        <v>176</v>
      </c>
      <c r="C152" s="1" t="s">
        <v>132</v>
      </c>
      <c r="D152" s="10">
        <v>44803</v>
      </c>
      <c r="E152" s="21">
        <v>53800000</v>
      </c>
      <c r="F152" s="21">
        <v>48000000</v>
      </c>
      <c r="G152" s="24">
        <v>1.1208333333333329</v>
      </c>
      <c r="H152" s="1" t="s">
        <v>149</v>
      </c>
      <c r="I152" s="1">
        <v>24</v>
      </c>
    </row>
    <row r="153" spans="1:9" ht="24" customHeight="1" x14ac:dyDescent="0.35">
      <c r="A153" s="5" t="s">
        <v>287</v>
      </c>
      <c r="B153" s="5" t="s">
        <v>240</v>
      </c>
      <c r="C153" s="5" t="s">
        <v>126</v>
      </c>
      <c r="D153" s="8">
        <v>42921</v>
      </c>
      <c r="E153" s="20">
        <v>53000000</v>
      </c>
      <c r="F153" s="20">
        <v>40000000</v>
      </c>
      <c r="G153" s="25">
        <v>1.325</v>
      </c>
      <c r="H153" s="5" t="s">
        <v>96</v>
      </c>
      <c r="I153" s="5">
        <v>26</v>
      </c>
    </row>
    <row r="154" spans="1:9" ht="24" customHeight="1" x14ac:dyDescent="0.35">
      <c r="A154" s="1" t="s">
        <v>288</v>
      </c>
      <c r="B154" s="1" t="s">
        <v>210</v>
      </c>
      <c r="C154" s="1" t="s">
        <v>142</v>
      </c>
      <c r="D154" s="10">
        <v>45480</v>
      </c>
      <c r="E154" s="21">
        <v>53000000</v>
      </c>
      <c r="F154" s="21">
        <v>55000000</v>
      </c>
      <c r="G154" s="24">
        <v>0.96363636363636362</v>
      </c>
      <c r="H154" s="1" t="s">
        <v>96</v>
      </c>
      <c r="I154" s="1">
        <v>23</v>
      </c>
    </row>
    <row r="155" spans="1:9" ht="24" customHeight="1" x14ac:dyDescent="0.35">
      <c r="A155" s="5" t="s">
        <v>159</v>
      </c>
      <c r="B155" s="5" t="s">
        <v>101</v>
      </c>
      <c r="C155" s="5" t="s">
        <v>146</v>
      </c>
      <c r="D155" s="8">
        <v>45878</v>
      </c>
      <c r="E155" s="20">
        <v>53000000</v>
      </c>
      <c r="F155" s="20">
        <v>45000000</v>
      </c>
      <c r="G155" s="25">
        <v>1.177777777777778</v>
      </c>
      <c r="H155" s="5" t="s">
        <v>96</v>
      </c>
      <c r="I155" s="5">
        <v>26</v>
      </c>
    </row>
    <row r="156" spans="1:9" ht="24" customHeight="1" x14ac:dyDescent="0.35">
      <c r="A156" s="1" t="s">
        <v>289</v>
      </c>
      <c r="B156" s="1" t="s">
        <v>148</v>
      </c>
      <c r="C156" s="1" t="s">
        <v>103</v>
      </c>
      <c r="D156" s="10">
        <v>44013</v>
      </c>
      <c r="E156" s="21">
        <v>53000000</v>
      </c>
      <c r="F156" s="21">
        <v>64000000</v>
      </c>
      <c r="G156" s="24">
        <v>0.828125</v>
      </c>
      <c r="H156" s="1" t="s">
        <v>96</v>
      </c>
      <c r="I156" s="1">
        <v>24</v>
      </c>
    </row>
    <row r="157" spans="1:9" ht="24" customHeight="1" x14ac:dyDescent="0.35">
      <c r="A157" s="5" t="s">
        <v>290</v>
      </c>
      <c r="B157" s="5" t="s">
        <v>132</v>
      </c>
      <c r="C157" s="5" t="s">
        <v>104</v>
      </c>
      <c r="D157" s="8">
        <v>42930</v>
      </c>
      <c r="E157" s="20">
        <v>52700000</v>
      </c>
      <c r="F157" s="20">
        <v>30000000</v>
      </c>
      <c r="G157" s="25">
        <v>1.756666666666667</v>
      </c>
      <c r="H157" s="5" t="s">
        <v>149</v>
      </c>
      <c r="I157" s="5">
        <v>27</v>
      </c>
    </row>
    <row r="158" spans="1:9" ht="24" customHeight="1" x14ac:dyDescent="0.35">
      <c r="A158" s="1" t="s">
        <v>291</v>
      </c>
      <c r="B158" s="1" t="s">
        <v>292</v>
      </c>
      <c r="C158" s="1" t="s">
        <v>146</v>
      </c>
      <c r="D158" s="10">
        <v>45157</v>
      </c>
      <c r="E158" s="21">
        <v>52600000</v>
      </c>
      <c r="F158" s="21">
        <v>28000000</v>
      </c>
      <c r="G158" s="24">
        <v>1.878571428571429</v>
      </c>
      <c r="H158" s="1" t="s">
        <v>96</v>
      </c>
      <c r="I158" s="1">
        <v>29</v>
      </c>
    </row>
    <row r="159" spans="1:9" ht="24" customHeight="1" x14ac:dyDescent="0.35">
      <c r="A159" s="5" t="s">
        <v>293</v>
      </c>
      <c r="B159" s="5" t="s">
        <v>104</v>
      </c>
      <c r="C159" s="5" t="s">
        <v>126</v>
      </c>
      <c r="D159" s="8">
        <v>44746</v>
      </c>
      <c r="E159" s="20">
        <v>52200000</v>
      </c>
      <c r="F159" s="20">
        <v>50000000</v>
      </c>
      <c r="G159" s="25">
        <v>1.044</v>
      </c>
      <c r="H159" s="5" t="s">
        <v>96</v>
      </c>
      <c r="I159" s="5">
        <v>25</v>
      </c>
    </row>
    <row r="160" spans="1:9" ht="24" customHeight="1" x14ac:dyDescent="0.35">
      <c r="A160" s="1" t="s">
        <v>110</v>
      </c>
      <c r="B160" s="1" t="s">
        <v>112</v>
      </c>
      <c r="C160" s="1" t="s">
        <v>103</v>
      </c>
      <c r="D160" s="10">
        <v>45525</v>
      </c>
      <c r="E160" s="21">
        <v>52000000</v>
      </c>
      <c r="F160" s="21">
        <v>30000000</v>
      </c>
      <c r="G160" s="24">
        <v>1.7333333333333329</v>
      </c>
      <c r="H160" s="1" t="s">
        <v>96</v>
      </c>
      <c r="I160" s="1">
        <v>25</v>
      </c>
    </row>
    <row r="161" spans="1:9" ht="24" customHeight="1" x14ac:dyDescent="0.35">
      <c r="A161" s="5" t="s">
        <v>294</v>
      </c>
      <c r="B161" s="5" t="s">
        <v>116</v>
      </c>
      <c r="C161" s="5" t="s">
        <v>126</v>
      </c>
      <c r="D161" s="8">
        <v>46204</v>
      </c>
      <c r="E161" s="20">
        <v>52000000</v>
      </c>
      <c r="F161" s="20">
        <v>50000000</v>
      </c>
      <c r="G161" s="25">
        <v>1.04</v>
      </c>
      <c r="H161" s="5" t="s">
        <v>149</v>
      </c>
      <c r="I161" s="5">
        <v>24</v>
      </c>
    </row>
    <row r="162" spans="1:9" ht="24" customHeight="1" x14ac:dyDescent="0.35">
      <c r="A162" s="1" t="s">
        <v>295</v>
      </c>
      <c r="B162" s="1" t="s">
        <v>296</v>
      </c>
      <c r="C162" s="1" t="s">
        <v>104</v>
      </c>
      <c r="D162" s="10">
        <v>42584</v>
      </c>
      <c r="E162" s="21">
        <v>52000000</v>
      </c>
      <c r="F162" s="21">
        <v>30000000</v>
      </c>
      <c r="G162" s="24">
        <v>1.7333333333333329</v>
      </c>
      <c r="H162" s="1" t="s">
        <v>96</v>
      </c>
      <c r="I162" s="1">
        <v>20</v>
      </c>
    </row>
    <row r="163" spans="1:9" ht="24" customHeight="1" x14ac:dyDescent="0.35">
      <c r="A163" s="5" t="s">
        <v>297</v>
      </c>
      <c r="B163" s="5" t="s">
        <v>106</v>
      </c>
      <c r="C163" s="5" t="s">
        <v>123</v>
      </c>
      <c r="D163" s="8">
        <v>45474</v>
      </c>
      <c r="E163" s="20">
        <v>51500000</v>
      </c>
      <c r="F163" s="20">
        <v>70000000</v>
      </c>
      <c r="G163" s="25">
        <v>0.73571428571428577</v>
      </c>
      <c r="H163" s="5" t="s">
        <v>93</v>
      </c>
      <c r="I163" s="5">
        <v>26</v>
      </c>
    </row>
    <row r="164" spans="1:9" ht="24" customHeight="1" x14ac:dyDescent="0.35">
      <c r="A164" s="1" t="s">
        <v>298</v>
      </c>
      <c r="B164" s="1" t="s">
        <v>299</v>
      </c>
      <c r="C164" s="1" t="s">
        <v>123</v>
      </c>
      <c r="D164" s="10">
        <v>44762</v>
      </c>
      <c r="E164" s="21">
        <v>51300000</v>
      </c>
      <c r="F164" s="21">
        <v>35000000</v>
      </c>
      <c r="G164" s="24">
        <v>1.465714285714286</v>
      </c>
      <c r="H164" s="1" t="s">
        <v>149</v>
      </c>
      <c r="I164" s="1">
        <v>25</v>
      </c>
    </row>
    <row r="165" spans="1:9" ht="24" customHeight="1" x14ac:dyDescent="0.35">
      <c r="A165" s="5" t="s">
        <v>300</v>
      </c>
      <c r="B165" s="5" t="s">
        <v>292</v>
      </c>
      <c r="C165" s="5" t="s">
        <v>142</v>
      </c>
      <c r="D165" s="8">
        <v>45484</v>
      </c>
      <c r="E165" s="20">
        <v>51000000</v>
      </c>
      <c r="F165" s="20">
        <v>55000000</v>
      </c>
      <c r="G165" s="25">
        <v>0.92727272727272725</v>
      </c>
      <c r="H165" s="5" t="s">
        <v>93</v>
      </c>
      <c r="I165" s="5">
        <v>29</v>
      </c>
    </row>
    <row r="166" spans="1:9" ht="24" customHeight="1" x14ac:dyDescent="0.35">
      <c r="A166" s="1" t="s">
        <v>301</v>
      </c>
      <c r="B166" s="1" t="s">
        <v>215</v>
      </c>
      <c r="C166" s="1" t="s">
        <v>103</v>
      </c>
      <c r="D166" s="10">
        <v>46204</v>
      </c>
      <c r="E166" s="21">
        <v>50700000</v>
      </c>
      <c r="F166" s="21">
        <v>42000000</v>
      </c>
      <c r="G166" s="24">
        <v>1.2071428571428571</v>
      </c>
      <c r="H166" s="1" t="s">
        <v>96</v>
      </c>
      <c r="I166" s="1">
        <v>19</v>
      </c>
    </row>
    <row r="167" spans="1:9" ht="24" customHeight="1" x14ac:dyDescent="0.35">
      <c r="A167" s="5" t="s">
        <v>302</v>
      </c>
      <c r="B167" s="5" t="s">
        <v>152</v>
      </c>
      <c r="C167" s="5" t="s">
        <v>103</v>
      </c>
      <c r="D167" s="8">
        <v>44069</v>
      </c>
      <c r="E167" s="20">
        <v>50200000</v>
      </c>
      <c r="F167" s="20">
        <v>40000000</v>
      </c>
      <c r="G167" s="25">
        <v>1.2549999999999999</v>
      </c>
      <c r="H167" s="5" t="s">
        <v>149</v>
      </c>
      <c r="I167" s="5">
        <v>24</v>
      </c>
    </row>
    <row r="168" spans="1:9" ht="24" customHeight="1" x14ac:dyDescent="0.35">
      <c r="A168" s="1" t="s">
        <v>303</v>
      </c>
      <c r="B168" s="1" t="s">
        <v>130</v>
      </c>
      <c r="C168" s="1" t="s">
        <v>134</v>
      </c>
      <c r="D168" s="10">
        <v>45127</v>
      </c>
      <c r="E168" s="21">
        <v>50200000</v>
      </c>
      <c r="F168" s="21">
        <v>35000000</v>
      </c>
      <c r="G168" s="24">
        <v>1.4342857142857139</v>
      </c>
      <c r="H168" s="1" t="s">
        <v>172</v>
      </c>
      <c r="I168" s="1">
        <v>27</v>
      </c>
    </row>
    <row r="169" spans="1:9" ht="24" customHeight="1" x14ac:dyDescent="0.35">
      <c r="A169" s="5" t="s">
        <v>304</v>
      </c>
      <c r="B169" s="5" t="s">
        <v>95</v>
      </c>
      <c r="C169" s="5" t="s">
        <v>104</v>
      </c>
      <c r="D169" s="8">
        <v>42917</v>
      </c>
      <c r="E169" s="20">
        <v>50000000</v>
      </c>
      <c r="F169" s="20">
        <v>40000000</v>
      </c>
      <c r="G169" s="25">
        <v>1.25</v>
      </c>
      <c r="H169" s="5" t="s">
        <v>93</v>
      </c>
      <c r="I169" s="5">
        <v>23</v>
      </c>
    </row>
    <row r="170" spans="1:9" ht="24" customHeight="1" x14ac:dyDescent="0.35">
      <c r="A170" s="1" t="s">
        <v>305</v>
      </c>
      <c r="B170" s="1" t="s">
        <v>232</v>
      </c>
      <c r="C170" s="1" t="s">
        <v>92</v>
      </c>
      <c r="D170" s="10">
        <v>45521</v>
      </c>
      <c r="E170" s="21">
        <v>50000000</v>
      </c>
      <c r="F170" s="21">
        <v>30000000</v>
      </c>
      <c r="G170" s="24">
        <v>1.666666666666667</v>
      </c>
      <c r="H170" s="1" t="s">
        <v>96</v>
      </c>
      <c r="I170" s="1">
        <v>19</v>
      </c>
    </row>
    <row r="171" spans="1:9" ht="24" customHeight="1" x14ac:dyDescent="0.35">
      <c r="A171" s="5" t="s">
        <v>306</v>
      </c>
      <c r="B171" s="5" t="s">
        <v>174</v>
      </c>
      <c r="C171" s="5" t="s">
        <v>142</v>
      </c>
      <c r="D171" s="8">
        <v>45125</v>
      </c>
      <c r="E171" s="20">
        <v>50000000</v>
      </c>
      <c r="F171" s="20">
        <v>60000000</v>
      </c>
      <c r="G171" s="25">
        <v>0.83333333333333337</v>
      </c>
      <c r="H171" s="5" t="s">
        <v>149</v>
      </c>
      <c r="I171" s="5">
        <v>27</v>
      </c>
    </row>
    <row r="172" spans="1:9" ht="24" customHeight="1" x14ac:dyDescent="0.35">
      <c r="A172" s="1" t="s">
        <v>307</v>
      </c>
      <c r="B172" s="1" t="s">
        <v>257</v>
      </c>
      <c r="C172" s="1" t="s">
        <v>308</v>
      </c>
      <c r="D172" s="10">
        <v>45688</v>
      </c>
      <c r="E172" s="21">
        <v>50000000</v>
      </c>
      <c r="F172" s="21">
        <v>27000000</v>
      </c>
      <c r="G172" s="24">
        <v>1.8518518518518521</v>
      </c>
      <c r="H172" s="1" t="s">
        <v>96</v>
      </c>
      <c r="I172" s="1">
        <v>28</v>
      </c>
    </row>
    <row r="173" spans="1:9" ht="24" customHeight="1" x14ac:dyDescent="0.35">
      <c r="A173" s="5" t="s">
        <v>220</v>
      </c>
      <c r="B173" s="5" t="s">
        <v>92</v>
      </c>
      <c r="C173" s="5" t="s">
        <v>148</v>
      </c>
      <c r="D173" s="8">
        <v>45687</v>
      </c>
      <c r="E173" s="20">
        <v>50000000</v>
      </c>
      <c r="F173" s="20">
        <v>80000000</v>
      </c>
      <c r="G173" s="25">
        <v>0.625</v>
      </c>
      <c r="H173" s="5" t="s">
        <v>93</v>
      </c>
      <c r="I173" s="5">
        <v>22</v>
      </c>
    </row>
    <row r="174" spans="1:9" ht="24" customHeight="1" x14ac:dyDescent="0.35">
      <c r="A174" s="1" t="s">
        <v>309</v>
      </c>
      <c r="B174" s="1" t="s">
        <v>111</v>
      </c>
      <c r="C174" s="1" t="s">
        <v>114</v>
      </c>
      <c r="D174" s="10">
        <v>45852</v>
      </c>
      <c r="E174" s="21">
        <v>50000000</v>
      </c>
      <c r="F174" s="21">
        <v>35000000</v>
      </c>
      <c r="G174" s="24">
        <v>1.428571428571429</v>
      </c>
      <c r="H174" s="1" t="s">
        <v>149</v>
      </c>
      <c r="I174" s="1">
        <v>22</v>
      </c>
    </row>
    <row r="175" spans="1:9" ht="24" customHeight="1" x14ac:dyDescent="0.35">
      <c r="A175" s="5" t="s">
        <v>310</v>
      </c>
      <c r="B175" s="5" t="s">
        <v>130</v>
      </c>
      <c r="C175" s="5" t="s">
        <v>92</v>
      </c>
      <c r="D175" s="8">
        <v>44013</v>
      </c>
      <c r="E175" s="20">
        <v>50000000</v>
      </c>
      <c r="F175" s="20">
        <v>60000000</v>
      </c>
      <c r="G175" s="25">
        <v>0.83333333333333337</v>
      </c>
      <c r="H175" s="5" t="s">
        <v>96</v>
      </c>
      <c r="I175" s="5">
        <v>27</v>
      </c>
    </row>
    <row r="176" spans="1:9" ht="24" customHeight="1" x14ac:dyDescent="0.35">
      <c r="A176" s="1" t="s">
        <v>311</v>
      </c>
      <c r="B176" s="1" t="s">
        <v>207</v>
      </c>
      <c r="C176" s="1" t="s">
        <v>312</v>
      </c>
      <c r="D176" s="10">
        <v>42405</v>
      </c>
      <c r="E176" s="21">
        <v>50000000</v>
      </c>
      <c r="F176" s="21">
        <v>30000000</v>
      </c>
      <c r="G176" s="24">
        <v>1.666666666666667</v>
      </c>
      <c r="H176" s="1" t="s">
        <v>93</v>
      </c>
      <c r="I176" s="1">
        <v>26</v>
      </c>
    </row>
    <row r="177" spans="1:9" ht="24" customHeight="1" x14ac:dyDescent="0.35">
      <c r="A177" s="5" t="s">
        <v>313</v>
      </c>
      <c r="B177" s="5" t="s">
        <v>140</v>
      </c>
      <c r="C177" s="5" t="s">
        <v>125</v>
      </c>
      <c r="D177" s="8">
        <v>43663</v>
      </c>
      <c r="E177" s="20">
        <v>50000000</v>
      </c>
      <c r="F177" s="20">
        <v>40000000</v>
      </c>
      <c r="G177" s="25">
        <v>1.25</v>
      </c>
      <c r="H177" s="5" t="s">
        <v>96</v>
      </c>
      <c r="I177" s="5">
        <v>25</v>
      </c>
    </row>
    <row r="178" spans="1:9" ht="24" customHeight="1" x14ac:dyDescent="0.35">
      <c r="A178" s="1" t="s">
        <v>314</v>
      </c>
      <c r="B178" s="1" t="s">
        <v>315</v>
      </c>
      <c r="C178" s="1" t="s">
        <v>91</v>
      </c>
      <c r="D178" s="10">
        <v>44770</v>
      </c>
      <c r="E178" s="21">
        <v>50000000</v>
      </c>
      <c r="F178" s="21">
        <v>60000000</v>
      </c>
      <c r="G178" s="24">
        <v>0.83333333333333337</v>
      </c>
      <c r="H178" s="1" t="s">
        <v>149</v>
      </c>
      <c r="I178" s="1">
        <v>24</v>
      </c>
    </row>
    <row r="179" spans="1:9" ht="24" customHeight="1" x14ac:dyDescent="0.35">
      <c r="A179" s="5" t="s">
        <v>195</v>
      </c>
      <c r="B179" s="5" t="s">
        <v>112</v>
      </c>
      <c r="C179" s="5" t="s">
        <v>196</v>
      </c>
      <c r="D179" s="8">
        <v>45108</v>
      </c>
      <c r="E179" s="20">
        <v>50000000</v>
      </c>
      <c r="F179" s="20">
        <v>25000000</v>
      </c>
      <c r="G179" s="25">
        <v>2</v>
      </c>
      <c r="H179" s="5" t="s">
        <v>96</v>
      </c>
      <c r="I179" s="5">
        <v>24</v>
      </c>
    </row>
    <row r="180" spans="1:9" ht="24" customHeight="1" x14ac:dyDescent="0.35">
      <c r="A180" s="1" t="s">
        <v>97</v>
      </c>
      <c r="B180" s="1" t="s">
        <v>91</v>
      </c>
      <c r="C180" s="1" t="s">
        <v>92</v>
      </c>
      <c r="D180" s="10">
        <v>45150</v>
      </c>
      <c r="E180" s="21">
        <v>50000000</v>
      </c>
      <c r="F180" s="21">
        <v>60000000</v>
      </c>
      <c r="G180" s="24">
        <v>0.83333333333333337</v>
      </c>
      <c r="H180" s="1" t="s">
        <v>96</v>
      </c>
      <c r="I180" s="1">
        <v>26</v>
      </c>
    </row>
    <row r="181" spans="1:9" ht="24" customHeight="1" x14ac:dyDescent="0.35">
      <c r="A181" s="5" t="s">
        <v>258</v>
      </c>
      <c r="B181" s="5" t="s">
        <v>92</v>
      </c>
      <c r="C181" s="5" t="s">
        <v>134</v>
      </c>
      <c r="D181" s="8">
        <v>45534</v>
      </c>
      <c r="E181" s="20">
        <v>50000000</v>
      </c>
      <c r="F181" s="20">
        <v>45000000</v>
      </c>
      <c r="G181" s="25">
        <v>1.1111111111111109</v>
      </c>
      <c r="H181" s="5" t="s">
        <v>93</v>
      </c>
      <c r="I181" s="5">
        <v>23</v>
      </c>
    </row>
    <row r="182" spans="1:9" ht="24" customHeight="1" x14ac:dyDescent="0.35">
      <c r="A182" s="1" t="s">
        <v>316</v>
      </c>
      <c r="B182" s="1" t="s">
        <v>112</v>
      </c>
      <c r="C182" s="1" t="s">
        <v>126</v>
      </c>
      <c r="D182" s="10">
        <v>44109</v>
      </c>
      <c r="E182" s="21">
        <v>50000000</v>
      </c>
      <c r="F182" s="21">
        <v>40000000</v>
      </c>
      <c r="G182" s="24">
        <v>1.25</v>
      </c>
      <c r="H182" s="1" t="s">
        <v>93</v>
      </c>
      <c r="I182" s="1">
        <v>27</v>
      </c>
    </row>
    <row r="183" spans="1:9" ht="24" customHeight="1" x14ac:dyDescent="0.35">
      <c r="A183" s="5" t="s">
        <v>317</v>
      </c>
      <c r="B183" s="5" t="s">
        <v>257</v>
      </c>
      <c r="C183" s="5" t="s">
        <v>114</v>
      </c>
      <c r="D183" s="8">
        <v>43647</v>
      </c>
      <c r="E183" s="20">
        <v>50000000</v>
      </c>
      <c r="F183" s="20">
        <v>50000000</v>
      </c>
      <c r="G183" s="25">
        <v>1</v>
      </c>
      <c r="H183" s="5" t="s">
        <v>149</v>
      </c>
      <c r="I183" s="5">
        <v>21</v>
      </c>
    </row>
    <row r="184" spans="1:9" ht="24" customHeight="1" x14ac:dyDescent="0.35">
      <c r="A184" s="1" t="s">
        <v>318</v>
      </c>
      <c r="B184" s="1" t="s">
        <v>319</v>
      </c>
      <c r="C184" s="1" t="s">
        <v>174</v>
      </c>
      <c r="D184" s="10">
        <v>43700</v>
      </c>
      <c r="E184" s="21">
        <v>50000000</v>
      </c>
      <c r="F184" s="21">
        <v>40000000</v>
      </c>
      <c r="G184" s="24">
        <v>1.25</v>
      </c>
      <c r="H184" s="1" t="s">
        <v>96</v>
      </c>
      <c r="I184" s="1">
        <v>24</v>
      </c>
    </row>
    <row r="185" spans="1:9" ht="24" customHeight="1" x14ac:dyDescent="0.35">
      <c r="A185" s="5" t="s">
        <v>320</v>
      </c>
      <c r="B185" s="5" t="s">
        <v>196</v>
      </c>
      <c r="C185" s="5" t="s">
        <v>210</v>
      </c>
      <c r="D185" s="8">
        <v>46055</v>
      </c>
      <c r="E185" s="20">
        <v>49700000</v>
      </c>
      <c r="F185" s="20">
        <v>40000000</v>
      </c>
      <c r="G185" s="25">
        <v>1.2424999999999999</v>
      </c>
      <c r="H185" s="5" t="s">
        <v>96</v>
      </c>
      <c r="I185" s="5">
        <v>26</v>
      </c>
    </row>
    <row r="186" spans="1:9" ht="24" customHeight="1" x14ac:dyDescent="0.35">
      <c r="A186" s="1" t="s">
        <v>321</v>
      </c>
      <c r="B186" s="1" t="s">
        <v>137</v>
      </c>
      <c r="C186" s="1" t="s">
        <v>246</v>
      </c>
      <c r="D186" s="10">
        <v>43678</v>
      </c>
      <c r="E186" s="21">
        <v>49500000</v>
      </c>
      <c r="F186" s="21">
        <v>15000000</v>
      </c>
      <c r="G186" s="24">
        <v>3.3</v>
      </c>
      <c r="H186" s="1" t="s">
        <v>96</v>
      </c>
      <c r="I186" s="1">
        <v>20</v>
      </c>
    </row>
    <row r="187" spans="1:9" ht="24" customHeight="1" x14ac:dyDescent="0.35">
      <c r="A187" s="5" t="s">
        <v>322</v>
      </c>
      <c r="B187" s="5" t="s">
        <v>323</v>
      </c>
      <c r="C187" s="5" t="s">
        <v>160</v>
      </c>
      <c r="D187" s="8">
        <v>42963</v>
      </c>
      <c r="E187" s="20">
        <v>49400000</v>
      </c>
      <c r="F187" s="20">
        <v>25000000</v>
      </c>
      <c r="G187" s="25">
        <v>1.976</v>
      </c>
      <c r="H187" s="5" t="s">
        <v>93</v>
      </c>
      <c r="I187" s="5">
        <v>28</v>
      </c>
    </row>
    <row r="188" spans="1:9" ht="24" customHeight="1" x14ac:dyDescent="0.35">
      <c r="A188" s="1" t="s">
        <v>324</v>
      </c>
      <c r="B188" s="1" t="s">
        <v>270</v>
      </c>
      <c r="C188" s="1" t="s">
        <v>104</v>
      </c>
      <c r="D188" s="10">
        <v>44746</v>
      </c>
      <c r="E188" s="21">
        <v>49000000</v>
      </c>
      <c r="F188" s="21">
        <v>50000000</v>
      </c>
      <c r="G188" s="24">
        <v>0.98</v>
      </c>
      <c r="H188" s="1" t="s">
        <v>93</v>
      </c>
      <c r="I188" s="1">
        <v>27</v>
      </c>
    </row>
    <row r="189" spans="1:9" ht="24" customHeight="1" x14ac:dyDescent="0.35">
      <c r="A189" s="5" t="s">
        <v>204</v>
      </c>
      <c r="B189" s="5" t="s">
        <v>257</v>
      </c>
      <c r="C189" s="5" t="s">
        <v>101</v>
      </c>
      <c r="D189" s="8">
        <v>44591</v>
      </c>
      <c r="E189" s="20">
        <v>49000000</v>
      </c>
      <c r="F189" s="20">
        <v>40000000</v>
      </c>
      <c r="G189" s="25">
        <v>1.2250000000000001</v>
      </c>
      <c r="H189" s="5" t="s">
        <v>96</v>
      </c>
      <c r="I189" s="5">
        <v>25</v>
      </c>
    </row>
    <row r="190" spans="1:9" ht="24" customHeight="1" x14ac:dyDescent="0.35">
      <c r="A190" s="1" t="s">
        <v>295</v>
      </c>
      <c r="B190" s="1" t="s">
        <v>104</v>
      </c>
      <c r="C190" s="1" t="s">
        <v>142</v>
      </c>
      <c r="D190" s="10">
        <v>44027</v>
      </c>
      <c r="E190" s="21">
        <v>49000000</v>
      </c>
      <c r="F190" s="21">
        <v>80000000</v>
      </c>
      <c r="G190" s="24">
        <v>0.61250000000000004</v>
      </c>
      <c r="H190" s="1" t="s">
        <v>96</v>
      </c>
      <c r="I190" s="1">
        <v>24</v>
      </c>
    </row>
    <row r="191" spans="1:9" ht="24" customHeight="1" x14ac:dyDescent="0.35">
      <c r="A191" s="5" t="s">
        <v>325</v>
      </c>
      <c r="B191" s="5" t="s">
        <v>240</v>
      </c>
      <c r="C191" s="5" t="s">
        <v>114</v>
      </c>
      <c r="D191" s="8">
        <v>43647</v>
      </c>
      <c r="E191" s="20">
        <v>48000000</v>
      </c>
      <c r="F191" s="20">
        <v>30000000</v>
      </c>
      <c r="G191" s="25">
        <v>1.6</v>
      </c>
      <c r="H191" s="5" t="s">
        <v>149</v>
      </c>
      <c r="I191" s="5">
        <v>24</v>
      </c>
    </row>
    <row r="192" spans="1:9" ht="24" customHeight="1" x14ac:dyDescent="0.35">
      <c r="A192" s="1" t="s">
        <v>326</v>
      </c>
      <c r="B192" s="1" t="s">
        <v>327</v>
      </c>
      <c r="C192" s="1" t="s">
        <v>114</v>
      </c>
      <c r="D192" s="10">
        <v>45494</v>
      </c>
      <c r="E192" s="21">
        <v>47500000</v>
      </c>
      <c r="F192" s="21">
        <v>60000000</v>
      </c>
      <c r="G192" s="24">
        <v>0.79166666666666663</v>
      </c>
      <c r="H192" s="1" t="s">
        <v>96</v>
      </c>
      <c r="I192" s="1">
        <v>18</v>
      </c>
    </row>
    <row r="193" spans="1:9" ht="24" customHeight="1" x14ac:dyDescent="0.35">
      <c r="A193" s="5" t="s">
        <v>328</v>
      </c>
      <c r="B193" s="5" t="s">
        <v>196</v>
      </c>
      <c r="C193" s="5" t="s">
        <v>125</v>
      </c>
      <c r="D193" s="8">
        <v>45479</v>
      </c>
      <c r="E193" s="20">
        <v>47500000</v>
      </c>
      <c r="F193" s="20">
        <v>32000000</v>
      </c>
      <c r="G193" s="25">
        <v>1.484375</v>
      </c>
      <c r="H193" s="5" t="s">
        <v>149</v>
      </c>
      <c r="I193" s="5">
        <v>27</v>
      </c>
    </row>
    <row r="194" spans="1:9" ht="24" customHeight="1" x14ac:dyDescent="0.35">
      <c r="A194" s="1" t="s">
        <v>237</v>
      </c>
      <c r="B194" s="1" t="s">
        <v>215</v>
      </c>
      <c r="C194" s="1" t="s">
        <v>196</v>
      </c>
      <c r="D194" s="10">
        <v>44791</v>
      </c>
      <c r="E194" s="21">
        <v>47400000</v>
      </c>
      <c r="F194" s="21">
        <v>35000000</v>
      </c>
      <c r="G194" s="24">
        <v>1.3542857142857141</v>
      </c>
      <c r="H194" s="1" t="s">
        <v>149</v>
      </c>
      <c r="I194" s="1">
        <v>24</v>
      </c>
    </row>
    <row r="195" spans="1:9" ht="24" customHeight="1" x14ac:dyDescent="0.35">
      <c r="A195" s="5" t="s">
        <v>329</v>
      </c>
      <c r="B195" s="5" t="s">
        <v>104</v>
      </c>
      <c r="C195" s="5" t="s">
        <v>103</v>
      </c>
      <c r="D195" s="8">
        <v>45170</v>
      </c>
      <c r="E195" s="20">
        <v>47000000</v>
      </c>
      <c r="F195" s="20">
        <v>18000000</v>
      </c>
      <c r="G195" s="25">
        <v>2.6111111111111112</v>
      </c>
      <c r="H195" s="5" t="s">
        <v>93</v>
      </c>
      <c r="I195" s="5">
        <v>21</v>
      </c>
    </row>
    <row r="196" spans="1:9" ht="24" customHeight="1" x14ac:dyDescent="0.35">
      <c r="A196" s="1" t="s">
        <v>330</v>
      </c>
      <c r="B196" s="1" t="s">
        <v>200</v>
      </c>
      <c r="C196" s="1" t="s">
        <v>101</v>
      </c>
      <c r="D196" s="10">
        <v>45839</v>
      </c>
      <c r="E196" s="21">
        <v>46900000</v>
      </c>
      <c r="F196" s="21">
        <v>45000000</v>
      </c>
      <c r="G196" s="24">
        <v>1.0422222222222219</v>
      </c>
      <c r="H196" s="1" t="s">
        <v>149</v>
      </c>
      <c r="I196" s="1">
        <v>22</v>
      </c>
    </row>
    <row r="197" spans="1:9" ht="24" customHeight="1" x14ac:dyDescent="0.35">
      <c r="A197" s="5" t="s">
        <v>331</v>
      </c>
      <c r="B197" s="5" t="s">
        <v>101</v>
      </c>
      <c r="C197" s="5" t="s">
        <v>249</v>
      </c>
      <c r="D197" s="8">
        <v>45138</v>
      </c>
      <c r="E197" s="20">
        <v>46700000</v>
      </c>
      <c r="F197" s="20">
        <v>42000000</v>
      </c>
      <c r="G197" s="25">
        <v>1.111904761904762</v>
      </c>
      <c r="H197" s="5" t="s">
        <v>93</v>
      </c>
      <c r="I197" s="5">
        <v>30</v>
      </c>
    </row>
    <row r="198" spans="1:9" ht="24" customHeight="1" x14ac:dyDescent="0.35">
      <c r="A198" s="1" t="s">
        <v>332</v>
      </c>
      <c r="B198" s="1" t="s">
        <v>270</v>
      </c>
      <c r="C198" s="1" t="s">
        <v>128</v>
      </c>
      <c r="D198" s="10">
        <v>45523</v>
      </c>
      <c r="E198" s="21">
        <v>46700000</v>
      </c>
      <c r="F198" s="21">
        <v>18000000</v>
      </c>
      <c r="G198" s="24">
        <v>2.594444444444445</v>
      </c>
      <c r="H198" s="1" t="s">
        <v>96</v>
      </c>
      <c r="I198" s="1">
        <v>22</v>
      </c>
    </row>
    <row r="199" spans="1:9" ht="24" customHeight="1" x14ac:dyDescent="0.35">
      <c r="A199" s="5" t="s">
        <v>333</v>
      </c>
      <c r="B199" s="5" t="s">
        <v>152</v>
      </c>
      <c r="C199" s="5" t="s">
        <v>132</v>
      </c>
      <c r="D199" s="8">
        <v>45108</v>
      </c>
      <c r="E199" s="20">
        <v>46300000</v>
      </c>
      <c r="F199" s="20">
        <v>60000000</v>
      </c>
      <c r="G199" s="25">
        <v>0.77166666666666661</v>
      </c>
      <c r="H199" s="5" t="s">
        <v>93</v>
      </c>
      <c r="I199" s="5">
        <v>27</v>
      </c>
    </row>
    <row r="200" spans="1:9" ht="24" customHeight="1" x14ac:dyDescent="0.35">
      <c r="A200" s="1" t="s">
        <v>334</v>
      </c>
      <c r="B200" s="1" t="s">
        <v>134</v>
      </c>
      <c r="C200" s="1" t="s">
        <v>103</v>
      </c>
      <c r="D200" s="10">
        <v>45899</v>
      </c>
      <c r="E200" s="21">
        <v>46200000</v>
      </c>
      <c r="F200" s="21">
        <v>45000000</v>
      </c>
      <c r="G200" s="24">
        <v>1.0266666666666671</v>
      </c>
      <c r="H200" s="1" t="s">
        <v>96</v>
      </c>
      <c r="I200" s="1">
        <v>21</v>
      </c>
    </row>
    <row r="201" spans="1:9" ht="24" customHeight="1" x14ac:dyDescent="0.35">
      <c r="A201" s="5" t="s">
        <v>169</v>
      </c>
      <c r="B201" s="5" t="s">
        <v>160</v>
      </c>
      <c r="C201" s="5" t="s">
        <v>100</v>
      </c>
      <c r="D201" s="8">
        <v>44955</v>
      </c>
      <c r="E201" s="20">
        <v>45600000</v>
      </c>
      <c r="F201" s="20">
        <v>40000000</v>
      </c>
      <c r="G201" s="25">
        <v>1.1399999999999999</v>
      </c>
      <c r="H201" s="5" t="s">
        <v>96</v>
      </c>
      <c r="I201" s="5">
        <v>22</v>
      </c>
    </row>
  </sheetData>
  <conditionalFormatting sqref="G2:G201">
    <cfRule type="colorScale" priority="1">
      <colorScale>
        <cfvo type="num" val="0.5"/>
        <cfvo type="num" val="1"/>
        <cfvo type="num" val="2"/>
        <color rgb="FFE8F4EF"/>
        <color rgb="FFF8F5EB"/>
        <color rgb="FFD6A6B2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87F5B"/>
  </sheetPr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18" customWidth="1"/>
    <col min="3" max="4" width="28" customWidth="1"/>
    <col min="5" max="5" width="5" customWidth="1"/>
  </cols>
  <sheetData>
    <row r="1" spans="1:4" ht="38" customHeight="1" x14ac:dyDescent="0.35">
      <c r="A1" s="6" t="s">
        <v>89</v>
      </c>
      <c r="B1" s="6" t="s">
        <v>335</v>
      </c>
      <c r="C1" s="6" t="s">
        <v>336</v>
      </c>
      <c r="D1" s="6" t="s">
        <v>337</v>
      </c>
    </row>
    <row r="2" spans="1:4" ht="24" customHeight="1" x14ac:dyDescent="0.35">
      <c r="A2" s="1" t="s">
        <v>96</v>
      </c>
      <c r="B2" s="1">
        <v>3797</v>
      </c>
      <c r="C2" s="21">
        <v>20760365800</v>
      </c>
      <c r="D2" s="21">
        <v>1500000</v>
      </c>
    </row>
    <row r="3" spans="1:4" ht="24" customHeight="1" x14ac:dyDescent="0.35">
      <c r="A3" s="5" t="s">
        <v>93</v>
      </c>
      <c r="B3" s="5">
        <v>2863</v>
      </c>
      <c r="C3" s="20">
        <v>14388499000</v>
      </c>
      <c r="D3" s="20">
        <v>1500000</v>
      </c>
    </row>
    <row r="4" spans="1:4" ht="24" customHeight="1" x14ac:dyDescent="0.35">
      <c r="A4" s="1" t="s">
        <v>149</v>
      </c>
      <c r="B4" s="1">
        <v>3017</v>
      </c>
      <c r="C4" s="21">
        <v>12224069000</v>
      </c>
      <c r="D4" s="21">
        <v>1200000</v>
      </c>
    </row>
    <row r="5" spans="1:4" ht="24" customHeight="1" x14ac:dyDescent="0.35">
      <c r="A5" s="5" t="s">
        <v>172</v>
      </c>
      <c r="B5" s="5">
        <v>610</v>
      </c>
      <c r="C5" s="20">
        <v>1819418000</v>
      </c>
      <c r="D5" s="20">
        <v>800000</v>
      </c>
    </row>
    <row r="6" spans="1:4" ht="24" customHeight="1" x14ac:dyDescent="0.35">
      <c r="A6" s="1" t="s">
        <v>338</v>
      </c>
      <c r="B6" s="1">
        <v>1</v>
      </c>
      <c r="C6" s="21">
        <v>400000</v>
      </c>
      <c r="D6" s="21">
        <v>400000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7F5B"/>
  </sheetPr>
  <dimension ref="A1:D5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23" customWidth="1"/>
    <col min="3" max="4" width="26" customWidth="1"/>
  </cols>
  <sheetData>
    <row r="1" spans="1:4" ht="38" customHeight="1" x14ac:dyDescent="0.35">
      <c r="A1" s="6" t="s">
        <v>339</v>
      </c>
      <c r="B1" s="6" t="s">
        <v>335</v>
      </c>
      <c r="C1" s="6" t="s">
        <v>337</v>
      </c>
      <c r="D1" s="6" t="s">
        <v>340</v>
      </c>
    </row>
    <row r="2" spans="1:4" ht="24" customHeight="1" x14ac:dyDescent="0.35">
      <c r="A2" s="1" t="s">
        <v>341</v>
      </c>
      <c r="B2" s="1">
        <v>7542</v>
      </c>
      <c r="C2" s="21">
        <v>1500000</v>
      </c>
      <c r="D2" s="24">
        <v>1</v>
      </c>
    </row>
    <row r="3" spans="1:4" ht="24" customHeight="1" x14ac:dyDescent="0.35">
      <c r="A3" s="5" t="s">
        <v>342</v>
      </c>
      <c r="B3" s="5">
        <v>4957</v>
      </c>
      <c r="C3" s="20">
        <v>1700000</v>
      </c>
      <c r="D3" s="25">
        <v>0.8</v>
      </c>
    </row>
    <row r="4" spans="1:4" ht="24" customHeight="1" x14ac:dyDescent="0.35">
      <c r="A4" s="1" t="s">
        <v>343</v>
      </c>
      <c r="B4" s="1">
        <v>1748</v>
      </c>
      <c r="C4" s="21">
        <v>1500000</v>
      </c>
      <c r="D4" s="24">
        <v>0.625</v>
      </c>
    </row>
    <row r="5" spans="1:4" ht="24" customHeight="1" x14ac:dyDescent="0.35">
      <c r="A5" s="5" t="s">
        <v>344</v>
      </c>
      <c r="B5" s="5">
        <v>3321</v>
      </c>
      <c r="C5" s="20">
        <v>900000</v>
      </c>
      <c r="D5" s="25">
        <v>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87F5B"/>
  </sheetPr>
  <dimension ref="A1:P15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3" customWidth="1"/>
    <col min="4" max="4" width="20" customWidth="1"/>
    <col min="5" max="5" width="28" customWidth="1"/>
    <col min="6" max="6" width="29" customWidth="1"/>
    <col min="7" max="8" width="26" customWidth="1"/>
    <col min="9" max="9" width="23" customWidth="1"/>
    <col min="10" max="12" width="20" customWidth="1"/>
    <col min="13" max="13" width="25" hidden="0" customWidth="1"/>
    <col min="14" max="14" width="25" hidden="0" customWidth="1"/>
    <col min="15" max="15" width="33" hidden="0" customWidth="1"/>
    <col min="16" max="16" width="16" hidden="0" customWidth="1"/>
  </cols>
  <sheetData>
    <row r="1" spans="1:12" ht="38" customHeight="1" x14ac:dyDescent="0.35">
      <c r="A1" s="6" t="s">
        <v>85</v>
      </c>
      <c r="B1" s="6" t="s">
        <v>89</v>
      </c>
      <c r="C1" s="6" t="s">
        <v>345</v>
      </c>
      <c r="D1" s="6" t="s">
        <v>346</v>
      </c>
      <c r="E1" s="6" t="s">
        <v>347</v>
      </c>
      <c r="F1" s="6" t="s">
        <v>348</v>
      </c>
      <c r="G1" s="6" t="s">
        <v>49</v>
      </c>
      <c r="H1" s="6" t="s">
        <v>44</v>
      </c>
      <c r="I1" s="6" t="s">
        <v>349</v>
      </c>
      <c r="J1" s="6" t="s">
        <v>54</v>
      </c>
      <c r="K1" s="6" t="s">
        <v>350</v>
      </c>
      <c r="L1" s="6" t="s">
        <v>351</v>
      </c>
      <c r="M1" s="62" t="str">
        <v>editorial_worth_eur</v>
      </c>
      <c r="N1" s="62" t="str">
        <v>effective_worth_eur</v>
      </c>
      <c r="O1" s="62" t="str">
        <v>valuation_basis</v>
      </c>
      <c r="P1" s="62" t="str">
        <v>worth_rank</v>
      </c>
    </row>
    <row r="2" spans="1:12" ht="24" customHeight="1" x14ac:dyDescent="0.35">
      <c r="A2" s="1" t="s">
        <v>288</v>
      </c>
      <c r="B2" s="1" t="s">
        <v>96</v>
      </c>
      <c r="C2" s="1" t="s">
        <v>352</v>
      </c>
      <c r="D2" s="1">
        <v>25</v>
      </c>
      <c r="E2" s="1" t="s">
        <v>142</v>
      </c>
      <c r="F2" s="1" t="s">
        <v>353</v>
      </c>
      <c r="G2" s="21">
        <v>150000000</v>
      </c>
      <c r="H2" s="21">
        <v>189044053.914417</v>
      </c>
      <c r="I2" s="24">
        <v>0.79346584509823948</v>
      </c>
      <c r="J2" s="1">
        <v>3788</v>
      </c>
      <c r="K2" s="1">
        <v>18</v>
      </c>
      <c r="L2" s="1">
        <v>34</v>
      </c>
      <c r="M2" s="64"/>
      <c r="N2" s="65" t="n">
        <f>IF(ISNUMBER(M2),M2,H2)</f>
        <v>189044053.914417</v>
      </c>
      <c r="O2" s="59" t="str">
        <f>IF(ISNUMBER(M2),"Owner editorial estimate","Original model estimate")</f>
        <v>Original model estimate</v>
      </c>
      <c r="P2" s="66" t="n">
        <f>RANK(N2,$N$2:$N$151,0)</f>
        <v>3</v>
      </c>
    </row>
    <row r="3" spans="1:12" ht="24" customHeight="1" x14ac:dyDescent="0.35">
      <c r="A3" s="5" t="s">
        <v>252</v>
      </c>
      <c r="B3" s="5" t="s">
        <v>96</v>
      </c>
      <c r="C3" s="5" t="s">
        <v>354</v>
      </c>
      <c r="D3" s="5">
        <v>26</v>
      </c>
      <c r="E3" s="5" t="s">
        <v>355</v>
      </c>
      <c r="F3" s="5" t="s">
        <v>356</v>
      </c>
      <c r="G3" s="20">
        <v>200000000</v>
      </c>
      <c r="H3" s="20">
        <v>153998595.51739219</v>
      </c>
      <c r="I3" s="25">
        <v>1.2987131429871539</v>
      </c>
      <c r="J3" s="5">
        <v>3981</v>
      </c>
      <c r="K3" s="5">
        <v>39</v>
      </c>
      <c r="L3" s="5">
        <v>9</v>
      </c>
      <c r="M3" s="64" t="n">
        <v>195000000</v>
      </c>
      <c r="N3" s="65" t="n">
        <f>IF(ISNUMBER(M3),M3,H3)</f>
        <v>195000000</v>
      </c>
      <c r="O3" s="59" t="str">
        <f>IF(ISNUMBER(M3),"Owner editorial estimate","Original model estimate")</f>
        <v>Owner editorial estimate</v>
      </c>
      <c r="P3" s="66" t="n">
        <f>RANK(N3,$N$2:$N$151,0)</f>
        <v>2</v>
      </c>
    </row>
    <row r="4" spans="1:12" ht="24" customHeight="1" x14ac:dyDescent="0.35">
      <c r="A4" s="1" t="s">
        <v>357</v>
      </c>
      <c r="B4" s="1" t="s">
        <v>96</v>
      </c>
      <c r="C4" s="1" t="s">
        <v>352</v>
      </c>
      <c r="D4" s="1">
        <v>25</v>
      </c>
      <c r="E4" s="1" t="s">
        <v>358</v>
      </c>
      <c r="F4" s="1" t="s">
        <v>359</v>
      </c>
      <c r="G4" s="21">
        <v>55000000</v>
      </c>
      <c r="H4" s="21">
        <v>145969100.72622281</v>
      </c>
      <c r="I4" s="24">
        <v>0.37679207261238862</v>
      </c>
      <c r="J4" s="1">
        <v>3007</v>
      </c>
      <c r="K4" s="1">
        <v>19</v>
      </c>
      <c r="L4" s="1">
        <v>6</v>
      </c>
      <c r="M4" s="64"/>
      <c r="N4" s="65" t="n">
        <f>IF(ISNUMBER(M4),M4,H4)</f>
        <v>145969100.7262228</v>
      </c>
      <c r="O4" s="59" t="str">
        <f>IF(ISNUMBER(M4),"Owner editorial estimate","Original model estimate")</f>
        <v>Original model estimate</v>
      </c>
      <c r="P4" s="66" t="n">
        <f>RANK(N4,$N$2:$N$151,0)</f>
        <v>4</v>
      </c>
    </row>
    <row r="5" spans="1:12" ht="24" customHeight="1" x14ac:dyDescent="0.35">
      <c r="A5" s="5" t="s">
        <v>94</v>
      </c>
      <c r="B5" s="5" t="s">
        <v>96</v>
      </c>
      <c r="C5" s="5" t="s">
        <v>354</v>
      </c>
      <c r="D5" s="5">
        <v>28</v>
      </c>
      <c r="E5" s="5" t="s">
        <v>114</v>
      </c>
      <c r="F5" s="5" t="s">
        <v>360</v>
      </c>
      <c r="G5" s="20">
        <v>180000000</v>
      </c>
      <c r="H5" s="20">
        <v>142205809.3970772</v>
      </c>
      <c r="I5" s="25">
        <v>1.265771073370084</v>
      </c>
      <c r="J5" s="5">
        <v>3621</v>
      </c>
      <c r="K5" s="5">
        <v>43</v>
      </c>
      <c r="L5" s="5">
        <v>9</v>
      </c>
      <c r="M5" s="64"/>
      <c r="N5" s="65" t="n">
        <f>IF(ISNUMBER(M5),M5,H5)</f>
        <v>142205809.3970772</v>
      </c>
      <c r="O5" s="59" t="str">
        <f>IF(ISNUMBER(M5),"Owner editorial estimate","Original model estimate")</f>
        <v>Original model estimate</v>
      </c>
      <c r="P5" s="66" t="n">
        <f>RANK(N5,$N$2:$N$151,0)</f>
        <v>5</v>
      </c>
    </row>
    <row r="6" spans="1:12" ht="24" customHeight="1" x14ac:dyDescent="0.35">
      <c r="A6" s="1" t="s">
        <v>361</v>
      </c>
      <c r="B6" s="1" t="s">
        <v>96</v>
      </c>
      <c r="C6" s="1" t="s">
        <v>352</v>
      </c>
      <c r="D6" s="1">
        <v>19</v>
      </c>
      <c r="E6" s="1" t="s">
        <v>362</v>
      </c>
      <c r="F6" s="1" t="s">
        <v>360</v>
      </c>
      <c r="G6" s="21">
        <v>200000000</v>
      </c>
      <c r="H6" s="21">
        <v>138809876.27341199</v>
      </c>
      <c r="I6" s="24">
        <v>1.4408196690995001</v>
      </c>
      <c r="J6" s="1">
        <v>3572</v>
      </c>
      <c r="K6" s="1">
        <v>23</v>
      </c>
      <c r="L6" s="1">
        <v>15</v>
      </c>
      <c r="M6" s="64" t="n">
        <v>220000000</v>
      </c>
      <c r="N6" s="65" t="n">
        <f>IF(ISNUMBER(M6),M6,H6)</f>
        <v>220000000</v>
      </c>
      <c r="O6" s="59" t="str">
        <f>IF(ISNUMBER(M6),"Owner editorial estimate","Original model estimate")</f>
        <v>Owner editorial estimate</v>
      </c>
      <c r="P6" s="66" t="n">
        <f>RANK(N6,$N$2:$N$151,0)</f>
        <v>1</v>
      </c>
    </row>
    <row r="7" spans="1:12" ht="24" customHeight="1" x14ac:dyDescent="0.35">
      <c r="A7" s="5" t="s">
        <v>363</v>
      </c>
      <c r="B7" s="5" t="s">
        <v>93</v>
      </c>
      <c r="C7" s="5" t="s">
        <v>364</v>
      </c>
      <c r="D7" s="5">
        <v>20</v>
      </c>
      <c r="E7" s="5" t="s">
        <v>365</v>
      </c>
      <c r="F7" s="5" t="s">
        <v>359</v>
      </c>
      <c r="G7" s="20">
        <v>80000000</v>
      </c>
      <c r="H7" s="20">
        <v>136949750.09800491</v>
      </c>
      <c r="I7" s="25">
        <v>0.58415586697127875</v>
      </c>
      <c r="J7" s="5">
        <v>3702</v>
      </c>
      <c r="K7" s="5">
        <v>3</v>
      </c>
      <c r="L7" s="5">
        <v>5</v>
      </c>
      <c r="M7" s="64"/>
      <c r="N7" s="65" t="n">
        <f>IF(ISNUMBER(M7),M7,H7)</f>
        <v>136949750.0980049</v>
      </c>
      <c r="O7" s="59" t="str">
        <f>IF(ISNUMBER(M7),"Owner editorial estimate","Original model estimate")</f>
        <v>Original model estimate</v>
      </c>
      <c r="P7" s="66" t="n">
        <f>RANK(N7,$N$2:$N$151,0)</f>
        <v>6</v>
      </c>
    </row>
    <row r="8" spans="1:12" ht="24" customHeight="1" x14ac:dyDescent="0.35">
      <c r="A8" s="1" t="s">
        <v>102</v>
      </c>
      <c r="B8" s="1" t="s">
        <v>93</v>
      </c>
      <c r="C8" s="1" t="s">
        <v>364</v>
      </c>
      <c r="D8" s="1">
        <v>25</v>
      </c>
      <c r="E8" s="1" t="s">
        <v>366</v>
      </c>
      <c r="F8" s="1" t="s">
        <v>356</v>
      </c>
      <c r="G8" s="21">
        <v>90000000</v>
      </c>
      <c r="H8" s="21">
        <v>136814184.4244301</v>
      </c>
      <c r="I8" s="24">
        <v>0.65782652857688084</v>
      </c>
      <c r="J8" s="1">
        <v>4210</v>
      </c>
      <c r="K8" s="1">
        <v>13</v>
      </c>
      <c r="L8" s="1">
        <v>6</v>
      </c>
      <c r="M8" s="64"/>
      <c r="N8" s="65" t="n">
        <f>IF(ISNUMBER(M8),M8,H8)</f>
        <v>136814184.4244301</v>
      </c>
      <c r="O8" s="59" t="str">
        <f>IF(ISNUMBER(M8),"Owner editorial estimate","Original model estimate")</f>
        <v>Original model estimate</v>
      </c>
      <c r="P8" s="66" t="n">
        <f>RANK(N8,$N$2:$N$151,0)</f>
        <v>7</v>
      </c>
    </row>
    <row r="9" spans="1:12" ht="24" customHeight="1" x14ac:dyDescent="0.35">
      <c r="A9" s="5" t="s">
        <v>367</v>
      </c>
      <c r="B9" s="5" t="s">
        <v>93</v>
      </c>
      <c r="C9" s="5" t="s">
        <v>364</v>
      </c>
      <c r="D9" s="5">
        <v>21</v>
      </c>
      <c r="E9" s="5" t="s">
        <v>368</v>
      </c>
      <c r="F9" s="5" t="s">
        <v>353</v>
      </c>
      <c r="G9" s="20">
        <v>50000000</v>
      </c>
      <c r="H9" s="20">
        <v>135114010.06341681</v>
      </c>
      <c r="I9" s="25">
        <v>0.37005784948971698</v>
      </c>
      <c r="J9" s="5">
        <v>3404</v>
      </c>
      <c r="K9" s="5">
        <v>10</v>
      </c>
      <c r="L9" s="5">
        <v>10</v>
      </c>
      <c r="M9" s="64"/>
      <c r="N9" s="65" t="n">
        <f>IF(ISNUMBER(M9),M9,H9)</f>
        <v>135114010.0634168</v>
      </c>
      <c r="O9" s="59" t="str">
        <f>IF(ISNUMBER(M9),"Owner editorial estimate","Original model estimate")</f>
        <v>Original model estimate</v>
      </c>
      <c r="P9" s="66" t="n">
        <f>RANK(N9,$N$2:$N$151,0)</f>
        <v>8</v>
      </c>
    </row>
    <row r="10" spans="1:12" ht="24" customHeight="1" x14ac:dyDescent="0.35">
      <c r="A10" s="1" t="s">
        <v>369</v>
      </c>
      <c r="B10" s="1" t="s">
        <v>96</v>
      </c>
      <c r="C10" s="1" t="s">
        <v>370</v>
      </c>
      <c r="D10" s="1">
        <v>26</v>
      </c>
      <c r="E10" s="1" t="s">
        <v>114</v>
      </c>
      <c r="F10" s="1" t="s">
        <v>360</v>
      </c>
      <c r="G10" s="21">
        <v>140000000</v>
      </c>
      <c r="H10" s="21">
        <v>134891846.76333919</v>
      </c>
      <c r="I10" s="24">
        <v>1.037868509915375</v>
      </c>
      <c r="J10" s="1">
        <v>4333</v>
      </c>
      <c r="K10" s="1">
        <v>24</v>
      </c>
      <c r="L10" s="1">
        <v>14</v>
      </c>
      <c r="M10" s="64"/>
      <c r="N10" s="65" t="n">
        <f>IF(ISNUMBER(M10),M10,H10)</f>
        <v>134891846.7633392</v>
      </c>
      <c r="O10" s="59" t="str">
        <f>IF(ISNUMBER(M10),"Owner editorial estimate","Original model estimate")</f>
        <v>Original model estimate</v>
      </c>
      <c r="P10" s="66" t="n">
        <f>RANK(N10,$N$2:$N$151,0)</f>
        <v>9</v>
      </c>
    </row>
    <row r="11" spans="1:12" ht="24" customHeight="1" x14ac:dyDescent="0.35">
      <c r="A11" s="5" t="s">
        <v>143</v>
      </c>
      <c r="B11" s="5" t="s">
        <v>96</v>
      </c>
      <c r="C11" s="5" t="s">
        <v>352</v>
      </c>
      <c r="D11" s="5">
        <v>26</v>
      </c>
      <c r="E11" s="5" t="s">
        <v>371</v>
      </c>
      <c r="F11" s="5" t="s">
        <v>360</v>
      </c>
      <c r="G11" s="20">
        <v>40000000</v>
      </c>
      <c r="H11" s="20">
        <v>131507990.1897918</v>
      </c>
      <c r="I11" s="25">
        <v>0.30416402792158992</v>
      </c>
      <c r="J11" s="5">
        <v>3498</v>
      </c>
      <c r="K11" s="5">
        <v>14</v>
      </c>
      <c r="L11" s="5">
        <v>10</v>
      </c>
      <c r="M11" s="64" t="n">
        <v>95000000</v>
      </c>
      <c r="N11" s="65" t="n">
        <f>IF(ISNUMBER(M11),M11,H11)</f>
        <v>95000000</v>
      </c>
      <c r="O11" s="59" t="str">
        <f>IF(ISNUMBER(M11),"Owner editorial estimate","Original model estimate")</f>
        <v>Owner editorial estimate</v>
      </c>
      <c r="P11" s="66" t="n">
        <f>RANK(N11,$N$2:$N$151,0)</f>
        <v>95</v>
      </c>
    </row>
    <row r="12" spans="1:12" ht="24" customHeight="1" x14ac:dyDescent="0.35">
      <c r="A12" s="1" t="s">
        <v>124</v>
      </c>
      <c r="B12" s="1" t="s">
        <v>93</v>
      </c>
      <c r="C12" s="1" t="s">
        <v>364</v>
      </c>
      <c r="D12" s="1">
        <v>27</v>
      </c>
      <c r="E12" s="1" t="s">
        <v>372</v>
      </c>
      <c r="F12" s="1" t="s">
        <v>356</v>
      </c>
      <c r="G12" s="21">
        <v>120000000</v>
      </c>
      <c r="H12" s="21">
        <v>128677151.9858031</v>
      </c>
      <c r="I12" s="24">
        <v>0.9325664902285028</v>
      </c>
      <c r="J12" s="1">
        <v>4235</v>
      </c>
      <c r="K12" s="1">
        <v>5</v>
      </c>
      <c r="L12" s="1">
        <v>10</v>
      </c>
      <c r="M12" s="64"/>
      <c r="N12" s="65" t="n">
        <f>IF(ISNUMBER(M12),M12,H12)</f>
        <v>128677151.9858031</v>
      </c>
      <c r="O12" s="59" t="str">
        <f>IF(ISNUMBER(M12),"Owner editorial estimate","Original model estimate")</f>
        <v>Original model estimate</v>
      </c>
      <c r="P12" s="66" t="n">
        <f>RANK(N12,$N$2:$N$151,0)</f>
        <v>10</v>
      </c>
    </row>
    <row r="13" spans="1:12" ht="24" customHeight="1" x14ac:dyDescent="0.35">
      <c r="A13" s="5" t="s">
        <v>373</v>
      </c>
      <c r="B13" s="5" t="s">
        <v>93</v>
      </c>
      <c r="C13" s="5" t="s">
        <v>364</v>
      </c>
      <c r="D13" s="5">
        <v>28</v>
      </c>
      <c r="E13" s="5" t="s">
        <v>114</v>
      </c>
      <c r="F13" s="5" t="s">
        <v>360</v>
      </c>
      <c r="G13" s="20">
        <v>90000000</v>
      </c>
      <c r="H13" s="20">
        <v>128015031.470329</v>
      </c>
      <c r="I13" s="25">
        <v>0.70304243936275523</v>
      </c>
      <c r="J13" s="5">
        <v>4125</v>
      </c>
      <c r="K13" s="5">
        <v>9</v>
      </c>
      <c r="L13" s="5">
        <v>12</v>
      </c>
      <c r="M13" s="64"/>
      <c r="N13" s="65" t="n">
        <f>IF(ISNUMBER(M13),M13,H13)</f>
        <v>128015031.470329</v>
      </c>
      <c r="O13" s="59" t="str">
        <f>IF(ISNUMBER(M13),"Owner editorial estimate","Original model estimate")</f>
        <v>Original model estimate</v>
      </c>
      <c r="P13" s="66" t="n">
        <f>RANK(N13,$N$2:$N$151,0)</f>
        <v>11</v>
      </c>
    </row>
    <row r="14" spans="1:12" ht="24" customHeight="1" x14ac:dyDescent="0.35">
      <c r="A14" s="1" t="s">
        <v>199</v>
      </c>
      <c r="B14" s="1" t="s">
        <v>96</v>
      </c>
      <c r="C14" s="1" t="s">
        <v>352</v>
      </c>
      <c r="D14" s="1">
        <v>26</v>
      </c>
      <c r="E14" s="1" t="s">
        <v>355</v>
      </c>
      <c r="F14" s="1" t="s">
        <v>356</v>
      </c>
      <c r="G14" s="21">
        <v>80000000</v>
      </c>
      <c r="H14" s="21">
        <v>127840478.78560729</v>
      </c>
      <c r="I14" s="24">
        <v>0.62577988411763241</v>
      </c>
      <c r="J14" s="1">
        <v>3735</v>
      </c>
      <c r="K14" s="1">
        <v>18</v>
      </c>
      <c r="L14" s="1">
        <v>5</v>
      </c>
      <c r="M14" s="64"/>
      <c r="N14" s="65" t="n">
        <f>IF(ISNUMBER(M14),M14,H14)</f>
        <v>127840478.7856073</v>
      </c>
      <c r="O14" s="59" t="str">
        <f>IF(ISNUMBER(M14),"Owner editorial estimate","Original model estimate")</f>
        <v>Original model estimate</v>
      </c>
      <c r="P14" s="66" t="n">
        <f>RANK(N14,$N$2:$N$151,0)</f>
        <v>12</v>
      </c>
    </row>
    <row r="15" spans="1:12" ht="24" customHeight="1" x14ac:dyDescent="0.35">
      <c r="A15" s="5" t="s">
        <v>108</v>
      </c>
      <c r="B15" s="5" t="s">
        <v>93</v>
      </c>
      <c r="C15" s="5" t="s">
        <v>364</v>
      </c>
      <c r="D15" s="5">
        <v>24</v>
      </c>
      <c r="E15" s="5" t="s">
        <v>374</v>
      </c>
      <c r="F15" s="5" t="s">
        <v>356</v>
      </c>
      <c r="G15" s="20">
        <v>75000000</v>
      </c>
      <c r="H15" s="20">
        <v>127287640.8003283</v>
      </c>
      <c r="I15" s="25">
        <v>0.58921667122144139</v>
      </c>
      <c r="J15" s="5">
        <v>4146</v>
      </c>
      <c r="K15" s="5">
        <v>4</v>
      </c>
      <c r="L15" s="5">
        <v>5</v>
      </c>
      <c r="M15" s="64"/>
      <c r="N15" s="65" t="n">
        <f>IF(ISNUMBER(M15),M15,H15)</f>
        <v>127287640.8003283</v>
      </c>
      <c r="O15" s="59" t="str">
        <f>IF(ISNUMBER(M15),"Owner editorial estimate","Original model estimate")</f>
        <v>Original model estimate</v>
      </c>
      <c r="P15" s="66" t="n">
        <f>RANK(N15,$N$2:$N$151,0)</f>
        <v>13</v>
      </c>
    </row>
    <row r="16" spans="1:12" ht="24" customHeight="1" x14ac:dyDescent="0.35">
      <c r="A16" s="1" t="s">
        <v>375</v>
      </c>
      <c r="B16" s="1" t="s">
        <v>96</v>
      </c>
      <c r="C16" s="1" t="s">
        <v>352</v>
      </c>
      <c r="D16" s="1">
        <v>25</v>
      </c>
      <c r="E16" s="1" t="s">
        <v>372</v>
      </c>
      <c r="F16" s="1" t="s">
        <v>356</v>
      </c>
      <c r="G16" s="21">
        <v>110000000</v>
      </c>
      <c r="H16" s="21">
        <v>124576642.4808182</v>
      </c>
      <c r="I16" s="24">
        <v>0.88299056556237954</v>
      </c>
      <c r="J16" s="1">
        <v>3136</v>
      </c>
      <c r="K16" s="1">
        <v>10</v>
      </c>
      <c r="L16" s="1">
        <v>11</v>
      </c>
      <c r="M16" s="64"/>
      <c r="N16" s="65" t="n">
        <f>IF(ISNUMBER(M16),M16,H16)</f>
        <v>124576642.4808182</v>
      </c>
      <c r="O16" s="59" t="str">
        <f>IF(ISNUMBER(M16),"Owner editorial estimate","Original model estimate")</f>
        <v>Original model estimate</v>
      </c>
      <c r="P16" s="66" t="n">
        <f>RANK(N16,$N$2:$N$151,0)</f>
        <v>14</v>
      </c>
    </row>
    <row r="17" spans="1:12" ht="24" customHeight="1" x14ac:dyDescent="0.35">
      <c r="A17" s="5" t="s">
        <v>376</v>
      </c>
      <c r="B17" s="5" t="s">
        <v>93</v>
      </c>
      <c r="C17" s="5" t="s">
        <v>364</v>
      </c>
      <c r="D17" s="5">
        <v>28</v>
      </c>
      <c r="E17" s="5" t="s">
        <v>377</v>
      </c>
      <c r="F17" s="5" t="s">
        <v>378</v>
      </c>
      <c r="G17" s="20">
        <v>30000000</v>
      </c>
      <c r="H17" s="20">
        <v>124327571.4327251</v>
      </c>
      <c r="I17" s="25">
        <v>0.24129804559267301</v>
      </c>
      <c r="J17" s="5">
        <v>4185</v>
      </c>
      <c r="K17" s="5">
        <v>9</v>
      </c>
      <c r="L17" s="5">
        <v>9</v>
      </c>
      <c r="M17" s="64"/>
      <c r="N17" s="65" t="n">
        <f>IF(ISNUMBER(M17),M17,H17)</f>
        <v>124327571.4327251</v>
      </c>
      <c r="O17" s="59" t="str">
        <f>IF(ISNUMBER(M17),"Owner editorial estimate","Original model estimate")</f>
        <v>Original model estimate</v>
      </c>
      <c r="P17" s="66" t="n">
        <f>RANK(N17,$N$2:$N$151,0)</f>
        <v>15</v>
      </c>
    </row>
    <row r="18" spans="1:12" ht="24" customHeight="1" x14ac:dyDescent="0.35">
      <c r="A18" s="1" t="s">
        <v>173</v>
      </c>
      <c r="B18" s="1" t="s">
        <v>96</v>
      </c>
      <c r="C18" s="1" t="s">
        <v>370</v>
      </c>
      <c r="D18" s="1">
        <v>25</v>
      </c>
      <c r="E18" s="1" t="s">
        <v>365</v>
      </c>
      <c r="F18" s="1" t="s">
        <v>359</v>
      </c>
      <c r="G18" s="21">
        <v>140000000</v>
      </c>
      <c r="H18" s="21">
        <v>123778328.24620681</v>
      </c>
      <c r="I18" s="24">
        <v>1.1310542159005961</v>
      </c>
      <c r="J18" s="1">
        <v>2572</v>
      </c>
      <c r="K18" s="1">
        <v>18</v>
      </c>
      <c r="L18" s="1">
        <v>10</v>
      </c>
      <c r="M18" s="64"/>
      <c r="N18" s="65" t="n">
        <f>IF(ISNUMBER(M18),M18,H18)</f>
        <v>123778328.2462068</v>
      </c>
      <c r="O18" s="59" t="str">
        <f>IF(ISNUMBER(M18),"Owner editorial estimate","Original model estimate")</f>
        <v>Original model estimate</v>
      </c>
      <c r="P18" s="66" t="n">
        <f>RANK(N18,$N$2:$N$151,0)</f>
        <v>16</v>
      </c>
    </row>
    <row r="19" spans="1:12" ht="24" customHeight="1" x14ac:dyDescent="0.35">
      <c r="A19" s="5" t="s">
        <v>379</v>
      </c>
      <c r="B19" s="5" t="s">
        <v>96</v>
      </c>
      <c r="C19" s="5" t="s">
        <v>352</v>
      </c>
      <c r="D19" s="5">
        <v>25</v>
      </c>
      <c r="E19" s="5" t="s">
        <v>380</v>
      </c>
      <c r="F19" s="5" t="s">
        <v>353</v>
      </c>
      <c r="G19" s="20">
        <v>40000000</v>
      </c>
      <c r="H19" s="20">
        <v>123053038.7005132</v>
      </c>
      <c r="I19" s="25">
        <v>0.32506308192317052</v>
      </c>
      <c r="J19" s="5">
        <v>3158</v>
      </c>
      <c r="K19" s="5">
        <v>10</v>
      </c>
      <c r="L19" s="5">
        <v>10</v>
      </c>
      <c r="M19" s="64"/>
      <c r="N19" s="65" t="n">
        <f>IF(ISNUMBER(M19),M19,H19)</f>
        <v>123053038.7005132</v>
      </c>
      <c r="O19" s="59" t="str">
        <f>IF(ISNUMBER(M19),"Owner editorial estimate","Original model estimate")</f>
        <v>Original model estimate</v>
      </c>
      <c r="P19" s="66" t="n">
        <f>RANK(N19,$N$2:$N$151,0)</f>
        <v>17</v>
      </c>
    </row>
    <row r="20" spans="1:12" ht="24" customHeight="1" x14ac:dyDescent="0.35">
      <c r="A20" s="1" t="s">
        <v>305</v>
      </c>
      <c r="B20" s="1" t="s">
        <v>96</v>
      </c>
      <c r="C20" s="1" t="s">
        <v>352</v>
      </c>
      <c r="D20" s="1">
        <v>21</v>
      </c>
      <c r="E20" s="1" t="s">
        <v>365</v>
      </c>
      <c r="F20" s="1" t="s">
        <v>359</v>
      </c>
      <c r="G20" s="21">
        <v>120000000</v>
      </c>
      <c r="H20" s="21">
        <v>123000000</v>
      </c>
      <c r="I20" s="24">
        <v>0.97560975609756095</v>
      </c>
      <c r="J20" s="1">
        <v>2227</v>
      </c>
      <c r="K20" s="1">
        <v>13</v>
      </c>
      <c r="L20" s="1">
        <v>9</v>
      </c>
      <c r="M20" s="64"/>
      <c r="N20" s="65" t="n">
        <f>IF(ISNUMBER(M20),M20,H20)</f>
        <v>123000000</v>
      </c>
      <c r="O20" s="59" t="str">
        <f>IF(ISNUMBER(M20),"Owner editorial estimate","Original model estimate")</f>
        <v>Original model estimate</v>
      </c>
      <c r="P20" s="66" t="n">
        <f>RANK(N20,$N$2:$N$151,0)</f>
        <v>18</v>
      </c>
    </row>
    <row r="21" spans="1:12" ht="24" customHeight="1" x14ac:dyDescent="0.35">
      <c r="A21" s="5" t="s">
        <v>205</v>
      </c>
      <c r="B21" s="5" t="s">
        <v>93</v>
      </c>
      <c r="C21" s="5" t="s">
        <v>381</v>
      </c>
      <c r="D21" s="5">
        <v>27</v>
      </c>
      <c r="E21" s="5" t="s">
        <v>372</v>
      </c>
      <c r="F21" s="5" t="s">
        <v>356</v>
      </c>
      <c r="G21" s="20">
        <v>75000000</v>
      </c>
      <c r="H21" s="20">
        <v>121656144.1475305</v>
      </c>
      <c r="I21" s="25">
        <v>0.6164916743460872</v>
      </c>
      <c r="J21" s="5">
        <v>3999</v>
      </c>
      <c r="K21" s="5">
        <v>6</v>
      </c>
      <c r="L21" s="5">
        <v>3</v>
      </c>
      <c r="M21" s="64"/>
      <c r="N21" s="65" t="n">
        <f>IF(ISNUMBER(M21),M21,H21)</f>
        <v>121656144.1475305</v>
      </c>
      <c r="O21" s="59" t="str">
        <f>IF(ISNUMBER(M21),"Owner editorial estimate","Original model estimate")</f>
        <v>Original model estimate</v>
      </c>
      <c r="P21" s="66" t="n">
        <f>RANK(N21,$N$2:$N$151,0)</f>
        <v>19</v>
      </c>
    </row>
    <row r="22" spans="1:12" ht="24" customHeight="1" x14ac:dyDescent="0.35">
      <c r="A22" s="1" t="s">
        <v>382</v>
      </c>
      <c r="B22" s="1" t="s">
        <v>96</v>
      </c>
      <c r="C22" s="1" t="s">
        <v>352</v>
      </c>
      <c r="D22" s="1">
        <v>24</v>
      </c>
      <c r="E22" s="1" t="s">
        <v>383</v>
      </c>
      <c r="F22" s="1" t="s">
        <v>360</v>
      </c>
      <c r="G22" s="21">
        <v>40000000</v>
      </c>
      <c r="H22" s="21">
        <v>119997657.9693491</v>
      </c>
      <c r="I22" s="24">
        <v>0.33333983910100268</v>
      </c>
      <c r="J22" s="1">
        <v>3621</v>
      </c>
      <c r="K22" s="1">
        <v>6</v>
      </c>
      <c r="L22" s="1">
        <v>8</v>
      </c>
      <c r="M22" s="64"/>
      <c r="N22" s="65" t="n">
        <f>IF(ISNUMBER(M22),M22,H22)</f>
        <v>119997657.9693491</v>
      </c>
      <c r="O22" s="59" t="str">
        <f>IF(ISNUMBER(M22),"Owner editorial estimate","Original model estimate")</f>
        <v>Original model estimate</v>
      </c>
      <c r="P22" s="66" t="n">
        <f>RANK(N22,$N$2:$N$151,0)</f>
        <v>20</v>
      </c>
    </row>
    <row r="23" spans="1:12" ht="24" customHeight="1" x14ac:dyDescent="0.35">
      <c r="A23" s="5" t="s">
        <v>262</v>
      </c>
      <c r="B23" s="5" t="s">
        <v>96</v>
      </c>
      <c r="C23" s="5" t="s">
        <v>352</v>
      </c>
      <c r="D23" s="5">
        <v>26</v>
      </c>
      <c r="E23" s="5" t="s">
        <v>366</v>
      </c>
      <c r="F23" s="5" t="s">
        <v>356</v>
      </c>
      <c r="G23" s="20">
        <v>60000000</v>
      </c>
      <c r="H23" s="20">
        <v>119462166.1228054</v>
      </c>
      <c r="I23" s="25">
        <v>0.50225106364069172</v>
      </c>
      <c r="J23" s="5">
        <v>3696</v>
      </c>
      <c r="K23" s="5">
        <v>9</v>
      </c>
      <c r="L23" s="5">
        <v>11</v>
      </c>
      <c r="M23" s="64"/>
      <c r="N23" s="65" t="n">
        <f>IF(ISNUMBER(M23),M23,H23)</f>
        <v>119462166.1228054</v>
      </c>
      <c r="O23" s="59" t="str">
        <f>IF(ISNUMBER(M23),"Owner editorial estimate","Original model estimate")</f>
        <v>Original model estimate</v>
      </c>
      <c r="P23" s="66" t="n">
        <f>RANK(N23,$N$2:$N$151,0)</f>
        <v>21</v>
      </c>
    </row>
    <row r="24" spans="1:12" ht="24" customHeight="1" x14ac:dyDescent="0.35">
      <c r="A24" s="1" t="s">
        <v>384</v>
      </c>
      <c r="B24" s="1" t="s">
        <v>93</v>
      </c>
      <c r="C24" s="1" t="s">
        <v>385</v>
      </c>
      <c r="D24" s="1">
        <v>23</v>
      </c>
      <c r="E24" s="1" t="s">
        <v>362</v>
      </c>
      <c r="F24" s="1" t="s">
        <v>360</v>
      </c>
      <c r="G24" s="21">
        <v>100000000</v>
      </c>
      <c r="H24" s="21">
        <v>119051372.0351913</v>
      </c>
      <c r="I24" s="24">
        <v>0.83997351975448264</v>
      </c>
      <c r="J24" s="1">
        <v>2980</v>
      </c>
      <c r="K24" s="1">
        <v>13</v>
      </c>
      <c r="L24" s="1">
        <v>17</v>
      </c>
      <c r="M24" s="64"/>
      <c r="N24" s="65" t="n">
        <f>IF(ISNUMBER(M24),M24,H24)</f>
        <v>119051372.0351913</v>
      </c>
      <c r="O24" s="59" t="str">
        <f>IF(ISNUMBER(M24),"Owner editorial estimate","Original model estimate")</f>
        <v>Original model estimate</v>
      </c>
      <c r="P24" s="66" t="n">
        <f>RANK(N24,$N$2:$N$151,0)</f>
        <v>22</v>
      </c>
    </row>
    <row r="25" spans="1:12" ht="24" customHeight="1" x14ac:dyDescent="0.35">
      <c r="A25" s="5" t="s">
        <v>386</v>
      </c>
      <c r="B25" s="5" t="s">
        <v>93</v>
      </c>
      <c r="C25" s="5" t="s">
        <v>381</v>
      </c>
      <c r="D25" s="5">
        <v>26</v>
      </c>
      <c r="E25" s="5" t="s">
        <v>365</v>
      </c>
      <c r="F25" s="5" t="s">
        <v>359</v>
      </c>
      <c r="G25" s="20">
        <v>140000000</v>
      </c>
      <c r="H25" s="20">
        <v>118695173.3766073</v>
      </c>
      <c r="I25" s="25">
        <v>1.1794919373494219</v>
      </c>
      <c r="J25" s="5">
        <v>3662</v>
      </c>
      <c r="K25" s="5">
        <v>6</v>
      </c>
      <c r="L25" s="5">
        <v>9</v>
      </c>
      <c r="M25" s="64"/>
      <c r="N25" s="65" t="n">
        <f>IF(ISNUMBER(M25),M25,H25)</f>
        <v>118695173.3766073</v>
      </c>
      <c r="O25" s="59" t="str">
        <f>IF(ISNUMBER(M25),"Owner editorial estimate","Original model estimate")</f>
        <v>Original model estimate</v>
      </c>
      <c r="P25" s="66" t="n">
        <f>RANK(N25,$N$2:$N$151,0)</f>
        <v>23</v>
      </c>
    </row>
    <row r="26" spans="1:12" ht="24" customHeight="1" x14ac:dyDescent="0.35">
      <c r="A26" s="1" t="s">
        <v>168</v>
      </c>
      <c r="B26" s="1" t="s">
        <v>93</v>
      </c>
      <c r="C26" s="1" t="s">
        <v>381</v>
      </c>
      <c r="D26" s="1">
        <v>26</v>
      </c>
      <c r="E26" s="1" t="s">
        <v>114</v>
      </c>
      <c r="F26" s="1" t="s">
        <v>360</v>
      </c>
      <c r="G26" s="21">
        <v>70000000</v>
      </c>
      <c r="H26" s="21">
        <v>118693658.0160853</v>
      </c>
      <c r="I26" s="24">
        <v>0.58975349795448762</v>
      </c>
      <c r="J26" s="1">
        <v>3851</v>
      </c>
      <c r="K26" s="1">
        <v>2</v>
      </c>
      <c r="L26" s="1">
        <v>3</v>
      </c>
      <c r="M26" s="64"/>
      <c r="N26" s="65" t="n">
        <f>IF(ISNUMBER(M26),M26,H26)</f>
        <v>118693658.0160853</v>
      </c>
      <c r="O26" s="59" t="str">
        <f>IF(ISNUMBER(M26),"Owner editorial estimate","Original model estimate")</f>
        <v>Original model estimate</v>
      </c>
      <c r="P26" s="66" t="n">
        <f>RANK(N26,$N$2:$N$151,0)</f>
        <v>24</v>
      </c>
    </row>
    <row r="27" spans="1:12" ht="24" customHeight="1" x14ac:dyDescent="0.35">
      <c r="A27" s="5" t="s">
        <v>191</v>
      </c>
      <c r="B27" s="5" t="s">
        <v>96</v>
      </c>
      <c r="C27" s="5" t="s">
        <v>354</v>
      </c>
      <c r="D27" s="5">
        <v>26</v>
      </c>
      <c r="E27" s="5" t="s">
        <v>383</v>
      </c>
      <c r="F27" s="5" t="s">
        <v>360</v>
      </c>
      <c r="G27" s="20">
        <v>100000000</v>
      </c>
      <c r="H27" s="20">
        <v>117688982.07297909</v>
      </c>
      <c r="I27" s="25">
        <v>0.84969721242035978</v>
      </c>
      <c r="J27" s="5">
        <v>3432</v>
      </c>
      <c r="K27" s="5">
        <v>19</v>
      </c>
      <c r="L27" s="5">
        <v>9</v>
      </c>
      <c r="M27" s="64"/>
      <c r="N27" s="65" t="n">
        <f>IF(ISNUMBER(M27),M27,H27)</f>
        <v>117688982.0729791</v>
      </c>
      <c r="O27" s="59" t="str">
        <f>IF(ISNUMBER(M27),"Owner editorial estimate","Original model estimate")</f>
        <v>Original model estimate</v>
      </c>
      <c r="P27" s="66" t="n">
        <f>RANK(N27,$N$2:$N$151,0)</f>
        <v>25</v>
      </c>
    </row>
    <row r="28" spans="1:12" ht="24" customHeight="1" x14ac:dyDescent="0.35">
      <c r="A28" s="1" t="s">
        <v>387</v>
      </c>
      <c r="B28" s="1" t="s">
        <v>96</v>
      </c>
      <c r="C28" s="1" t="s">
        <v>354</v>
      </c>
      <c r="D28" s="1">
        <v>25</v>
      </c>
      <c r="E28" s="1" t="s">
        <v>388</v>
      </c>
      <c r="F28" s="1" t="s">
        <v>359</v>
      </c>
      <c r="G28" s="21">
        <v>40000000</v>
      </c>
      <c r="H28" s="21">
        <v>117587788.85564481</v>
      </c>
      <c r="I28" s="24">
        <v>0.34017137654578672</v>
      </c>
      <c r="J28" s="1">
        <v>3042</v>
      </c>
      <c r="K28" s="1">
        <v>19</v>
      </c>
      <c r="L28" s="1">
        <v>6</v>
      </c>
      <c r="M28" s="64"/>
      <c r="N28" s="65" t="n">
        <f>IF(ISNUMBER(M28),M28,H28)</f>
        <v>117587788.8556448</v>
      </c>
      <c r="O28" s="59" t="str">
        <f>IF(ISNUMBER(M28),"Owner editorial estimate","Original model estimate")</f>
        <v>Original model estimate</v>
      </c>
      <c r="P28" s="66" t="n">
        <f>RANK(N28,$N$2:$N$151,0)</f>
        <v>26</v>
      </c>
    </row>
    <row r="29" spans="1:12" ht="24" customHeight="1" x14ac:dyDescent="0.35">
      <c r="A29" s="5" t="s">
        <v>389</v>
      </c>
      <c r="B29" s="5" t="s">
        <v>93</v>
      </c>
      <c r="C29" s="5" t="s">
        <v>381</v>
      </c>
      <c r="D29" s="5">
        <v>24</v>
      </c>
      <c r="E29" s="5" t="s">
        <v>390</v>
      </c>
      <c r="F29" s="5" t="s">
        <v>356</v>
      </c>
      <c r="G29" s="20">
        <v>80000000</v>
      </c>
      <c r="H29" s="20">
        <v>116953139.4412566</v>
      </c>
      <c r="I29" s="25">
        <v>0.68403465167501987</v>
      </c>
      <c r="J29" s="5">
        <v>4212</v>
      </c>
      <c r="K29" s="5">
        <v>5</v>
      </c>
      <c r="L29" s="5">
        <v>8</v>
      </c>
      <c r="M29" s="64"/>
      <c r="N29" s="65" t="n">
        <f>IF(ISNUMBER(M29),M29,H29)</f>
        <v>116953139.4412566</v>
      </c>
      <c r="O29" s="59" t="str">
        <f>IF(ISNUMBER(M29),"Owner editorial estimate","Original model estimate")</f>
        <v>Original model estimate</v>
      </c>
      <c r="P29" s="66" t="n">
        <f>RANK(N29,$N$2:$N$151,0)</f>
        <v>27</v>
      </c>
    </row>
    <row r="30" spans="1:12" ht="24" customHeight="1" x14ac:dyDescent="0.35">
      <c r="A30" s="1" t="s">
        <v>131</v>
      </c>
      <c r="B30" s="1" t="s">
        <v>93</v>
      </c>
      <c r="C30" s="1" t="s">
        <v>381</v>
      </c>
      <c r="D30" s="1">
        <v>26</v>
      </c>
      <c r="E30" s="1" t="s">
        <v>391</v>
      </c>
      <c r="F30" s="1" t="s">
        <v>356</v>
      </c>
      <c r="G30" s="21">
        <v>80000000</v>
      </c>
      <c r="H30" s="21">
        <v>116557997.96953709</v>
      </c>
      <c r="I30" s="24">
        <v>0.68635358700059612</v>
      </c>
      <c r="J30" s="1">
        <v>3773</v>
      </c>
      <c r="K30" s="1">
        <v>3</v>
      </c>
      <c r="L30" s="1">
        <v>7</v>
      </c>
      <c r="M30" s="64"/>
      <c r="N30" s="65" t="n">
        <f>IF(ISNUMBER(M30),M30,H30)</f>
        <v>116557997.9695371</v>
      </c>
      <c r="O30" s="59" t="str">
        <f>IF(ISNUMBER(M30),"Owner editorial estimate","Original model estimate")</f>
        <v>Original model estimate</v>
      </c>
      <c r="P30" s="66" t="n">
        <f>RANK(N30,$N$2:$N$151,0)</f>
        <v>28</v>
      </c>
    </row>
    <row r="31" spans="1:12" ht="24" customHeight="1" x14ac:dyDescent="0.35">
      <c r="A31" s="5" t="s">
        <v>105</v>
      </c>
      <c r="B31" s="5" t="s">
        <v>93</v>
      </c>
      <c r="C31" s="5" t="s">
        <v>385</v>
      </c>
      <c r="D31" s="5">
        <v>24</v>
      </c>
      <c r="E31" s="5" t="s">
        <v>106</v>
      </c>
      <c r="F31" s="5" t="s">
        <v>356</v>
      </c>
      <c r="G31" s="20">
        <v>90000000</v>
      </c>
      <c r="H31" s="20">
        <v>116212783.93714251</v>
      </c>
      <c r="I31" s="25">
        <v>0.77444147666817353</v>
      </c>
      <c r="J31" s="5">
        <v>4329</v>
      </c>
      <c r="K31" s="5">
        <v>13</v>
      </c>
      <c r="L31" s="5">
        <v>11</v>
      </c>
      <c r="M31" s="64"/>
      <c r="N31" s="65" t="n">
        <f>IF(ISNUMBER(M31),M31,H31)</f>
        <v>116212783.9371425</v>
      </c>
      <c r="O31" s="59" t="str">
        <f>IF(ISNUMBER(M31),"Owner editorial estimate","Original model estimate")</f>
        <v>Original model estimate</v>
      </c>
      <c r="P31" s="66" t="n">
        <f>RANK(N31,$N$2:$N$151,0)</f>
        <v>29</v>
      </c>
    </row>
    <row r="32" spans="1:12" ht="24" customHeight="1" x14ac:dyDescent="0.35">
      <c r="A32" s="1" t="s">
        <v>175</v>
      </c>
      <c r="B32" s="1" t="s">
        <v>96</v>
      </c>
      <c r="C32" s="1" t="s">
        <v>354</v>
      </c>
      <c r="D32" s="1">
        <v>23</v>
      </c>
      <c r="E32" s="1" t="s">
        <v>392</v>
      </c>
      <c r="F32" s="1" t="s">
        <v>378</v>
      </c>
      <c r="G32" s="21">
        <v>60000000</v>
      </c>
      <c r="H32" s="21">
        <v>115991748.77909911</v>
      </c>
      <c r="I32" s="24">
        <v>0.51727817393517539</v>
      </c>
      <c r="J32" s="1">
        <v>3627</v>
      </c>
      <c r="K32" s="1">
        <v>16</v>
      </c>
      <c r="L32" s="1">
        <v>8</v>
      </c>
      <c r="M32" s="64"/>
      <c r="N32" s="65" t="n">
        <f>IF(ISNUMBER(M32),M32,H32)</f>
        <v>115991748.7790991</v>
      </c>
      <c r="O32" s="59" t="str">
        <f>IF(ISNUMBER(M32),"Owner editorial estimate","Original model estimate")</f>
        <v>Original model estimate</v>
      </c>
      <c r="P32" s="66" t="n">
        <f>RANK(N32,$N$2:$N$151,0)</f>
        <v>30</v>
      </c>
    </row>
    <row r="33" spans="1:12" ht="24" customHeight="1" x14ac:dyDescent="0.35">
      <c r="A33" s="5" t="s">
        <v>127</v>
      </c>
      <c r="B33" s="5" t="s">
        <v>93</v>
      </c>
      <c r="C33" s="5" t="s">
        <v>381</v>
      </c>
      <c r="D33" s="5">
        <v>25</v>
      </c>
      <c r="E33" s="5" t="s">
        <v>366</v>
      </c>
      <c r="F33" s="5" t="s">
        <v>356</v>
      </c>
      <c r="G33" s="20">
        <v>100000000</v>
      </c>
      <c r="H33" s="20">
        <v>115733267.54471029</v>
      </c>
      <c r="I33" s="25">
        <v>0.86405579071175709</v>
      </c>
      <c r="J33" s="5">
        <v>4079</v>
      </c>
      <c r="K33" s="5">
        <v>4</v>
      </c>
      <c r="L33" s="5">
        <v>1</v>
      </c>
      <c r="M33" s="64"/>
      <c r="N33" s="65" t="n">
        <f>IF(ISNUMBER(M33),M33,H33)</f>
        <v>115733267.5447103</v>
      </c>
      <c r="O33" s="59" t="str">
        <f>IF(ISNUMBER(M33),"Owner editorial estimate","Original model estimate")</f>
        <v>Original model estimate</v>
      </c>
      <c r="P33" s="66" t="n">
        <f>RANK(N33,$N$2:$N$151,0)</f>
        <v>31</v>
      </c>
    </row>
    <row r="34" spans="1:12" ht="24" customHeight="1" x14ac:dyDescent="0.35">
      <c r="A34" s="1" t="s">
        <v>393</v>
      </c>
      <c r="B34" s="1" t="s">
        <v>96</v>
      </c>
      <c r="C34" s="1" t="s">
        <v>352</v>
      </c>
      <c r="D34" s="1">
        <v>24</v>
      </c>
      <c r="E34" s="1" t="s">
        <v>388</v>
      </c>
      <c r="F34" s="1" t="s">
        <v>359</v>
      </c>
      <c r="G34" s="21">
        <v>50000000</v>
      </c>
      <c r="H34" s="21">
        <v>115048094.8546347</v>
      </c>
      <c r="I34" s="24">
        <v>0.43460085161058842</v>
      </c>
      <c r="J34" s="1">
        <v>2982</v>
      </c>
      <c r="K34" s="1">
        <v>5</v>
      </c>
      <c r="L34" s="1">
        <v>9</v>
      </c>
      <c r="M34" s="64"/>
      <c r="N34" s="65" t="n">
        <f>IF(ISNUMBER(M34),M34,H34)</f>
        <v>115048094.8546347</v>
      </c>
      <c r="O34" s="59" t="str">
        <f>IF(ISNUMBER(M34),"Owner editorial estimate","Original model estimate")</f>
        <v>Original model estimate</v>
      </c>
      <c r="P34" s="66" t="n">
        <f>RANK(N34,$N$2:$N$151,0)</f>
        <v>32</v>
      </c>
    </row>
    <row r="35" spans="1:12" ht="24" customHeight="1" x14ac:dyDescent="0.35">
      <c r="A35" s="5" t="s">
        <v>394</v>
      </c>
      <c r="B35" s="5" t="s">
        <v>93</v>
      </c>
      <c r="C35" s="5" t="s">
        <v>381</v>
      </c>
      <c r="D35" s="5">
        <v>28</v>
      </c>
      <c r="E35" s="5" t="s">
        <v>377</v>
      </c>
      <c r="F35" s="5" t="s">
        <v>378</v>
      </c>
      <c r="G35" s="20">
        <v>25000000</v>
      </c>
      <c r="H35" s="20">
        <v>114105236.0884735</v>
      </c>
      <c r="I35" s="25">
        <v>0.21909599293599311</v>
      </c>
      <c r="J35" s="5">
        <v>3640</v>
      </c>
      <c r="K35" s="5">
        <v>3</v>
      </c>
      <c r="L35" s="5">
        <v>2</v>
      </c>
      <c r="M35" s="64"/>
      <c r="N35" s="65" t="n">
        <f>IF(ISNUMBER(M35),M35,H35)</f>
        <v>114105236.0884735</v>
      </c>
      <c r="O35" s="59" t="str">
        <f>IF(ISNUMBER(M35),"Owner editorial estimate","Original model estimate")</f>
        <v>Original model estimate</v>
      </c>
      <c r="P35" s="66" t="n">
        <f>RANK(N35,$N$2:$N$151,0)</f>
        <v>33</v>
      </c>
    </row>
    <row r="36" spans="1:12" ht="24" customHeight="1" x14ac:dyDescent="0.35">
      <c r="A36" s="1" t="s">
        <v>395</v>
      </c>
      <c r="B36" s="1" t="s">
        <v>96</v>
      </c>
      <c r="C36" s="1" t="s">
        <v>370</v>
      </c>
      <c r="D36" s="1">
        <v>25</v>
      </c>
      <c r="E36" s="1" t="s">
        <v>371</v>
      </c>
      <c r="F36" s="1" t="s">
        <v>360</v>
      </c>
      <c r="G36" s="21">
        <v>40000000</v>
      </c>
      <c r="H36" s="21">
        <v>113914083.53593861</v>
      </c>
      <c r="I36" s="24">
        <v>0.35114183214563149</v>
      </c>
      <c r="J36" s="1">
        <v>3689</v>
      </c>
      <c r="K36" s="1">
        <v>15</v>
      </c>
      <c r="L36" s="1">
        <v>14</v>
      </c>
      <c r="M36" s="64"/>
      <c r="N36" s="65" t="n">
        <f>IF(ISNUMBER(M36),M36,H36)</f>
        <v>113914083.5359386</v>
      </c>
      <c r="O36" s="59" t="str">
        <f>IF(ISNUMBER(M36),"Owner editorial estimate","Original model estimate")</f>
        <v>Original model estimate</v>
      </c>
      <c r="P36" s="66" t="n">
        <f>RANK(N36,$N$2:$N$151,0)</f>
        <v>34</v>
      </c>
    </row>
    <row r="37" spans="1:12" ht="24" customHeight="1" x14ac:dyDescent="0.35">
      <c r="A37" s="5" t="s">
        <v>229</v>
      </c>
      <c r="B37" s="5" t="s">
        <v>96</v>
      </c>
      <c r="C37" s="5" t="s">
        <v>354</v>
      </c>
      <c r="D37" s="5">
        <v>25</v>
      </c>
      <c r="E37" s="5" t="s">
        <v>366</v>
      </c>
      <c r="F37" s="5" t="s">
        <v>356</v>
      </c>
      <c r="G37" s="20">
        <v>80000000</v>
      </c>
      <c r="H37" s="20">
        <v>113705033.8119677</v>
      </c>
      <c r="I37" s="25">
        <v>0.70357483145640498</v>
      </c>
      <c r="J37" s="5">
        <v>3355</v>
      </c>
      <c r="K37" s="5">
        <v>18</v>
      </c>
      <c r="L37" s="5">
        <v>7</v>
      </c>
      <c r="M37" s="64"/>
      <c r="N37" s="65" t="n">
        <f>IF(ISNUMBER(M37),M37,H37)</f>
        <v>113705033.8119677</v>
      </c>
      <c r="O37" s="59" t="str">
        <f>IF(ISNUMBER(M37),"Owner editorial estimate","Original model estimate")</f>
        <v>Original model estimate</v>
      </c>
      <c r="P37" s="66" t="n">
        <f>RANK(N37,$N$2:$N$151,0)</f>
        <v>35</v>
      </c>
    </row>
    <row r="38" spans="1:12" ht="24" customHeight="1" x14ac:dyDescent="0.35">
      <c r="A38" s="1" t="s">
        <v>396</v>
      </c>
      <c r="B38" s="1" t="s">
        <v>93</v>
      </c>
      <c r="C38" s="1" t="s">
        <v>364</v>
      </c>
      <c r="D38" s="1">
        <v>29</v>
      </c>
      <c r="E38" s="1" t="s">
        <v>397</v>
      </c>
      <c r="F38" s="1" t="s">
        <v>353</v>
      </c>
      <c r="G38" s="21">
        <v>20000000</v>
      </c>
      <c r="H38" s="21">
        <v>113622977.8597305</v>
      </c>
      <c r="I38" s="24">
        <v>0.1760207343332468</v>
      </c>
      <c r="J38" s="1">
        <v>3919</v>
      </c>
      <c r="K38" s="1">
        <v>6</v>
      </c>
      <c r="L38" s="1">
        <v>10</v>
      </c>
      <c r="M38" s="64"/>
      <c r="N38" s="65" t="n">
        <f>IF(ISNUMBER(M38),M38,H38)</f>
        <v>113622977.8597305</v>
      </c>
      <c r="O38" s="59" t="str">
        <f>IF(ISNUMBER(M38),"Owner editorial estimate","Original model estimate")</f>
        <v>Original model estimate</v>
      </c>
      <c r="P38" s="66" t="n">
        <f>RANK(N38,$N$2:$N$151,0)</f>
        <v>36</v>
      </c>
    </row>
    <row r="39" spans="1:12" ht="24" customHeight="1" x14ac:dyDescent="0.35">
      <c r="A39" s="5" t="s">
        <v>398</v>
      </c>
      <c r="B39" s="5" t="s">
        <v>93</v>
      </c>
      <c r="C39" s="5" t="s">
        <v>364</v>
      </c>
      <c r="D39" s="5">
        <v>28</v>
      </c>
      <c r="E39" s="5" t="s">
        <v>390</v>
      </c>
      <c r="F39" s="5" t="s">
        <v>356</v>
      </c>
      <c r="G39" s="20">
        <v>70000000</v>
      </c>
      <c r="H39" s="20">
        <v>113441180.8273571</v>
      </c>
      <c r="I39" s="25">
        <v>0.61705986740856478</v>
      </c>
      <c r="J39" s="5">
        <v>3942</v>
      </c>
      <c r="K39" s="5">
        <v>5</v>
      </c>
      <c r="L39" s="5">
        <v>6</v>
      </c>
      <c r="M39" s="64"/>
      <c r="N39" s="65" t="n">
        <f>IF(ISNUMBER(M39),M39,H39)</f>
        <v>113441180.8273571</v>
      </c>
      <c r="O39" s="59" t="str">
        <f>IF(ISNUMBER(M39),"Owner editorial estimate","Original model estimate")</f>
        <v>Original model estimate</v>
      </c>
      <c r="P39" s="66" t="n">
        <f>RANK(N39,$N$2:$N$151,0)</f>
        <v>37</v>
      </c>
    </row>
    <row r="40" spans="1:12" ht="24" customHeight="1" x14ac:dyDescent="0.35">
      <c r="A40" s="1" t="s">
        <v>399</v>
      </c>
      <c r="B40" s="1" t="s">
        <v>93</v>
      </c>
      <c r="C40" s="1" t="s">
        <v>364</v>
      </c>
      <c r="D40" s="1">
        <v>24</v>
      </c>
      <c r="E40" s="1" t="s">
        <v>362</v>
      </c>
      <c r="F40" s="1" t="s">
        <v>360</v>
      </c>
      <c r="G40" s="21">
        <v>150000000</v>
      </c>
      <c r="H40" s="21">
        <v>112859073.61808249</v>
      </c>
      <c r="I40" s="24">
        <v>1.329091185947558</v>
      </c>
      <c r="J40" s="1">
        <v>3044</v>
      </c>
      <c r="K40" s="1">
        <v>1</v>
      </c>
      <c r="L40" s="1">
        <v>12</v>
      </c>
      <c r="M40" s="64"/>
      <c r="N40" s="65" t="n">
        <f>IF(ISNUMBER(M40),M40,H40)</f>
        <v>112859073.6180825</v>
      </c>
      <c r="O40" s="59" t="str">
        <f>IF(ISNUMBER(M40),"Owner editorial estimate","Original model estimate")</f>
        <v>Original model estimate</v>
      </c>
      <c r="P40" s="66" t="n">
        <f>RANK(N40,$N$2:$N$151,0)</f>
        <v>38</v>
      </c>
    </row>
    <row r="41" spans="1:12" ht="24" customHeight="1" x14ac:dyDescent="0.35">
      <c r="A41" s="5" t="s">
        <v>400</v>
      </c>
      <c r="B41" s="5" t="s">
        <v>96</v>
      </c>
      <c r="C41" s="5" t="s">
        <v>352</v>
      </c>
      <c r="D41" s="5">
        <v>24</v>
      </c>
      <c r="E41" s="5" t="s">
        <v>401</v>
      </c>
      <c r="F41" s="5" t="s">
        <v>353</v>
      </c>
      <c r="G41" s="20">
        <v>40000000</v>
      </c>
      <c r="H41" s="20">
        <v>112581384.6585348</v>
      </c>
      <c r="I41" s="25">
        <v>0.35529852578489829</v>
      </c>
      <c r="J41" s="5">
        <v>1788</v>
      </c>
      <c r="K41" s="5">
        <v>10</v>
      </c>
      <c r="L41" s="5">
        <v>6</v>
      </c>
      <c r="M41" s="64"/>
      <c r="N41" s="65" t="n">
        <f>IF(ISNUMBER(M41),M41,H41)</f>
        <v>112581384.6585348</v>
      </c>
      <c r="O41" s="59" t="str">
        <f>IF(ISNUMBER(M41),"Owner editorial estimate","Original model estimate")</f>
        <v>Original model estimate</v>
      </c>
      <c r="P41" s="66" t="n">
        <f>RANK(N41,$N$2:$N$151,0)</f>
        <v>39</v>
      </c>
    </row>
    <row r="42" spans="1:12" ht="24" customHeight="1" x14ac:dyDescent="0.35">
      <c r="A42" s="1" t="s">
        <v>402</v>
      </c>
      <c r="B42" s="1" t="s">
        <v>93</v>
      </c>
      <c r="C42" s="1" t="s">
        <v>381</v>
      </c>
      <c r="D42" s="1">
        <v>25</v>
      </c>
      <c r="E42" s="1" t="s">
        <v>380</v>
      </c>
      <c r="F42" s="1" t="s">
        <v>353</v>
      </c>
      <c r="G42" s="21">
        <v>45000000</v>
      </c>
      <c r="H42" s="21">
        <v>112189488.2445852</v>
      </c>
      <c r="I42" s="24">
        <v>0.40110709750181889</v>
      </c>
      <c r="J42" s="1">
        <v>3841</v>
      </c>
      <c r="K42" s="1">
        <v>2</v>
      </c>
      <c r="L42" s="1">
        <v>9</v>
      </c>
      <c r="M42" s="64"/>
      <c r="N42" s="65" t="n">
        <f>IF(ISNUMBER(M42),M42,H42)</f>
        <v>112189488.2445852</v>
      </c>
      <c r="O42" s="59" t="str">
        <f>IF(ISNUMBER(M42),"Owner editorial estimate","Original model estimate")</f>
        <v>Original model estimate</v>
      </c>
      <c r="P42" s="66" t="n">
        <f>RANK(N42,$N$2:$N$151,0)</f>
        <v>40</v>
      </c>
    </row>
    <row r="43" spans="1:12" ht="24" customHeight="1" x14ac:dyDescent="0.35">
      <c r="A43" s="5" t="s">
        <v>403</v>
      </c>
      <c r="B43" s="5" t="s">
        <v>96</v>
      </c>
      <c r="C43" s="5" t="s">
        <v>354</v>
      </c>
      <c r="D43" s="5">
        <v>25</v>
      </c>
      <c r="E43" s="5" t="s">
        <v>404</v>
      </c>
      <c r="F43" s="5" t="s">
        <v>356</v>
      </c>
      <c r="G43" s="20">
        <v>65000000</v>
      </c>
      <c r="H43" s="20">
        <v>111974629.0027605</v>
      </c>
      <c r="I43" s="25">
        <v>0.5804886390683871</v>
      </c>
      <c r="J43" s="5">
        <v>3199</v>
      </c>
      <c r="K43" s="5">
        <v>22</v>
      </c>
      <c r="L43" s="5">
        <v>1</v>
      </c>
      <c r="M43" s="64"/>
      <c r="N43" s="65" t="n">
        <f>IF(ISNUMBER(M43),M43,H43)</f>
        <v>111974629.0027605</v>
      </c>
      <c r="O43" s="59" t="str">
        <f>IF(ISNUMBER(M43),"Owner editorial estimate","Original model estimate")</f>
        <v>Original model estimate</v>
      </c>
      <c r="P43" s="66" t="n">
        <f>RANK(N43,$N$2:$N$151,0)</f>
        <v>41</v>
      </c>
    </row>
    <row r="44" spans="1:12" ht="24" customHeight="1" x14ac:dyDescent="0.35">
      <c r="A44" s="1" t="s">
        <v>405</v>
      </c>
      <c r="B44" s="1" t="s">
        <v>93</v>
      </c>
      <c r="C44" s="1" t="s">
        <v>385</v>
      </c>
      <c r="D44" s="1">
        <v>26</v>
      </c>
      <c r="E44" s="1" t="s">
        <v>374</v>
      </c>
      <c r="F44" s="1" t="s">
        <v>356</v>
      </c>
      <c r="G44" s="21">
        <v>70000000</v>
      </c>
      <c r="H44" s="21">
        <v>111847026.0529363</v>
      </c>
      <c r="I44" s="24">
        <v>0.62585481680013144</v>
      </c>
      <c r="J44" s="1">
        <v>3896</v>
      </c>
      <c r="K44" s="1">
        <v>18</v>
      </c>
      <c r="L44" s="1">
        <v>6</v>
      </c>
      <c r="M44" s="64"/>
      <c r="N44" s="65" t="n">
        <f>IF(ISNUMBER(M44),M44,H44)</f>
        <v>111847026.0529363</v>
      </c>
      <c r="O44" s="59" t="str">
        <f>IF(ISNUMBER(M44),"Owner editorial estimate","Original model estimate")</f>
        <v>Original model estimate</v>
      </c>
      <c r="P44" s="66" t="n">
        <f>RANK(N44,$N$2:$N$151,0)</f>
        <v>42</v>
      </c>
    </row>
    <row r="45" spans="1:12" ht="24" customHeight="1" x14ac:dyDescent="0.35">
      <c r="A45" s="5" t="s">
        <v>208</v>
      </c>
      <c r="B45" s="5" t="s">
        <v>93</v>
      </c>
      <c r="C45" s="5" t="s">
        <v>385</v>
      </c>
      <c r="D45" s="5">
        <v>26</v>
      </c>
      <c r="E45" s="5" t="s">
        <v>390</v>
      </c>
      <c r="F45" s="5" t="s">
        <v>356</v>
      </c>
      <c r="G45" s="20">
        <v>100000000</v>
      </c>
      <c r="H45" s="20">
        <v>110713247.44063769</v>
      </c>
      <c r="I45" s="25">
        <v>0.90323427694249558</v>
      </c>
      <c r="J45" s="5">
        <v>4376</v>
      </c>
      <c r="K45" s="5">
        <v>12</v>
      </c>
      <c r="L45" s="5">
        <v>11</v>
      </c>
      <c r="M45" s="64"/>
      <c r="N45" s="65" t="n">
        <f>IF(ISNUMBER(M45),M45,H45)</f>
        <v>110713247.4406377</v>
      </c>
      <c r="O45" s="59" t="str">
        <f>IF(ISNUMBER(M45),"Owner editorial estimate","Original model estimate")</f>
        <v>Original model estimate</v>
      </c>
      <c r="P45" s="66" t="n">
        <f>RANK(N45,$N$2:$N$151,0)</f>
        <v>43</v>
      </c>
    </row>
    <row r="46" spans="1:12" ht="24" customHeight="1" x14ac:dyDescent="0.35">
      <c r="A46" s="1" t="s">
        <v>406</v>
      </c>
      <c r="B46" s="1" t="s">
        <v>93</v>
      </c>
      <c r="C46" s="1" t="s">
        <v>364</v>
      </c>
      <c r="D46" s="1">
        <v>23</v>
      </c>
      <c r="E46" s="1" t="s">
        <v>407</v>
      </c>
      <c r="F46" s="1" t="s">
        <v>360</v>
      </c>
      <c r="G46" s="21">
        <v>30000000</v>
      </c>
      <c r="H46" s="21">
        <v>110538319.1688522</v>
      </c>
      <c r="I46" s="24">
        <v>0.27139909694278658</v>
      </c>
      <c r="J46" s="1">
        <v>3546</v>
      </c>
      <c r="K46" s="1">
        <v>3</v>
      </c>
      <c r="L46" s="1">
        <v>2</v>
      </c>
      <c r="M46" s="64"/>
      <c r="N46" s="65" t="n">
        <f>IF(ISNUMBER(M46),M46,H46)</f>
        <v>110538319.1688522</v>
      </c>
      <c r="O46" s="59" t="str">
        <f>IF(ISNUMBER(M46),"Owner editorial estimate","Original model estimate")</f>
        <v>Original model estimate</v>
      </c>
      <c r="P46" s="66" t="n">
        <f>RANK(N46,$N$2:$N$151,0)</f>
        <v>44</v>
      </c>
    </row>
    <row r="47" spans="1:12" ht="24" customHeight="1" x14ac:dyDescent="0.35">
      <c r="A47" s="5" t="s">
        <v>138</v>
      </c>
      <c r="B47" s="5" t="s">
        <v>93</v>
      </c>
      <c r="C47" s="5" t="s">
        <v>364</v>
      </c>
      <c r="D47" s="5">
        <v>22</v>
      </c>
      <c r="E47" s="5" t="s">
        <v>408</v>
      </c>
      <c r="F47" s="5" t="s">
        <v>356</v>
      </c>
      <c r="G47" s="20">
        <v>50000000</v>
      </c>
      <c r="H47" s="20">
        <v>110039869.30282</v>
      </c>
      <c r="I47" s="25">
        <v>0.4543807650516597</v>
      </c>
      <c r="J47" s="5">
        <v>3169</v>
      </c>
      <c r="K47" s="5">
        <v>4</v>
      </c>
      <c r="L47" s="5">
        <v>4</v>
      </c>
      <c r="M47" s="64"/>
      <c r="N47" s="65" t="n">
        <f>IF(ISNUMBER(M47),M47,H47)</f>
        <v>110039869.30282</v>
      </c>
      <c r="O47" s="59" t="str">
        <f>IF(ISNUMBER(M47),"Owner editorial estimate","Original model estimate")</f>
        <v>Original model estimate</v>
      </c>
      <c r="P47" s="66" t="n">
        <f>RANK(N47,$N$2:$N$151,0)</f>
        <v>45</v>
      </c>
    </row>
    <row r="48" spans="1:12" ht="24" customHeight="1" x14ac:dyDescent="0.35">
      <c r="A48" s="1" t="s">
        <v>409</v>
      </c>
      <c r="B48" s="1" t="s">
        <v>93</v>
      </c>
      <c r="C48" s="1" t="s">
        <v>364</v>
      </c>
      <c r="D48" s="1">
        <v>26</v>
      </c>
      <c r="E48" s="1" t="s">
        <v>401</v>
      </c>
      <c r="F48" s="1" t="s">
        <v>353</v>
      </c>
      <c r="G48" s="21">
        <v>50000000</v>
      </c>
      <c r="H48" s="21">
        <v>108671255.4464086</v>
      </c>
      <c r="I48" s="24">
        <v>0.46010327012976848</v>
      </c>
      <c r="J48" s="1">
        <v>3209</v>
      </c>
      <c r="K48" s="1">
        <v>5</v>
      </c>
      <c r="L48" s="1">
        <v>4</v>
      </c>
      <c r="M48" s="64"/>
      <c r="N48" s="65" t="n">
        <f>IF(ISNUMBER(M48),M48,H48)</f>
        <v>108671255.4464086</v>
      </c>
      <c r="O48" s="59" t="str">
        <f>IF(ISNUMBER(M48),"Owner editorial estimate","Original model estimate")</f>
        <v>Original model estimate</v>
      </c>
      <c r="P48" s="66" t="n">
        <f>RANK(N48,$N$2:$N$151,0)</f>
        <v>46</v>
      </c>
    </row>
    <row r="49" spans="1:12" ht="24" customHeight="1" x14ac:dyDescent="0.35">
      <c r="A49" s="5" t="s">
        <v>204</v>
      </c>
      <c r="B49" s="5" t="s">
        <v>96</v>
      </c>
      <c r="C49" s="5" t="s">
        <v>370</v>
      </c>
      <c r="D49" s="5">
        <v>29</v>
      </c>
      <c r="E49" s="5" t="s">
        <v>142</v>
      </c>
      <c r="F49" s="5" t="s">
        <v>353</v>
      </c>
      <c r="G49" s="20">
        <v>70000000</v>
      </c>
      <c r="H49" s="20">
        <v>108342104.1057542</v>
      </c>
      <c r="I49" s="25">
        <v>0.6461015371426797</v>
      </c>
      <c r="J49" s="5">
        <v>3880</v>
      </c>
      <c r="K49" s="5">
        <v>24</v>
      </c>
      <c r="L49" s="5">
        <v>21</v>
      </c>
      <c r="M49" s="64"/>
      <c r="N49" s="65" t="n">
        <f>IF(ISNUMBER(M49),M49,H49)</f>
        <v>108342104.1057542</v>
      </c>
      <c r="O49" s="59" t="str">
        <f>IF(ISNUMBER(M49),"Owner editorial estimate","Original model estimate")</f>
        <v>Original model estimate</v>
      </c>
      <c r="P49" s="66" t="n">
        <f>RANK(N49,$N$2:$N$151,0)</f>
        <v>47</v>
      </c>
    </row>
    <row r="50" spans="1:12" ht="24" customHeight="1" x14ac:dyDescent="0.35">
      <c r="A50" s="1" t="s">
        <v>169</v>
      </c>
      <c r="B50" s="1" t="s">
        <v>96</v>
      </c>
      <c r="C50" s="1" t="s">
        <v>370</v>
      </c>
      <c r="D50" s="1">
        <v>25</v>
      </c>
      <c r="E50" s="1" t="s">
        <v>391</v>
      </c>
      <c r="F50" s="1" t="s">
        <v>356</v>
      </c>
      <c r="G50" s="21">
        <v>65000000</v>
      </c>
      <c r="H50" s="21">
        <v>108059279.128971</v>
      </c>
      <c r="I50" s="24">
        <v>0.60152168813213314</v>
      </c>
      <c r="J50" s="1">
        <v>2871</v>
      </c>
      <c r="K50" s="1">
        <v>17</v>
      </c>
      <c r="L50" s="1">
        <v>5</v>
      </c>
      <c r="M50" s="64"/>
      <c r="N50" s="65" t="n">
        <f>IF(ISNUMBER(M50),M50,H50)</f>
        <v>108059279.128971</v>
      </c>
      <c r="O50" s="59" t="str">
        <f>IF(ISNUMBER(M50),"Owner editorial estimate","Original model estimate")</f>
        <v>Original model estimate</v>
      </c>
      <c r="P50" s="66" t="n">
        <f>RANK(N50,$N$2:$N$151,0)</f>
        <v>48</v>
      </c>
    </row>
    <row r="51" spans="1:12" ht="24" customHeight="1" x14ac:dyDescent="0.35">
      <c r="A51" s="5" t="s">
        <v>410</v>
      </c>
      <c r="B51" s="5" t="s">
        <v>93</v>
      </c>
      <c r="C51" s="5" t="s">
        <v>381</v>
      </c>
      <c r="D51" s="5">
        <v>31</v>
      </c>
      <c r="E51" s="5" t="s">
        <v>142</v>
      </c>
      <c r="F51" s="5" t="s">
        <v>353</v>
      </c>
      <c r="G51" s="20">
        <v>35000000</v>
      </c>
      <c r="H51" s="20">
        <v>108048824.24372099</v>
      </c>
      <c r="I51" s="25">
        <v>0.32392763405784081</v>
      </c>
      <c r="J51" s="5">
        <v>3856</v>
      </c>
      <c r="K51" s="5">
        <v>2</v>
      </c>
      <c r="L51" s="5">
        <v>15</v>
      </c>
      <c r="M51" s="64"/>
      <c r="N51" s="65" t="n">
        <f>IF(ISNUMBER(M51),M51,H51)</f>
        <v>108048824.243721</v>
      </c>
      <c r="O51" s="59" t="str">
        <f>IF(ISNUMBER(M51),"Owner editorial estimate","Original model estimate")</f>
        <v>Original model estimate</v>
      </c>
      <c r="P51" s="66" t="n">
        <f>RANK(N51,$N$2:$N$151,0)</f>
        <v>49</v>
      </c>
    </row>
    <row r="52" spans="1:12" ht="24" customHeight="1" x14ac:dyDescent="0.35">
      <c r="A52" s="1" t="s">
        <v>411</v>
      </c>
      <c r="B52" s="1" t="s">
        <v>96</v>
      </c>
      <c r="C52" s="1" t="s">
        <v>352</v>
      </c>
      <c r="D52" s="1">
        <v>23</v>
      </c>
      <c r="E52" s="1" t="s">
        <v>412</v>
      </c>
      <c r="F52" s="1" t="s">
        <v>378</v>
      </c>
      <c r="G52" s="21">
        <v>35000000</v>
      </c>
      <c r="H52" s="21">
        <v>107849053.56894261</v>
      </c>
      <c r="I52" s="24">
        <v>0.32452765083957108</v>
      </c>
      <c r="J52" s="1">
        <v>2614</v>
      </c>
      <c r="K52" s="1">
        <v>6</v>
      </c>
      <c r="L52" s="1">
        <v>8</v>
      </c>
      <c r="M52" s="64"/>
      <c r="N52" s="65" t="n">
        <f>IF(ISNUMBER(M52),M52,H52)</f>
        <v>107849053.5689426</v>
      </c>
      <c r="O52" s="59" t="str">
        <f>IF(ISNUMBER(M52),"Owner editorial estimate","Original model estimate")</f>
        <v>Original model estimate</v>
      </c>
      <c r="P52" s="66" t="n">
        <f>RANK(N52,$N$2:$N$151,0)</f>
        <v>50</v>
      </c>
    </row>
    <row r="53" spans="1:12" ht="24" customHeight="1" x14ac:dyDescent="0.35">
      <c r="A53" s="5" t="s">
        <v>413</v>
      </c>
      <c r="B53" s="5" t="s">
        <v>93</v>
      </c>
      <c r="C53" s="5" t="s">
        <v>364</v>
      </c>
      <c r="D53" s="5">
        <v>23</v>
      </c>
      <c r="E53" s="5" t="s">
        <v>414</v>
      </c>
      <c r="F53" s="5" t="s">
        <v>360</v>
      </c>
      <c r="G53" s="20">
        <v>15000000</v>
      </c>
      <c r="H53" s="20">
        <v>107692416.62086029</v>
      </c>
      <c r="I53" s="25">
        <v>0.13928557340122369</v>
      </c>
      <c r="J53" s="5">
        <v>3219</v>
      </c>
      <c r="K53" s="5">
        <v>2</v>
      </c>
      <c r="L53" s="5">
        <v>4</v>
      </c>
      <c r="M53" s="64"/>
      <c r="N53" s="65" t="n">
        <f>IF(ISNUMBER(M53),M53,H53)</f>
        <v>107692416.6208603</v>
      </c>
      <c r="O53" s="59" t="str">
        <f>IF(ISNUMBER(M53),"Owner editorial estimate","Original model estimate")</f>
        <v>Original model estimate</v>
      </c>
      <c r="P53" s="66" t="n">
        <f>RANK(N53,$N$2:$N$151,0)</f>
        <v>51</v>
      </c>
    </row>
    <row r="54" spans="1:12" ht="24" customHeight="1" x14ac:dyDescent="0.35">
      <c r="A54" s="1" t="s">
        <v>415</v>
      </c>
      <c r="B54" s="1" t="s">
        <v>93</v>
      </c>
      <c r="C54" s="1" t="s">
        <v>364</v>
      </c>
      <c r="D54" s="1">
        <v>25</v>
      </c>
      <c r="E54" s="1" t="s">
        <v>377</v>
      </c>
      <c r="F54" s="1" t="s">
        <v>378</v>
      </c>
      <c r="G54" s="21">
        <v>38000000</v>
      </c>
      <c r="H54" s="21">
        <v>107493547.0277524</v>
      </c>
      <c r="I54" s="24">
        <v>0.35350959244269098</v>
      </c>
      <c r="J54" s="1">
        <v>2956</v>
      </c>
      <c r="K54" s="1">
        <v>4</v>
      </c>
      <c r="L54" s="1">
        <v>5</v>
      </c>
      <c r="M54" s="64"/>
      <c r="N54" s="65" t="n">
        <f>IF(ISNUMBER(M54),M54,H54)</f>
        <v>107493547.0277524</v>
      </c>
      <c r="O54" s="59" t="str">
        <f>IF(ISNUMBER(M54),"Owner editorial estimate","Original model estimate")</f>
        <v>Original model estimate</v>
      </c>
      <c r="P54" s="66" t="n">
        <f>RANK(N54,$N$2:$N$151,0)</f>
        <v>52</v>
      </c>
    </row>
    <row r="55" spans="1:12" ht="24" customHeight="1" x14ac:dyDescent="0.35">
      <c r="A55" s="5" t="s">
        <v>416</v>
      </c>
      <c r="B55" s="5" t="s">
        <v>96</v>
      </c>
      <c r="C55" s="5" t="s">
        <v>354</v>
      </c>
      <c r="D55" s="5">
        <v>25</v>
      </c>
      <c r="E55" s="5" t="s">
        <v>374</v>
      </c>
      <c r="F55" s="5" t="s">
        <v>356</v>
      </c>
      <c r="G55" s="20">
        <v>25000000</v>
      </c>
      <c r="H55" s="20">
        <v>107274481.21257439</v>
      </c>
      <c r="I55" s="25">
        <v>0.23304703707175389</v>
      </c>
      <c r="J55" s="5">
        <v>3246</v>
      </c>
      <c r="K55" s="5">
        <v>16</v>
      </c>
      <c r="L55" s="5">
        <v>5</v>
      </c>
      <c r="M55" s="64"/>
      <c r="N55" s="65" t="n">
        <f>IF(ISNUMBER(M55),M55,H55)</f>
        <v>107274481.2125744</v>
      </c>
      <c r="O55" s="59" t="str">
        <f>IF(ISNUMBER(M55),"Owner editorial estimate","Original model estimate")</f>
        <v>Original model estimate</v>
      </c>
      <c r="P55" s="66" t="n">
        <f>RANK(N55,$N$2:$N$151,0)</f>
        <v>53</v>
      </c>
    </row>
    <row r="56" spans="1:12" ht="24" customHeight="1" x14ac:dyDescent="0.35">
      <c r="A56" s="1" t="s">
        <v>117</v>
      </c>
      <c r="B56" s="1" t="s">
        <v>96</v>
      </c>
      <c r="C56" s="1" t="s">
        <v>370</v>
      </c>
      <c r="D56" s="1">
        <v>24</v>
      </c>
      <c r="E56" s="1" t="s">
        <v>365</v>
      </c>
      <c r="F56" s="1" t="s">
        <v>359</v>
      </c>
      <c r="G56" s="21">
        <v>70000000</v>
      </c>
      <c r="H56" s="21">
        <v>107004055.6286694</v>
      </c>
      <c r="I56" s="24">
        <v>0.65418081201442835</v>
      </c>
      <c r="J56" s="1">
        <v>2607</v>
      </c>
      <c r="K56" s="1">
        <v>13</v>
      </c>
      <c r="L56" s="1">
        <v>7</v>
      </c>
      <c r="M56" s="64"/>
      <c r="N56" s="65" t="n">
        <f>IF(ISNUMBER(M56),M56,H56)</f>
        <v>107004055.6286694</v>
      </c>
      <c r="O56" s="59" t="str">
        <f>IF(ISNUMBER(M56),"Owner editorial estimate","Original model estimate")</f>
        <v>Original model estimate</v>
      </c>
      <c r="P56" s="66" t="n">
        <f>RANK(N56,$N$2:$N$151,0)</f>
        <v>54</v>
      </c>
    </row>
    <row r="57" spans="1:12" ht="24" customHeight="1" x14ac:dyDescent="0.35">
      <c r="A57" s="5" t="s">
        <v>139</v>
      </c>
      <c r="B57" s="5" t="s">
        <v>96</v>
      </c>
      <c r="C57" s="5" t="s">
        <v>354</v>
      </c>
      <c r="D57" s="5">
        <v>24</v>
      </c>
      <c r="E57" s="5" t="s">
        <v>390</v>
      </c>
      <c r="F57" s="5" t="s">
        <v>356</v>
      </c>
      <c r="G57" s="20">
        <v>80000000</v>
      </c>
      <c r="H57" s="20">
        <v>105692925.9807952</v>
      </c>
      <c r="I57" s="25">
        <v>0.75690969152028509</v>
      </c>
      <c r="J57" s="5">
        <v>2570</v>
      </c>
      <c r="K57" s="5">
        <v>14</v>
      </c>
      <c r="L57" s="5">
        <v>5</v>
      </c>
      <c r="M57" s="64"/>
      <c r="N57" s="65" t="n">
        <f>IF(ISNUMBER(M57),M57,H57)</f>
        <v>105692925.9807952</v>
      </c>
      <c r="O57" s="59" t="str">
        <f>IF(ISNUMBER(M57),"Owner editorial estimate","Original model estimate")</f>
        <v>Original model estimate</v>
      </c>
      <c r="P57" s="66" t="n">
        <f>RANK(N57,$N$2:$N$151,0)</f>
        <v>55</v>
      </c>
    </row>
    <row r="58" spans="1:12" ht="24" customHeight="1" x14ac:dyDescent="0.35">
      <c r="A58" s="1" t="s">
        <v>417</v>
      </c>
      <c r="B58" s="1" t="s">
        <v>96</v>
      </c>
      <c r="C58" s="1" t="s">
        <v>354</v>
      </c>
      <c r="D58" s="1">
        <v>26</v>
      </c>
      <c r="E58" s="1" t="s">
        <v>418</v>
      </c>
      <c r="F58" s="1" t="s">
        <v>359</v>
      </c>
      <c r="G58" s="21">
        <v>35000000</v>
      </c>
      <c r="H58" s="21">
        <v>104937043.5575365</v>
      </c>
      <c r="I58" s="24">
        <v>0.33353331496145749</v>
      </c>
      <c r="J58" s="1">
        <v>2447</v>
      </c>
      <c r="K58" s="1">
        <v>19</v>
      </c>
      <c r="L58" s="1">
        <v>5</v>
      </c>
      <c r="M58" s="64"/>
      <c r="N58" s="65" t="n">
        <f>IF(ISNUMBER(M58),M58,H58)</f>
        <v>104937043.5575365</v>
      </c>
      <c r="O58" s="59" t="str">
        <f>IF(ISNUMBER(M58),"Owner editorial estimate","Original model estimate")</f>
        <v>Original model estimate</v>
      </c>
      <c r="P58" s="66" t="n">
        <f>RANK(N58,$N$2:$N$151,0)</f>
        <v>56</v>
      </c>
    </row>
    <row r="59" spans="1:12" ht="24" customHeight="1" x14ac:dyDescent="0.35">
      <c r="A59" s="5" t="s">
        <v>419</v>
      </c>
      <c r="B59" s="5" t="s">
        <v>93</v>
      </c>
      <c r="C59" s="5" t="s">
        <v>364</v>
      </c>
      <c r="D59" s="5">
        <v>26</v>
      </c>
      <c r="E59" s="5" t="s">
        <v>420</v>
      </c>
      <c r="F59" s="5" t="s">
        <v>356</v>
      </c>
      <c r="G59" s="20">
        <v>28000000</v>
      </c>
      <c r="H59" s="20">
        <v>104695364.68532071</v>
      </c>
      <c r="I59" s="25">
        <v>0.26744259484800148</v>
      </c>
      <c r="J59" s="5">
        <v>3105</v>
      </c>
      <c r="K59" s="5">
        <v>5</v>
      </c>
      <c r="L59" s="5">
        <v>6</v>
      </c>
      <c r="M59" s="64"/>
      <c r="N59" s="65" t="n">
        <f>IF(ISNUMBER(M59),M59,H59)</f>
        <v>104695364.6853207</v>
      </c>
      <c r="O59" s="59" t="str">
        <f>IF(ISNUMBER(M59),"Owner editorial estimate","Original model estimate")</f>
        <v>Original model estimate</v>
      </c>
      <c r="P59" s="66" t="n">
        <f>RANK(N59,$N$2:$N$151,0)</f>
        <v>57</v>
      </c>
    </row>
    <row r="60" spans="1:12" ht="24" customHeight="1" x14ac:dyDescent="0.35">
      <c r="A60" s="1" t="s">
        <v>421</v>
      </c>
      <c r="B60" s="1" t="s">
        <v>96</v>
      </c>
      <c r="C60" s="1" t="s">
        <v>354</v>
      </c>
      <c r="D60" s="1">
        <v>27</v>
      </c>
      <c r="E60" s="1" t="s">
        <v>412</v>
      </c>
      <c r="F60" s="1" t="s">
        <v>378</v>
      </c>
      <c r="G60" s="21">
        <v>45000000</v>
      </c>
      <c r="H60" s="21">
        <v>104173014.00058091</v>
      </c>
      <c r="I60" s="24">
        <v>0.43197367794071001</v>
      </c>
      <c r="J60" s="1">
        <v>2866</v>
      </c>
      <c r="K60" s="1">
        <v>22</v>
      </c>
      <c r="L60" s="1">
        <v>5</v>
      </c>
      <c r="M60" s="64"/>
      <c r="N60" s="65" t="n">
        <f>IF(ISNUMBER(M60),M60,H60)</f>
        <v>104173014.0005809</v>
      </c>
      <c r="O60" s="59" t="str">
        <f>IF(ISNUMBER(M60),"Owner editorial estimate","Original model estimate")</f>
        <v>Original model estimate</v>
      </c>
      <c r="P60" s="66" t="n">
        <f>RANK(N60,$N$2:$N$151,0)</f>
        <v>58</v>
      </c>
    </row>
    <row r="61" spans="1:12" ht="24" customHeight="1" x14ac:dyDescent="0.35">
      <c r="A61" s="5" t="s">
        <v>422</v>
      </c>
      <c r="B61" s="5" t="s">
        <v>93</v>
      </c>
      <c r="C61" s="5" t="s">
        <v>364</v>
      </c>
      <c r="D61" s="5">
        <v>25</v>
      </c>
      <c r="E61" s="5" t="s">
        <v>423</v>
      </c>
      <c r="F61" s="5" t="s">
        <v>378</v>
      </c>
      <c r="G61" s="20">
        <v>20000000</v>
      </c>
      <c r="H61" s="20">
        <v>103972370.43740959</v>
      </c>
      <c r="I61" s="25">
        <v>0.19235879605187811</v>
      </c>
      <c r="J61" s="5">
        <v>2940</v>
      </c>
      <c r="K61" s="5">
        <v>7</v>
      </c>
      <c r="L61" s="5">
        <v>5</v>
      </c>
      <c r="M61" s="64"/>
      <c r="N61" s="65" t="n">
        <f>IF(ISNUMBER(M61),M61,H61)</f>
        <v>103972370.4374096</v>
      </c>
      <c r="O61" s="59" t="str">
        <f>IF(ISNUMBER(M61),"Owner editorial estimate","Original model estimate")</f>
        <v>Original model estimate</v>
      </c>
      <c r="P61" s="66" t="n">
        <f>RANK(N61,$N$2:$N$151,0)</f>
        <v>59</v>
      </c>
    </row>
    <row r="62" spans="1:12" ht="24" customHeight="1" x14ac:dyDescent="0.35">
      <c r="A62" s="1" t="s">
        <v>424</v>
      </c>
      <c r="B62" s="1" t="s">
        <v>93</v>
      </c>
      <c r="C62" s="1" t="s">
        <v>381</v>
      </c>
      <c r="D62" s="1">
        <v>26</v>
      </c>
      <c r="E62" s="1" t="s">
        <v>425</v>
      </c>
      <c r="F62" s="1" t="s">
        <v>356</v>
      </c>
      <c r="G62" s="21">
        <v>30000000</v>
      </c>
      <c r="H62" s="21">
        <v>103885578.12019441</v>
      </c>
      <c r="I62" s="24">
        <v>0.28877925639774887</v>
      </c>
      <c r="J62" s="1">
        <v>3509</v>
      </c>
      <c r="K62" s="1">
        <v>1</v>
      </c>
      <c r="L62" s="1">
        <v>1</v>
      </c>
      <c r="M62" s="64"/>
      <c r="N62" s="65" t="n">
        <f>IF(ISNUMBER(M62),M62,H62)</f>
        <v>103885578.1201944</v>
      </c>
      <c r="O62" s="59" t="str">
        <f>IF(ISNUMBER(M62),"Owner editorial estimate","Original model estimate")</f>
        <v>Original model estimate</v>
      </c>
      <c r="P62" s="66" t="n">
        <f>RANK(N62,$N$2:$N$151,0)</f>
        <v>60</v>
      </c>
    </row>
    <row r="63" spans="1:12" ht="24" customHeight="1" x14ac:dyDescent="0.35">
      <c r="A63" s="5" t="s">
        <v>426</v>
      </c>
      <c r="B63" s="5" t="s">
        <v>96</v>
      </c>
      <c r="C63" s="5" t="s">
        <v>352</v>
      </c>
      <c r="D63" s="5">
        <v>24</v>
      </c>
      <c r="E63" s="5" t="s">
        <v>404</v>
      </c>
      <c r="F63" s="5" t="s">
        <v>356</v>
      </c>
      <c r="G63" s="20">
        <v>35000000</v>
      </c>
      <c r="H63" s="20">
        <v>103270292.1150094</v>
      </c>
      <c r="I63" s="25">
        <v>0.33891644231064449</v>
      </c>
      <c r="J63" s="5">
        <v>2686</v>
      </c>
      <c r="K63" s="5">
        <v>6</v>
      </c>
      <c r="L63" s="5">
        <v>10</v>
      </c>
      <c r="M63" s="64"/>
      <c r="N63" s="65" t="n">
        <f>IF(ISNUMBER(M63),M63,H63)</f>
        <v>103270292.1150094</v>
      </c>
      <c r="O63" s="59" t="str">
        <f>IF(ISNUMBER(M63),"Owner editorial estimate","Original model estimate")</f>
        <v>Original model estimate</v>
      </c>
      <c r="P63" s="66" t="n">
        <f>RANK(N63,$N$2:$N$151,0)</f>
        <v>61</v>
      </c>
    </row>
    <row r="64" spans="1:12" ht="24" customHeight="1" x14ac:dyDescent="0.35">
      <c r="A64" s="1" t="s">
        <v>217</v>
      </c>
      <c r="B64" s="1" t="s">
        <v>93</v>
      </c>
      <c r="C64" s="1" t="s">
        <v>364</v>
      </c>
      <c r="D64" s="1">
        <v>22</v>
      </c>
      <c r="E64" s="1" t="s">
        <v>365</v>
      </c>
      <c r="F64" s="1" t="s">
        <v>359</v>
      </c>
      <c r="G64" s="21">
        <v>140000000</v>
      </c>
      <c r="H64" s="21">
        <v>102180294.9327302</v>
      </c>
      <c r="I64" s="24">
        <v>1.3701271863833251</v>
      </c>
      <c r="J64" s="1">
        <v>2455</v>
      </c>
      <c r="K64" s="1">
        <v>5</v>
      </c>
      <c r="L64" s="1">
        <v>4</v>
      </c>
      <c r="M64" s="64"/>
      <c r="N64" s="65" t="n">
        <f>IF(ISNUMBER(M64),M64,H64)</f>
        <v>102180294.9327302</v>
      </c>
      <c r="O64" s="59" t="str">
        <f>IF(ISNUMBER(M64),"Owner editorial estimate","Original model estimate")</f>
        <v>Original model estimate</v>
      </c>
      <c r="P64" s="66" t="n">
        <f>RANK(N64,$N$2:$N$151,0)</f>
        <v>62</v>
      </c>
    </row>
    <row r="65" spans="1:12" ht="24" customHeight="1" x14ac:dyDescent="0.35">
      <c r="A65" s="5" t="s">
        <v>427</v>
      </c>
      <c r="B65" s="5" t="s">
        <v>93</v>
      </c>
      <c r="C65" s="5" t="s">
        <v>364</v>
      </c>
      <c r="D65" s="5">
        <v>27</v>
      </c>
      <c r="E65" s="5" t="s">
        <v>428</v>
      </c>
      <c r="F65" s="5" t="s">
        <v>360</v>
      </c>
      <c r="G65" s="20">
        <v>40000000</v>
      </c>
      <c r="H65" s="20">
        <v>101648431.4231822</v>
      </c>
      <c r="I65" s="25">
        <v>0.3935132046796887</v>
      </c>
      <c r="J65" s="5">
        <v>3300</v>
      </c>
      <c r="K65" s="5">
        <v>8</v>
      </c>
      <c r="L65" s="5">
        <v>3</v>
      </c>
      <c r="M65" s="64"/>
      <c r="N65" s="65" t="n">
        <f>IF(ISNUMBER(M65),M65,H65)</f>
        <v>101648431.4231822</v>
      </c>
      <c r="O65" s="59" t="str">
        <f>IF(ISNUMBER(M65),"Owner editorial estimate","Original model estimate")</f>
        <v>Original model estimate</v>
      </c>
      <c r="P65" s="66" t="n">
        <f>RANK(N65,$N$2:$N$151,0)</f>
        <v>63</v>
      </c>
    </row>
    <row r="66" spans="1:12" ht="24" customHeight="1" x14ac:dyDescent="0.35">
      <c r="A66" s="1" t="s">
        <v>153</v>
      </c>
      <c r="B66" s="1" t="s">
        <v>93</v>
      </c>
      <c r="C66" s="1" t="s">
        <v>364</v>
      </c>
      <c r="D66" s="1">
        <v>29</v>
      </c>
      <c r="E66" s="1" t="s">
        <v>391</v>
      </c>
      <c r="F66" s="1" t="s">
        <v>356</v>
      </c>
      <c r="G66" s="21">
        <v>70000000</v>
      </c>
      <c r="H66" s="21">
        <v>101428773.38595369</v>
      </c>
      <c r="I66" s="24">
        <v>0.69013947091362438</v>
      </c>
      <c r="J66" s="1">
        <v>3303</v>
      </c>
      <c r="K66" s="1">
        <v>8</v>
      </c>
      <c r="L66" s="1">
        <v>11</v>
      </c>
      <c r="M66" s="64"/>
      <c r="N66" s="65" t="n">
        <f>IF(ISNUMBER(M66),M66,H66)</f>
        <v>101428773.3859537</v>
      </c>
      <c r="O66" s="59" t="str">
        <f>IF(ISNUMBER(M66),"Owner editorial estimate","Original model estimate")</f>
        <v>Original model estimate</v>
      </c>
      <c r="P66" s="66" t="n">
        <f>RANK(N66,$N$2:$N$151,0)</f>
        <v>64</v>
      </c>
    </row>
    <row r="67" spans="1:12" ht="24" customHeight="1" x14ac:dyDescent="0.35">
      <c r="A67" s="5" t="s">
        <v>429</v>
      </c>
      <c r="B67" s="5" t="s">
        <v>93</v>
      </c>
      <c r="C67" s="5" t="s">
        <v>381</v>
      </c>
      <c r="D67" s="5">
        <v>25</v>
      </c>
      <c r="E67" s="5" t="s">
        <v>430</v>
      </c>
      <c r="F67" s="5" t="s">
        <v>356</v>
      </c>
      <c r="G67" s="20">
        <v>45000000</v>
      </c>
      <c r="H67" s="20">
        <v>101402756.1727369</v>
      </c>
      <c r="I67" s="25">
        <v>0.44377491991779511</v>
      </c>
      <c r="J67" s="5">
        <v>3354</v>
      </c>
      <c r="K67" s="5">
        <v>2</v>
      </c>
      <c r="L67" s="5">
        <v>7</v>
      </c>
      <c r="M67" s="64"/>
      <c r="N67" s="65" t="n">
        <f>IF(ISNUMBER(M67),M67,H67)</f>
        <v>101402756.1727369</v>
      </c>
      <c r="O67" s="59" t="str">
        <f>IF(ISNUMBER(M67),"Owner editorial estimate","Original model estimate")</f>
        <v>Original model estimate</v>
      </c>
      <c r="P67" s="66" t="n">
        <f>RANK(N67,$N$2:$N$151,0)</f>
        <v>65</v>
      </c>
    </row>
    <row r="68" spans="1:12" ht="24" customHeight="1" x14ac:dyDescent="0.35">
      <c r="A68" s="1" t="s">
        <v>431</v>
      </c>
      <c r="B68" s="1" t="s">
        <v>96</v>
      </c>
      <c r="C68" s="1" t="s">
        <v>354</v>
      </c>
      <c r="D68" s="1">
        <v>23</v>
      </c>
      <c r="E68" s="1" t="s">
        <v>368</v>
      </c>
      <c r="F68" s="1" t="s">
        <v>353</v>
      </c>
      <c r="G68" s="21">
        <v>22000000</v>
      </c>
      <c r="H68" s="21">
        <v>101222204.61299621</v>
      </c>
      <c r="I68" s="24">
        <v>0.21734361629558269</v>
      </c>
      <c r="J68" s="1">
        <v>2594</v>
      </c>
      <c r="K68" s="1">
        <v>15</v>
      </c>
      <c r="L68" s="1">
        <v>4</v>
      </c>
      <c r="M68" s="64"/>
      <c r="N68" s="65" t="n">
        <f>IF(ISNUMBER(M68),M68,H68)</f>
        <v>101222204.6129962</v>
      </c>
      <c r="O68" s="59" t="str">
        <f>IF(ISNUMBER(M68),"Owner editorial estimate","Original model estimate")</f>
        <v>Original model estimate</v>
      </c>
      <c r="P68" s="66" t="n">
        <f>RANK(N68,$N$2:$N$151,0)</f>
        <v>66</v>
      </c>
    </row>
    <row r="69" spans="1:12" ht="24" customHeight="1" x14ac:dyDescent="0.35">
      <c r="A69" s="5" t="s">
        <v>136</v>
      </c>
      <c r="B69" s="5" t="s">
        <v>93</v>
      </c>
      <c r="C69" s="5" t="s">
        <v>364</v>
      </c>
      <c r="D69" s="5">
        <v>19</v>
      </c>
      <c r="E69" s="5" t="s">
        <v>432</v>
      </c>
      <c r="F69" s="5" t="s">
        <v>359</v>
      </c>
      <c r="G69" s="20">
        <v>50000000</v>
      </c>
      <c r="H69" s="20">
        <v>101127561.7803164</v>
      </c>
      <c r="I69" s="25">
        <v>0.49442505208043142</v>
      </c>
      <c r="J69" s="5">
        <v>2991</v>
      </c>
      <c r="K69" s="5">
        <v>0</v>
      </c>
      <c r="L69" s="5">
        <v>1</v>
      </c>
      <c r="M69" s="64"/>
      <c r="N69" s="65" t="n">
        <f>IF(ISNUMBER(M69),M69,H69)</f>
        <v>101127561.7803164</v>
      </c>
      <c r="O69" s="59" t="str">
        <f>IF(ISNUMBER(M69),"Owner editorial estimate","Original model estimate")</f>
        <v>Original model estimate</v>
      </c>
      <c r="P69" s="66" t="n">
        <f>RANK(N69,$N$2:$N$151,0)</f>
        <v>67</v>
      </c>
    </row>
    <row r="70" spans="1:12" ht="24" customHeight="1" x14ac:dyDescent="0.35">
      <c r="A70" s="1" t="s">
        <v>275</v>
      </c>
      <c r="B70" s="1" t="s">
        <v>96</v>
      </c>
      <c r="C70" s="1" t="s">
        <v>352</v>
      </c>
      <c r="D70" s="1">
        <v>24</v>
      </c>
      <c r="E70" s="1" t="s">
        <v>372</v>
      </c>
      <c r="F70" s="1" t="s">
        <v>356</v>
      </c>
      <c r="G70" s="21">
        <v>50000000</v>
      </c>
      <c r="H70" s="21">
        <v>101081055.4860694</v>
      </c>
      <c r="I70" s="24">
        <v>0.49465253166940693</v>
      </c>
      <c r="J70" s="1">
        <v>2219</v>
      </c>
      <c r="K70" s="1">
        <v>8</v>
      </c>
      <c r="L70" s="1">
        <v>5</v>
      </c>
      <c r="M70" s="64"/>
      <c r="N70" s="65" t="n">
        <f>IF(ISNUMBER(M70),M70,H70)</f>
        <v>101081055.4860694</v>
      </c>
      <c r="O70" s="59" t="str">
        <f>IF(ISNUMBER(M70),"Owner editorial estimate","Original model estimate")</f>
        <v>Original model estimate</v>
      </c>
      <c r="P70" s="66" t="n">
        <f>RANK(N70,$N$2:$N$151,0)</f>
        <v>68</v>
      </c>
    </row>
    <row r="71" spans="1:12" ht="24" customHeight="1" x14ac:dyDescent="0.35">
      <c r="A71" s="5" t="s">
        <v>284</v>
      </c>
      <c r="B71" s="5" t="s">
        <v>96</v>
      </c>
      <c r="C71" s="5" t="s">
        <v>354</v>
      </c>
      <c r="D71" s="5">
        <v>26</v>
      </c>
      <c r="E71" s="5" t="s">
        <v>362</v>
      </c>
      <c r="F71" s="5" t="s">
        <v>360</v>
      </c>
      <c r="G71" s="20">
        <v>50000000</v>
      </c>
      <c r="H71" s="20">
        <v>100440912.7521836</v>
      </c>
      <c r="I71" s="25">
        <v>0.49780511377235548</v>
      </c>
      <c r="J71" s="5">
        <v>2595</v>
      </c>
      <c r="K71" s="5">
        <v>19</v>
      </c>
      <c r="L71" s="5">
        <v>3</v>
      </c>
      <c r="M71" s="64"/>
      <c r="N71" s="65" t="n">
        <f>IF(ISNUMBER(M71),M71,H71)</f>
        <v>100440912.7521836</v>
      </c>
      <c r="O71" s="59" t="str">
        <f>IF(ISNUMBER(M71),"Owner editorial estimate","Original model estimate")</f>
        <v>Original model estimate</v>
      </c>
      <c r="P71" s="66" t="n">
        <f>RANK(N71,$N$2:$N$151,0)</f>
        <v>69</v>
      </c>
    </row>
    <row r="72" spans="1:12" ht="24" customHeight="1" x14ac:dyDescent="0.35">
      <c r="A72" s="1" t="s">
        <v>433</v>
      </c>
      <c r="B72" s="1" t="s">
        <v>93</v>
      </c>
      <c r="C72" s="1" t="s">
        <v>385</v>
      </c>
      <c r="D72" s="1">
        <v>23</v>
      </c>
      <c r="E72" s="1" t="s">
        <v>355</v>
      </c>
      <c r="F72" s="1" t="s">
        <v>356</v>
      </c>
      <c r="G72" s="21">
        <v>90000000</v>
      </c>
      <c r="H72" s="21">
        <v>100158943.69488449</v>
      </c>
      <c r="I72" s="24">
        <v>0.89857177681673794</v>
      </c>
      <c r="J72" s="1">
        <v>2788</v>
      </c>
      <c r="K72" s="1">
        <v>9</v>
      </c>
      <c r="L72" s="1">
        <v>15</v>
      </c>
      <c r="M72" s="64"/>
      <c r="N72" s="65" t="n">
        <f>IF(ISNUMBER(M72),M72,H72)</f>
        <v>100158943.6948845</v>
      </c>
      <c r="O72" s="59" t="str">
        <f>IF(ISNUMBER(M72),"Owner editorial estimate","Original model estimate")</f>
        <v>Original model estimate</v>
      </c>
      <c r="P72" s="66" t="n">
        <f>RANK(N72,$N$2:$N$151,0)</f>
        <v>70</v>
      </c>
    </row>
    <row r="73" spans="1:12" ht="24" customHeight="1" x14ac:dyDescent="0.35">
      <c r="A73" s="5" t="s">
        <v>434</v>
      </c>
      <c r="B73" s="5" t="s">
        <v>93</v>
      </c>
      <c r="C73" s="5" t="s">
        <v>364</v>
      </c>
      <c r="D73" s="5">
        <v>27</v>
      </c>
      <c r="E73" s="5" t="s">
        <v>435</v>
      </c>
      <c r="F73" s="5" t="s">
        <v>378</v>
      </c>
      <c r="G73" s="20">
        <v>45000000</v>
      </c>
      <c r="H73" s="20">
        <v>100148461.0014388</v>
      </c>
      <c r="I73" s="25">
        <v>0.4493329158533298</v>
      </c>
      <c r="J73" s="5">
        <v>3159</v>
      </c>
      <c r="K73" s="5">
        <v>3</v>
      </c>
      <c r="L73" s="5">
        <v>2</v>
      </c>
      <c r="M73" s="64"/>
      <c r="N73" s="65" t="n">
        <f>IF(ISNUMBER(M73),M73,H73)</f>
        <v>100148461.0014388</v>
      </c>
      <c r="O73" s="59" t="str">
        <f>IF(ISNUMBER(M73),"Owner editorial estimate","Original model estimate")</f>
        <v>Original model estimate</v>
      </c>
      <c r="P73" s="66" t="n">
        <f>RANK(N73,$N$2:$N$151,0)</f>
        <v>71</v>
      </c>
    </row>
    <row r="74" spans="1:12" ht="24" customHeight="1" x14ac:dyDescent="0.35">
      <c r="A74" s="1" t="s">
        <v>436</v>
      </c>
      <c r="B74" s="1" t="s">
        <v>96</v>
      </c>
      <c r="C74" s="1" t="s">
        <v>370</v>
      </c>
      <c r="D74" s="1">
        <v>21</v>
      </c>
      <c r="E74" s="1" t="s">
        <v>377</v>
      </c>
      <c r="F74" s="1" t="s">
        <v>378</v>
      </c>
      <c r="G74" s="21">
        <v>75000000</v>
      </c>
      <c r="H74" s="21">
        <v>100000000</v>
      </c>
      <c r="I74" s="24">
        <v>0.75</v>
      </c>
      <c r="J74" s="1">
        <v>3736</v>
      </c>
      <c r="K74" s="1">
        <v>11</v>
      </c>
      <c r="L74" s="1">
        <v>8</v>
      </c>
      <c r="M74" s="64"/>
      <c r="N74" s="65" t="n">
        <f>IF(ISNUMBER(M74),M74,H74)</f>
        <v>100000000</v>
      </c>
      <c r="O74" s="59" t="str">
        <f>IF(ISNUMBER(M74),"Owner editorial estimate","Original model estimate")</f>
        <v>Original model estimate</v>
      </c>
      <c r="P74" s="66" t="n">
        <f>RANK(N74,$N$2:$N$151,0)</f>
        <v>72</v>
      </c>
    </row>
    <row r="75" spans="1:12" ht="24" customHeight="1" x14ac:dyDescent="0.35">
      <c r="A75" s="5" t="s">
        <v>437</v>
      </c>
      <c r="B75" s="5" t="s">
        <v>96</v>
      </c>
      <c r="C75" s="5" t="s">
        <v>354</v>
      </c>
      <c r="D75" s="5">
        <v>26</v>
      </c>
      <c r="E75" s="5" t="s">
        <v>428</v>
      </c>
      <c r="F75" s="5" t="s">
        <v>360</v>
      </c>
      <c r="G75" s="20">
        <v>30000000</v>
      </c>
      <c r="H75" s="20">
        <v>99767993.603882</v>
      </c>
      <c r="I75" s="25">
        <v>0.3006976377525617</v>
      </c>
      <c r="J75" s="5">
        <v>2694</v>
      </c>
      <c r="K75" s="5">
        <v>15</v>
      </c>
      <c r="L75" s="5">
        <v>6</v>
      </c>
      <c r="M75" s="64"/>
      <c r="N75" s="65" t="n">
        <f>IF(ISNUMBER(M75),M75,H75)</f>
        <v>99767993.603882</v>
      </c>
      <c r="O75" s="59" t="str">
        <f>IF(ISNUMBER(M75),"Owner editorial estimate","Original model estimate")</f>
        <v>Original model estimate</v>
      </c>
      <c r="P75" s="66" t="n">
        <f>RANK(N75,$N$2:$N$151,0)</f>
        <v>73</v>
      </c>
    </row>
    <row r="76" spans="1:12" ht="24" customHeight="1" x14ac:dyDescent="0.35">
      <c r="A76" s="1" t="s">
        <v>438</v>
      </c>
      <c r="B76" s="1" t="s">
        <v>93</v>
      </c>
      <c r="C76" s="1" t="s">
        <v>364</v>
      </c>
      <c r="D76" s="1">
        <v>30</v>
      </c>
      <c r="E76" s="1" t="s">
        <v>392</v>
      </c>
      <c r="F76" s="1" t="s">
        <v>378</v>
      </c>
      <c r="G76" s="21">
        <v>40000000</v>
      </c>
      <c r="H76" s="21">
        <v>99600595.339375913</v>
      </c>
      <c r="I76" s="24">
        <v>0.40160402519387828</v>
      </c>
      <c r="J76" s="1">
        <v>3792</v>
      </c>
      <c r="K76" s="1">
        <v>13</v>
      </c>
      <c r="L76" s="1">
        <v>4</v>
      </c>
      <c r="M76" s="64"/>
      <c r="N76" s="65" t="n">
        <f>IF(ISNUMBER(M76),M76,H76)</f>
        <v>99600595.33937591</v>
      </c>
      <c r="O76" s="59" t="str">
        <f>IF(ISNUMBER(M76),"Owner editorial estimate","Original model estimate")</f>
        <v>Original model estimate</v>
      </c>
      <c r="P76" s="66" t="n">
        <f>RANK(N76,$N$2:$N$151,0)</f>
        <v>74</v>
      </c>
    </row>
    <row r="77" spans="1:12" ht="24" customHeight="1" x14ac:dyDescent="0.35">
      <c r="A77" s="5" t="s">
        <v>439</v>
      </c>
      <c r="B77" s="5" t="s">
        <v>96</v>
      </c>
      <c r="C77" s="5" t="s">
        <v>354</v>
      </c>
      <c r="D77" s="5">
        <v>24</v>
      </c>
      <c r="E77" s="5" t="s">
        <v>401</v>
      </c>
      <c r="F77" s="5" t="s">
        <v>353</v>
      </c>
      <c r="G77" s="20">
        <v>40000000</v>
      </c>
      <c r="H77" s="20">
        <v>99539714.631153077</v>
      </c>
      <c r="I77" s="25">
        <v>0.40184965516749782</v>
      </c>
      <c r="J77" s="5">
        <v>2621</v>
      </c>
      <c r="K77" s="5">
        <v>10</v>
      </c>
      <c r="L77" s="5">
        <v>9</v>
      </c>
      <c r="M77" s="64"/>
      <c r="N77" s="65" t="n">
        <f>IF(ISNUMBER(M77),M77,H77)</f>
        <v>99539714.63115308</v>
      </c>
      <c r="O77" s="59" t="str">
        <f>IF(ISNUMBER(M77),"Owner editorial estimate","Original model estimate")</f>
        <v>Original model estimate</v>
      </c>
      <c r="P77" s="66" t="n">
        <f>RANK(N77,$N$2:$N$151,0)</f>
        <v>75</v>
      </c>
    </row>
    <row r="78" spans="1:12" ht="24" customHeight="1" x14ac:dyDescent="0.35">
      <c r="A78" s="1" t="s">
        <v>115</v>
      </c>
      <c r="B78" s="1" t="s">
        <v>93</v>
      </c>
      <c r="C78" s="1" t="s">
        <v>385</v>
      </c>
      <c r="D78" s="1">
        <v>23</v>
      </c>
      <c r="E78" s="1" t="s">
        <v>390</v>
      </c>
      <c r="F78" s="1" t="s">
        <v>356</v>
      </c>
      <c r="G78" s="21">
        <v>100000000</v>
      </c>
      <c r="H78" s="21">
        <v>99463022.206859872</v>
      </c>
      <c r="I78" s="24">
        <v>1.005398768117294</v>
      </c>
      <c r="J78" s="1">
        <v>3422</v>
      </c>
      <c r="K78" s="1">
        <v>7</v>
      </c>
      <c r="L78" s="1">
        <v>11</v>
      </c>
      <c r="M78" s="64"/>
      <c r="N78" s="65" t="n">
        <f>IF(ISNUMBER(M78),M78,H78)</f>
        <v>99463022.20685987</v>
      </c>
      <c r="O78" s="59" t="str">
        <f>IF(ISNUMBER(M78),"Owner editorial estimate","Original model estimate")</f>
        <v>Original model estimate</v>
      </c>
      <c r="P78" s="66" t="n">
        <f>RANK(N78,$N$2:$N$151,0)</f>
        <v>76</v>
      </c>
    </row>
    <row r="79" spans="1:12" ht="24" customHeight="1" x14ac:dyDescent="0.35">
      <c r="A79" s="5" t="s">
        <v>261</v>
      </c>
      <c r="B79" s="5" t="s">
        <v>96</v>
      </c>
      <c r="C79" s="5" t="s">
        <v>370</v>
      </c>
      <c r="D79" s="5">
        <v>24</v>
      </c>
      <c r="E79" s="5" t="s">
        <v>355</v>
      </c>
      <c r="F79" s="5" t="s">
        <v>356</v>
      </c>
      <c r="G79" s="20">
        <v>75000000</v>
      </c>
      <c r="H79" s="20">
        <v>99376279.742693216</v>
      </c>
      <c r="I79" s="25">
        <v>0.75470726207693928</v>
      </c>
      <c r="J79" s="5">
        <v>2894</v>
      </c>
      <c r="K79" s="5">
        <v>8</v>
      </c>
      <c r="L79" s="5">
        <v>14</v>
      </c>
      <c r="M79" s="64"/>
      <c r="N79" s="65" t="n">
        <f>IF(ISNUMBER(M79),M79,H79)</f>
        <v>99376279.74269322</v>
      </c>
      <c r="O79" s="59" t="str">
        <f>IF(ISNUMBER(M79),"Owner editorial estimate","Original model estimate")</f>
        <v>Original model estimate</v>
      </c>
      <c r="P79" s="66" t="n">
        <f>RANK(N79,$N$2:$N$151,0)</f>
        <v>77</v>
      </c>
    </row>
    <row r="80" spans="1:12" ht="24" customHeight="1" x14ac:dyDescent="0.35">
      <c r="A80" s="1" t="s">
        <v>440</v>
      </c>
      <c r="B80" s="1" t="s">
        <v>93</v>
      </c>
      <c r="C80" s="1" t="s">
        <v>364</v>
      </c>
      <c r="D80" s="1">
        <v>20</v>
      </c>
      <c r="E80" s="1" t="s">
        <v>365</v>
      </c>
      <c r="F80" s="1" t="s">
        <v>359</v>
      </c>
      <c r="G80" s="21">
        <v>40000000</v>
      </c>
      <c r="H80" s="21">
        <v>98736590.668736428</v>
      </c>
      <c r="I80" s="24">
        <v>0.4051183024356283</v>
      </c>
      <c r="J80" s="1">
        <v>2125</v>
      </c>
      <c r="K80" s="1">
        <v>6</v>
      </c>
      <c r="L80" s="1">
        <v>4</v>
      </c>
      <c r="M80" s="64"/>
      <c r="N80" s="65" t="n">
        <f>IF(ISNUMBER(M80),M80,H80)</f>
        <v>98736590.66873643</v>
      </c>
      <c r="O80" s="59" t="str">
        <f>IF(ISNUMBER(M80),"Owner editorial estimate","Original model estimate")</f>
        <v>Original model estimate</v>
      </c>
      <c r="P80" s="66" t="n">
        <f>RANK(N80,$N$2:$N$151,0)</f>
        <v>78</v>
      </c>
    </row>
    <row r="81" spans="1:12" ht="24" customHeight="1" x14ac:dyDescent="0.35">
      <c r="A81" s="5" t="s">
        <v>441</v>
      </c>
      <c r="B81" s="5" t="s">
        <v>93</v>
      </c>
      <c r="C81" s="5" t="s">
        <v>364</v>
      </c>
      <c r="D81" s="5">
        <v>21</v>
      </c>
      <c r="E81" s="5" t="s">
        <v>401</v>
      </c>
      <c r="F81" s="5" t="s">
        <v>353</v>
      </c>
      <c r="G81" s="20">
        <v>40000000</v>
      </c>
      <c r="H81" s="20">
        <v>98259551.099273294</v>
      </c>
      <c r="I81" s="25">
        <v>0.40708510829229538</v>
      </c>
      <c r="J81" s="5">
        <v>2523</v>
      </c>
      <c r="K81" s="5">
        <v>0</v>
      </c>
      <c r="L81" s="5">
        <v>4</v>
      </c>
      <c r="M81" s="64"/>
      <c r="N81" s="65" t="n">
        <f>IF(ISNUMBER(M81),M81,H81)</f>
        <v>98259551.0992733</v>
      </c>
      <c r="O81" s="59" t="str">
        <f>IF(ISNUMBER(M81),"Owner editorial estimate","Original model estimate")</f>
        <v>Original model estimate</v>
      </c>
      <c r="P81" s="66" t="n">
        <f>RANK(N81,$N$2:$N$151,0)</f>
        <v>79</v>
      </c>
    </row>
    <row r="82" spans="1:12" ht="24" customHeight="1" x14ac:dyDescent="0.35">
      <c r="A82" s="1" t="s">
        <v>442</v>
      </c>
      <c r="B82" s="1" t="s">
        <v>93</v>
      </c>
      <c r="C82" s="1" t="s">
        <v>364</v>
      </c>
      <c r="D82" s="1">
        <v>30</v>
      </c>
      <c r="E82" s="1" t="s">
        <v>368</v>
      </c>
      <c r="F82" s="1" t="s">
        <v>353</v>
      </c>
      <c r="G82" s="21">
        <v>10000000</v>
      </c>
      <c r="H82" s="21">
        <v>98084035.856496364</v>
      </c>
      <c r="I82" s="24">
        <v>0.1019533904032118</v>
      </c>
      <c r="J82" s="1">
        <v>4433</v>
      </c>
      <c r="K82" s="1">
        <v>5</v>
      </c>
      <c r="L82" s="1">
        <v>1</v>
      </c>
      <c r="M82" s="64"/>
      <c r="N82" s="65" t="n">
        <f>IF(ISNUMBER(M82),M82,H82)</f>
        <v>98084035.85649636</v>
      </c>
      <c r="O82" s="59" t="str">
        <f>IF(ISNUMBER(M82),"Owner editorial estimate","Original model estimate")</f>
        <v>Original model estimate</v>
      </c>
      <c r="P82" s="66" t="n">
        <f>RANK(N82,$N$2:$N$151,0)</f>
        <v>80</v>
      </c>
    </row>
    <row r="83" spans="1:12" ht="24" customHeight="1" x14ac:dyDescent="0.35">
      <c r="A83" s="5" t="s">
        <v>443</v>
      </c>
      <c r="B83" s="5" t="s">
        <v>93</v>
      </c>
      <c r="C83" s="5" t="s">
        <v>364</v>
      </c>
      <c r="D83" s="5">
        <v>22</v>
      </c>
      <c r="E83" s="5" t="s">
        <v>420</v>
      </c>
      <c r="F83" s="5" t="s">
        <v>356</v>
      </c>
      <c r="G83" s="20">
        <v>35000000</v>
      </c>
      <c r="H83" s="20">
        <v>98031079.916977525</v>
      </c>
      <c r="I83" s="25">
        <v>0.35702962804899713</v>
      </c>
      <c r="J83" s="5">
        <v>3206</v>
      </c>
      <c r="K83" s="5">
        <v>0</v>
      </c>
      <c r="L83" s="5">
        <v>1</v>
      </c>
      <c r="M83" s="64"/>
      <c r="N83" s="65" t="n">
        <f>IF(ISNUMBER(M83),M83,H83)</f>
        <v>98031079.91697752</v>
      </c>
      <c r="O83" s="59" t="str">
        <f>IF(ISNUMBER(M83),"Owner editorial estimate","Original model estimate")</f>
        <v>Original model estimate</v>
      </c>
      <c r="P83" s="66" t="n">
        <f>RANK(N83,$N$2:$N$151,0)</f>
        <v>81</v>
      </c>
    </row>
    <row r="84" spans="1:12" ht="24" customHeight="1" x14ac:dyDescent="0.35">
      <c r="A84" s="1" t="s">
        <v>444</v>
      </c>
      <c r="B84" s="1" t="s">
        <v>93</v>
      </c>
      <c r="C84" s="1" t="s">
        <v>381</v>
      </c>
      <c r="D84" s="1">
        <v>31</v>
      </c>
      <c r="E84" s="1" t="s">
        <v>412</v>
      </c>
      <c r="F84" s="1" t="s">
        <v>378</v>
      </c>
      <c r="G84" s="21">
        <v>7000000</v>
      </c>
      <c r="H84" s="21">
        <v>97480944.267537519</v>
      </c>
      <c r="I84" s="24">
        <v>7.1808906372392359E-2</v>
      </c>
      <c r="J84" s="1">
        <v>3560</v>
      </c>
      <c r="K84" s="1">
        <v>2</v>
      </c>
      <c r="L84" s="1">
        <v>2</v>
      </c>
      <c r="M84" s="64"/>
      <c r="N84" s="65" t="n">
        <f>IF(ISNUMBER(M84),M84,H84)</f>
        <v>97480944.26753752</v>
      </c>
      <c r="O84" s="59" t="str">
        <f>IF(ISNUMBER(M84),"Owner editorial estimate","Original model estimate")</f>
        <v>Original model estimate</v>
      </c>
      <c r="P84" s="66" t="n">
        <f>RANK(N84,$N$2:$N$151,0)</f>
        <v>82</v>
      </c>
    </row>
    <row r="85" spans="1:12" ht="24" customHeight="1" x14ac:dyDescent="0.35">
      <c r="A85" s="5" t="s">
        <v>445</v>
      </c>
      <c r="B85" s="5" t="s">
        <v>93</v>
      </c>
      <c r="C85" s="5" t="s">
        <v>385</v>
      </c>
      <c r="D85" s="5">
        <v>27</v>
      </c>
      <c r="E85" s="5" t="s">
        <v>119</v>
      </c>
      <c r="F85" s="5" t="s">
        <v>353</v>
      </c>
      <c r="G85" s="20">
        <v>40000000</v>
      </c>
      <c r="H85" s="20">
        <v>96893229.722029984</v>
      </c>
      <c r="I85" s="25">
        <v>0.41282554121431519</v>
      </c>
      <c r="J85" s="5">
        <v>2909</v>
      </c>
      <c r="K85" s="5">
        <v>16</v>
      </c>
      <c r="L85" s="5">
        <v>9</v>
      </c>
      <c r="M85" s="64"/>
      <c r="N85" s="65" t="n">
        <f>IF(ISNUMBER(M85),M85,H85)</f>
        <v>96893229.72202998</v>
      </c>
      <c r="O85" s="59" t="str">
        <f>IF(ISNUMBER(M85),"Owner editorial estimate","Original model estimate")</f>
        <v>Original model estimate</v>
      </c>
      <c r="P85" s="66" t="n">
        <f>RANK(N85,$N$2:$N$151,0)</f>
        <v>83</v>
      </c>
    </row>
    <row r="86" spans="1:12" ht="24" customHeight="1" x14ac:dyDescent="0.35">
      <c r="A86" s="1" t="s">
        <v>446</v>
      </c>
      <c r="B86" s="1" t="s">
        <v>96</v>
      </c>
      <c r="C86" s="1" t="s">
        <v>352</v>
      </c>
      <c r="D86" s="1">
        <v>24</v>
      </c>
      <c r="E86" s="1" t="s">
        <v>377</v>
      </c>
      <c r="F86" s="1" t="s">
        <v>378</v>
      </c>
      <c r="G86" s="21">
        <v>30000000</v>
      </c>
      <c r="H86" s="21">
        <v>96864311.364543885</v>
      </c>
      <c r="I86" s="24">
        <v>0.30971159116691122</v>
      </c>
      <c r="J86" s="1">
        <v>2621</v>
      </c>
      <c r="K86" s="1">
        <v>4</v>
      </c>
      <c r="L86" s="1">
        <v>5</v>
      </c>
      <c r="M86" s="64"/>
      <c r="N86" s="65" t="n">
        <f>IF(ISNUMBER(M86),M86,H86)</f>
        <v>96864311.36454388</v>
      </c>
      <c r="O86" s="59" t="str">
        <f>IF(ISNUMBER(M86),"Owner editorial estimate","Original model estimate")</f>
        <v>Original model estimate</v>
      </c>
      <c r="P86" s="66" t="n">
        <f>RANK(N86,$N$2:$N$151,0)</f>
        <v>84</v>
      </c>
    </row>
    <row r="87" spans="1:12" ht="24" customHeight="1" x14ac:dyDescent="0.35">
      <c r="A87" s="5" t="s">
        <v>447</v>
      </c>
      <c r="B87" s="5" t="s">
        <v>96</v>
      </c>
      <c r="C87" s="5" t="s">
        <v>352</v>
      </c>
      <c r="D87" s="5">
        <v>24</v>
      </c>
      <c r="E87" s="5" t="s">
        <v>448</v>
      </c>
      <c r="F87" s="5" t="s">
        <v>353</v>
      </c>
      <c r="G87" s="20">
        <v>15000000</v>
      </c>
      <c r="H87" s="20">
        <v>96726201.73093231</v>
      </c>
      <c r="I87" s="25">
        <v>0.1550769050326837</v>
      </c>
      <c r="J87" s="5">
        <v>1957</v>
      </c>
      <c r="K87" s="5">
        <v>6</v>
      </c>
      <c r="L87" s="5">
        <v>4</v>
      </c>
      <c r="M87" s="64"/>
      <c r="N87" s="65" t="n">
        <f>IF(ISNUMBER(M87),M87,H87)</f>
        <v>96726201.73093231</v>
      </c>
      <c r="O87" s="59" t="str">
        <f>IF(ISNUMBER(M87),"Owner editorial estimate","Original model estimate")</f>
        <v>Original model estimate</v>
      </c>
      <c r="P87" s="66" t="n">
        <f>RANK(N87,$N$2:$N$151,0)</f>
        <v>85</v>
      </c>
    </row>
    <row r="88" spans="1:12" ht="24" customHeight="1" x14ac:dyDescent="0.35">
      <c r="A88" s="1" t="s">
        <v>185</v>
      </c>
      <c r="B88" s="1" t="s">
        <v>96</v>
      </c>
      <c r="C88" s="1" t="s">
        <v>354</v>
      </c>
      <c r="D88" s="1">
        <v>24</v>
      </c>
      <c r="E88" s="1" t="s">
        <v>391</v>
      </c>
      <c r="F88" s="1" t="s">
        <v>356</v>
      </c>
      <c r="G88" s="21">
        <v>55000000</v>
      </c>
      <c r="H88" s="21">
        <v>96659520.335573599</v>
      </c>
      <c r="I88" s="24">
        <v>0.56900758258530637</v>
      </c>
      <c r="J88" s="1">
        <v>3026</v>
      </c>
      <c r="K88" s="1">
        <v>11</v>
      </c>
      <c r="L88" s="1">
        <v>5</v>
      </c>
      <c r="M88" s="64"/>
      <c r="N88" s="65" t="n">
        <f>IF(ISNUMBER(M88),M88,H88)</f>
        <v>96659520.3355736</v>
      </c>
      <c r="O88" s="59" t="str">
        <f>IF(ISNUMBER(M88),"Owner editorial estimate","Original model estimate")</f>
        <v>Original model estimate</v>
      </c>
      <c r="P88" s="66" t="n">
        <f>RANK(N88,$N$2:$N$151,0)</f>
        <v>86</v>
      </c>
    </row>
    <row r="89" spans="1:12" ht="24" customHeight="1" x14ac:dyDescent="0.35">
      <c r="A89" s="5" t="s">
        <v>449</v>
      </c>
      <c r="B89" s="5" t="s">
        <v>93</v>
      </c>
      <c r="C89" s="5" t="s">
        <v>364</v>
      </c>
      <c r="D89" s="5">
        <v>24</v>
      </c>
      <c r="E89" s="5" t="s">
        <v>450</v>
      </c>
      <c r="F89" s="5" t="s">
        <v>378</v>
      </c>
      <c r="G89" s="20">
        <v>25000000</v>
      </c>
      <c r="H89" s="20">
        <v>96521193.174514249</v>
      </c>
      <c r="I89" s="25">
        <v>0.25901047404997352</v>
      </c>
      <c r="J89" s="5">
        <v>2875</v>
      </c>
      <c r="K89" s="5">
        <v>5</v>
      </c>
      <c r="L89" s="5">
        <v>6</v>
      </c>
      <c r="M89" s="64"/>
      <c r="N89" s="65" t="n">
        <f>IF(ISNUMBER(M89),M89,H89)</f>
        <v>96521193.17451425</v>
      </c>
      <c r="O89" s="59" t="str">
        <f>IF(ISNUMBER(M89),"Owner editorial estimate","Original model estimate")</f>
        <v>Original model estimate</v>
      </c>
      <c r="P89" s="66" t="n">
        <f>RANK(N89,$N$2:$N$151,0)</f>
        <v>87</v>
      </c>
    </row>
    <row r="90" spans="1:12" ht="24" customHeight="1" x14ac:dyDescent="0.35">
      <c r="A90" s="1" t="s">
        <v>451</v>
      </c>
      <c r="B90" s="1" t="s">
        <v>93</v>
      </c>
      <c r="C90" s="1" t="s">
        <v>385</v>
      </c>
      <c r="D90" s="1">
        <v>22</v>
      </c>
      <c r="E90" s="1" t="s">
        <v>423</v>
      </c>
      <c r="F90" s="1" t="s">
        <v>378</v>
      </c>
      <c r="G90" s="21">
        <v>80000000</v>
      </c>
      <c r="H90" s="21">
        <v>96213749.727668166</v>
      </c>
      <c r="I90" s="24">
        <v>0.83148198907577153</v>
      </c>
      <c r="J90" s="1">
        <v>3103</v>
      </c>
      <c r="K90" s="1">
        <v>12</v>
      </c>
      <c r="L90" s="1">
        <v>7</v>
      </c>
      <c r="M90" s="64"/>
      <c r="N90" s="65" t="n">
        <f>IF(ISNUMBER(M90),M90,H90)</f>
        <v>96213749.72766817</v>
      </c>
      <c r="O90" s="59" t="str">
        <f>IF(ISNUMBER(M90),"Owner editorial estimate","Original model estimate")</f>
        <v>Original model estimate</v>
      </c>
      <c r="P90" s="66" t="n">
        <f>RANK(N90,$N$2:$N$151,0)</f>
        <v>88</v>
      </c>
    </row>
    <row r="91" spans="1:12" ht="24" customHeight="1" x14ac:dyDescent="0.35">
      <c r="A91" s="5" t="s">
        <v>452</v>
      </c>
      <c r="B91" s="5" t="s">
        <v>96</v>
      </c>
      <c r="C91" s="5" t="s">
        <v>352</v>
      </c>
      <c r="D91" s="5">
        <v>24</v>
      </c>
      <c r="E91" s="5" t="s">
        <v>407</v>
      </c>
      <c r="F91" s="5" t="s">
        <v>360</v>
      </c>
      <c r="G91" s="20">
        <v>6000000</v>
      </c>
      <c r="H91" s="20">
        <v>96073888.542501405</v>
      </c>
      <c r="I91" s="25">
        <v>6.2451932476384621E-2</v>
      </c>
      <c r="J91" s="5">
        <v>2010</v>
      </c>
      <c r="K91" s="5">
        <v>7</v>
      </c>
      <c r="L91" s="5">
        <v>3</v>
      </c>
      <c r="M91" s="64"/>
      <c r="N91" s="65" t="n">
        <f>IF(ISNUMBER(M91),M91,H91)</f>
        <v>96073888.5425014</v>
      </c>
      <c r="O91" s="59" t="str">
        <f>IF(ISNUMBER(M91),"Owner editorial estimate","Original model estimate")</f>
        <v>Original model estimate</v>
      </c>
      <c r="P91" s="66" t="n">
        <f>RANK(N91,$N$2:$N$151,0)</f>
        <v>89</v>
      </c>
    </row>
    <row r="92" spans="1:12" ht="24" customHeight="1" x14ac:dyDescent="0.35">
      <c r="A92" s="1" t="s">
        <v>453</v>
      </c>
      <c r="B92" s="1" t="s">
        <v>93</v>
      </c>
      <c r="C92" s="1" t="s">
        <v>364</v>
      </c>
      <c r="D92" s="1">
        <v>30</v>
      </c>
      <c r="E92" s="1" t="s">
        <v>371</v>
      </c>
      <c r="F92" s="1" t="s">
        <v>360</v>
      </c>
      <c r="G92" s="21">
        <v>8000000</v>
      </c>
      <c r="H92" s="21">
        <v>95605784.178009406</v>
      </c>
      <c r="I92" s="24">
        <v>8.3676945582128348E-2</v>
      </c>
      <c r="J92" s="1">
        <v>3349</v>
      </c>
      <c r="K92" s="1">
        <v>9</v>
      </c>
      <c r="L92" s="1">
        <v>9</v>
      </c>
      <c r="M92" s="64"/>
      <c r="N92" s="65" t="n">
        <f>IF(ISNUMBER(M92),M92,H92)</f>
        <v>95605784.1780094</v>
      </c>
      <c r="O92" s="59" t="str">
        <f>IF(ISNUMBER(M92),"Owner editorial estimate","Original model estimate")</f>
        <v>Original model estimate</v>
      </c>
      <c r="P92" s="66" t="n">
        <f>RANK(N92,$N$2:$N$151,0)</f>
        <v>90</v>
      </c>
    </row>
    <row r="93" spans="1:12" ht="24" customHeight="1" x14ac:dyDescent="0.35">
      <c r="A93" s="5" t="s">
        <v>214</v>
      </c>
      <c r="B93" s="5" t="s">
        <v>96</v>
      </c>
      <c r="C93" s="5" t="s">
        <v>354</v>
      </c>
      <c r="D93" s="5">
        <v>28</v>
      </c>
      <c r="E93" s="5" t="s">
        <v>372</v>
      </c>
      <c r="F93" s="5" t="s">
        <v>356</v>
      </c>
      <c r="G93" s="20">
        <v>65000000</v>
      </c>
      <c r="H93" s="20">
        <v>95232020.000041038</v>
      </c>
      <c r="I93" s="25">
        <v>0.68254353945208757</v>
      </c>
      <c r="J93" s="5">
        <v>3457</v>
      </c>
      <c r="K93" s="5">
        <v>20</v>
      </c>
      <c r="L93" s="5">
        <v>5</v>
      </c>
      <c r="M93" s="64"/>
      <c r="N93" s="65" t="n">
        <f>IF(ISNUMBER(M93),M93,H93)</f>
        <v>95232020.00004104</v>
      </c>
      <c r="O93" s="59" t="str">
        <f>IF(ISNUMBER(M93),"Owner editorial estimate","Original model estimate")</f>
        <v>Original model estimate</v>
      </c>
      <c r="P93" s="66" t="n">
        <f>RANK(N93,$N$2:$N$151,0)</f>
        <v>91</v>
      </c>
    </row>
    <row r="94" spans="1:12" ht="24" customHeight="1" x14ac:dyDescent="0.35">
      <c r="A94" s="1" t="s">
        <v>454</v>
      </c>
      <c r="B94" s="1" t="s">
        <v>93</v>
      </c>
      <c r="C94" s="1" t="s">
        <v>381</v>
      </c>
      <c r="D94" s="1">
        <v>26</v>
      </c>
      <c r="E94" s="1" t="s">
        <v>455</v>
      </c>
      <c r="F94" s="1" t="s">
        <v>353</v>
      </c>
      <c r="G94" s="21">
        <v>40000000</v>
      </c>
      <c r="H94" s="21">
        <v>95156539.763856456</v>
      </c>
      <c r="I94" s="24">
        <v>0.42035996789359192</v>
      </c>
      <c r="J94" s="1">
        <v>3150</v>
      </c>
      <c r="K94" s="1">
        <v>1</v>
      </c>
      <c r="L94" s="1">
        <v>4</v>
      </c>
      <c r="M94" s="64"/>
      <c r="N94" s="65" t="n">
        <f>IF(ISNUMBER(M94),M94,H94)</f>
        <v>95156539.76385646</v>
      </c>
      <c r="O94" s="59" t="str">
        <f>IF(ISNUMBER(M94),"Owner editorial estimate","Original model estimate")</f>
        <v>Original model estimate</v>
      </c>
      <c r="P94" s="66" t="n">
        <f>RANK(N94,$N$2:$N$151,0)</f>
        <v>92</v>
      </c>
    </row>
    <row r="95" spans="1:12" ht="24" customHeight="1" x14ac:dyDescent="0.35">
      <c r="A95" s="5" t="s">
        <v>456</v>
      </c>
      <c r="B95" s="5" t="s">
        <v>93</v>
      </c>
      <c r="C95" s="5" t="s">
        <v>364</v>
      </c>
      <c r="D95" s="5">
        <v>24</v>
      </c>
      <c r="E95" s="5" t="s">
        <v>457</v>
      </c>
      <c r="F95" s="5" t="s">
        <v>378</v>
      </c>
      <c r="G95" s="20">
        <v>25000000</v>
      </c>
      <c r="H95" s="20">
        <v>95114484.764536589</v>
      </c>
      <c r="I95" s="25">
        <v>0.26284114414213011</v>
      </c>
      <c r="J95" s="5">
        <v>2825</v>
      </c>
      <c r="K95" s="5">
        <v>6</v>
      </c>
      <c r="L95" s="5">
        <v>0</v>
      </c>
      <c r="M95" s="64"/>
      <c r="N95" s="65" t="n">
        <f>IF(ISNUMBER(M95),M95,H95)</f>
        <v>95114484.76453659</v>
      </c>
      <c r="O95" s="59" t="str">
        <f>IF(ISNUMBER(M95),"Owner editorial estimate","Original model estimate")</f>
        <v>Original model estimate</v>
      </c>
      <c r="P95" s="66" t="n">
        <f>RANK(N95,$N$2:$N$151,0)</f>
        <v>93</v>
      </c>
    </row>
    <row r="96" spans="1:12" ht="24" customHeight="1" x14ac:dyDescent="0.35">
      <c r="A96" s="1" t="s">
        <v>458</v>
      </c>
      <c r="B96" s="1" t="s">
        <v>93</v>
      </c>
      <c r="C96" s="1" t="s">
        <v>459</v>
      </c>
      <c r="D96" s="1">
        <v>26</v>
      </c>
      <c r="E96" s="1" t="s">
        <v>358</v>
      </c>
      <c r="F96" s="1" t="s">
        <v>359</v>
      </c>
      <c r="G96" s="21">
        <v>20000000</v>
      </c>
      <c r="H96" s="21">
        <v>95006435.498975322</v>
      </c>
      <c r="I96" s="24">
        <v>0.21051205526193759</v>
      </c>
      <c r="J96" s="1">
        <v>2741</v>
      </c>
      <c r="K96" s="1">
        <v>3</v>
      </c>
      <c r="L96" s="1">
        <v>3</v>
      </c>
      <c r="M96" s="64"/>
      <c r="N96" s="65" t="n">
        <f>IF(ISNUMBER(M96),M96,H96)</f>
        <v>95006435.49897532</v>
      </c>
      <c r="O96" s="59" t="str">
        <f>IF(ISNUMBER(M96),"Owner editorial estimate","Original model estimate")</f>
        <v>Original model estimate</v>
      </c>
      <c r="P96" s="66" t="n">
        <f>RANK(N96,$N$2:$N$151,0)</f>
        <v>94</v>
      </c>
    </row>
    <row r="97" spans="1:12" ht="24" customHeight="1" x14ac:dyDescent="0.35">
      <c r="A97" s="5" t="s">
        <v>460</v>
      </c>
      <c r="B97" s="5" t="s">
        <v>93</v>
      </c>
      <c r="C97" s="5" t="s">
        <v>364</v>
      </c>
      <c r="D97" s="5">
        <v>29</v>
      </c>
      <c r="E97" s="5" t="s">
        <v>461</v>
      </c>
      <c r="F97" s="5" t="s">
        <v>378</v>
      </c>
      <c r="G97" s="20">
        <v>50000000</v>
      </c>
      <c r="H97" s="20">
        <v>94827001.332863078</v>
      </c>
      <c r="I97" s="25">
        <v>0.52727597938575843</v>
      </c>
      <c r="J97" s="5">
        <v>3136</v>
      </c>
      <c r="K97" s="5">
        <v>3</v>
      </c>
      <c r="L97" s="5">
        <v>8</v>
      </c>
      <c r="M97" s="64"/>
      <c r="N97" s="65" t="n">
        <f>IF(ISNUMBER(M97),M97,H97)</f>
        <v>94827001.33286308</v>
      </c>
      <c r="O97" s="59" t="str">
        <f>IF(ISNUMBER(M97),"Owner editorial estimate","Original model estimate")</f>
        <v>Original model estimate</v>
      </c>
      <c r="P97" s="66" t="n">
        <f>RANK(N97,$N$2:$N$151,0)</f>
        <v>96</v>
      </c>
    </row>
    <row r="98" spans="1:12" ht="24" customHeight="1" x14ac:dyDescent="0.35">
      <c r="A98" s="1" t="s">
        <v>462</v>
      </c>
      <c r="B98" s="1" t="s">
        <v>93</v>
      </c>
      <c r="C98" s="1" t="s">
        <v>364</v>
      </c>
      <c r="D98" s="1">
        <v>22</v>
      </c>
      <c r="E98" s="1" t="s">
        <v>388</v>
      </c>
      <c r="F98" s="1" t="s">
        <v>359</v>
      </c>
      <c r="G98" s="21">
        <v>40000000</v>
      </c>
      <c r="H98" s="21">
        <v>94661791.105548546</v>
      </c>
      <c r="I98" s="24">
        <v>0.42255697396851211</v>
      </c>
      <c r="J98" s="1">
        <v>2574</v>
      </c>
      <c r="K98" s="1">
        <v>3</v>
      </c>
      <c r="L98" s="1">
        <v>3</v>
      </c>
      <c r="M98" s="64"/>
      <c r="N98" s="65" t="n">
        <f>IF(ISNUMBER(M98),M98,H98)</f>
        <v>94661791.10554855</v>
      </c>
      <c r="O98" s="59" t="str">
        <f>IF(ISNUMBER(M98),"Owner editorial estimate","Original model estimate")</f>
        <v>Original model estimate</v>
      </c>
      <c r="P98" s="66" t="n">
        <f>RANK(N98,$N$2:$N$151,0)</f>
        <v>97</v>
      </c>
    </row>
    <row r="99" spans="1:12" ht="24" customHeight="1" x14ac:dyDescent="0.35">
      <c r="A99" s="5" t="s">
        <v>113</v>
      </c>
      <c r="B99" s="5" t="s">
        <v>93</v>
      </c>
      <c r="C99" s="5" t="s">
        <v>385</v>
      </c>
      <c r="D99" s="5">
        <v>23</v>
      </c>
      <c r="E99" s="5" t="s">
        <v>114</v>
      </c>
      <c r="F99" s="5" t="s">
        <v>360</v>
      </c>
      <c r="G99" s="20">
        <v>130000000</v>
      </c>
      <c r="H99" s="20">
        <v>94316744.070824012</v>
      </c>
      <c r="I99" s="25">
        <v>1.378334263769547</v>
      </c>
      <c r="J99" s="5">
        <v>2942</v>
      </c>
      <c r="K99" s="5">
        <v>10</v>
      </c>
      <c r="L99" s="5">
        <v>6</v>
      </c>
      <c r="M99" s="64"/>
      <c r="N99" s="65" t="n">
        <f>IF(ISNUMBER(M99),M99,H99)</f>
        <v>94316744.07082401</v>
      </c>
      <c r="O99" s="59" t="str">
        <f>IF(ISNUMBER(M99),"Owner editorial estimate","Original model estimate")</f>
        <v>Original model estimate</v>
      </c>
      <c r="P99" s="66" t="n">
        <f>RANK(N99,$N$2:$N$151,0)</f>
        <v>98</v>
      </c>
    </row>
    <row r="100" spans="1:12" ht="24" customHeight="1" x14ac:dyDescent="0.35">
      <c r="A100" s="1" t="s">
        <v>463</v>
      </c>
      <c r="B100" s="1" t="s">
        <v>93</v>
      </c>
      <c r="C100" s="1" t="s">
        <v>464</v>
      </c>
      <c r="D100" s="1">
        <v>23</v>
      </c>
      <c r="E100" s="1" t="s">
        <v>435</v>
      </c>
      <c r="F100" s="1" t="s">
        <v>378</v>
      </c>
      <c r="G100" s="21">
        <v>20000000</v>
      </c>
      <c r="H100" s="21">
        <v>94233429.493065894</v>
      </c>
      <c r="I100" s="24">
        <v>0.212238906167282</v>
      </c>
      <c r="J100" s="1">
        <v>2668</v>
      </c>
      <c r="K100" s="1">
        <v>0</v>
      </c>
      <c r="L100" s="1">
        <v>3</v>
      </c>
      <c r="M100" s="64"/>
      <c r="N100" s="65" t="n">
        <f>IF(ISNUMBER(M100),M100,H100)</f>
        <v>94233429.4930659</v>
      </c>
      <c r="O100" s="59" t="str">
        <f>IF(ISNUMBER(M100),"Owner editorial estimate","Original model estimate")</f>
        <v>Original model estimate</v>
      </c>
      <c r="P100" s="66" t="n">
        <f>RANK(N100,$N$2:$N$151,0)</f>
        <v>99</v>
      </c>
    </row>
    <row r="101" spans="1:12" ht="24" customHeight="1" x14ac:dyDescent="0.35">
      <c r="A101" s="5" t="s">
        <v>465</v>
      </c>
      <c r="B101" s="5" t="s">
        <v>93</v>
      </c>
      <c r="C101" s="5" t="s">
        <v>459</v>
      </c>
      <c r="D101" s="5">
        <v>27</v>
      </c>
      <c r="E101" s="5" t="s">
        <v>246</v>
      </c>
      <c r="F101" s="5" t="s">
        <v>378</v>
      </c>
      <c r="G101" s="20">
        <v>20000000</v>
      </c>
      <c r="H101" s="20">
        <v>94209161.285315886</v>
      </c>
      <c r="I101" s="25">
        <v>0.21229357874686169</v>
      </c>
      <c r="J101" s="5">
        <v>2905</v>
      </c>
      <c r="K101" s="5">
        <v>4</v>
      </c>
      <c r="L101" s="5">
        <v>5</v>
      </c>
      <c r="M101" s="64"/>
      <c r="N101" s="65" t="n">
        <f>IF(ISNUMBER(M101),M101,H101)</f>
        <v>94209161.28531589</v>
      </c>
      <c r="O101" s="59" t="str">
        <f>IF(ISNUMBER(M101),"Owner editorial estimate","Original model estimate")</f>
        <v>Original model estimate</v>
      </c>
      <c r="P101" s="66" t="n">
        <f>RANK(N101,$N$2:$N$151,0)</f>
        <v>100</v>
      </c>
    </row>
    <row r="102" spans="1:12" ht="24" customHeight="1" x14ac:dyDescent="0.35">
      <c r="A102" s="1" t="s">
        <v>466</v>
      </c>
      <c r="B102" s="1" t="s">
        <v>93</v>
      </c>
      <c r="C102" s="1" t="s">
        <v>364</v>
      </c>
      <c r="D102" s="1">
        <v>23</v>
      </c>
      <c r="E102" s="1" t="s">
        <v>461</v>
      </c>
      <c r="F102" s="1" t="s">
        <v>378</v>
      </c>
      <c r="G102" s="21">
        <v>40000000</v>
      </c>
      <c r="H102" s="21">
        <v>94084783.523266569</v>
      </c>
      <c r="I102" s="24">
        <v>0.4251484512382202</v>
      </c>
      <c r="J102" s="1">
        <v>2527</v>
      </c>
      <c r="K102" s="1">
        <v>5</v>
      </c>
      <c r="L102" s="1">
        <v>4</v>
      </c>
      <c r="M102" s="64"/>
      <c r="N102" s="65" t="n">
        <f>IF(ISNUMBER(M102),M102,H102)</f>
        <v>94084783.52326657</v>
      </c>
      <c r="O102" s="59" t="str">
        <f>IF(ISNUMBER(M102),"Owner editorial estimate","Original model estimate")</f>
        <v>Original model estimate</v>
      </c>
      <c r="P102" s="66" t="n">
        <f>RANK(N102,$N$2:$N$151,0)</f>
        <v>101</v>
      </c>
    </row>
    <row r="103" spans="1:12" ht="24" customHeight="1" x14ac:dyDescent="0.35">
      <c r="A103" s="5" t="s">
        <v>467</v>
      </c>
      <c r="B103" s="5" t="s">
        <v>96</v>
      </c>
      <c r="C103" s="5" t="s">
        <v>354</v>
      </c>
      <c r="D103" s="5">
        <v>30</v>
      </c>
      <c r="E103" s="5" t="s">
        <v>380</v>
      </c>
      <c r="F103" s="5" t="s">
        <v>353</v>
      </c>
      <c r="G103" s="20">
        <v>22000000</v>
      </c>
      <c r="H103" s="20">
        <v>93973511.558483854</v>
      </c>
      <c r="I103" s="25">
        <v>0.23410852308427821</v>
      </c>
      <c r="J103" s="5">
        <v>3376</v>
      </c>
      <c r="K103" s="5">
        <v>28</v>
      </c>
      <c r="L103" s="5">
        <v>16</v>
      </c>
      <c r="M103" s="64"/>
      <c r="N103" s="65" t="n">
        <f>IF(ISNUMBER(M103),M103,H103)</f>
        <v>93973511.55848385</v>
      </c>
      <c r="O103" s="59" t="str">
        <f>IF(ISNUMBER(M103),"Owner editorial estimate","Original model estimate")</f>
        <v>Original model estimate</v>
      </c>
      <c r="P103" s="66" t="n">
        <f>RANK(N103,$N$2:$N$151,0)</f>
        <v>102</v>
      </c>
    </row>
    <row r="104" spans="1:12" ht="24" customHeight="1" x14ac:dyDescent="0.35">
      <c r="A104" s="1" t="s">
        <v>468</v>
      </c>
      <c r="B104" s="1" t="s">
        <v>96</v>
      </c>
      <c r="C104" s="1" t="s">
        <v>370</v>
      </c>
      <c r="D104" s="1">
        <v>23</v>
      </c>
      <c r="E104" s="1" t="s">
        <v>428</v>
      </c>
      <c r="F104" s="1" t="s">
        <v>360</v>
      </c>
      <c r="G104" s="21">
        <v>50000000</v>
      </c>
      <c r="H104" s="21">
        <v>93932020.673237905</v>
      </c>
      <c r="I104" s="24">
        <v>0.53229984452198054</v>
      </c>
      <c r="J104" s="1">
        <v>2720</v>
      </c>
      <c r="K104" s="1">
        <v>10</v>
      </c>
      <c r="L104" s="1">
        <v>6</v>
      </c>
      <c r="M104" s="64"/>
      <c r="N104" s="65" t="n">
        <f>IF(ISNUMBER(M104),M104,H104)</f>
        <v>93932020.6732379</v>
      </c>
      <c r="O104" s="59" t="str">
        <f>IF(ISNUMBER(M104),"Owner editorial estimate","Original model estimate")</f>
        <v>Original model estimate</v>
      </c>
      <c r="P104" s="66" t="n">
        <f>RANK(N104,$N$2:$N$151,0)</f>
        <v>103</v>
      </c>
    </row>
    <row r="105" spans="1:12" ht="24" customHeight="1" x14ac:dyDescent="0.35">
      <c r="A105" s="5" t="s">
        <v>189</v>
      </c>
      <c r="B105" s="5" t="s">
        <v>96</v>
      </c>
      <c r="C105" s="5" t="s">
        <v>352</v>
      </c>
      <c r="D105" s="5">
        <v>27</v>
      </c>
      <c r="E105" s="5" t="s">
        <v>469</v>
      </c>
      <c r="F105" s="5" t="s">
        <v>356</v>
      </c>
      <c r="G105" s="20">
        <v>75000000</v>
      </c>
      <c r="H105" s="20">
        <v>93906910.537739143</v>
      </c>
      <c r="I105" s="25">
        <v>0.7986632673839178</v>
      </c>
      <c r="J105" s="5">
        <v>2760</v>
      </c>
      <c r="K105" s="5">
        <v>10</v>
      </c>
      <c r="L105" s="5">
        <v>4</v>
      </c>
      <c r="M105" s="64"/>
      <c r="N105" s="65" t="n">
        <f>IF(ISNUMBER(M105),M105,H105)</f>
        <v>93906910.53773914</v>
      </c>
      <c r="O105" s="59" t="str">
        <f>IF(ISNUMBER(M105),"Owner editorial estimate","Original model estimate")</f>
        <v>Original model estimate</v>
      </c>
      <c r="P105" s="66" t="n">
        <f>RANK(N105,$N$2:$N$151,0)</f>
        <v>104</v>
      </c>
    </row>
    <row r="106" spans="1:12" ht="24" customHeight="1" x14ac:dyDescent="0.35">
      <c r="A106" s="1" t="s">
        <v>470</v>
      </c>
      <c r="B106" s="1" t="s">
        <v>93</v>
      </c>
      <c r="C106" s="1" t="s">
        <v>364</v>
      </c>
      <c r="D106" s="1">
        <v>26</v>
      </c>
      <c r="E106" s="1" t="s">
        <v>471</v>
      </c>
      <c r="F106" s="1" t="s">
        <v>378</v>
      </c>
      <c r="G106" s="21">
        <v>7000000</v>
      </c>
      <c r="H106" s="21">
        <v>93804207.197011948</v>
      </c>
      <c r="I106" s="24">
        <v>7.4623518594408828E-2</v>
      </c>
      <c r="J106" s="1">
        <v>2989</v>
      </c>
      <c r="K106" s="1">
        <v>1</v>
      </c>
      <c r="L106" s="1">
        <v>2</v>
      </c>
      <c r="M106" s="64"/>
      <c r="N106" s="65" t="n">
        <f>IF(ISNUMBER(M106),M106,H106)</f>
        <v>93804207.19701195</v>
      </c>
      <c r="O106" s="59" t="str">
        <f>IF(ISNUMBER(M106),"Owner editorial estimate","Original model estimate")</f>
        <v>Original model estimate</v>
      </c>
      <c r="P106" s="66" t="n">
        <f>RANK(N106,$N$2:$N$151,0)</f>
        <v>105</v>
      </c>
    </row>
    <row r="107" spans="1:12" ht="24" customHeight="1" x14ac:dyDescent="0.35">
      <c r="A107" s="5" t="s">
        <v>472</v>
      </c>
      <c r="B107" s="5" t="s">
        <v>93</v>
      </c>
      <c r="C107" s="5" t="s">
        <v>381</v>
      </c>
      <c r="D107" s="5">
        <v>26</v>
      </c>
      <c r="E107" s="5" t="s">
        <v>473</v>
      </c>
      <c r="F107" s="5" t="s">
        <v>360</v>
      </c>
      <c r="G107" s="20">
        <v>10000000</v>
      </c>
      <c r="H107" s="20">
        <v>93782086.318941936</v>
      </c>
      <c r="I107" s="25">
        <v>0.1066301720564327</v>
      </c>
      <c r="J107" s="5">
        <v>2970</v>
      </c>
      <c r="K107" s="5">
        <v>2</v>
      </c>
      <c r="L107" s="5">
        <v>3</v>
      </c>
      <c r="M107" s="64"/>
      <c r="N107" s="65" t="n">
        <f>IF(ISNUMBER(M107),M107,H107)</f>
        <v>93782086.31894194</v>
      </c>
      <c r="O107" s="59" t="str">
        <f>IF(ISNUMBER(M107),"Owner editorial estimate","Original model estimate")</f>
        <v>Original model estimate</v>
      </c>
      <c r="P107" s="66" t="n">
        <f>RANK(N107,$N$2:$N$151,0)</f>
        <v>106</v>
      </c>
    </row>
    <row r="108" spans="1:12" ht="24" customHeight="1" x14ac:dyDescent="0.35">
      <c r="A108" s="1" t="s">
        <v>474</v>
      </c>
      <c r="B108" s="1" t="s">
        <v>93</v>
      </c>
      <c r="C108" s="1" t="s">
        <v>385</v>
      </c>
      <c r="D108" s="1">
        <v>21</v>
      </c>
      <c r="E108" s="1" t="s">
        <v>114</v>
      </c>
      <c r="F108" s="1" t="s">
        <v>360</v>
      </c>
      <c r="G108" s="21">
        <v>90000000</v>
      </c>
      <c r="H108" s="21">
        <v>93648853.700569794</v>
      </c>
      <c r="I108" s="24">
        <v>0.96103685676456296</v>
      </c>
      <c r="J108" s="1">
        <v>3289</v>
      </c>
      <c r="K108" s="1">
        <v>6</v>
      </c>
      <c r="L108" s="1">
        <v>13</v>
      </c>
      <c r="M108" s="64"/>
      <c r="N108" s="65" t="n">
        <f>IF(ISNUMBER(M108),M108,H108)</f>
        <v>93648853.7005698</v>
      </c>
      <c r="O108" s="59" t="str">
        <f>IF(ISNUMBER(M108),"Owner editorial estimate","Original model estimate")</f>
        <v>Original model estimate</v>
      </c>
      <c r="P108" s="66" t="n">
        <f>RANK(N108,$N$2:$N$151,0)</f>
        <v>107</v>
      </c>
    </row>
    <row r="109" spans="1:12" ht="24" customHeight="1" x14ac:dyDescent="0.35">
      <c r="A109" s="5" t="s">
        <v>475</v>
      </c>
      <c r="B109" s="5" t="s">
        <v>93</v>
      </c>
      <c r="C109" s="5" t="s">
        <v>364</v>
      </c>
      <c r="D109" s="5">
        <v>25</v>
      </c>
      <c r="E109" s="5" t="s">
        <v>476</v>
      </c>
      <c r="F109" s="5" t="s">
        <v>356</v>
      </c>
      <c r="G109" s="20">
        <v>40000000</v>
      </c>
      <c r="H109" s="20">
        <v>93493350.183104619</v>
      </c>
      <c r="I109" s="25">
        <v>0.42783791490689882</v>
      </c>
      <c r="J109" s="5">
        <v>2905</v>
      </c>
      <c r="K109" s="5">
        <v>1</v>
      </c>
      <c r="L109" s="5">
        <v>3</v>
      </c>
      <c r="M109" s="64"/>
      <c r="N109" s="65" t="n">
        <f>IF(ISNUMBER(M109),M109,H109)</f>
        <v>93493350.18310462</v>
      </c>
      <c r="O109" s="59" t="str">
        <f>IF(ISNUMBER(M109),"Owner editorial estimate","Original model estimate")</f>
        <v>Original model estimate</v>
      </c>
      <c r="P109" s="66" t="n">
        <f>RANK(N109,$N$2:$N$151,0)</f>
        <v>108</v>
      </c>
    </row>
    <row r="110" spans="1:12" ht="24" customHeight="1" x14ac:dyDescent="0.35">
      <c r="A110" s="1" t="s">
        <v>477</v>
      </c>
      <c r="B110" s="1" t="s">
        <v>96</v>
      </c>
      <c r="C110" s="1" t="s">
        <v>354</v>
      </c>
      <c r="D110" s="1">
        <v>22</v>
      </c>
      <c r="E110" s="1" t="s">
        <v>478</v>
      </c>
      <c r="F110" s="1" t="s">
        <v>378</v>
      </c>
      <c r="G110" s="21">
        <v>32000000</v>
      </c>
      <c r="H110" s="21">
        <v>93382241.102841958</v>
      </c>
      <c r="I110" s="24">
        <v>0.34267757575831109</v>
      </c>
      <c r="J110" s="1">
        <v>3310</v>
      </c>
      <c r="K110" s="1">
        <v>11</v>
      </c>
      <c r="L110" s="1">
        <v>3</v>
      </c>
      <c r="M110" s="64"/>
      <c r="N110" s="65" t="n">
        <f>IF(ISNUMBER(M110),M110,H110)</f>
        <v>93382241.10284196</v>
      </c>
      <c r="O110" s="59" t="str">
        <f>IF(ISNUMBER(M110),"Owner editorial estimate","Original model estimate")</f>
        <v>Original model estimate</v>
      </c>
      <c r="P110" s="66" t="n">
        <f>RANK(N110,$N$2:$N$151,0)</f>
        <v>109</v>
      </c>
    </row>
    <row r="111" spans="1:12" ht="24" customHeight="1" x14ac:dyDescent="0.35">
      <c r="A111" s="5" t="s">
        <v>194</v>
      </c>
      <c r="B111" s="5" t="s">
        <v>96</v>
      </c>
      <c r="C111" s="5" t="s">
        <v>352</v>
      </c>
      <c r="D111" s="5">
        <v>26</v>
      </c>
      <c r="E111" s="5" t="s">
        <v>430</v>
      </c>
      <c r="F111" s="5" t="s">
        <v>356</v>
      </c>
      <c r="G111" s="20">
        <v>55000000</v>
      </c>
      <c r="H111" s="20">
        <v>93376187.392812535</v>
      </c>
      <c r="I111" s="25">
        <v>0.58901526755025257</v>
      </c>
      <c r="J111" s="5">
        <v>3057</v>
      </c>
      <c r="K111" s="5">
        <v>6</v>
      </c>
      <c r="L111" s="5">
        <v>5</v>
      </c>
      <c r="M111" s="64"/>
      <c r="N111" s="65" t="n">
        <f>IF(ISNUMBER(M111),M111,H111)</f>
        <v>93376187.39281254</v>
      </c>
      <c r="O111" s="59" t="str">
        <f>IF(ISNUMBER(M111),"Owner editorial estimate","Original model estimate")</f>
        <v>Original model estimate</v>
      </c>
      <c r="P111" s="66" t="n">
        <f>RANK(N111,$N$2:$N$151,0)</f>
        <v>110</v>
      </c>
    </row>
    <row r="112" spans="1:12" ht="24" customHeight="1" x14ac:dyDescent="0.35">
      <c r="A112" s="1" t="s">
        <v>479</v>
      </c>
      <c r="B112" s="1" t="s">
        <v>96</v>
      </c>
      <c r="C112" s="1" t="s">
        <v>352</v>
      </c>
      <c r="D112" s="1">
        <v>24</v>
      </c>
      <c r="E112" s="1" t="s">
        <v>469</v>
      </c>
      <c r="F112" s="1" t="s">
        <v>356</v>
      </c>
      <c r="G112" s="21">
        <v>45000000</v>
      </c>
      <c r="H112" s="21">
        <v>93347842.98442091</v>
      </c>
      <c r="I112" s="24">
        <v>0.48206791460098519</v>
      </c>
      <c r="J112" s="1">
        <v>2676</v>
      </c>
      <c r="K112" s="1">
        <v>6</v>
      </c>
      <c r="L112" s="1">
        <v>4</v>
      </c>
      <c r="M112" s="64"/>
      <c r="N112" s="65" t="n">
        <f>IF(ISNUMBER(M112),M112,H112)</f>
        <v>93347842.98442091</v>
      </c>
      <c r="O112" s="59" t="str">
        <f>IF(ISNUMBER(M112),"Owner editorial estimate","Original model estimate")</f>
        <v>Original model estimate</v>
      </c>
      <c r="P112" s="66" t="n">
        <f>RANK(N112,$N$2:$N$151,0)</f>
        <v>111</v>
      </c>
    </row>
    <row r="113" spans="1:12" ht="24" customHeight="1" x14ac:dyDescent="0.35">
      <c r="A113" s="5" t="s">
        <v>480</v>
      </c>
      <c r="B113" s="5" t="s">
        <v>93</v>
      </c>
      <c r="C113" s="5" t="s">
        <v>464</v>
      </c>
      <c r="D113" s="5">
        <v>24</v>
      </c>
      <c r="E113" s="5" t="s">
        <v>435</v>
      </c>
      <c r="F113" s="5" t="s">
        <v>378</v>
      </c>
      <c r="G113" s="20">
        <v>20000000</v>
      </c>
      <c r="H113" s="20">
        <v>93322665.26843299</v>
      </c>
      <c r="I113" s="25">
        <v>0.21431021009175069</v>
      </c>
      <c r="J113" s="5">
        <v>2355</v>
      </c>
      <c r="K113" s="5">
        <v>2</v>
      </c>
      <c r="L113" s="5">
        <v>7</v>
      </c>
      <c r="M113" s="64"/>
      <c r="N113" s="65" t="n">
        <f>IF(ISNUMBER(M113),M113,H113)</f>
        <v>93322665.26843299</v>
      </c>
      <c r="O113" s="59" t="str">
        <f>IF(ISNUMBER(M113),"Owner editorial estimate","Original model estimate")</f>
        <v>Original model estimate</v>
      </c>
      <c r="P113" s="66" t="n">
        <f>RANK(N113,$N$2:$N$151,0)</f>
        <v>112</v>
      </c>
    </row>
    <row r="114" spans="1:12" ht="24" customHeight="1" x14ac:dyDescent="0.35">
      <c r="A114" s="1" t="s">
        <v>481</v>
      </c>
      <c r="B114" s="1" t="s">
        <v>93</v>
      </c>
      <c r="C114" s="1" t="s">
        <v>364</v>
      </c>
      <c r="D114" s="1">
        <v>23</v>
      </c>
      <c r="E114" s="1" t="s">
        <v>482</v>
      </c>
      <c r="F114" s="1" t="s">
        <v>356</v>
      </c>
      <c r="G114" s="21">
        <v>50000000</v>
      </c>
      <c r="H114" s="21">
        <v>93089529.728597164</v>
      </c>
      <c r="I114" s="24">
        <v>0.5371173336655064</v>
      </c>
      <c r="J114" s="1">
        <v>2769</v>
      </c>
      <c r="K114" s="1">
        <v>4</v>
      </c>
      <c r="L114" s="1">
        <v>1</v>
      </c>
      <c r="M114" s="64"/>
      <c r="N114" s="65" t="n">
        <f>IF(ISNUMBER(M114),M114,H114)</f>
        <v>93089529.72859716</v>
      </c>
      <c r="O114" s="59" t="str">
        <f>IF(ISNUMBER(M114),"Owner editorial estimate","Original model estimate")</f>
        <v>Original model estimate</v>
      </c>
      <c r="P114" s="66" t="n">
        <f>RANK(N114,$N$2:$N$151,0)</f>
        <v>113</v>
      </c>
    </row>
    <row r="115" spans="1:12" ht="24" customHeight="1" x14ac:dyDescent="0.35">
      <c r="A115" s="5" t="s">
        <v>483</v>
      </c>
      <c r="B115" s="5" t="s">
        <v>93</v>
      </c>
      <c r="C115" s="5" t="s">
        <v>364</v>
      </c>
      <c r="D115" s="5">
        <v>25</v>
      </c>
      <c r="E115" s="5" t="s">
        <v>390</v>
      </c>
      <c r="F115" s="5" t="s">
        <v>356</v>
      </c>
      <c r="G115" s="20">
        <v>35000000</v>
      </c>
      <c r="H115" s="20">
        <v>92941367.703458756</v>
      </c>
      <c r="I115" s="25">
        <v>0.37658150363863752</v>
      </c>
      <c r="J115" s="5">
        <v>2642</v>
      </c>
      <c r="K115" s="5">
        <v>3</v>
      </c>
      <c r="L115" s="5">
        <v>3</v>
      </c>
      <c r="M115" s="64"/>
      <c r="N115" s="65" t="n">
        <f>IF(ISNUMBER(M115),M115,H115)</f>
        <v>92941367.70345876</v>
      </c>
      <c r="O115" s="59" t="str">
        <f>IF(ISNUMBER(M115),"Owner editorial estimate","Original model estimate")</f>
        <v>Original model estimate</v>
      </c>
      <c r="P115" s="66" t="n">
        <f>RANK(N115,$N$2:$N$151,0)</f>
        <v>114</v>
      </c>
    </row>
    <row r="116" spans="1:12" ht="24" customHeight="1" x14ac:dyDescent="0.35">
      <c r="A116" s="1" t="s">
        <v>484</v>
      </c>
      <c r="B116" s="1" t="s">
        <v>93</v>
      </c>
      <c r="C116" s="1" t="s">
        <v>381</v>
      </c>
      <c r="D116" s="1">
        <v>31</v>
      </c>
      <c r="E116" s="1" t="s">
        <v>358</v>
      </c>
      <c r="F116" s="1" t="s">
        <v>359</v>
      </c>
      <c r="G116" s="21">
        <v>15000000</v>
      </c>
      <c r="H116" s="21">
        <v>92896726.143945664</v>
      </c>
      <c r="I116" s="24">
        <v>0.16146963001427139</v>
      </c>
      <c r="J116" s="1">
        <v>3193</v>
      </c>
      <c r="K116" s="1">
        <v>3</v>
      </c>
      <c r="L116" s="1">
        <v>5</v>
      </c>
      <c r="M116" s="64"/>
      <c r="N116" s="65" t="n">
        <f>IF(ISNUMBER(M116),M116,H116)</f>
        <v>92896726.14394566</v>
      </c>
      <c r="O116" s="59" t="str">
        <f>IF(ISNUMBER(M116),"Owner editorial estimate","Original model estimate")</f>
        <v>Original model estimate</v>
      </c>
      <c r="P116" s="66" t="n">
        <f>RANK(N116,$N$2:$N$151,0)</f>
        <v>115</v>
      </c>
    </row>
    <row r="117" spans="1:12" ht="24" customHeight="1" x14ac:dyDescent="0.35">
      <c r="A117" s="5" t="s">
        <v>485</v>
      </c>
      <c r="B117" s="5" t="s">
        <v>96</v>
      </c>
      <c r="C117" s="5" t="s">
        <v>352</v>
      </c>
      <c r="D117" s="5">
        <v>27</v>
      </c>
      <c r="E117" s="5" t="s">
        <v>414</v>
      </c>
      <c r="F117" s="5" t="s">
        <v>360</v>
      </c>
      <c r="G117" s="20">
        <v>10000000</v>
      </c>
      <c r="H117" s="20">
        <v>92893517.257677764</v>
      </c>
      <c r="I117" s="25">
        <v>0.1076501385157045</v>
      </c>
      <c r="J117" s="5">
        <v>2117</v>
      </c>
      <c r="K117" s="5">
        <v>10</v>
      </c>
      <c r="L117" s="5">
        <v>3</v>
      </c>
      <c r="M117" s="64"/>
      <c r="N117" s="65" t="n">
        <f>IF(ISNUMBER(M117),M117,H117)</f>
        <v>92893517.25767776</v>
      </c>
      <c r="O117" s="59" t="str">
        <f>IF(ISNUMBER(M117),"Owner editorial estimate","Original model estimate")</f>
        <v>Original model estimate</v>
      </c>
      <c r="P117" s="66" t="n">
        <f>RANK(N117,$N$2:$N$151,0)</f>
        <v>116</v>
      </c>
    </row>
    <row r="118" spans="1:12" ht="24" customHeight="1" x14ac:dyDescent="0.35">
      <c r="A118" s="1" t="s">
        <v>486</v>
      </c>
      <c r="B118" s="1" t="s">
        <v>93</v>
      </c>
      <c r="C118" s="1" t="s">
        <v>364</v>
      </c>
      <c r="D118" s="1">
        <v>25</v>
      </c>
      <c r="E118" s="1" t="s">
        <v>412</v>
      </c>
      <c r="F118" s="1" t="s">
        <v>378</v>
      </c>
      <c r="G118" s="21">
        <v>50000000</v>
      </c>
      <c r="H118" s="21">
        <v>92887572.557965949</v>
      </c>
      <c r="I118" s="24">
        <v>0.53828514001480432</v>
      </c>
      <c r="J118" s="1">
        <v>2758</v>
      </c>
      <c r="K118" s="1">
        <v>2</v>
      </c>
      <c r="L118" s="1">
        <v>3</v>
      </c>
      <c r="M118" s="64"/>
      <c r="N118" s="65" t="n">
        <f>IF(ISNUMBER(M118),M118,H118)</f>
        <v>92887572.55796595</v>
      </c>
      <c r="O118" s="59" t="str">
        <f>IF(ISNUMBER(M118),"Owner editorial estimate","Original model estimate")</f>
        <v>Original model estimate</v>
      </c>
      <c r="P118" s="66" t="n">
        <f>RANK(N118,$N$2:$N$151,0)</f>
        <v>117</v>
      </c>
    </row>
    <row r="119" spans="1:12" ht="24" customHeight="1" x14ac:dyDescent="0.35">
      <c r="A119" s="5" t="s">
        <v>487</v>
      </c>
      <c r="B119" s="5" t="s">
        <v>93</v>
      </c>
      <c r="C119" s="5" t="s">
        <v>364</v>
      </c>
      <c r="D119" s="5">
        <v>22</v>
      </c>
      <c r="E119" s="5" t="s">
        <v>488</v>
      </c>
      <c r="F119" s="5" t="s">
        <v>359</v>
      </c>
      <c r="G119" s="20">
        <v>20000000</v>
      </c>
      <c r="H119" s="20">
        <v>92373559.368191868</v>
      </c>
      <c r="I119" s="25">
        <v>0.21651217227953701</v>
      </c>
      <c r="J119" s="5">
        <v>2569</v>
      </c>
      <c r="K119" s="5">
        <v>3</v>
      </c>
      <c r="L119" s="5">
        <v>1</v>
      </c>
      <c r="M119" s="64"/>
      <c r="N119" s="65" t="n">
        <f>IF(ISNUMBER(M119),M119,H119)</f>
        <v>92373559.36819187</v>
      </c>
      <c r="O119" s="59" t="str">
        <f>IF(ISNUMBER(M119),"Owner editorial estimate","Original model estimate")</f>
        <v>Original model estimate</v>
      </c>
      <c r="P119" s="66" t="n">
        <f>RANK(N119,$N$2:$N$151,0)</f>
        <v>118</v>
      </c>
    </row>
    <row r="120" spans="1:12" ht="24" customHeight="1" x14ac:dyDescent="0.35">
      <c r="A120" s="1" t="s">
        <v>489</v>
      </c>
      <c r="B120" s="1" t="s">
        <v>96</v>
      </c>
      <c r="C120" s="1" t="s">
        <v>354</v>
      </c>
      <c r="D120" s="1">
        <v>26</v>
      </c>
      <c r="E120" s="1" t="s">
        <v>490</v>
      </c>
      <c r="F120" s="1" t="s">
        <v>378</v>
      </c>
      <c r="G120" s="21">
        <v>30000000</v>
      </c>
      <c r="H120" s="21">
        <v>92345672.807679206</v>
      </c>
      <c r="I120" s="24">
        <v>0.32486633198805698</v>
      </c>
      <c r="J120" s="1">
        <v>2508</v>
      </c>
      <c r="K120" s="1">
        <v>11</v>
      </c>
      <c r="L120" s="1">
        <v>7</v>
      </c>
      <c r="M120" s="64"/>
      <c r="N120" s="65" t="n">
        <f>IF(ISNUMBER(M120),M120,H120)</f>
        <v>92345672.8076792</v>
      </c>
      <c r="O120" s="59" t="str">
        <f>IF(ISNUMBER(M120),"Owner editorial estimate","Original model estimate")</f>
        <v>Original model estimate</v>
      </c>
      <c r="P120" s="66" t="n">
        <f>RANK(N120,$N$2:$N$151,0)</f>
        <v>119</v>
      </c>
    </row>
    <row r="121" spans="1:12" ht="24" customHeight="1" x14ac:dyDescent="0.35">
      <c r="A121" s="5" t="s">
        <v>491</v>
      </c>
      <c r="B121" s="5" t="s">
        <v>93</v>
      </c>
      <c r="C121" s="5" t="s">
        <v>381</v>
      </c>
      <c r="D121" s="5">
        <v>25</v>
      </c>
      <c r="E121" s="5" t="s">
        <v>492</v>
      </c>
      <c r="F121" s="5" t="s">
        <v>378</v>
      </c>
      <c r="G121" s="20">
        <v>15000000</v>
      </c>
      <c r="H121" s="20">
        <v>92205272.210141957</v>
      </c>
      <c r="I121" s="25">
        <v>0.1626805023232728</v>
      </c>
      <c r="J121" s="5">
        <v>3061</v>
      </c>
      <c r="K121" s="5">
        <v>2</v>
      </c>
      <c r="L121" s="5">
        <v>0</v>
      </c>
      <c r="M121" s="64"/>
      <c r="N121" s="65" t="n">
        <f>IF(ISNUMBER(M121),M121,H121)</f>
        <v>92205272.21014196</v>
      </c>
      <c r="O121" s="59" t="str">
        <f>IF(ISNUMBER(M121),"Owner editorial estimate","Original model estimate")</f>
        <v>Original model estimate</v>
      </c>
      <c r="P121" s="66" t="n">
        <f>RANK(N121,$N$2:$N$151,0)</f>
        <v>120</v>
      </c>
    </row>
    <row r="122" spans="1:12" ht="24" customHeight="1" x14ac:dyDescent="0.35">
      <c r="A122" s="1" t="s">
        <v>493</v>
      </c>
      <c r="B122" s="1" t="s">
        <v>93</v>
      </c>
      <c r="C122" s="1" t="s">
        <v>381</v>
      </c>
      <c r="D122" s="1">
        <v>29</v>
      </c>
      <c r="E122" s="1" t="s">
        <v>374</v>
      </c>
      <c r="F122" s="1" t="s">
        <v>356</v>
      </c>
      <c r="G122" s="21">
        <v>20000000</v>
      </c>
      <c r="H122" s="21">
        <v>91979090.690829039</v>
      </c>
      <c r="I122" s="24">
        <v>0.21744072320986901</v>
      </c>
      <c r="J122" s="1">
        <v>3067</v>
      </c>
      <c r="K122" s="1">
        <v>2</v>
      </c>
      <c r="L122" s="1">
        <v>4</v>
      </c>
      <c r="M122" s="64"/>
      <c r="N122" s="65" t="n">
        <f>IF(ISNUMBER(M122),M122,H122)</f>
        <v>91979090.69082904</v>
      </c>
      <c r="O122" s="59" t="str">
        <f>IF(ISNUMBER(M122),"Owner editorial estimate","Original model estimate")</f>
        <v>Original model estimate</v>
      </c>
      <c r="P122" s="66" t="n">
        <f>RANK(N122,$N$2:$N$151,0)</f>
        <v>121</v>
      </c>
    </row>
    <row r="123" spans="1:12" ht="24" customHeight="1" x14ac:dyDescent="0.35">
      <c r="A123" s="5" t="s">
        <v>494</v>
      </c>
      <c r="B123" s="5" t="s">
        <v>93</v>
      </c>
      <c r="C123" s="5" t="s">
        <v>364</v>
      </c>
      <c r="D123" s="5">
        <v>24</v>
      </c>
      <c r="E123" s="5" t="s">
        <v>495</v>
      </c>
      <c r="F123" s="5" t="s">
        <v>353</v>
      </c>
      <c r="G123" s="20">
        <v>10000000</v>
      </c>
      <c r="H123" s="20">
        <v>91956250.780828893</v>
      </c>
      <c r="I123" s="25">
        <v>0.1087473653513156</v>
      </c>
      <c r="J123" s="5">
        <v>2769</v>
      </c>
      <c r="K123" s="5">
        <v>1</v>
      </c>
      <c r="L123" s="5">
        <v>3</v>
      </c>
      <c r="M123" s="64"/>
      <c r="N123" s="65" t="n">
        <f>IF(ISNUMBER(M123),M123,H123)</f>
        <v>91956250.7808289</v>
      </c>
      <c r="O123" s="59" t="str">
        <f>IF(ISNUMBER(M123),"Owner editorial estimate","Original model estimate")</f>
        <v>Original model estimate</v>
      </c>
      <c r="P123" s="66" t="n">
        <f>RANK(N123,$N$2:$N$151,0)</f>
        <v>122</v>
      </c>
    </row>
    <row r="124" spans="1:12" ht="24" customHeight="1" x14ac:dyDescent="0.35">
      <c r="A124" s="1" t="s">
        <v>496</v>
      </c>
      <c r="B124" s="1" t="s">
        <v>93</v>
      </c>
      <c r="C124" s="1" t="s">
        <v>364</v>
      </c>
      <c r="D124" s="1">
        <v>24</v>
      </c>
      <c r="E124" s="1" t="s">
        <v>492</v>
      </c>
      <c r="F124" s="1" t="s">
        <v>378</v>
      </c>
      <c r="G124" s="21">
        <v>6000000</v>
      </c>
      <c r="H124" s="21">
        <v>91734966.914564103</v>
      </c>
      <c r="I124" s="24">
        <v>6.5405812001741975E-2</v>
      </c>
      <c r="J124" s="1">
        <v>2764</v>
      </c>
      <c r="K124" s="1">
        <v>1</v>
      </c>
      <c r="L124" s="1">
        <v>2</v>
      </c>
      <c r="M124" s="64"/>
      <c r="N124" s="65" t="n">
        <f>IF(ISNUMBER(M124),M124,H124)</f>
        <v>91734966.9145641</v>
      </c>
      <c r="O124" s="59" t="str">
        <f>IF(ISNUMBER(M124),"Owner editorial estimate","Original model estimate")</f>
        <v>Original model estimate</v>
      </c>
      <c r="P124" s="66" t="n">
        <f>RANK(N124,$N$2:$N$151,0)</f>
        <v>123</v>
      </c>
    </row>
    <row r="125" spans="1:12" ht="24" customHeight="1" x14ac:dyDescent="0.35">
      <c r="A125" s="5" t="s">
        <v>285</v>
      </c>
      <c r="B125" s="5" t="s">
        <v>93</v>
      </c>
      <c r="C125" s="5" t="s">
        <v>364</v>
      </c>
      <c r="D125" s="5">
        <v>28</v>
      </c>
      <c r="E125" s="5" t="s">
        <v>355</v>
      </c>
      <c r="F125" s="5" t="s">
        <v>356</v>
      </c>
      <c r="G125" s="20">
        <v>50000000</v>
      </c>
      <c r="H125" s="20">
        <v>91726230.77677767</v>
      </c>
      <c r="I125" s="25">
        <v>0.5451003445424305</v>
      </c>
      <c r="J125" s="5">
        <v>2741</v>
      </c>
      <c r="K125" s="5">
        <v>6</v>
      </c>
      <c r="L125" s="5">
        <v>8</v>
      </c>
      <c r="M125" s="64"/>
      <c r="N125" s="65" t="n">
        <f>IF(ISNUMBER(M125),M125,H125)</f>
        <v>91726230.77677767</v>
      </c>
      <c r="O125" s="59" t="str">
        <f>IF(ISNUMBER(M125),"Owner editorial estimate","Original model estimate")</f>
        <v>Original model estimate</v>
      </c>
      <c r="P125" s="66" t="n">
        <f>RANK(N125,$N$2:$N$151,0)</f>
        <v>124</v>
      </c>
    </row>
    <row r="126" spans="1:12" ht="24" customHeight="1" x14ac:dyDescent="0.35">
      <c r="A126" s="1" t="s">
        <v>497</v>
      </c>
      <c r="B126" s="1" t="s">
        <v>93</v>
      </c>
      <c r="C126" s="1" t="s">
        <v>364</v>
      </c>
      <c r="D126" s="1">
        <v>22</v>
      </c>
      <c r="E126" s="1" t="s">
        <v>404</v>
      </c>
      <c r="F126" s="1" t="s">
        <v>356</v>
      </c>
      <c r="G126" s="21">
        <v>32000000</v>
      </c>
      <c r="H126" s="21">
        <v>91669521.723955899</v>
      </c>
      <c r="I126" s="24">
        <v>0.34908003661633019</v>
      </c>
      <c r="J126" s="1">
        <v>2694</v>
      </c>
      <c r="K126" s="1">
        <v>1</v>
      </c>
      <c r="L126" s="1">
        <v>2</v>
      </c>
      <c r="M126" s="64"/>
      <c r="N126" s="65" t="n">
        <f>IF(ISNUMBER(M126),M126,H126)</f>
        <v>91669521.7239559</v>
      </c>
      <c r="O126" s="59" t="str">
        <f>IF(ISNUMBER(M126),"Owner editorial estimate","Original model estimate")</f>
        <v>Original model estimate</v>
      </c>
      <c r="P126" s="66" t="n">
        <f>RANK(N126,$N$2:$N$151,0)</f>
        <v>125</v>
      </c>
    </row>
    <row r="127" spans="1:12" ht="24" customHeight="1" x14ac:dyDescent="0.35">
      <c r="A127" s="5" t="s">
        <v>498</v>
      </c>
      <c r="B127" s="5" t="s">
        <v>93</v>
      </c>
      <c r="C127" s="5" t="s">
        <v>364</v>
      </c>
      <c r="D127" s="5">
        <v>27</v>
      </c>
      <c r="E127" s="5" t="s">
        <v>478</v>
      </c>
      <c r="F127" s="5" t="s">
        <v>378</v>
      </c>
      <c r="G127" s="20">
        <v>14000000</v>
      </c>
      <c r="H127" s="20">
        <v>91509412.854484335</v>
      </c>
      <c r="I127" s="25">
        <v>0.15298972601061711</v>
      </c>
      <c r="J127" s="5">
        <v>3195</v>
      </c>
      <c r="K127" s="5">
        <v>1</v>
      </c>
      <c r="L127" s="5">
        <v>0</v>
      </c>
      <c r="M127" s="64"/>
      <c r="N127" s="65" t="n">
        <f>IF(ISNUMBER(M127),M127,H127)</f>
        <v>91509412.85448433</v>
      </c>
      <c r="O127" s="59" t="str">
        <f>IF(ISNUMBER(M127),"Owner editorial estimate","Original model estimate")</f>
        <v>Original model estimate</v>
      </c>
      <c r="P127" s="66" t="n">
        <f>RANK(N127,$N$2:$N$151,0)</f>
        <v>126</v>
      </c>
    </row>
    <row r="128" spans="1:12" ht="24" customHeight="1" x14ac:dyDescent="0.35">
      <c r="A128" s="1" t="s">
        <v>499</v>
      </c>
      <c r="B128" s="1" t="s">
        <v>93</v>
      </c>
      <c r="C128" s="1" t="s">
        <v>381</v>
      </c>
      <c r="D128" s="1">
        <v>26</v>
      </c>
      <c r="E128" s="1" t="s">
        <v>500</v>
      </c>
      <c r="F128" s="1" t="s">
        <v>360</v>
      </c>
      <c r="G128" s="21">
        <v>15000000</v>
      </c>
      <c r="H128" s="21">
        <v>91446958.710322648</v>
      </c>
      <c r="I128" s="24">
        <v>0.1640295118781985</v>
      </c>
      <c r="J128" s="1">
        <v>2804</v>
      </c>
      <c r="K128" s="1">
        <v>7</v>
      </c>
      <c r="L128" s="1">
        <v>2</v>
      </c>
      <c r="M128" s="64"/>
      <c r="N128" s="65" t="n">
        <f>IF(ISNUMBER(M128),M128,H128)</f>
        <v>91446958.71032265</v>
      </c>
      <c r="O128" s="59" t="str">
        <f>IF(ISNUMBER(M128),"Owner editorial estimate","Original model estimate")</f>
        <v>Original model estimate</v>
      </c>
      <c r="P128" s="66" t="n">
        <f>RANK(N128,$N$2:$N$151,0)</f>
        <v>127</v>
      </c>
    </row>
    <row r="129" spans="1:12" ht="24" customHeight="1" x14ac:dyDescent="0.35">
      <c r="A129" s="5" t="s">
        <v>501</v>
      </c>
      <c r="B129" s="5" t="s">
        <v>93</v>
      </c>
      <c r="C129" s="5" t="s">
        <v>381</v>
      </c>
      <c r="D129" s="5">
        <v>32</v>
      </c>
      <c r="E129" s="5" t="s">
        <v>397</v>
      </c>
      <c r="F129" s="5" t="s">
        <v>353</v>
      </c>
      <c r="G129" s="20">
        <v>6000000</v>
      </c>
      <c r="H129" s="20">
        <v>91185192.739383683</v>
      </c>
      <c r="I129" s="25">
        <v>6.58001570183505E-2</v>
      </c>
      <c r="J129" s="5">
        <v>3495</v>
      </c>
      <c r="K129" s="5">
        <v>3</v>
      </c>
      <c r="L129" s="5">
        <v>2</v>
      </c>
      <c r="M129" s="64"/>
      <c r="N129" s="65" t="n">
        <f>IF(ISNUMBER(M129),M129,H129)</f>
        <v>91185192.73938368</v>
      </c>
      <c r="O129" s="59" t="str">
        <f>IF(ISNUMBER(M129),"Owner editorial estimate","Original model estimate")</f>
        <v>Original model estimate</v>
      </c>
      <c r="P129" s="66" t="n">
        <f>RANK(N129,$N$2:$N$151,0)</f>
        <v>128</v>
      </c>
    </row>
    <row r="130" spans="1:12" ht="24" customHeight="1" x14ac:dyDescent="0.35">
      <c r="A130" s="1" t="s">
        <v>502</v>
      </c>
      <c r="B130" s="1" t="s">
        <v>93</v>
      </c>
      <c r="C130" s="1" t="s">
        <v>364</v>
      </c>
      <c r="D130" s="1">
        <v>23</v>
      </c>
      <c r="E130" s="1" t="s">
        <v>503</v>
      </c>
      <c r="F130" s="1" t="s">
        <v>378</v>
      </c>
      <c r="G130" s="21">
        <v>25000000</v>
      </c>
      <c r="H130" s="21">
        <v>91035630.67207402</v>
      </c>
      <c r="I130" s="24">
        <v>0.27461774928603833</v>
      </c>
      <c r="J130" s="1">
        <v>2454</v>
      </c>
      <c r="K130" s="1">
        <v>4</v>
      </c>
      <c r="L130" s="1">
        <v>4</v>
      </c>
      <c r="M130" s="64"/>
      <c r="N130" s="65" t="n">
        <f>IF(ISNUMBER(M130),M130,H130)</f>
        <v>91035630.67207402</v>
      </c>
      <c r="O130" s="59" t="str">
        <f>IF(ISNUMBER(M130),"Owner editorial estimate","Original model estimate")</f>
        <v>Original model estimate</v>
      </c>
      <c r="P130" s="66" t="n">
        <f>RANK(N130,$N$2:$N$151,0)</f>
        <v>129</v>
      </c>
    </row>
    <row r="131" spans="1:12" ht="24" customHeight="1" x14ac:dyDescent="0.35">
      <c r="A131" s="5" t="s">
        <v>504</v>
      </c>
      <c r="B131" s="5" t="s">
        <v>96</v>
      </c>
      <c r="C131" s="5" t="s">
        <v>354</v>
      </c>
      <c r="D131" s="5">
        <v>26</v>
      </c>
      <c r="E131" s="5" t="s">
        <v>448</v>
      </c>
      <c r="F131" s="5" t="s">
        <v>353</v>
      </c>
      <c r="G131" s="20">
        <v>30000000</v>
      </c>
      <c r="H131" s="20">
        <v>91033635.723345652</v>
      </c>
      <c r="I131" s="25">
        <v>0.32954852084751429</v>
      </c>
      <c r="J131" s="5">
        <v>1735</v>
      </c>
      <c r="K131" s="5">
        <v>15</v>
      </c>
      <c r="L131" s="5">
        <v>2</v>
      </c>
      <c r="M131" s="64"/>
      <c r="N131" s="65" t="n">
        <f>IF(ISNUMBER(M131),M131,H131)</f>
        <v>91033635.72334565</v>
      </c>
      <c r="O131" s="59" t="str">
        <f>IF(ISNUMBER(M131),"Owner editorial estimate","Original model estimate")</f>
        <v>Original model estimate</v>
      </c>
      <c r="P131" s="66" t="n">
        <f>RANK(N131,$N$2:$N$151,0)</f>
        <v>130</v>
      </c>
    </row>
    <row r="132" spans="1:12" ht="24" customHeight="1" x14ac:dyDescent="0.35">
      <c r="A132" s="1" t="s">
        <v>505</v>
      </c>
      <c r="B132" s="1" t="s">
        <v>96</v>
      </c>
      <c r="C132" s="1" t="s">
        <v>370</v>
      </c>
      <c r="D132" s="1">
        <v>25</v>
      </c>
      <c r="E132" s="1" t="s">
        <v>372</v>
      </c>
      <c r="F132" s="1" t="s">
        <v>356</v>
      </c>
      <c r="G132" s="21">
        <v>45000000</v>
      </c>
      <c r="H132" s="21">
        <v>90792518.240347549</v>
      </c>
      <c r="I132" s="24">
        <v>0.49563555315070362</v>
      </c>
      <c r="J132" s="1">
        <v>2267</v>
      </c>
      <c r="K132" s="1">
        <v>11</v>
      </c>
      <c r="L132" s="1">
        <v>7</v>
      </c>
      <c r="M132" s="64"/>
      <c r="N132" s="65" t="n">
        <f>IF(ISNUMBER(M132),M132,H132)</f>
        <v>90792518.24034755</v>
      </c>
      <c r="O132" s="59" t="str">
        <f>IF(ISNUMBER(M132),"Owner editorial estimate","Original model estimate")</f>
        <v>Original model estimate</v>
      </c>
      <c r="P132" s="66" t="n">
        <f>RANK(N132,$N$2:$N$151,0)</f>
        <v>131</v>
      </c>
    </row>
    <row r="133" spans="1:12" ht="24" customHeight="1" x14ac:dyDescent="0.35">
      <c r="A133" s="5" t="s">
        <v>506</v>
      </c>
      <c r="B133" s="5" t="s">
        <v>96</v>
      </c>
      <c r="C133" s="5" t="s">
        <v>354</v>
      </c>
      <c r="D133" s="5">
        <v>27</v>
      </c>
      <c r="E133" s="5" t="s">
        <v>371</v>
      </c>
      <c r="F133" s="5" t="s">
        <v>360</v>
      </c>
      <c r="G133" s="20">
        <v>18000000</v>
      </c>
      <c r="H133" s="20">
        <v>90574246.918017507</v>
      </c>
      <c r="I133" s="25">
        <v>0.1987319863260088</v>
      </c>
      <c r="J133" s="5">
        <v>2809</v>
      </c>
      <c r="K133" s="5">
        <v>15</v>
      </c>
      <c r="L133" s="5">
        <v>4</v>
      </c>
      <c r="M133" s="64"/>
      <c r="N133" s="65" t="n">
        <f>IF(ISNUMBER(M133),M133,H133)</f>
        <v>90574246.9180175</v>
      </c>
      <c r="O133" s="59" t="str">
        <f>IF(ISNUMBER(M133),"Owner editorial estimate","Original model estimate")</f>
        <v>Original model estimate</v>
      </c>
      <c r="P133" s="66" t="n">
        <f>RANK(N133,$N$2:$N$151,0)</f>
        <v>132</v>
      </c>
    </row>
    <row r="134" spans="1:12" ht="24" customHeight="1" x14ac:dyDescent="0.35">
      <c r="A134" s="1" t="s">
        <v>507</v>
      </c>
      <c r="B134" s="1" t="s">
        <v>96</v>
      </c>
      <c r="C134" s="1" t="s">
        <v>354</v>
      </c>
      <c r="D134" s="1">
        <v>24</v>
      </c>
      <c r="E134" s="1" t="s">
        <v>508</v>
      </c>
      <c r="F134" s="1" t="s">
        <v>359</v>
      </c>
      <c r="G134" s="21">
        <v>35000000</v>
      </c>
      <c r="H134" s="21">
        <v>90571885.241598323</v>
      </c>
      <c r="I134" s="24">
        <v>0.38643338279465361</v>
      </c>
      <c r="J134" s="1">
        <v>1926</v>
      </c>
      <c r="K134" s="1">
        <v>14</v>
      </c>
      <c r="L134" s="1">
        <v>1</v>
      </c>
      <c r="M134" s="64"/>
      <c r="N134" s="65" t="n">
        <f>IF(ISNUMBER(M134),M134,H134)</f>
        <v>90571885.24159832</v>
      </c>
      <c r="O134" s="59" t="str">
        <f>IF(ISNUMBER(M134),"Owner editorial estimate","Original model estimate")</f>
        <v>Original model estimate</v>
      </c>
      <c r="P134" s="66" t="n">
        <f>RANK(N134,$N$2:$N$151,0)</f>
        <v>133</v>
      </c>
    </row>
    <row r="135" spans="1:12" ht="24" customHeight="1" x14ac:dyDescent="0.35">
      <c r="A135" s="5" t="s">
        <v>509</v>
      </c>
      <c r="B135" s="5" t="s">
        <v>93</v>
      </c>
      <c r="C135" s="5" t="s">
        <v>381</v>
      </c>
      <c r="D135" s="5">
        <v>26</v>
      </c>
      <c r="E135" s="5" t="s">
        <v>510</v>
      </c>
      <c r="F135" s="5" t="s">
        <v>353</v>
      </c>
      <c r="G135" s="20">
        <v>9000000</v>
      </c>
      <c r="H135" s="20">
        <v>90455298.084901541</v>
      </c>
      <c r="I135" s="25">
        <v>9.9496659571588389E-2</v>
      </c>
      <c r="J135" s="5">
        <v>2809</v>
      </c>
      <c r="K135" s="5">
        <v>0</v>
      </c>
      <c r="L135" s="5">
        <v>3</v>
      </c>
      <c r="M135" s="64"/>
      <c r="N135" s="65" t="n">
        <f>IF(ISNUMBER(M135),M135,H135)</f>
        <v>90455298.08490154</v>
      </c>
      <c r="O135" s="59" t="str">
        <f>IF(ISNUMBER(M135),"Owner editorial estimate","Original model estimate")</f>
        <v>Original model estimate</v>
      </c>
      <c r="P135" s="66" t="n">
        <f>RANK(N135,$N$2:$N$151,0)</f>
        <v>134</v>
      </c>
    </row>
    <row r="136" spans="1:12" ht="24" customHeight="1" x14ac:dyDescent="0.35">
      <c r="A136" s="1" t="s">
        <v>511</v>
      </c>
      <c r="B136" s="1" t="s">
        <v>96</v>
      </c>
      <c r="C136" s="1" t="s">
        <v>512</v>
      </c>
      <c r="D136" s="1">
        <v>25</v>
      </c>
      <c r="E136" s="1" t="s">
        <v>368</v>
      </c>
      <c r="F136" s="1" t="s">
        <v>353</v>
      </c>
      <c r="G136" s="21">
        <v>24000000</v>
      </c>
      <c r="H136" s="21">
        <v>90395707.105357498</v>
      </c>
      <c r="I136" s="24">
        <v>0.26549933363569639</v>
      </c>
      <c r="J136" s="1">
        <v>2796</v>
      </c>
      <c r="K136" s="1">
        <v>9</v>
      </c>
      <c r="L136" s="1">
        <v>7</v>
      </c>
      <c r="M136" s="64"/>
      <c r="N136" s="65" t="n">
        <f>IF(ISNUMBER(M136),M136,H136)</f>
        <v>90395707.1053575</v>
      </c>
      <c r="O136" s="59" t="str">
        <f>IF(ISNUMBER(M136),"Owner editorial estimate","Original model estimate")</f>
        <v>Original model estimate</v>
      </c>
      <c r="P136" s="66" t="n">
        <f>RANK(N136,$N$2:$N$151,0)</f>
        <v>135</v>
      </c>
    </row>
    <row r="137" spans="1:12" ht="24" customHeight="1" x14ac:dyDescent="0.35">
      <c r="A137" s="5" t="s">
        <v>97</v>
      </c>
      <c r="B137" s="5" t="s">
        <v>96</v>
      </c>
      <c r="C137" s="5" t="s">
        <v>354</v>
      </c>
      <c r="D137" s="5">
        <v>29</v>
      </c>
      <c r="E137" s="5" t="s">
        <v>365</v>
      </c>
      <c r="F137" s="5" t="s">
        <v>359</v>
      </c>
      <c r="G137" s="20">
        <v>100000000</v>
      </c>
      <c r="H137" s="20">
        <v>90228427.782980964</v>
      </c>
      <c r="I137" s="25">
        <v>1.108298154551931</v>
      </c>
      <c r="J137" s="5">
        <v>1924</v>
      </c>
      <c r="K137" s="5">
        <v>20</v>
      </c>
      <c r="L137" s="5">
        <v>9</v>
      </c>
      <c r="M137" s="64"/>
      <c r="N137" s="65" t="n">
        <f>IF(ISNUMBER(M137),M137,H137)</f>
        <v>90228427.78298096</v>
      </c>
      <c r="O137" s="59" t="str">
        <f>IF(ISNUMBER(M137),"Owner editorial estimate","Original model estimate")</f>
        <v>Original model estimate</v>
      </c>
      <c r="P137" s="66" t="n">
        <f>RANK(N137,$N$2:$N$151,0)</f>
        <v>136</v>
      </c>
    </row>
    <row r="138" spans="1:12" ht="24" customHeight="1" x14ac:dyDescent="0.35">
      <c r="A138" s="1" t="s">
        <v>267</v>
      </c>
      <c r="B138" s="1" t="s">
        <v>93</v>
      </c>
      <c r="C138" s="1" t="s">
        <v>381</v>
      </c>
      <c r="D138" s="1">
        <v>28</v>
      </c>
      <c r="E138" s="1" t="s">
        <v>377</v>
      </c>
      <c r="F138" s="1" t="s">
        <v>378</v>
      </c>
      <c r="G138" s="21">
        <v>14000000</v>
      </c>
      <c r="H138" s="21">
        <v>90175106.353834033</v>
      </c>
      <c r="I138" s="24">
        <v>0.15525349030436439</v>
      </c>
      <c r="J138" s="1">
        <v>2677</v>
      </c>
      <c r="K138" s="1">
        <v>2</v>
      </c>
      <c r="L138" s="1">
        <v>1</v>
      </c>
      <c r="M138" s="64"/>
      <c r="N138" s="65" t="n">
        <f>IF(ISNUMBER(M138),M138,H138)</f>
        <v>90175106.35383403</v>
      </c>
      <c r="O138" s="59" t="str">
        <f>IF(ISNUMBER(M138),"Owner editorial estimate","Original model estimate")</f>
        <v>Original model estimate</v>
      </c>
      <c r="P138" s="66" t="n">
        <f>RANK(N138,$N$2:$N$151,0)</f>
        <v>137</v>
      </c>
    </row>
    <row r="139" spans="1:12" ht="24" customHeight="1" x14ac:dyDescent="0.35">
      <c r="A139" s="5" t="s">
        <v>513</v>
      </c>
      <c r="B139" s="5" t="s">
        <v>93</v>
      </c>
      <c r="C139" s="5" t="s">
        <v>464</v>
      </c>
      <c r="D139" s="5">
        <v>22</v>
      </c>
      <c r="E139" s="5" t="s">
        <v>508</v>
      </c>
      <c r="F139" s="5" t="s">
        <v>359</v>
      </c>
      <c r="G139" s="20">
        <v>25000000</v>
      </c>
      <c r="H139" s="20">
        <v>90038245.443827853</v>
      </c>
      <c r="I139" s="25">
        <v>0.27765978642483369</v>
      </c>
      <c r="J139" s="5">
        <v>1948</v>
      </c>
      <c r="K139" s="5">
        <v>4</v>
      </c>
      <c r="L139" s="5">
        <v>7</v>
      </c>
      <c r="M139" s="64"/>
      <c r="N139" s="65" t="n">
        <f>IF(ISNUMBER(M139),M139,H139)</f>
        <v>90038245.44382785</v>
      </c>
      <c r="O139" s="59" t="str">
        <f>IF(ISNUMBER(M139),"Owner editorial estimate","Original model estimate")</f>
        <v>Original model estimate</v>
      </c>
      <c r="P139" s="66" t="n">
        <f>RANK(N139,$N$2:$N$151,0)</f>
        <v>138</v>
      </c>
    </row>
    <row r="140" spans="1:12" ht="24" customHeight="1" x14ac:dyDescent="0.35">
      <c r="A140" s="1" t="s">
        <v>514</v>
      </c>
      <c r="B140" s="1" t="s">
        <v>96</v>
      </c>
      <c r="C140" s="1" t="s">
        <v>352</v>
      </c>
      <c r="D140" s="1">
        <v>24</v>
      </c>
      <c r="E140" s="1" t="s">
        <v>380</v>
      </c>
      <c r="F140" s="1" t="s">
        <v>353</v>
      </c>
      <c r="G140" s="21">
        <v>15000000</v>
      </c>
      <c r="H140" s="21">
        <v>90035188.504520074</v>
      </c>
      <c r="I140" s="24">
        <v>0.1666015282374507</v>
      </c>
      <c r="J140" s="1">
        <v>1419</v>
      </c>
      <c r="K140" s="1">
        <v>7</v>
      </c>
      <c r="L140" s="1">
        <v>3</v>
      </c>
      <c r="M140" s="64"/>
      <c r="N140" s="65" t="n">
        <f>IF(ISNUMBER(M140),M140,H140)</f>
        <v>90035188.50452007</v>
      </c>
      <c r="O140" s="59" t="str">
        <f>IF(ISNUMBER(M140),"Owner editorial estimate","Original model estimate")</f>
        <v>Original model estimate</v>
      </c>
      <c r="P140" s="66" t="n">
        <f>RANK(N140,$N$2:$N$151,0)</f>
        <v>139</v>
      </c>
    </row>
    <row r="141" spans="1:12" ht="24" customHeight="1" x14ac:dyDescent="0.35">
      <c r="A141" s="5" t="s">
        <v>515</v>
      </c>
      <c r="B141" s="5" t="s">
        <v>96</v>
      </c>
      <c r="C141" s="5" t="s">
        <v>352</v>
      </c>
      <c r="D141" s="5">
        <v>27</v>
      </c>
      <c r="E141" s="5" t="s">
        <v>114</v>
      </c>
      <c r="F141" s="5" t="s">
        <v>360</v>
      </c>
      <c r="G141" s="20">
        <v>35000000</v>
      </c>
      <c r="H141" s="20">
        <v>90026178.349420518</v>
      </c>
      <c r="I141" s="25">
        <v>0.38877580545687229</v>
      </c>
      <c r="J141" s="5">
        <v>2358</v>
      </c>
      <c r="K141" s="5">
        <v>7</v>
      </c>
      <c r="L141" s="5">
        <v>10</v>
      </c>
      <c r="M141" s="64"/>
      <c r="N141" s="65" t="n">
        <f>IF(ISNUMBER(M141),M141,H141)</f>
        <v>90026178.34942052</v>
      </c>
      <c r="O141" s="59" t="str">
        <f>IF(ISNUMBER(M141),"Owner editorial estimate","Original model estimate")</f>
        <v>Original model estimate</v>
      </c>
      <c r="P141" s="66" t="n">
        <f>RANK(N141,$N$2:$N$151,0)</f>
        <v>140</v>
      </c>
    </row>
    <row r="142" spans="1:12" ht="24" customHeight="1" x14ac:dyDescent="0.35">
      <c r="A142" s="1" t="s">
        <v>516</v>
      </c>
      <c r="B142" s="1" t="s">
        <v>96</v>
      </c>
      <c r="C142" s="1" t="s">
        <v>370</v>
      </c>
      <c r="D142" s="1">
        <v>26</v>
      </c>
      <c r="E142" s="1" t="s">
        <v>358</v>
      </c>
      <c r="F142" s="1" t="s">
        <v>359</v>
      </c>
      <c r="G142" s="21">
        <v>35000000</v>
      </c>
      <c r="H142" s="21">
        <v>89856624.941144258</v>
      </c>
      <c r="I142" s="24">
        <v>0.38950939925603562</v>
      </c>
      <c r="J142" s="1">
        <v>2523</v>
      </c>
      <c r="K142" s="1">
        <v>10</v>
      </c>
      <c r="L142" s="1">
        <v>7</v>
      </c>
      <c r="M142" s="64"/>
      <c r="N142" s="65" t="n">
        <f>IF(ISNUMBER(M142),M142,H142)</f>
        <v>89856624.94114426</v>
      </c>
      <c r="O142" s="59" t="str">
        <f>IF(ISNUMBER(M142),"Owner editorial estimate","Original model estimate")</f>
        <v>Original model estimate</v>
      </c>
      <c r="P142" s="66" t="n">
        <f>RANK(N142,$N$2:$N$151,0)</f>
        <v>141</v>
      </c>
    </row>
    <row r="143" spans="1:12" ht="24" customHeight="1" x14ac:dyDescent="0.35">
      <c r="A143" s="5" t="s">
        <v>517</v>
      </c>
      <c r="B143" s="5" t="s">
        <v>93</v>
      </c>
      <c r="C143" s="5" t="s">
        <v>381</v>
      </c>
      <c r="D143" s="5">
        <v>25</v>
      </c>
      <c r="E143" s="5" t="s">
        <v>119</v>
      </c>
      <c r="F143" s="5" t="s">
        <v>353</v>
      </c>
      <c r="G143" s="20">
        <v>25000000</v>
      </c>
      <c r="H143" s="20">
        <v>89799151.089559853</v>
      </c>
      <c r="I143" s="25">
        <v>0.27839906832823641</v>
      </c>
      <c r="J143" s="5">
        <v>3115</v>
      </c>
      <c r="K143" s="5">
        <v>0</v>
      </c>
      <c r="L143" s="5">
        <v>2</v>
      </c>
      <c r="M143" s="64"/>
      <c r="N143" s="65" t="n">
        <f>IF(ISNUMBER(M143),M143,H143)</f>
        <v>89799151.08955985</v>
      </c>
      <c r="O143" s="59" t="str">
        <f>IF(ISNUMBER(M143),"Owner editorial estimate","Original model estimate")</f>
        <v>Original model estimate</v>
      </c>
      <c r="P143" s="66" t="n">
        <f>RANK(N143,$N$2:$N$151,0)</f>
        <v>142</v>
      </c>
    </row>
    <row r="144" spans="1:12" ht="24" customHeight="1" x14ac:dyDescent="0.35">
      <c r="A144" s="1" t="s">
        <v>518</v>
      </c>
      <c r="B144" s="1" t="s">
        <v>93</v>
      </c>
      <c r="C144" s="1" t="s">
        <v>385</v>
      </c>
      <c r="D144" s="1">
        <v>26</v>
      </c>
      <c r="E144" s="1" t="s">
        <v>355</v>
      </c>
      <c r="F144" s="1" t="s">
        <v>356</v>
      </c>
      <c r="G144" s="21">
        <v>70000000</v>
      </c>
      <c r="H144" s="21">
        <v>89714964.415819064</v>
      </c>
      <c r="I144" s="24">
        <v>0.78024887437459867</v>
      </c>
      <c r="J144" s="1">
        <v>3033</v>
      </c>
      <c r="K144" s="1">
        <v>10</v>
      </c>
      <c r="L144" s="1">
        <v>7</v>
      </c>
      <c r="M144" s="64"/>
      <c r="N144" s="65" t="n">
        <f>IF(ISNUMBER(M144),M144,H144)</f>
        <v>89714964.41581906</v>
      </c>
      <c r="O144" s="59" t="str">
        <f>IF(ISNUMBER(M144),"Owner editorial estimate","Original model estimate")</f>
        <v>Original model estimate</v>
      </c>
      <c r="P144" s="66" t="n">
        <f>RANK(N144,$N$2:$N$151,0)</f>
        <v>143</v>
      </c>
    </row>
    <row r="145" spans="1:12" ht="24" customHeight="1" x14ac:dyDescent="0.35">
      <c r="A145" s="5" t="s">
        <v>519</v>
      </c>
      <c r="B145" s="5" t="s">
        <v>96</v>
      </c>
      <c r="C145" s="5" t="s">
        <v>354</v>
      </c>
      <c r="D145" s="5">
        <v>24</v>
      </c>
      <c r="E145" s="5" t="s">
        <v>520</v>
      </c>
      <c r="F145" s="5" t="s">
        <v>353</v>
      </c>
      <c r="G145" s="20">
        <v>35000000</v>
      </c>
      <c r="H145" s="20">
        <v>89678684.793901622</v>
      </c>
      <c r="I145" s="25">
        <v>0.39028226250682141</v>
      </c>
      <c r="J145" s="5">
        <v>2273</v>
      </c>
      <c r="K145" s="5">
        <v>9</v>
      </c>
      <c r="L145" s="5">
        <v>8</v>
      </c>
      <c r="M145" s="64"/>
      <c r="N145" s="65" t="n">
        <f>IF(ISNUMBER(M145),M145,H145)</f>
        <v>89678684.79390162</v>
      </c>
      <c r="O145" s="59" t="str">
        <f>IF(ISNUMBER(M145),"Owner editorial estimate","Original model estimate")</f>
        <v>Original model estimate</v>
      </c>
      <c r="P145" s="66" t="n">
        <f>RANK(N145,$N$2:$N$151,0)</f>
        <v>144</v>
      </c>
    </row>
    <row r="146" spans="1:12" ht="24" customHeight="1" x14ac:dyDescent="0.35">
      <c r="A146" s="1" t="s">
        <v>521</v>
      </c>
      <c r="B146" s="1" t="s">
        <v>93</v>
      </c>
      <c r="C146" s="1" t="s">
        <v>364</v>
      </c>
      <c r="D146" s="1">
        <v>23</v>
      </c>
      <c r="E146" s="1" t="s">
        <v>522</v>
      </c>
      <c r="F146" s="1" t="s">
        <v>356</v>
      </c>
      <c r="G146" s="21">
        <v>25000000</v>
      </c>
      <c r="H146" s="21">
        <v>89536941.890223175</v>
      </c>
      <c r="I146" s="24">
        <v>0.27921436082384038</v>
      </c>
      <c r="J146" s="1">
        <v>2553</v>
      </c>
      <c r="K146" s="1">
        <v>9</v>
      </c>
      <c r="L146" s="1">
        <v>1</v>
      </c>
      <c r="M146" s="64"/>
      <c r="N146" s="65" t="n">
        <f>IF(ISNUMBER(M146),M146,H146)</f>
        <v>89536941.89022318</v>
      </c>
      <c r="O146" s="59" t="str">
        <f>IF(ISNUMBER(M146),"Owner editorial estimate","Original model estimate")</f>
        <v>Original model estimate</v>
      </c>
      <c r="P146" s="66" t="n">
        <f>RANK(N146,$N$2:$N$151,0)</f>
        <v>145</v>
      </c>
    </row>
    <row r="147" spans="1:12" ht="24" customHeight="1" x14ac:dyDescent="0.35">
      <c r="A147" s="5" t="s">
        <v>523</v>
      </c>
      <c r="B147" s="5" t="s">
        <v>93</v>
      </c>
      <c r="C147" s="5" t="s">
        <v>381</v>
      </c>
      <c r="D147" s="5">
        <v>28</v>
      </c>
      <c r="E147" s="5" t="s">
        <v>524</v>
      </c>
      <c r="F147" s="5" t="s">
        <v>356</v>
      </c>
      <c r="G147" s="20">
        <v>25000000</v>
      </c>
      <c r="H147" s="20">
        <v>89498255.960097492</v>
      </c>
      <c r="I147" s="25">
        <v>0.27933505219527588</v>
      </c>
      <c r="J147" s="5">
        <v>2948</v>
      </c>
      <c r="K147" s="5">
        <v>0</v>
      </c>
      <c r="L147" s="5">
        <v>1</v>
      </c>
      <c r="M147" s="64"/>
      <c r="N147" s="65" t="n">
        <f>IF(ISNUMBER(M147),M147,H147)</f>
        <v>89498255.96009749</v>
      </c>
      <c r="O147" s="59" t="str">
        <f>IF(ISNUMBER(M147),"Owner editorial estimate","Original model estimate")</f>
        <v>Original model estimate</v>
      </c>
      <c r="P147" s="66" t="n">
        <f>RANK(N147,$N$2:$N$151,0)</f>
        <v>146</v>
      </c>
    </row>
    <row r="148" spans="1:12" ht="24" customHeight="1" x14ac:dyDescent="0.35">
      <c r="A148" s="1" t="s">
        <v>525</v>
      </c>
      <c r="B148" s="1" t="s">
        <v>93</v>
      </c>
      <c r="C148" s="1" t="s">
        <v>381</v>
      </c>
      <c r="D148" s="1">
        <v>24</v>
      </c>
      <c r="E148" s="1" t="s">
        <v>526</v>
      </c>
      <c r="F148" s="1" t="s">
        <v>359</v>
      </c>
      <c r="G148" s="21">
        <v>30000000</v>
      </c>
      <c r="H148" s="21">
        <v>89333726.546941906</v>
      </c>
      <c r="I148" s="24">
        <v>0.33581941736457172</v>
      </c>
      <c r="J148" s="1">
        <v>2892</v>
      </c>
      <c r="K148" s="1">
        <v>2</v>
      </c>
      <c r="L148" s="1">
        <v>3</v>
      </c>
      <c r="M148" s="64"/>
      <c r="N148" s="65" t="n">
        <f>IF(ISNUMBER(M148),M148,H148)</f>
        <v>89333726.5469419</v>
      </c>
      <c r="O148" s="59" t="str">
        <f>IF(ISNUMBER(M148),"Owner editorial estimate","Original model estimate")</f>
        <v>Original model estimate</v>
      </c>
      <c r="P148" s="66" t="n">
        <f>RANK(N148,$N$2:$N$151,0)</f>
        <v>147</v>
      </c>
    </row>
    <row r="149" spans="1:12" ht="24" customHeight="1" x14ac:dyDescent="0.35">
      <c r="A149" s="5" t="s">
        <v>527</v>
      </c>
      <c r="B149" s="5" t="s">
        <v>96</v>
      </c>
      <c r="C149" s="5" t="s">
        <v>352</v>
      </c>
      <c r="D149" s="5">
        <v>27</v>
      </c>
      <c r="E149" s="5" t="s">
        <v>368</v>
      </c>
      <c r="F149" s="5" t="s">
        <v>353</v>
      </c>
      <c r="G149" s="20">
        <v>10000000</v>
      </c>
      <c r="H149" s="20">
        <v>89297476.097835943</v>
      </c>
      <c r="I149" s="25">
        <v>0.1119852479261991</v>
      </c>
      <c r="J149" s="5">
        <v>3101</v>
      </c>
      <c r="K149" s="5">
        <v>3</v>
      </c>
      <c r="L149" s="5">
        <v>7</v>
      </c>
      <c r="M149" s="64"/>
      <c r="N149" s="65" t="n">
        <f>IF(ISNUMBER(M149),M149,H149)</f>
        <v>89297476.09783594</v>
      </c>
      <c r="O149" s="59" t="str">
        <f>IF(ISNUMBER(M149),"Owner editorial estimate","Original model estimate")</f>
        <v>Original model estimate</v>
      </c>
      <c r="P149" s="66" t="n">
        <f>RANK(N149,$N$2:$N$151,0)</f>
        <v>148</v>
      </c>
    </row>
    <row r="150" spans="1:12" ht="24" customHeight="1" x14ac:dyDescent="0.35">
      <c r="A150" s="1" t="s">
        <v>528</v>
      </c>
      <c r="B150" s="1" t="s">
        <v>93</v>
      </c>
      <c r="C150" s="1" t="s">
        <v>364</v>
      </c>
      <c r="D150" s="1">
        <v>24</v>
      </c>
      <c r="E150" s="1" t="s">
        <v>529</v>
      </c>
      <c r="F150" s="1" t="s">
        <v>353</v>
      </c>
      <c r="G150" s="21">
        <v>20000000</v>
      </c>
      <c r="H150" s="21">
        <v>89147615.349369466</v>
      </c>
      <c r="I150" s="24">
        <v>0.22434699931815349</v>
      </c>
      <c r="J150" s="1">
        <v>2577</v>
      </c>
      <c r="K150" s="1">
        <v>0</v>
      </c>
      <c r="L150" s="1">
        <v>4</v>
      </c>
      <c r="M150" s="64"/>
      <c r="N150" s="65" t="n">
        <f>IF(ISNUMBER(M150),M150,H150)</f>
        <v>89147615.34936947</v>
      </c>
      <c r="O150" s="59" t="str">
        <f>IF(ISNUMBER(M150),"Owner editorial estimate","Original model estimate")</f>
        <v>Original model estimate</v>
      </c>
      <c r="P150" s="66" t="n">
        <f>RANK(N150,$N$2:$N$151,0)</f>
        <v>149</v>
      </c>
    </row>
    <row r="151" spans="1:12" ht="24" customHeight="1" x14ac:dyDescent="0.35">
      <c r="A151" s="5" t="s">
        <v>118</v>
      </c>
      <c r="B151" s="5" t="s">
        <v>96</v>
      </c>
      <c r="C151" s="5" t="s">
        <v>370</v>
      </c>
      <c r="D151" s="5">
        <v>20</v>
      </c>
      <c r="E151" s="5" t="s">
        <v>119</v>
      </c>
      <c r="F151" s="5" t="s">
        <v>353</v>
      </c>
      <c r="G151" s="20">
        <v>90000000</v>
      </c>
      <c r="H151" s="20">
        <v>88988188.708747312</v>
      </c>
      <c r="I151" s="25">
        <v>1.0113701751427291</v>
      </c>
      <c r="J151" s="5">
        <v>3165</v>
      </c>
      <c r="K151" s="5">
        <v>13</v>
      </c>
      <c r="L151" s="5">
        <v>11</v>
      </c>
      <c r="M151" s="64"/>
      <c r="N151" s="65" t="n">
        <f>IF(ISNUMBER(M151),M151,H151)</f>
        <v>88988188.70874731</v>
      </c>
      <c r="O151" s="59" t="str">
        <f>IF(ISNUMBER(M151),"Owner editorial estimate","Original model estimate")</f>
        <v>Original model estimate</v>
      </c>
      <c r="P151" s="66" t="n">
        <f>RANK(N151,$N$2:$N$151,0)</f>
        <v>150</v>
      </c>
    </row>
  </sheetData>
  <conditionalFormatting sqref="I2:I151">
    <cfRule type="colorScale" priority="1">
      <colorScale>
        <cfvo type="num" val="0.5"/>
        <cfvo type="num" val="1"/>
        <cfvo type="num" val="2"/>
        <color rgb="FFE6F3F2"/>
        <color rgb="FFF5F7FA"/>
        <color rgb="FFADC5D7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02A43"/>
  </sheetPr>
  <dimension ref="A1:H35"/>
  <sheetViews>
    <sheetView showGridLines="0" workbookViewId="0"/>
  </sheetViews>
  <sheetFormatPr defaultRowHeight="14.5" x14ac:dyDescent="0.35"/>
  <cols>
    <col min="1" max="1" width="76" customWidth="1"/>
    <col min="2" max="3" width="22" customWidth="1"/>
    <col min="4" max="8" width="13" customWidth="1"/>
  </cols>
  <sheetData>
    <row r="1" spans="1:8" ht="24" customHeight="1" x14ac:dyDescent="0.35">
      <c r="A1" s="1"/>
      <c r="B1" s="1"/>
      <c r="C1" s="1"/>
      <c r="D1" s="1"/>
      <c r="E1" s="1"/>
      <c r="F1" s="1"/>
      <c r="G1" s="1"/>
      <c r="H1" s="1"/>
    </row>
    <row r="2" spans="1:8" ht="38" customHeight="1" x14ac:dyDescent="0.35">
      <c r="A2" s="26" t="s">
        <v>530</v>
      </c>
      <c r="B2" s="1"/>
      <c r="C2" s="1"/>
      <c r="D2" s="1"/>
      <c r="E2" s="1"/>
      <c r="F2" s="1"/>
      <c r="G2" s="1"/>
      <c r="H2" s="1"/>
    </row>
    <row r="3" spans="1:8" ht="24" customHeight="1" x14ac:dyDescent="0.35">
      <c r="A3" s="37"/>
      <c r="B3" s="37"/>
      <c r="C3" s="37"/>
      <c r="D3" s="1"/>
      <c r="E3" s="1"/>
      <c r="F3" s="1"/>
      <c r="G3" s="1"/>
      <c r="H3" s="1"/>
    </row>
    <row r="4" spans="1:8" ht="24" customHeight="1" x14ac:dyDescent="0.35">
      <c r="A4" s="27" t="s">
        <v>531</v>
      </c>
      <c r="B4" s="1"/>
      <c r="C4" s="1"/>
      <c r="D4" s="1"/>
      <c r="E4" s="1"/>
      <c r="F4" s="1"/>
      <c r="G4" s="1"/>
      <c r="H4" s="1"/>
    </row>
    <row r="5" spans="1:8" ht="24" customHeight="1" x14ac:dyDescent="0.35">
      <c r="A5" s="1"/>
      <c r="B5" s="1"/>
      <c r="C5" s="1"/>
      <c r="D5" s="1"/>
      <c r="E5" s="1"/>
      <c r="F5" s="1"/>
      <c r="G5" s="1"/>
      <c r="H5" s="1"/>
    </row>
    <row r="6" spans="1:8" ht="38" customHeight="1" x14ac:dyDescent="0.35">
      <c r="A6" s="28" t="s">
        <v>532</v>
      </c>
      <c r="B6" s="28" t="s">
        <v>533</v>
      </c>
      <c r="C6" s="1"/>
      <c r="D6" s="1"/>
      <c r="E6" s="1"/>
      <c r="F6" s="1"/>
      <c r="G6" s="1"/>
      <c r="H6" s="1"/>
    </row>
    <row r="7" spans="1:8" ht="29" customHeight="1" x14ac:dyDescent="0.35">
      <c r="A7" s="1" t="s">
        <v>534</v>
      </c>
      <c r="B7" s="29">
        <f>SUM(B8:B10)</f>
        <v>1521</v>
      </c>
      <c r="C7" s="23"/>
      <c r="D7" s="1"/>
      <c r="E7" s="1"/>
      <c r="F7" s="1"/>
      <c r="G7" s="1"/>
      <c r="H7" s="1"/>
    </row>
    <row r="8" spans="1:8" ht="29" customHeight="1" x14ac:dyDescent="0.35">
      <c r="A8" s="5" t="s">
        <v>535</v>
      </c>
      <c r="B8" s="30">
        <f>ROWS(tblSummerNew[record_id])</f>
        <v>1475</v>
      </c>
      <c r="C8" s="23"/>
      <c r="D8" s="1"/>
      <c r="E8" s="1"/>
      <c r="F8" s="1"/>
      <c r="G8" s="1"/>
      <c r="H8" s="1"/>
    </row>
    <row r="9" spans="1:8" ht="29" customHeight="1" x14ac:dyDescent="0.35">
      <c r="A9" s="1" t="s">
        <v>536</v>
      </c>
      <c r="B9" s="29">
        <f>ROWS(tblSummerMatches[record_id])</f>
        <v>18</v>
      </c>
      <c r="C9" s="23"/>
      <c r="D9" s="1"/>
      <c r="E9" s="1"/>
      <c r="F9" s="1"/>
      <c r="G9" s="1"/>
      <c r="H9" s="1"/>
    </row>
    <row r="10" spans="1:8" ht="29" customHeight="1" x14ac:dyDescent="0.35">
      <c r="A10" s="5" t="s">
        <v>537</v>
      </c>
      <c r="B10" s="31">
        <f>ROWS(tblSummerReview[record_id])</f>
        <v>28</v>
      </c>
      <c r="C10" s="23"/>
      <c r="D10" s="1"/>
      <c r="E10" s="1"/>
      <c r="F10" s="1"/>
      <c r="G10" s="1"/>
      <c r="H10" s="1"/>
    </row>
    <row r="11" spans="1:8" ht="29" customHeight="1" x14ac:dyDescent="0.35">
      <c r="A11" s="1" t="s">
        <v>538</v>
      </c>
      <c r="B11" s="29">
        <f>COUNTIFS(tblSummerNew[fee_status],"Reported fee")</f>
        <v>480</v>
      </c>
      <c r="C11" s="23"/>
      <c r="D11" s="1"/>
      <c r="E11" s="1"/>
      <c r="F11" s="1"/>
      <c r="G11" s="1"/>
      <c r="H11" s="1"/>
    </row>
    <row r="12" spans="1:8" ht="29" customHeight="1" x14ac:dyDescent="0.35">
      <c r="A12" s="5" t="s">
        <v>539</v>
      </c>
      <c r="B12" s="31">
        <f>COUNTIF(tblFeeComponents[component],"Loan fee")</f>
        <v>7</v>
      </c>
      <c r="C12" s="23"/>
      <c r="D12" s="1"/>
      <c r="E12" s="1"/>
      <c r="F12" s="1"/>
      <c r="G12" s="1"/>
      <c r="H12" s="1"/>
    </row>
    <row r="13" spans="1:8" ht="29" customHeight="1" x14ac:dyDescent="0.35">
      <c r="A13" s="1" t="s">
        <v>540</v>
      </c>
      <c r="B13" s="29">
        <f>ROWS(tblFeeComponents[record_id])</f>
        <v>69</v>
      </c>
      <c r="C13" s="23"/>
      <c r="D13" s="1"/>
      <c r="E13" s="1"/>
      <c r="F13" s="1"/>
      <c r="G13" s="1"/>
      <c r="H13" s="1"/>
    </row>
    <row r="14" spans="1:8" ht="24" customHeight="1" x14ac:dyDescent="0.35">
      <c r="A14" s="1"/>
      <c r="B14" s="23"/>
      <c r="C14" s="23"/>
      <c r="D14" s="1"/>
      <c r="E14" s="1"/>
      <c r="F14" s="1"/>
      <c r="G14" s="1"/>
      <c r="H14" s="1"/>
    </row>
    <row r="15" spans="1:8" ht="24" customHeight="1" x14ac:dyDescent="0.35">
      <c r="A15" s="1"/>
      <c r="B15" s="23"/>
      <c r="C15" s="23"/>
      <c r="D15" s="1"/>
      <c r="E15" s="1"/>
      <c r="F15" s="1"/>
      <c r="G15" s="1"/>
      <c r="H15" s="1"/>
    </row>
    <row r="16" spans="1:8" ht="38" customHeight="1" x14ac:dyDescent="0.35">
      <c r="A16" s="28" t="s">
        <v>541</v>
      </c>
      <c r="B16" s="32" t="s">
        <v>542</v>
      </c>
      <c r="C16" s="32" t="s">
        <v>543</v>
      </c>
      <c r="D16" s="1"/>
      <c r="E16" s="1"/>
      <c r="F16" s="1"/>
      <c r="G16" s="1"/>
      <c r="H16" s="1"/>
    </row>
    <row r="17" spans="1:8" ht="27" customHeight="1" x14ac:dyDescent="0.35">
      <c r="A17" s="1" t="s">
        <v>544</v>
      </c>
      <c r="B17" s="23">
        <f>COUNTIF(tblSummerNew[to_league],A17)</f>
        <v>161</v>
      </c>
      <c r="C17" s="23">
        <f>COUNTIF(tblSummerNew[from_league],A17)</f>
        <v>346</v>
      </c>
      <c r="D17" s="1"/>
      <c r="E17" s="1"/>
      <c r="F17" s="1"/>
      <c r="G17" s="1"/>
      <c r="H17" s="1"/>
    </row>
    <row r="18" spans="1:8" ht="27" customHeight="1" x14ac:dyDescent="0.35">
      <c r="A18" s="5" t="s">
        <v>545</v>
      </c>
      <c r="B18" s="22">
        <f>COUNTIF(tblSummerNew[to_league],A18)</f>
        <v>141</v>
      </c>
      <c r="C18" s="22">
        <f>COUNTIF(tblSummerNew[from_league],A18)</f>
        <v>203</v>
      </c>
      <c r="D18" s="1"/>
      <c r="E18" s="1"/>
      <c r="F18" s="1"/>
      <c r="G18" s="1"/>
      <c r="H18" s="1"/>
    </row>
    <row r="19" spans="1:8" ht="27" customHeight="1" x14ac:dyDescent="0.35">
      <c r="A19" s="1" t="s">
        <v>546</v>
      </c>
      <c r="B19" s="23">
        <f>COUNTIF(tblSummerNew[to_league],A19)</f>
        <v>176</v>
      </c>
      <c r="C19" s="23">
        <f>COUNTIF(tblSummerNew[from_league],A19)</f>
        <v>288</v>
      </c>
      <c r="D19" s="1"/>
      <c r="E19" s="1"/>
      <c r="F19" s="1"/>
      <c r="G19" s="1"/>
      <c r="H19" s="1"/>
    </row>
    <row r="20" spans="1:8" ht="27" customHeight="1" x14ac:dyDescent="0.35">
      <c r="A20" s="5" t="s">
        <v>547</v>
      </c>
      <c r="B20" s="22">
        <f>COUNTIF(tblSummerNew[to_league],A20)</f>
        <v>136</v>
      </c>
      <c r="C20" s="22">
        <f>COUNTIF(tblSummerNew[from_league],A20)</f>
        <v>193</v>
      </c>
      <c r="D20" s="1"/>
      <c r="E20" s="1"/>
      <c r="F20" s="1"/>
      <c r="G20" s="1"/>
      <c r="H20" s="1"/>
    </row>
    <row r="21" spans="1:8" ht="27" customHeight="1" x14ac:dyDescent="0.35">
      <c r="A21" s="1" t="s">
        <v>548</v>
      </c>
      <c r="B21" s="23">
        <f>COUNTIF(tblSummerNew[to_league],A21)</f>
        <v>115</v>
      </c>
      <c r="C21" s="23">
        <f>COUNTIF(tblSummerNew[from_league],A21)</f>
        <v>144</v>
      </c>
      <c r="D21" s="1"/>
      <c r="E21" s="1"/>
      <c r="F21" s="1"/>
      <c r="G21" s="1"/>
      <c r="H21" s="1"/>
    </row>
    <row r="22" spans="1:8" ht="24" customHeight="1" x14ac:dyDescent="0.35">
      <c r="A22" s="1"/>
      <c r="B22" s="1"/>
      <c r="C22" s="1"/>
      <c r="D22" s="1"/>
      <c r="E22" s="1"/>
      <c r="F22" s="1"/>
      <c r="G22" s="1"/>
      <c r="H22" s="1"/>
    </row>
    <row r="23" spans="1:8" ht="24" customHeight="1" x14ac:dyDescent="0.35">
      <c r="A23" s="33" t="s">
        <v>549</v>
      </c>
      <c r="B23" s="1"/>
      <c r="C23" s="1"/>
      <c r="D23" s="1"/>
      <c r="E23" s="1"/>
      <c r="F23" s="1"/>
      <c r="G23" s="1"/>
      <c r="H23" s="1"/>
    </row>
    <row r="24" spans="1:8" ht="24" customHeight="1" x14ac:dyDescent="0.35">
      <c r="A24" s="1"/>
      <c r="B24" s="1"/>
      <c r="C24" s="1"/>
      <c r="D24" s="1"/>
      <c r="E24" s="1"/>
      <c r="F24" s="1"/>
      <c r="G24" s="1"/>
      <c r="H24" s="1"/>
    </row>
    <row r="25" spans="1:8" ht="24" customHeight="1" x14ac:dyDescent="0.35">
      <c r="A25" s="27" t="s">
        <v>550</v>
      </c>
      <c r="B25" s="1"/>
      <c r="C25" s="1"/>
      <c r="D25" s="1"/>
      <c r="E25" s="1"/>
      <c r="F25" s="1"/>
      <c r="G25" s="1"/>
      <c r="H25" s="1"/>
    </row>
    <row r="26" spans="1:8" ht="24" customHeight="1" x14ac:dyDescent="0.35">
      <c r="A26" s="27" t="s">
        <v>551</v>
      </c>
      <c r="B26" s="1"/>
      <c r="C26" s="1"/>
      <c r="D26" s="1"/>
      <c r="E26" s="1"/>
      <c r="F26" s="1"/>
      <c r="G26" s="1"/>
      <c r="H26" s="1"/>
    </row>
    <row r="27" spans="1:8" ht="24" customHeight="1" x14ac:dyDescent="0.35">
      <c r="A27" s="27" t="s">
        <v>552</v>
      </c>
      <c r="B27" s="1"/>
      <c r="C27" s="1"/>
      <c r="D27" s="1"/>
      <c r="E27" s="1"/>
      <c r="F27" s="1"/>
      <c r="G27" s="1"/>
      <c r="H27" s="1"/>
    </row>
    <row r="28" spans="1:8" ht="24" customHeight="1" x14ac:dyDescent="0.35">
      <c r="A28" s="27" t="s">
        <v>553</v>
      </c>
      <c r="B28" s="1"/>
      <c r="C28" s="1"/>
      <c r="D28" s="1"/>
      <c r="E28" s="1"/>
      <c r="F28" s="1"/>
      <c r="G28" s="1"/>
      <c r="H28" s="1"/>
    </row>
    <row r="29" spans="1:8" ht="24" customHeight="1" x14ac:dyDescent="0.35">
      <c r="A29" s="27" t="s">
        <v>554</v>
      </c>
      <c r="B29" s="1"/>
      <c r="C29" s="1"/>
      <c r="D29" s="1"/>
      <c r="E29" s="1"/>
      <c r="F29" s="1"/>
      <c r="G29" s="1"/>
      <c r="H29" s="1"/>
    </row>
    <row r="30" spans="1:8" ht="24" customHeight="1" x14ac:dyDescent="0.35">
      <c r="A30" s="34" t="s">
        <v>555</v>
      </c>
      <c r="B30" s="1"/>
      <c r="C30" s="1"/>
      <c r="D30" s="1"/>
      <c r="E30" s="1"/>
      <c r="F30" s="1"/>
      <c r="G30" s="1"/>
      <c r="H30" s="1"/>
    </row>
    <row r="31" spans="1:8" ht="24" customHeight="1" x14ac:dyDescent="0.35">
      <c r="A31" s="1"/>
      <c r="B31" s="1"/>
      <c r="C31" s="1"/>
      <c r="D31" s="1"/>
      <c r="E31" s="1"/>
      <c r="F31" s="1"/>
      <c r="G31" s="1"/>
      <c r="H31" s="1"/>
    </row>
    <row r="32" spans="1:8" ht="24" customHeight="1" x14ac:dyDescent="0.35">
      <c r="A32" s="2" t="s">
        <v>556</v>
      </c>
      <c r="B32" s="35" t="s">
        <v>557</v>
      </c>
      <c r="C32" s="1"/>
      <c r="D32" s="1"/>
      <c r="E32" s="1"/>
      <c r="F32" s="1"/>
      <c r="G32" s="1"/>
      <c r="H32" s="1"/>
    </row>
    <row r="33" spans="1:8" ht="24" customHeight="1" x14ac:dyDescent="0.35">
      <c r="A33" s="1"/>
      <c r="B33" s="1"/>
      <c r="C33" s="1"/>
      <c r="D33" s="1"/>
      <c r="E33" s="1"/>
      <c r="F33" s="1"/>
      <c r="G33" s="1"/>
      <c r="H33" s="1"/>
    </row>
    <row r="34" spans="1:8" ht="24" customHeight="1" x14ac:dyDescent="0.35">
      <c r="A34" s="1" t="s">
        <v>558</v>
      </c>
      <c r="B34" s="1"/>
      <c r="C34" s="1"/>
      <c r="D34" s="1"/>
      <c r="E34" s="1"/>
      <c r="F34" s="1"/>
      <c r="G34" s="1"/>
      <c r="H34" s="1"/>
    </row>
    <row r="35" spans="1:8" ht="24" customHeight="1" x14ac:dyDescent="0.35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87F5B"/>
  </sheetPr>
  <dimension ref="A1:T14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577</v>
      </c>
      <c r="B2" s="1" t="s">
        <v>279</v>
      </c>
      <c r="C2" s="1" t="s">
        <v>355</v>
      </c>
      <c r="D2" s="1" t="s">
        <v>130</v>
      </c>
      <c r="E2" s="10">
        <v>46233</v>
      </c>
      <c r="F2" s="1" t="s">
        <v>578</v>
      </c>
      <c r="G2" s="1" t="s">
        <v>579</v>
      </c>
      <c r="H2" s="23"/>
      <c r="I2" s="1" t="s">
        <v>580</v>
      </c>
      <c r="J2" s="1" t="s">
        <v>544</v>
      </c>
      <c r="K2" s="1" t="s">
        <v>546</v>
      </c>
      <c r="L2" s="1" t="s">
        <v>149</v>
      </c>
      <c r="M2" s="1" t="s">
        <v>581</v>
      </c>
      <c r="N2" s="1"/>
      <c r="O2" s="10"/>
      <c r="P2" s="23"/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583</v>
      </c>
      <c r="B3" s="5" t="s">
        <v>584</v>
      </c>
      <c r="C3" s="5" t="s">
        <v>585</v>
      </c>
      <c r="D3" s="5" t="s">
        <v>586</v>
      </c>
      <c r="E3" s="8">
        <v>46164</v>
      </c>
      <c r="F3" s="5" t="s">
        <v>587</v>
      </c>
      <c r="G3" s="5" t="s">
        <v>588</v>
      </c>
      <c r="H3" s="22">
        <v>2600000</v>
      </c>
      <c r="I3" s="5" t="s">
        <v>589</v>
      </c>
      <c r="J3" s="5" t="s">
        <v>548</v>
      </c>
      <c r="K3" s="5" t="s">
        <v>590</v>
      </c>
      <c r="L3" s="5" t="s">
        <v>591</v>
      </c>
      <c r="M3" s="5" t="s">
        <v>581</v>
      </c>
      <c r="N3" s="5"/>
      <c r="O3" s="8"/>
      <c r="P3" s="22"/>
      <c r="Q3" s="5" t="s">
        <v>592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593</v>
      </c>
      <c r="B4" s="1" t="s">
        <v>594</v>
      </c>
      <c r="C4" s="1" t="s">
        <v>595</v>
      </c>
      <c r="D4" s="1" t="s">
        <v>596</v>
      </c>
      <c r="E4" s="10">
        <v>46164</v>
      </c>
      <c r="F4" s="1" t="s">
        <v>578</v>
      </c>
      <c r="G4" s="1" t="s">
        <v>579</v>
      </c>
      <c r="H4" s="23"/>
      <c r="I4" s="1" t="s">
        <v>580</v>
      </c>
      <c r="J4" s="1" t="s">
        <v>590</v>
      </c>
      <c r="K4" s="1" t="s">
        <v>548</v>
      </c>
      <c r="L4" s="1" t="s">
        <v>149</v>
      </c>
      <c r="M4" s="1" t="s">
        <v>581</v>
      </c>
      <c r="N4" s="1"/>
      <c r="O4" s="10"/>
      <c r="P4" s="23"/>
      <c r="Q4" s="1" t="s">
        <v>592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597</v>
      </c>
      <c r="B5" s="5" t="s">
        <v>598</v>
      </c>
      <c r="C5" s="5" t="s">
        <v>599</v>
      </c>
      <c r="D5" s="5" t="s">
        <v>600</v>
      </c>
      <c r="E5" s="8">
        <v>46162</v>
      </c>
      <c r="F5" s="5" t="s">
        <v>601</v>
      </c>
      <c r="G5" s="5" t="s">
        <v>602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581</v>
      </c>
      <c r="N5" s="5"/>
      <c r="O5" s="8"/>
      <c r="P5" s="22"/>
      <c r="Q5" s="5" t="s">
        <v>592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604</v>
      </c>
      <c r="B6" s="1" t="s">
        <v>605</v>
      </c>
      <c r="C6" s="1" t="s">
        <v>606</v>
      </c>
      <c r="D6" s="1" t="s">
        <v>607</v>
      </c>
      <c r="E6" s="10">
        <v>46170</v>
      </c>
      <c r="F6" s="1" t="s">
        <v>601</v>
      </c>
      <c r="G6" s="1" t="s">
        <v>602</v>
      </c>
      <c r="H6" s="23"/>
      <c r="I6" s="1" t="s">
        <v>603</v>
      </c>
      <c r="J6" s="1" t="s">
        <v>547</v>
      </c>
      <c r="K6" s="1" t="s">
        <v>547</v>
      </c>
      <c r="L6" s="1" t="s">
        <v>608</v>
      </c>
      <c r="M6" s="1" t="s">
        <v>581</v>
      </c>
      <c r="N6" s="1"/>
      <c r="O6" s="10"/>
      <c r="P6" s="23"/>
      <c r="Q6" s="1" t="s">
        <v>592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609</v>
      </c>
      <c r="B7" s="5" t="s">
        <v>610</v>
      </c>
      <c r="C7" s="5" t="s">
        <v>611</v>
      </c>
      <c r="D7" s="5" t="s">
        <v>186</v>
      </c>
      <c r="E7" s="8">
        <v>46204</v>
      </c>
      <c r="F7" s="5" t="s">
        <v>587</v>
      </c>
      <c r="G7" s="5" t="s">
        <v>588</v>
      </c>
      <c r="H7" s="22">
        <v>14700000</v>
      </c>
      <c r="I7" s="5" t="s">
        <v>589</v>
      </c>
      <c r="J7" s="5" t="s">
        <v>590</v>
      </c>
      <c r="K7" s="5" t="s">
        <v>547</v>
      </c>
      <c r="L7" s="5" t="s">
        <v>608</v>
      </c>
      <c r="M7" s="5" t="s">
        <v>581</v>
      </c>
      <c r="N7" s="5"/>
      <c r="O7" s="8"/>
      <c r="P7" s="22"/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612</v>
      </c>
      <c r="B8" s="1" t="s">
        <v>613</v>
      </c>
      <c r="C8" s="1" t="s">
        <v>599</v>
      </c>
      <c r="D8" s="1" t="s">
        <v>614</v>
      </c>
      <c r="E8" s="10">
        <v>46174</v>
      </c>
      <c r="F8" s="1" t="s">
        <v>587</v>
      </c>
      <c r="G8" s="1" t="s">
        <v>588</v>
      </c>
      <c r="H8" s="23">
        <v>6000000</v>
      </c>
      <c r="I8" s="1" t="s">
        <v>589</v>
      </c>
      <c r="J8" s="1" t="s">
        <v>544</v>
      </c>
      <c r="K8" s="1" t="s">
        <v>546</v>
      </c>
      <c r="L8" s="1" t="s">
        <v>172</v>
      </c>
      <c r="M8" s="1" t="s">
        <v>581</v>
      </c>
      <c r="N8" s="1"/>
      <c r="O8" s="10"/>
      <c r="P8" s="23"/>
      <c r="Q8" s="1"/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615</v>
      </c>
      <c r="B9" s="5" t="s">
        <v>616</v>
      </c>
      <c r="C9" s="5" t="s">
        <v>200</v>
      </c>
      <c r="D9" s="5" t="s">
        <v>617</v>
      </c>
      <c r="E9" s="8">
        <v>46142</v>
      </c>
      <c r="F9" s="5" t="s">
        <v>587</v>
      </c>
      <c r="G9" s="5" t="s">
        <v>588</v>
      </c>
      <c r="H9" s="22">
        <v>5200000</v>
      </c>
      <c r="I9" s="5" t="s">
        <v>589</v>
      </c>
      <c r="J9" s="5" t="s">
        <v>544</v>
      </c>
      <c r="K9" s="5" t="s">
        <v>590</v>
      </c>
      <c r="L9" s="5" t="s">
        <v>591</v>
      </c>
      <c r="M9" s="5" t="s">
        <v>581</v>
      </c>
      <c r="N9" s="5"/>
      <c r="O9" s="8"/>
      <c r="P9" s="22"/>
      <c r="Q9" s="5" t="s">
        <v>592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618</v>
      </c>
      <c r="B10" s="1" t="s">
        <v>619</v>
      </c>
      <c r="C10" s="1" t="s">
        <v>620</v>
      </c>
      <c r="D10" s="1" t="s">
        <v>215</v>
      </c>
      <c r="E10" s="10">
        <v>46174</v>
      </c>
      <c r="F10" s="1" t="s">
        <v>587</v>
      </c>
      <c r="G10" s="1" t="s">
        <v>588</v>
      </c>
      <c r="H10" s="23">
        <v>17800000</v>
      </c>
      <c r="I10" s="1" t="s">
        <v>589</v>
      </c>
      <c r="J10" s="1" t="s">
        <v>546</v>
      </c>
      <c r="K10" s="1" t="s">
        <v>590</v>
      </c>
      <c r="L10" s="1" t="s">
        <v>608</v>
      </c>
      <c r="M10" s="1" t="s">
        <v>581</v>
      </c>
      <c r="N10" s="1"/>
      <c r="O10" s="10"/>
      <c r="P10" s="23"/>
      <c r="Q10" s="1"/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621</v>
      </c>
      <c r="B11" s="5" t="s">
        <v>622</v>
      </c>
      <c r="C11" s="5" t="s">
        <v>623</v>
      </c>
      <c r="D11" s="5" t="s">
        <v>624</v>
      </c>
      <c r="E11" s="8">
        <v>46175</v>
      </c>
      <c r="F11" s="5" t="s">
        <v>578</v>
      </c>
      <c r="G11" s="5" t="s">
        <v>579</v>
      </c>
      <c r="H11" s="22"/>
      <c r="I11" s="5" t="s">
        <v>580</v>
      </c>
      <c r="J11" s="5" t="s">
        <v>590</v>
      </c>
      <c r="K11" s="5" t="s">
        <v>547</v>
      </c>
      <c r="L11" s="5" t="s">
        <v>608</v>
      </c>
      <c r="M11" s="5" t="s">
        <v>581</v>
      </c>
      <c r="N11" s="5"/>
      <c r="O11" s="8"/>
      <c r="P11" s="22"/>
      <c r="Q11" s="5"/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625</v>
      </c>
      <c r="B12" s="1" t="s">
        <v>626</v>
      </c>
      <c r="C12" s="1" t="s">
        <v>198</v>
      </c>
      <c r="D12" s="1" t="s">
        <v>627</v>
      </c>
      <c r="E12" s="10">
        <v>46176</v>
      </c>
      <c r="F12" s="1" t="s">
        <v>587</v>
      </c>
      <c r="G12" s="1" t="s">
        <v>588</v>
      </c>
      <c r="H12" s="23">
        <v>3900000</v>
      </c>
      <c r="I12" s="1" t="s">
        <v>589</v>
      </c>
      <c r="J12" s="1" t="s">
        <v>546</v>
      </c>
      <c r="K12" s="1" t="s">
        <v>545</v>
      </c>
      <c r="L12" s="1" t="s">
        <v>149</v>
      </c>
      <c r="M12" s="1" t="s">
        <v>581</v>
      </c>
      <c r="N12" s="1"/>
      <c r="O12" s="10"/>
      <c r="P12" s="23"/>
      <c r="Q12" s="1"/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628</v>
      </c>
      <c r="B13" s="5" t="s">
        <v>629</v>
      </c>
      <c r="C13" s="5" t="s">
        <v>184</v>
      </c>
      <c r="D13" s="5" t="s">
        <v>630</v>
      </c>
      <c r="E13" s="8">
        <v>46176</v>
      </c>
      <c r="F13" s="5" t="s">
        <v>587</v>
      </c>
      <c r="G13" s="5" t="s">
        <v>588</v>
      </c>
      <c r="H13" s="22">
        <v>4800000</v>
      </c>
      <c r="I13" s="5" t="s">
        <v>589</v>
      </c>
      <c r="J13" s="5" t="s">
        <v>590</v>
      </c>
      <c r="K13" s="5" t="s">
        <v>547</v>
      </c>
      <c r="L13" s="5" t="s">
        <v>591</v>
      </c>
      <c r="M13" s="5" t="s">
        <v>581</v>
      </c>
      <c r="N13" s="5"/>
      <c r="O13" s="8"/>
      <c r="P13" s="22"/>
      <c r="Q13" s="5" t="s">
        <v>631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632</v>
      </c>
      <c r="B14" s="1" t="s">
        <v>633</v>
      </c>
      <c r="C14" s="1" t="s">
        <v>184</v>
      </c>
      <c r="D14" s="1" t="s">
        <v>606</v>
      </c>
      <c r="E14" s="10">
        <v>46176</v>
      </c>
      <c r="F14" s="1" t="s">
        <v>587</v>
      </c>
      <c r="G14" s="1" t="s">
        <v>588</v>
      </c>
      <c r="H14" s="23">
        <v>8700000</v>
      </c>
      <c r="I14" s="1" t="s">
        <v>589</v>
      </c>
      <c r="J14" s="1" t="s">
        <v>590</v>
      </c>
      <c r="K14" s="1" t="s">
        <v>547</v>
      </c>
      <c r="L14" s="1" t="s">
        <v>591</v>
      </c>
      <c r="M14" s="1" t="s">
        <v>581</v>
      </c>
      <c r="N14" s="1"/>
      <c r="O14" s="10"/>
      <c r="P14" s="23"/>
      <c r="Q14" s="1"/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634</v>
      </c>
      <c r="B15" s="5" t="s">
        <v>635</v>
      </c>
      <c r="C15" s="5" t="s">
        <v>636</v>
      </c>
      <c r="D15" s="5" t="s">
        <v>627</v>
      </c>
      <c r="E15" s="8">
        <v>46171</v>
      </c>
      <c r="F15" s="5" t="s">
        <v>587</v>
      </c>
      <c r="G15" s="5" t="s">
        <v>588</v>
      </c>
      <c r="H15" s="22">
        <v>870000</v>
      </c>
      <c r="I15" s="5" t="s">
        <v>589</v>
      </c>
      <c r="J15" s="5" t="s">
        <v>590</v>
      </c>
      <c r="K15" s="5" t="s">
        <v>545</v>
      </c>
      <c r="L15" s="5" t="s">
        <v>608</v>
      </c>
      <c r="M15" s="5" t="s">
        <v>581</v>
      </c>
      <c r="N15" s="5"/>
      <c r="O15" s="8"/>
      <c r="P15" s="22"/>
      <c r="Q15" s="5" t="s">
        <v>592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637</v>
      </c>
      <c r="B16" s="1" t="s">
        <v>638</v>
      </c>
      <c r="C16" s="1" t="s">
        <v>639</v>
      </c>
      <c r="D16" s="1" t="s">
        <v>103</v>
      </c>
      <c r="E16" s="10">
        <v>46174</v>
      </c>
      <c r="F16" s="1" t="s">
        <v>587</v>
      </c>
      <c r="G16" s="1" t="s">
        <v>588</v>
      </c>
      <c r="H16" s="23">
        <v>21600000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581</v>
      </c>
      <c r="N16" s="1"/>
      <c r="O16" s="10"/>
      <c r="P16" s="23"/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641</v>
      </c>
      <c r="B17" s="5" t="s">
        <v>642</v>
      </c>
      <c r="C17" s="5" t="s">
        <v>101</v>
      </c>
      <c r="D17" s="5" t="s">
        <v>643</v>
      </c>
      <c r="E17" s="8">
        <v>46178</v>
      </c>
      <c r="F17" s="5" t="s">
        <v>578</v>
      </c>
      <c r="G17" s="5" t="s">
        <v>579</v>
      </c>
      <c r="H17" s="22"/>
      <c r="I17" s="5" t="s">
        <v>580</v>
      </c>
      <c r="J17" s="5" t="s">
        <v>544</v>
      </c>
      <c r="K17" s="5" t="s">
        <v>544</v>
      </c>
      <c r="L17" s="5" t="s">
        <v>149</v>
      </c>
      <c r="M17" s="5" t="s">
        <v>581</v>
      </c>
      <c r="N17" s="5"/>
      <c r="O17" s="8"/>
      <c r="P17" s="22"/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644</v>
      </c>
      <c r="B18" s="1" t="s">
        <v>645</v>
      </c>
      <c r="C18" s="1" t="s">
        <v>529</v>
      </c>
      <c r="D18" s="1" t="s">
        <v>646</v>
      </c>
      <c r="E18" s="10">
        <v>46178</v>
      </c>
      <c r="F18" s="1" t="s">
        <v>601</v>
      </c>
      <c r="G18" s="1" t="s">
        <v>602</v>
      </c>
      <c r="H18" s="23"/>
      <c r="I18" s="1" t="s">
        <v>603</v>
      </c>
      <c r="J18" s="1" t="s">
        <v>547</v>
      </c>
      <c r="K18" s="1" t="s">
        <v>590</v>
      </c>
      <c r="L18" s="1" t="s">
        <v>172</v>
      </c>
      <c r="M18" s="1" t="s">
        <v>581</v>
      </c>
      <c r="N18" s="1"/>
      <c r="O18" s="10"/>
      <c r="P18" s="23"/>
      <c r="Q18" s="1"/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647</v>
      </c>
      <c r="B19" s="5" t="s">
        <v>648</v>
      </c>
      <c r="C19" s="5" t="s">
        <v>215</v>
      </c>
      <c r="D19" s="5" t="s">
        <v>174</v>
      </c>
      <c r="E19" s="8">
        <v>46178</v>
      </c>
      <c r="F19" s="5" t="s">
        <v>587</v>
      </c>
      <c r="G19" s="5" t="s">
        <v>588</v>
      </c>
      <c r="H19" s="22">
        <v>13000000</v>
      </c>
      <c r="I19" s="5" t="s">
        <v>589</v>
      </c>
      <c r="J19" s="5" t="s">
        <v>590</v>
      </c>
      <c r="K19" s="5" t="s">
        <v>546</v>
      </c>
      <c r="L19" s="5" t="s">
        <v>591</v>
      </c>
      <c r="M19" s="5" t="s">
        <v>581</v>
      </c>
      <c r="N19" s="5"/>
      <c r="O19" s="8"/>
      <c r="P19" s="22"/>
      <c r="Q19" s="5"/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649</v>
      </c>
      <c r="B20" s="1" t="s">
        <v>650</v>
      </c>
      <c r="C20" s="1" t="s">
        <v>651</v>
      </c>
      <c r="D20" s="1" t="s">
        <v>652</v>
      </c>
      <c r="E20" s="10">
        <v>46178</v>
      </c>
      <c r="F20" s="1" t="s">
        <v>587</v>
      </c>
      <c r="G20" s="1" t="s">
        <v>588</v>
      </c>
      <c r="H20" s="23">
        <v>5200000</v>
      </c>
      <c r="I20" s="1" t="s">
        <v>589</v>
      </c>
      <c r="J20" s="1" t="s">
        <v>548</v>
      </c>
      <c r="K20" s="1" t="s">
        <v>547</v>
      </c>
      <c r="L20" s="1" t="s">
        <v>608</v>
      </c>
      <c r="M20" s="1" t="s">
        <v>581</v>
      </c>
      <c r="N20" s="1"/>
      <c r="O20" s="10"/>
      <c r="P20" s="23"/>
      <c r="Q20" s="1"/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653</v>
      </c>
      <c r="B21" s="5" t="s">
        <v>654</v>
      </c>
      <c r="C21" s="5" t="s">
        <v>655</v>
      </c>
      <c r="D21" s="5" t="s">
        <v>130</v>
      </c>
      <c r="E21" s="8">
        <v>46178</v>
      </c>
      <c r="F21" s="5" t="s">
        <v>587</v>
      </c>
      <c r="G21" s="5" t="s">
        <v>588</v>
      </c>
      <c r="H21" s="22">
        <v>19900000</v>
      </c>
      <c r="I21" s="5" t="s">
        <v>589</v>
      </c>
      <c r="J21" s="5" t="s">
        <v>590</v>
      </c>
      <c r="K21" s="5" t="s">
        <v>546</v>
      </c>
      <c r="L21" s="5" t="s">
        <v>608</v>
      </c>
      <c r="M21" s="5" t="s">
        <v>581</v>
      </c>
      <c r="N21" s="5"/>
      <c r="O21" s="8"/>
      <c r="P21" s="22"/>
      <c r="Q21" s="5"/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656</v>
      </c>
      <c r="B22" s="1" t="s">
        <v>657</v>
      </c>
      <c r="C22" s="1" t="s">
        <v>142</v>
      </c>
      <c r="D22" s="1" t="s">
        <v>162</v>
      </c>
      <c r="E22" s="10">
        <v>46178</v>
      </c>
      <c r="F22" s="1" t="s">
        <v>587</v>
      </c>
      <c r="G22" s="1" t="s">
        <v>588</v>
      </c>
      <c r="H22" s="23">
        <v>6000000</v>
      </c>
      <c r="I22" s="1" t="s">
        <v>589</v>
      </c>
      <c r="J22" s="1" t="s">
        <v>547</v>
      </c>
      <c r="K22" s="1" t="s">
        <v>590</v>
      </c>
      <c r="L22" s="1" t="s">
        <v>172</v>
      </c>
      <c r="M22" s="1" t="s">
        <v>581</v>
      </c>
      <c r="N22" s="1"/>
      <c r="O22" s="10"/>
      <c r="P22" s="23"/>
      <c r="Q22" s="1"/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658</v>
      </c>
      <c r="B23" s="5" t="s">
        <v>659</v>
      </c>
      <c r="C23" s="5" t="s">
        <v>660</v>
      </c>
      <c r="D23" s="5" t="s">
        <v>661</v>
      </c>
      <c r="E23" s="8">
        <v>46178</v>
      </c>
      <c r="F23" s="5" t="s">
        <v>601</v>
      </c>
      <c r="G23" s="5" t="s">
        <v>602</v>
      </c>
      <c r="H23" s="22"/>
      <c r="I23" s="5" t="s">
        <v>603</v>
      </c>
      <c r="J23" s="5" t="s">
        <v>590</v>
      </c>
      <c r="K23" s="5" t="s">
        <v>546</v>
      </c>
      <c r="L23" s="5" t="s">
        <v>640</v>
      </c>
      <c r="M23" s="5" t="s">
        <v>581</v>
      </c>
      <c r="N23" s="5"/>
      <c r="O23" s="8"/>
      <c r="P23" s="22"/>
      <c r="Q23" s="5"/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662</v>
      </c>
      <c r="B24" s="1" t="s">
        <v>663</v>
      </c>
      <c r="C24" s="1" t="s">
        <v>652</v>
      </c>
      <c r="D24" s="1" t="s">
        <v>664</v>
      </c>
      <c r="E24" s="10">
        <v>46179</v>
      </c>
      <c r="F24" s="1" t="s">
        <v>587</v>
      </c>
      <c r="G24" s="1" t="s">
        <v>588</v>
      </c>
      <c r="H24" s="23">
        <v>1400000</v>
      </c>
      <c r="I24" s="1" t="s">
        <v>589</v>
      </c>
      <c r="J24" s="1" t="s">
        <v>547</v>
      </c>
      <c r="K24" s="1" t="s">
        <v>547</v>
      </c>
      <c r="L24" s="1" t="s">
        <v>608</v>
      </c>
      <c r="M24" s="1" t="s">
        <v>581</v>
      </c>
      <c r="N24" s="1"/>
      <c r="O24" s="10"/>
      <c r="P24" s="23"/>
      <c r="Q24" s="1" t="s">
        <v>631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665</v>
      </c>
      <c r="B25" s="5" t="s">
        <v>666</v>
      </c>
      <c r="C25" s="5" t="s">
        <v>667</v>
      </c>
      <c r="D25" s="5" t="s">
        <v>128</v>
      </c>
      <c r="E25" s="8">
        <v>46179</v>
      </c>
      <c r="F25" s="5" t="s">
        <v>587</v>
      </c>
      <c r="G25" s="5" t="s">
        <v>588</v>
      </c>
      <c r="H25" s="22">
        <v>21500000</v>
      </c>
      <c r="I25" s="5" t="s">
        <v>589</v>
      </c>
      <c r="J25" s="5" t="s">
        <v>590</v>
      </c>
      <c r="K25" s="5" t="s">
        <v>544</v>
      </c>
      <c r="L25" s="5" t="s">
        <v>591</v>
      </c>
      <c r="M25" s="5" t="s">
        <v>581</v>
      </c>
      <c r="N25" s="5"/>
      <c r="O25" s="8"/>
      <c r="P25" s="22"/>
      <c r="Q25" s="5"/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668</v>
      </c>
      <c r="B26" s="1" t="s">
        <v>669</v>
      </c>
      <c r="C26" s="1" t="s">
        <v>292</v>
      </c>
      <c r="D26" s="1" t="s">
        <v>476</v>
      </c>
      <c r="E26" s="10">
        <v>46182</v>
      </c>
      <c r="F26" s="1" t="s">
        <v>578</v>
      </c>
      <c r="G26" s="1" t="s">
        <v>579</v>
      </c>
      <c r="H26" s="23"/>
      <c r="I26" s="1" t="s">
        <v>580</v>
      </c>
      <c r="J26" s="1" t="s">
        <v>544</v>
      </c>
      <c r="K26" s="1" t="s">
        <v>590</v>
      </c>
      <c r="L26" s="1" t="s">
        <v>640</v>
      </c>
      <c r="M26" s="1" t="s">
        <v>581</v>
      </c>
      <c r="N26" s="1"/>
      <c r="O26" s="10"/>
      <c r="P26" s="23"/>
      <c r="Q26" s="1"/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670</v>
      </c>
      <c r="B27" s="5" t="s">
        <v>175</v>
      </c>
      <c r="C27" s="5" t="s">
        <v>469</v>
      </c>
      <c r="D27" s="5" t="s">
        <v>174</v>
      </c>
      <c r="E27" s="8">
        <v>46176</v>
      </c>
      <c r="F27" s="5" t="s">
        <v>587</v>
      </c>
      <c r="G27" s="5" t="s">
        <v>588</v>
      </c>
      <c r="H27" s="22">
        <v>43200000</v>
      </c>
      <c r="I27" s="5" t="s">
        <v>589</v>
      </c>
      <c r="J27" s="5" t="s">
        <v>544</v>
      </c>
      <c r="K27" s="5" t="s">
        <v>546</v>
      </c>
      <c r="L27" s="5" t="s">
        <v>640</v>
      </c>
      <c r="M27" s="5" t="s">
        <v>581</v>
      </c>
      <c r="N27" s="5"/>
      <c r="O27" s="8"/>
      <c r="P27" s="22"/>
      <c r="Q27" s="5"/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671</v>
      </c>
      <c r="B28" s="1" t="s">
        <v>421</v>
      </c>
      <c r="C28" s="1" t="s">
        <v>106</v>
      </c>
      <c r="D28" s="1" t="s">
        <v>198</v>
      </c>
      <c r="E28" s="10">
        <v>46168</v>
      </c>
      <c r="F28" s="1" t="s">
        <v>587</v>
      </c>
      <c r="G28" s="1" t="s">
        <v>588</v>
      </c>
      <c r="H28" s="23">
        <v>21600000</v>
      </c>
      <c r="I28" s="1" t="s">
        <v>589</v>
      </c>
      <c r="J28" s="1" t="s">
        <v>544</v>
      </c>
      <c r="K28" s="1" t="s">
        <v>546</v>
      </c>
      <c r="L28" s="1" t="s">
        <v>640</v>
      </c>
      <c r="M28" s="1" t="s">
        <v>581</v>
      </c>
      <c r="N28" s="1"/>
      <c r="O28" s="10"/>
      <c r="P28" s="23"/>
      <c r="Q28" s="1" t="s">
        <v>592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672</v>
      </c>
      <c r="B29" s="5" t="s">
        <v>673</v>
      </c>
      <c r="C29" s="5" t="s">
        <v>126</v>
      </c>
      <c r="D29" s="5" t="s">
        <v>257</v>
      </c>
      <c r="E29" s="8">
        <v>46150</v>
      </c>
      <c r="F29" s="5" t="s">
        <v>587</v>
      </c>
      <c r="G29" s="5" t="s">
        <v>588</v>
      </c>
      <c r="H29" s="22">
        <v>14500000</v>
      </c>
      <c r="I29" s="5" t="s">
        <v>589</v>
      </c>
      <c r="J29" s="5" t="s">
        <v>544</v>
      </c>
      <c r="K29" s="5" t="s">
        <v>590</v>
      </c>
      <c r="L29" s="5" t="s">
        <v>149</v>
      </c>
      <c r="M29" s="5" t="s">
        <v>581</v>
      </c>
      <c r="N29" s="5"/>
      <c r="O29" s="8"/>
      <c r="P29" s="22"/>
      <c r="Q29" s="5" t="s">
        <v>674</v>
      </c>
      <c r="R29" s="5" t="s">
        <v>557</v>
      </c>
      <c r="S29" s="5" t="s">
        <v>582</v>
      </c>
      <c r="T29" s="8">
        <v>46298</v>
      </c>
    </row>
    <row r="30" spans="1:20" ht="24" customHeight="1" x14ac:dyDescent="0.35">
      <c r="A30" s="1" t="s">
        <v>675</v>
      </c>
      <c r="B30" s="1" t="s">
        <v>676</v>
      </c>
      <c r="C30" s="1" t="s">
        <v>677</v>
      </c>
      <c r="D30" s="1" t="s">
        <v>160</v>
      </c>
      <c r="E30" s="10">
        <v>46209</v>
      </c>
      <c r="F30" s="1" t="s">
        <v>587</v>
      </c>
      <c r="G30" s="1" t="s">
        <v>588</v>
      </c>
      <c r="H30" s="23">
        <v>17300000</v>
      </c>
      <c r="I30" s="1" t="s">
        <v>589</v>
      </c>
      <c r="J30" s="1" t="s">
        <v>547</v>
      </c>
      <c r="K30" s="1" t="s">
        <v>544</v>
      </c>
      <c r="L30" s="1" t="s">
        <v>608</v>
      </c>
      <c r="M30" s="1" t="s">
        <v>581</v>
      </c>
      <c r="N30" s="1"/>
      <c r="O30" s="10"/>
      <c r="P30" s="23"/>
      <c r="Q30" s="1"/>
      <c r="R30" s="1" t="s">
        <v>557</v>
      </c>
      <c r="S30" s="1" t="s">
        <v>582</v>
      </c>
      <c r="T30" s="10">
        <v>46298</v>
      </c>
    </row>
    <row r="31" spans="1:20" ht="24" customHeight="1" x14ac:dyDescent="0.35">
      <c r="A31" s="5" t="s">
        <v>678</v>
      </c>
      <c r="B31" s="5" t="s">
        <v>679</v>
      </c>
      <c r="C31" s="5" t="s">
        <v>680</v>
      </c>
      <c r="D31" s="5" t="s">
        <v>681</v>
      </c>
      <c r="E31" s="8">
        <v>46174</v>
      </c>
      <c r="F31" s="5" t="s">
        <v>587</v>
      </c>
      <c r="G31" s="5" t="s">
        <v>588</v>
      </c>
      <c r="H31" s="22">
        <v>21600000</v>
      </c>
      <c r="I31" s="5" t="s">
        <v>589</v>
      </c>
      <c r="J31" s="5" t="s">
        <v>590</v>
      </c>
      <c r="K31" s="5" t="s">
        <v>548</v>
      </c>
      <c r="L31" s="5" t="s">
        <v>608</v>
      </c>
      <c r="M31" s="5" t="s">
        <v>581</v>
      </c>
      <c r="N31" s="5"/>
      <c r="O31" s="8"/>
      <c r="P31" s="22"/>
      <c r="Q31" s="5"/>
      <c r="R31" s="5" t="s">
        <v>557</v>
      </c>
      <c r="S31" s="5" t="s">
        <v>582</v>
      </c>
      <c r="T31" s="8">
        <v>46298</v>
      </c>
    </row>
    <row r="32" spans="1:20" ht="24" customHeight="1" x14ac:dyDescent="0.35">
      <c r="A32" s="1" t="s">
        <v>682</v>
      </c>
      <c r="B32" s="1" t="s">
        <v>683</v>
      </c>
      <c r="C32" s="1" t="s">
        <v>684</v>
      </c>
      <c r="D32" s="1" t="s">
        <v>685</v>
      </c>
      <c r="E32" s="10">
        <v>46174</v>
      </c>
      <c r="F32" s="1" t="s">
        <v>587</v>
      </c>
      <c r="G32" s="1" t="s">
        <v>588</v>
      </c>
      <c r="H32" s="23">
        <v>6900000</v>
      </c>
      <c r="I32" s="1" t="s">
        <v>589</v>
      </c>
      <c r="J32" s="1" t="s">
        <v>590</v>
      </c>
      <c r="K32" s="1" t="s">
        <v>547</v>
      </c>
      <c r="L32" s="1" t="s">
        <v>591</v>
      </c>
      <c r="M32" s="1" t="s">
        <v>581</v>
      </c>
      <c r="N32" s="1"/>
      <c r="O32" s="10"/>
      <c r="P32" s="23"/>
      <c r="Q32" s="1"/>
      <c r="R32" s="1" t="s">
        <v>557</v>
      </c>
      <c r="S32" s="1" t="s">
        <v>582</v>
      </c>
      <c r="T32" s="10">
        <v>46298</v>
      </c>
    </row>
    <row r="33" spans="1:20" ht="24" customHeight="1" x14ac:dyDescent="0.35">
      <c r="A33" s="5" t="s">
        <v>686</v>
      </c>
      <c r="B33" s="5" t="s">
        <v>687</v>
      </c>
      <c r="C33" s="5" t="s">
        <v>198</v>
      </c>
      <c r="D33" s="5" t="s">
        <v>585</v>
      </c>
      <c r="E33" s="8">
        <v>46177</v>
      </c>
      <c r="F33" s="5" t="s">
        <v>587</v>
      </c>
      <c r="G33" s="5" t="s">
        <v>588</v>
      </c>
      <c r="H33" s="22">
        <v>3000000</v>
      </c>
      <c r="I33" s="5" t="s">
        <v>589</v>
      </c>
      <c r="J33" s="5" t="s">
        <v>546</v>
      </c>
      <c r="K33" s="5" t="s">
        <v>548</v>
      </c>
      <c r="L33" s="5" t="s">
        <v>149</v>
      </c>
      <c r="M33" s="5" t="s">
        <v>581</v>
      </c>
      <c r="N33" s="5"/>
      <c r="O33" s="8"/>
      <c r="P33" s="22"/>
      <c r="Q33" s="5"/>
      <c r="R33" s="5" t="s">
        <v>557</v>
      </c>
      <c r="S33" s="5" t="s">
        <v>582</v>
      </c>
      <c r="T33" s="8">
        <v>46298</v>
      </c>
    </row>
    <row r="34" spans="1:20" ht="24" customHeight="1" x14ac:dyDescent="0.35">
      <c r="A34" s="1" t="s">
        <v>688</v>
      </c>
      <c r="B34" s="1" t="s">
        <v>689</v>
      </c>
      <c r="C34" s="1" t="s">
        <v>391</v>
      </c>
      <c r="D34" s="1" t="s">
        <v>476</v>
      </c>
      <c r="E34" s="10">
        <v>46181</v>
      </c>
      <c r="F34" s="1" t="s">
        <v>578</v>
      </c>
      <c r="G34" s="1" t="s">
        <v>579</v>
      </c>
      <c r="H34" s="23"/>
      <c r="I34" s="1" t="s">
        <v>580</v>
      </c>
      <c r="J34" s="1" t="s">
        <v>544</v>
      </c>
      <c r="K34" s="1" t="s">
        <v>590</v>
      </c>
      <c r="L34" s="1" t="s">
        <v>149</v>
      </c>
      <c r="M34" s="1" t="s">
        <v>581</v>
      </c>
      <c r="N34" s="1"/>
      <c r="O34" s="10"/>
      <c r="P34" s="23"/>
      <c r="Q34" s="1"/>
      <c r="R34" s="1" t="s">
        <v>557</v>
      </c>
      <c r="S34" s="1" t="s">
        <v>582</v>
      </c>
      <c r="T34" s="10">
        <v>46298</v>
      </c>
    </row>
    <row r="35" spans="1:20" ht="24" customHeight="1" x14ac:dyDescent="0.35">
      <c r="A35" s="5" t="s">
        <v>690</v>
      </c>
      <c r="B35" s="5" t="s">
        <v>691</v>
      </c>
      <c r="C35" s="5" t="s">
        <v>692</v>
      </c>
      <c r="D35" s="5" t="s">
        <v>684</v>
      </c>
      <c r="E35" s="8">
        <v>46182</v>
      </c>
      <c r="F35" s="5" t="s">
        <v>587</v>
      </c>
      <c r="G35" s="5" t="s">
        <v>588</v>
      </c>
      <c r="H35" s="22">
        <v>3000000</v>
      </c>
      <c r="I35" s="5" t="s">
        <v>589</v>
      </c>
      <c r="J35" s="5" t="s">
        <v>547</v>
      </c>
      <c r="K35" s="5" t="s">
        <v>590</v>
      </c>
      <c r="L35" s="5" t="s">
        <v>608</v>
      </c>
      <c r="M35" s="5" t="s">
        <v>581</v>
      </c>
      <c r="N35" s="5"/>
      <c r="O35" s="8"/>
      <c r="P35" s="22"/>
      <c r="Q35" s="5"/>
      <c r="R35" s="5" t="s">
        <v>557</v>
      </c>
      <c r="S35" s="5" t="s">
        <v>582</v>
      </c>
      <c r="T35" s="8">
        <v>46298</v>
      </c>
    </row>
    <row r="36" spans="1:20" ht="24" customHeight="1" x14ac:dyDescent="0.35">
      <c r="A36" s="1" t="s">
        <v>693</v>
      </c>
      <c r="B36" s="1" t="s">
        <v>694</v>
      </c>
      <c r="C36" s="1" t="s">
        <v>210</v>
      </c>
      <c r="D36" s="1" t="s">
        <v>695</v>
      </c>
      <c r="E36" s="10">
        <v>46178</v>
      </c>
      <c r="F36" s="1" t="s">
        <v>578</v>
      </c>
      <c r="G36" s="1" t="s">
        <v>579</v>
      </c>
      <c r="H36" s="23"/>
      <c r="I36" s="1" t="s">
        <v>580</v>
      </c>
      <c r="J36" s="1" t="s">
        <v>544</v>
      </c>
      <c r="K36" s="1" t="s">
        <v>590</v>
      </c>
      <c r="L36" s="1" t="s">
        <v>149</v>
      </c>
      <c r="M36" s="1" t="s">
        <v>581</v>
      </c>
      <c r="N36" s="1"/>
      <c r="O36" s="10"/>
      <c r="P36" s="23"/>
      <c r="Q36" s="1"/>
      <c r="R36" s="1" t="s">
        <v>557</v>
      </c>
      <c r="S36" s="1" t="s">
        <v>582</v>
      </c>
      <c r="T36" s="10">
        <v>46298</v>
      </c>
    </row>
    <row r="37" spans="1:20" ht="24" customHeight="1" x14ac:dyDescent="0.35">
      <c r="A37" s="5" t="s">
        <v>696</v>
      </c>
      <c r="B37" s="5" t="s">
        <v>697</v>
      </c>
      <c r="C37" s="5" t="s">
        <v>698</v>
      </c>
      <c r="D37" s="5" t="s">
        <v>529</v>
      </c>
      <c r="E37" s="8">
        <v>46182</v>
      </c>
      <c r="F37" s="5" t="s">
        <v>587</v>
      </c>
      <c r="G37" s="5" t="s">
        <v>588</v>
      </c>
      <c r="H37" s="22">
        <v>3000000</v>
      </c>
      <c r="I37" s="5" t="s">
        <v>589</v>
      </c>
      <c r="J37" s="5" t="s">
        <v>590</v>
      </c>
      <c r="K37" s="5" t="s">
        <v>547</v>
      </c>
      <c r="L37" s="5" t="s">
        <v>640</v>
      </c>
      <c r="M37" s="5" t="s">
        <v>581</v>
      </c>
      <c r="N37" s="5"/>
      <c r="O37" s="8"/>
      <c r="P37" s="22"/>
      <c r="Q37" s="5"/>
      <c r="R37" s="5" t="s">
        <v>557</v>
      </c>
      <c r="S37" s="5" t="s">
        <v>582</v>
      </c>
      <c r="T37" s="8">
        <v>46298</v>
      </c>
    </row>
    <row r="38" spans="1:20" ht="24" customHeight="1" x14ac:dyDescent="0.35">
      <c r="A38" s="1" t="s">
        <v>699</v>
      </c>
      <c r="B38" s="1" t="s">
        <v>700</v>
      </c>
      <c r="C38" s="1" t="s">
        <v>701</v>
      </c>
      <c r="D38" s="1" t="s">
        <v>606</v>
      </c>
      <c r="E38" s="10">
        <v>46182</v>
      </c>
      <c r="F38" s="1" t="s">
        <v>587</v>
      </c>
      <c r="G38" s="1" t="s">
        <v>588</v>
      </c>
      <c r="H38" s="23">
        <v>10400000</v>
      </c>
      <c r="I38" s="1" t="s">
        <v>589</v>
      </c>
      <c r="J38" s="1" t="s">
        <v>590</v>
      </c>
      <c r="K38" s="1" t="s">
        <v>547</v>
      </c>
      <c r="L38" s="1" t="s">
        <v>149</v>
      </c>
      <c r="M38" s="1" t="s">
        <v>581</v>
      </c>
      <c r="N38" s="1"/>
      <c r="O38" s="10"/>
      <c r="P38" s="23"/>
      <c r="Q38" s="1"/>
      <c r="R38" s="1" t="s">
        <v>557</v>
      </c>
      <c r="S38" s="1" t="s">
        <v>582</v>
      </c>
      <c r="T38" s="10">
        <v>46298</v>
      </c>
    </row>
    <row r="39" spans="1:20" ht="24" customHeight="1" x14ac:dyDescent="0.35">
      <c r="A39" s="5" t="s">
        <v>702</v>
      </c>
      <c r="B39" s="5" t="s">
        <v>703</v>
      </c>
      <c r="C39" s="5" t="s">
        <v>680</v>
      </c>
      <c r="D39" s="5" t="s">
        <v>391</v>
      </c>
      <c r="E39" s="8">
        <v>46183</v>
      </c>
      <c r="F39" s="5" t="s">
        <v>587</v>
      </c>
      <c r="G39" s="5" t="s">
        <v>588</v>
      </c>
      <c r="H39" s="22">
        <v>21600000</v>
      </c>
      <c r="I39" s="5" t="s">
        <v>589</v>
      </c>
      <c r="J39" s="5" t="s">
        <v>590</v>
      </c>
      <c r="K39" s="5" t="s">
        <v>544</v>
      </c>
      <c r="L39" s="5" t="s">
        <v>172</v>
      </c>
      <c r="M39" s="5" t="s">
        <v>581</v>
      </c>
      <c r="N39" s="5"/>
      <c r="O39" s="8"/>
      <c r="P39" s="22"/>
      <c r="Q39" s="5"/>
      <c r="R39" s="5" t="s">
        <v>557</v>
      </c>
      <c r="S39" s="5" t="s">
        <v>582</v>
      </c>
      <c r="T39" s="8">
        <v>46298</v>
      </c>
    </row>
    <row r="40" spans="1:20" ht="24" customHeight="1" x14ac:dyDescent="0.35">
      <c r="A40" s="1" t="s">
        <v>704</v>
      </c>
      <c r="B40" s="1" t="s">
        <v>705</v>
      </c>
      <c r="C40" s="1" t="s">
        <v>706</v>
      </c>
      <c r="D40" s="1" t="s">
        <v>707</v>
      </c>
      <c r="E40" s="10">
        <v>46183</v>
      </c>
      <c r="F40" s="1" t="s">
        <v>578</v>
      </c>
      <c r="G40" s="1" t="s">
        <v>579</v>
      </c>
      <c r="H40" s="23"/>
      <c r="I40" s="1" t="s">
        <v>580</v>
      </c>
      <c r="J40" s="1" t="s">
        <v>545</v>
      </c>
      <c r="K40" s="1" t="s">
        <v>545</v>
      </c>
      <c r="L40" s="1" t="s">
        <v>608</v>
      </c>
      <c r="M40" s="1" t="s">
        <v>581</v>
      </c>
      <c r="N40" s="1"/>
      <c r="O40" s="10"/>
      <c r="P40" s="23"/>
      <c r="Q40" s="1"/>
      <c r="R40" s="1" t="s">
        <v>557</v>
      </c>
      <c r="S40" s="1" t="s">
        <v>582</v>
      </c>
      <c r="T40" s="10">
        <v>46298</v>
      </c>
    </row>
    <row r="41" spans="1:20" ht="24" customHeight="1" x14ac:dyDescent="0.35">
      <c r="A41" s="5" t="s">
        <v>708</v>
      </c>
      <c r="B41" s="5" t="s">
        <v>709</v>
      </c>
      <c r="C41" s="5" t="s">
        <v>200</v>
      </c>
      <c r="D41" s="5" t="s">
        <v>643</v>
      </c>
      <c r="E41" s="8">
        <v>46183</v>
      </c>
      <c r="F41" s="5" t="s">
        <v>578</v>
      </c>
      <c r="G41" s="5" t="s">
        <v>579</v>
      </c>
      <c r="H41" s="22"/>
      <c r="I41" s="5" t="s">
        <v>580</v>
      </c>
      <c r="J41" s="5" t="s">
        <v>544</v>
      </c>
      <c r="K41" s="5" t="s">
        <v>544</v>
      </c>
      <c r="L41" s="5" t="s">
        <v>149</v>
      </c>
      <c r="M41" s="5" t="s">
        <v>581</v>
      </c>
      <c r="N41" s="5"/>
      <c r="O41" s="8"/>
      <c r="P41" s="22"/>
      <c r="Q41" s="5"/>
      <c r="R41" s="5" t="s">
        <v>557</v>
      </c>
      <c r="S41" s="5" t="s">
        <v>582</v>
      </c>
      <c r="T41" s="8">
        <v>46298</v>
      </c>
    </row>
    <row r="42" spans="1:20" ht="24" customHeight="1" x14ac:dyDescent="0.35">
      <c r="A42" s="1" t="s">
        <v>710</v>
      </c>
      <c r="B42" s="1" t="s">
        <v>711</v>
      </c>
      <c r="C42" s="1" t="s">
        <v>630</v>
      </c>
      <c r="D42" s="1" t="s">
        <v>712</v>
      </c>
      <c r="E42" s="10">
        <v>46183</v>
      </c>
      <c r="F42" s="1" t="s">
        <v>578</v>
      </c>
      <c r="G42" s="1" t="s">
        <v>579</v>
      </c>
      <c r="H42" s="23"/>
      <c r="I42" s="1" t="s">
        <v>580</v>
      </c>
      <c r="J42" s="1" t="s">
        <v>547</v>
      </c>
      <c r="K42" s="1" t="s">
        <v>590</v>
      </c>
      <c r="L42" s="1" t="s">
        <v>608</v>
      </c>
      <c r="M42" s="1" t="s">
        <v>581</v>
      </c>
      <c r="N42" s="1"/>
      <c r="O42" s="10"/>
      <c r="P42" s="23"/>
      <c r="Q42" s="1"/>
      <c r="R42" s="1" t="s">
        <v>557</v>
      </c>
      <c r="S42" s="1" t="s">
        <v>582</v>
      </c>
      <c r="T42" s="10">
        <v>46298</v>
      </c>
    </row>
    <row r="43" spans="1:20" ht="24" customHeight="1" x14ac:dyDescent="0.35">
      <c r="A43" s="5" t="s">
        <v>713</v>
      </c>
      <c r="B43" s="5" t="s">
        <v>714</v>
      </c>
      <c r="C43" s="5" t="s">
        <v>365</v>
      </c>
      <c r="D43" s="5" t="s">
        <v>240</v>
      </c>
      <c r="E43" s="8">
        <v>46183</v>
      </c>
      <c r="F43" s="5" t="s">
        <v>587</v>
      </c>
      <c r="G43" s="5" t="s">
        <v>588</v>
      </c>
      <c r="H43" s="22">
        <v>3500000</v>
      </c>
      <c r="I43" s="5" t="s">
        <v>589</v>
      </c>
      <c r="J43" s="5" t="s">
        <v>548</v>
      </c>
      <c r="K43" s="5" t="s">
        <v>548</v>
      </c>
      <c r="L43" s="5" t="s">
        <v>149</v>
      </c>
      <c r="M43" s="5" t="s">
        <v>581</v>
      </c>
      <c r="N43" s="5"/>
      <c r="O43" s="8"/>
      <c r="P43" s="22"/>
      <c r="Q43" s="5" t="s">
        <v>631</v>
      </c>
      <c r="R43" s="5" t="s">
        <v>557</v>
      </c>
      <c r="S43" s="5" t="s">
        <v>582</v>
      </c>
      <c r="T43" s="8">
        <v>46298</v>
      </c>
    </row>
    <row r="44" spans="1:20" ht="24" customHeight="1" x14ac:dyDescent="0.35">
      <c r="A44" s="1" t="s">
        <v>715</v>
      </c>
      <c r="B44" s="1" t="s">
        <v>716</v>
      </c>
      <c r="C44" s="1" t="s">
        <v>529</v>
      </c>
      <c r="D44" s="1" t="s">
        <v>717</v>
      </c>
      <c r="E44" s="10">
        <v>46183</v>
      </c>
      <c r="F44" s="1" t="s">
        <v>578</v>
      </c>
      <c r="G44" s="1" t="s">
        <v>579</v>
      </c>
      <c r="H44" s="23"/>
      <c r="I44" s="1" t="s">
        <v>580</v>
      </c>
      <c r="J44" s="1" t="s">
        <v>547</v>
      </c>
      <c r="K44" s="1" t="s">
        <v>547</v>
      </c>
      <c r="L44" s="1" t="s">
        <v>149</v>
      </c>
      <c r="M44" s="1" t="s">
        <v>581</v>
      </c>
      <c r="N44" s="1"/>
      <c r="O44" s="10"/>
      <c r="P44" s="23"/>
      <c r="Q44" s="1"/>
      <c r="R44" s="1" t="s">
        <v>557</v>
      </c>
      <c r="S44" s="1" t="s">
        <v>582</v>
      </c>
      <c r="T44" s="10">
        <v>46298</v>
      </c>
    </row>
    <row r="45" spans="1:20" ht="24" customHeight="1" x14ac:dyDescent="0.35">
      <c r="A45" s="5" t="s">
        <v>718</v>
      </c>
      <c r="B45" s="5" t="s">
        <v>719</v>
      </c>
      <c r="C45" s="5" t="s">
        <v>720</v>
      </c>
      <c r="D45" s="5" t="s">
        <v>721</v>
      </c>
      <c r="E45" s="8">
        <v>46183</v>
      </c>
      <c r="F45" s="5" t="s">
        <v>587</v>
      </c>
      <c r="G45" s="5" t="s">
        <v>588</v>
      </c>
      <c r="H45" s="22">
        <v>900000</v>
      </c>
      <c r="I45" s="5" t="s">
        <v>589</v>
      </c>
      <c r="J45" s="5" t="s">
        <v>590</v>
      </c>
      <c r="K45" s="5" t="s">
        <v>547</v>
      </c>
      <c r="L45" s="5" t="s">
        <v>608</v>
      </c>
      <c r="M45" s="5" t="s">
        <v>581</v>
      </c>
      <c r="N45" s="5"/>
      <c r="O45" s="8"/>
      <c r="P45" s="22"/>
      <c r="Q45" s="5"/>
      <c r="R45" s="5" t="s">
        <v>557</v>
      </c>
      <c r="S45" s="5" t="s">
        <v>582</v>
      </c>
      <c r="T45" s="8">
        <v>46298</v>
      </c>
    </row>
    <row r="46" spans="1:20" ht="24" customHeight="1" x14ac:dyDescent="0.35">
      <c r="A46" s="1" t="s">
        <v>722</v>
      </c>
      <c r="B46" s="1" t="s">
        <v>723</v>
      </c>
      <c r="C46" s="1" t="s">
        <v>724</v>
      </c>
      <c r="D46" s="1" t="s">
        <v>685</v>
      </c>
      <c r="E46" s="10">
        <v>46183</v>
      </c>
      <c r="F46" s="1" t="s">
        <v>587</v>
      </c>
      <c r="G46" s="1" t="s">
        <v>588</v>
      </c>
      <c r="H46" s="23">
        <v>7800000</v>
      </c>
      <c r="I46" s="1" t="s">
        <v>589</v>
      </c>
      <c r="J46" s="1" t="s">
        <v>590</v>
      </c>
      <c r="K46" s="1" t="s">
        <v>547</v>
      </c>
      <c r="L46" s="1" t="s">
        <v>608</v>
      </c>
      <c r="M46" s="1" t="s">
        <v>581</v>
      </c>
      <c r="N46" s="1"/>
      <c r="O46" s="10"/>
      <c r="P46" s="23"/>
      <c r="Q46" s="1"/>
      <c r="R46" s="1" t="s">
        <v>557</v>
      </c>
      <c r="S46" s="1" t="s">
        <v>582</v>
      </c>
      <c r="T46" s="10">
        <v>46298</v>
      </c>
    </row>
    <row r="47" spans="1:20" ht="24" customHeight="1" x14ac:dyDescent="0.35">
      <c r="A47" s="5" t="s">
        <v>725</v>
      </c>
      <c r="B47" s="5" t="s">
        <v>726</v>
      </c>
      <c r="C47" s="5" t="s">
        <v>727</v>
      </c>
      <c r="D47" s="5" t="s">
        <v>91</v>
      </c>
      <c r="E47" s="8">
        <v>46183</v>
      </c>
      <c r="F47" s="5" t="s">
        <v>587</v>
      </c>
      <c r="G47" s="5" t="s">
        <v>588</v>
      </c>
      <c r="H47" s="22">
        <v>1300000</v>
      </c>
      <c r="I47" s="5" t="s">
        <v>589</v>
      </c>
      <c r="J47" s="5" t="s">
        <v>590</v>
      </c>
      <c r="K47" s="5" t="s">
        <v>545</v>
      </c>
      <c r="L47" s="5" t="s">
        <v>640</v>
      </c>
      <c r="M47" s="5" t="s">
        <v>581</v>
      </c>
      <c r="N47" s="5"/>
      <c r="O47" s="8"/>
      <c r="P47" s="22"/>
      <c r="Q47" s="5" t="s">
        <v>631</v>
      </c>
      <c r="R47" s="5" t="s">
        <v>557</v>
      </c>
      <c r="S47" s="5" t="s">
        <v>582</v>
      </c>
      <c r="T47" s="8">
        <v>46298</v>
      </c>
    </row>
    <row r="48" spans="1:20" ht="24" customHeight="1" x14ac:dyDescent="0.35">
      <c r="A48" s="1" t="s">
        <v>728</v>
      </c>
      <c r="B48" s="1" t="s">
        <v>729</v>
      </c>
      <c r="C48" s="1" t="s">
        <v>730</v>
      </c>
      <c r="D48" s="1" t="s">
        <v>677</v>
      </c>
      <c r="E48" s="10">
        <v>46184</v>
      </c>
      <c r="F48" s="1" t="s">
        <v>587</v>
      </c>
      <c r="G48" s="1" t="s">
        <v>588</v>
      </c>
      <c r="H48" s="23">
        <v>11200000</v>
      </c>
      <c r="I48" s="1" t="s">
        <v>589</v>
      </c>
      <c r="J48" s="1" t="s">
        <v>590</v>
      </c>
      <c r="K48" s="1" t="s">
        <v>547</v>
      </c>
      <c r="L48" s="1" t="s">
        <v>640</v>
      </c>
      <c r="M48" s="1" t="s">
        <v>581</v>
      </c>
      <c r="N48" s="1"/>
      <c r="O48" s="10"/>
      <c r="P48" s="23"/>
      <c r="Q48" s="1"/>
      <c r="R48" s="1" t="s">
        <v>557</v>
      </c>
      <c r="S48" s="1" t="s">
        <v>582</v>
      </c>
      <c r="T48" s="10">
        <v>46298</v>
      </c>
    </row>
    <row r="49" spans="1:20" ht="24" customHeight="1" x14ac:dyDescent="0.35">
      <c r="A49" s="5" t="s">
        <v>731</v>
      </c>
      <c r="B49" s="5" t="s">
        <v>732</v>
      </c>
      <c r="C49" s="5" t="s">
        <v>733</v>
      </c>
      <c r="D49" s="5" t="s">
        <v>707</v>
      </c>
      <c r="E49" s="8">
        <v>46184</v>
      </c>
      <c r="F49" s="5" t="s">
        <v>578</v>
      </c>
      <c r="G49" s="5" t="s">
        <v>579</v>
      </c>
      <c r="H49" s="22"/>
      <c r="I49" s="5" t="s">
        <v>580</v>
      </c>
      <c r="J49" s="5" t="s">
        <v>545</v>
      </c>
      <c r="K49" s="5" t="s">
        <v>545</v>
      </c>
      <c r="L49" s="5" t="s">
        <v>149</v>
      </c>
      <c r="M49" s="5" t="s">
        <v>581</v>
      </c>
      <c r="N49" s="5"/>
      <c r="O49" s="8"/>
      <c r="P49" s="22"/>
      <c r="Q49" s="5"/>
      <c r="R49" s="5" t="s">
        <v>557</v>
      </c>
      <c r="S49" s="5" t="s">
        <v>582</v>
      </c>
      <c r="T49" s="8">
        <v>46298</v>
      </c>
    </row>
    <row r="50" spans="1:20" ht="24" customHeight="1" x14ac:dyDescent="0.35">
      <c r="A50" s="1" t="s">
        <v>734</v>
      </c>
      <c r="B50" s="1" t="s">
        <v>735</v>
      </c>
      <c r="C50" s="1" t="s">
        <v>624</v>
      </c>
      <c r="D50" s="1" t="s">
        <v>736</v>
      </c>
      <c r="E50" s="10">
        <v>46184</v>
      </c>
      <c r="F50" s="1" t="s">
        <v>578</v>
      </c>
      <c r="G50" s="1" t="s">
        <v>579</v>
      </c>
      <c r="H50" s="23"/>
      <c r="I50" s="1" t="s">
        <v>580</v>
      </c>
      <c r="J50" s="1" t="s">
        <v>547</v>
      </c>
      <c r="K50" s="1" t="s">
        <v>590</v>
      </c>
      <c r="L50" s="1" t="s">
        <v>149</v>
      </c>
      <c r="M50" s="1" t="s">
        <v>581</v>
      </c>
      <c r="N50" s="1"/>
      <c r="O50" s="10"/>
      <c r="P50" s="23"/>
      <c r="Q50" s="1"/>
      <c r="R50" s="1" t="s">
        <v>557</v>
      </c>
      <c r="S50" s="1" t="s">
        <v>582</v>
      </c>
      <c r="T50" s="10">
        <v>46298</v>
      </c>
    </row>
    <row r="51" spans="1:20" ht="24" customHeight="1" x14ac:dyDescent="0.35">
      <c r="A51" s="5" t="s">
        <v>737</v>
      </c>
      <c r="B51" s="5" t="s">
        <v>738</v>
      </c>
      <c r="C51" s="5" t="s">
        <v>529</v>
      </c>
      <c r="D51" s="5" t="s">
        <v>739</v>
      </c>
      <c r="E51" s="8">
        <v>46184</v>
      </c>
      <c r="F51" s="5" t="s">
        <v>587</v>
      </c>
      <c r="G51" s="5" t="s">
        <v>588</v>
      </c>
      <c r="H51" s="22">
        <v>600000</v>
      </c>
      <c r="I51" s="5" t="s">
        <v>589</v>
      </c>
      <c r="J51" s="5" t="s">
        <v>547</v>
      </c>
      <c r="K51" s="5" t="s">
        <v>590</v>
      </c>
      <c r="L51" s="5" t="s">
        <v>640</v>
      </c>
      <c r="M51" s="5" t="s">
        <v>581</v>
      </c>
      <c r="N51" s="5"/>
      <c r="O51" s="8"/>
      <c r="P51" s="22"/>
      <c r="Q51" s="5"/>
      <c r="R51" s="5" t="s">
        <v>557</v>
      </c>
      <c r="S51" s="5" t="s">
        <v>582</v>
      </c>
      <c r="T51" s="8">
        <v>46298</v>
      </c>
    </row>
    <row r="52" spans="1:20" ht="24" customHeight="1" x14ac:dyDescent="0.35">
      <c r="A52" s="1" t="s">
        <v>740</v>
      </c>
      <c r="B52" s="1" t="s">
        <v>741</v>
      </c>
      <c r="C52" s="1" t="s">
        <v>742</v>
      </c>
      <c r="D52" s="1" t="s">
        <v>743</v>
      </c>
      <c r="E52" s="10">
        <v>46184</v>
      </c>
      <c r="F52" s="1" t="s">
        <v>578</v>
      </c>
      <c r="G52" s="1" t="s">
        <v>579</v>
      </c>
      <c r="H52" s="23"/>
      <c r="I52" s="1" t="s">
        <v>580</v>
      </c>
      <c r="J52" s="1" t="s">
        <v>590</v>
      </c>
      <c r="K52" s="1" t="s">
        <v>545</v>
      </c>
      <c r="L52" s="1" t="s">
        <v>608</v>
      </c>
      <c r="M52" s="1" t="s">
        <v>581</v>
      </c>
      <c r="N52" s="1"/>
      <c r="O52" s="10"/>
      <c r="P52" s="23"/>
      <c r="Q52" s="1"/>
      <c r="R52" s="1" t="s">
        <v>557</v>
      </c>
      <c r="S52" s="1" t="s">
        <v>582</v>
      </c>
      <c r="T52" s="10">
        <v>46298</v>
      </c>
    </row>
    <row r="53" spans="1:20" ht="24" customHeight="1" x14ac:dyDescent="0.35">
      <c r="A53" s="5" t="s">
        <v>744</v>
      </c>
      <c r="B53" s="5" t="s">
        <v>745</v>
      </c>
      <c r="C53" s="5" t="s">
        <v>677</v>
      </c>
      <c r="D53" s="5" t="s">
        <v>721</v>
      </c>
      <c r="E53" s="8">
        <v>46184</v>
      </c>
      <c r="F53" s="5" t="s">
        <v>587</v>
      </c>
      <c r="G53" s="5" t="s">
        <v>588</v>
      </c>
      <c r="H53" s="22">
        <v>700000</v>
      </c>
      <c r="I53" s="5" t="s">
        <v>589</v>
      </c>
      <c r="J53" s="5" t="s">
        <v>547</v>
      </c>
      <c r="K53" s="5" t="s">
        <v>547</v>
      </c>
      <c r="L53" s="5" t="s">
        <v>640</v>
      </c>
      <c r="M53" s="5" t="s">
        <v>581</v>
      </c>
      <c r="N53" s="5"/>
      <c r="O53" s="8"/>
      <c r="P53" s="22"/>
      <c r="Q53" s="5"/>
      <c r="R53" s="5" t="s">
        <v>557</v>
      </c>
      <c r="S53" s="5" t="s">
        <v>582</v>
      </c>
      <c r="T53" s="8">
        <v>46298</v>
      </c>
    </row>
    <row r="54" spans="1:20" ht="24" customHeight="1" x14ac:dyDescent="0.35">
      <c r="A54" s="1" t="s">
        <v>746</v>
      </c>
      <c r="B54" s="1" t="s">
        <v>747</v>
      </c>
      <c r="C54" s="1" t="s">
        <v>748</v>
      </c>
      <c r="D54" s="1" t="s">
        <v>749</v>
      </c>
      <c r="E54" s="10">
        <v>46185</v>
      </c>
      <c r="F54" s="1" t="s">
        <v>601</v>
      </c>
      <c r="G54" s="1" t="s">
        <v>602</v>
      </c>
      <c r="H54" s="23"/>
      <c r="I54" s="1" t="s">
        <v>603</v>
      </c>
      <c r="J54" s="1" t="s">
        <v>590</v>
      </c>
      <c r="K54" s="1" t="s">
        <v>547</v>
      </c>
      <c r="L54" s="1" t="s">
        <v>640</v>
      </c>
      <c r="M54" s="1" t="s">
        <v>581</v>
      </c>
      <c r="N54" s="1"/>
      <c r="O54" s="10"/>
      <c r="P54" s="23"/>
      <c r="Q54" s="1"/>
      <c r="R54" s="1" t="s">
        <v>557</v>
      </c>
      <c r="S54" s="1" t="s">
        <v>582</v>
      </c>
      <c r="T54" s="10">
        <v>46298</v>
      </c>
    </row>
    <row r="55" spans="1:20" ht="24" customHeight="1" x14ac:dyDescent="0.35">
      <c r="A55" s="5" t="s">
        <v>750</v>
      </c>
      <c r="B55" s="5" t="s">
        <v>751</v>
      </c>
      <c r="C55" s="5" t="s">
        <v>142</v>
      </c>
      <c r="D55" s="5" t="s">
        <v>664</v>
      </c>
      <c r="E55" s="8">
        <v>46185</v>
      </c>
      <c r="F55" s="5" t="s">
        <v>601</v>
      </c>
      <c r="G55" s="5" t="s">
        <v>602</v>
      </c>
      <c r="H55" s="22"/>
      <c r="I55" s="5" t="s">
        <v>603</v>
      </c>
      <c r="J55" s="5" t="s">
        <v>547</v>
      </c>
      <c r="K55" s="5" t="s">
        <v>547</v>
      </c>
      <c r="L55" s="5" t="s">
        <v>608</v>
      </c>
      <c r="M55" s="5" t="s">
        <v>581</v>
      </c>
      <c r="N55" s="5"/>
      <c r="O55" s="8"/>
      <c r="P55" s="22"/>
      <c r="Q55" s="5"/>
      <c r="R55" s="5" t="s">
        <v>557</v>
      </c>
      <c r="S55" s="5" t="s">
        <v>582</v>
      </c>
      <c r="T55" s="8">
        <v>46298</v>
      </c>
    </row>
    <row r="56" spans="1:20" ht="24" customHeight="1" x14ac:dyDescent="0.35">
      <c r="A56" s="1" t="s">
        <v>752</v>
      </c>
      <c r="B56" s="1" t="s">
        <v>753</v>
      </c>
      <c r="C56" s="1" t="s">
        <v>355</v>
      </c>
      <c r="D56" s="1" t="s">
        <v>630</v>
      </c>
      <c r="E56" s="10">
        <v>46185</v>
      </c>
      <c r="F56" s="1" t="s">
        <v>601</v>
      </c>
      <c r="G56" s="1" t="s">
        <v>602</v>
      </c>
      <c r="H56" s="23"/>
      <c r="I56" s="1" t="s">
        <v>603</v>
      </c>
      <c r="J56" s="1" t="s">
        <v>544</v>
      </c>
      <c r="K56" s="1" t="s">
        <v>547</v>
      </c>
      <c r="L56" s="1" t="s">
        <v>149</v>
      </c>
      <c r="M56" s="1" t="s">
        <v>581</v>
      </c>
      <c r="N56" s="1"/>
      <c r="O56" s="10"/>
      <c r="P56" s="23"/>
      <c r="Q56" s="1"/>
      <c r="R56" s="1" t="s">
        <v>557</v>
      </c>
      <c r="S56" s="1" t="s">
        <v>582</v>
      </c>
      <c r="T56" s="10">
        <v>46298</v>
      </c>
    </row>
    <row r="57" spans="1:20" ht="24" customHeight="1" x14ac:dyDescent="0.35">
      <c r="A57" s="5" t="s">
        <v>754</v>
      </c>
      <c r="B57" s="5" t="s">
        <v>755</v>
      </c>
      <c r="C57" s="5" t="s">
        <v>756</v>
      </c>
      <c r="D57" s="5" t="s">
        <v>692</v>
      </c>
      <c r="E57" s="8">
        <v>46185</v>
      </c>
      <c r="F57" s="5" t="s">
        <v>601</v>
      </c>
      <c r="G57" s="5" t="s">
        <v>602</v>
      </c>
      <c r="H57" s="22"/>
      <c r="I57" s="5" t="s">
        <v>603</v>
      </c>
      <c r="J57" s="5" t="s">
        <v>590</v>
      </c>
      <c r="K57" s="5" t="s">
        <v>547</v>
      </c>
      <c r="L57" s="5" t="s">
        <v>149</v>
      </c>
      <c r="M57" s="5" t="s">
        <v>581</v>
      </c>
      <c r="N57" s="5"/>
      <c r="O57" s="8"/>
      <c r="P57" s="22"/>
      <c r="Q57" s="5"/>
      <c r="R57" s="5" t="s">
        <v>557</v>
      </c>
      <c r="S57" s="5" t="s">
        <v>582</v>
      </c>
      <c r="T57" s="8">
        <v>46298</v>
      </c>
    </row>
    <row r="58" spans="1:20" ht="24" customHeight="1" x14ac:dyDescent="0.35">
      <c r="A58" s="1" t="s">
        <v>757</v>
      </c>
      <c r="B58" s="1" t="s">
        <v>758</v>
      </c>
      <c r="C58" s="1" t="s">
        <v>627</v>
      </c>
      <c r="D58" s="1" t="s">
        <v>257</v>
      </c>
      <c r="E58" s="10">
        <v>46185</v>
      </c>
      <c r="F58" s="1" t="s">
        <v>578</v>
      </c>
      <c r="G58" s="1" t="s">
        <v>579</v>
      </c>
      <c r="H58" s="23"/>
      <c r="I58" s="1" t="s">
        <v>580</v>
      </c>
      <c r="J58" s="1" t="s">
        <v>545</v>
      </c>
      <c r="K58" s="1" t="s">
        <v>590</v>
      </c>
      <c r="L58" s="1" t="s">
        <v>640</v>
      </c>
      <c r="M58" s="1" t="s">
        <v>581</v>
      </c>
      <c r="N58" s="1"/>
      <c r="O58" s="10"/>
      <c r="P58" s="23"/>
      <c r="Q58" s="1"/>
      <c r="R58" s="1" t="s">
        <v>557</v>
      </c>
      <c r="S58" s="1" t="s">
        <v>582</v>
      </c>
      <c r="T58" s="10">
        <v>46298</v>
      </c>
    </row>
    <row r="59" spans="1:20" ht="24" customHeight="1" x14ac:dyDescent="0.35">
      <c r="A59" s="5" t="s">
        <v>759</v>
      </c>
      <c r="B59" s="5" t="s">
        <v>760</v>
      </c>
      <c r="C59" s="5" t="s">
        <v>292</v>
      </c>
      <c r="D59" s="5" t="s">
        <v>761</v>
      </c>
      <c r="E59" s="8">
        <v>46186</v>
      </c>
      <c r="F59" s="5" t="s">
        <v>601</v>
      </c>
      <c r="G59" s="5" t="s">
        <v>602</v>
      </c>
      <c r="H59" s="22"/>
      <c r="I59" s="5" t="s">
        <v>603</v>
      </c>
      <c r="J59" s="5" t="s">
        <v>544</v>
      </c>
      <c r="K59" s="5" t="s">
        <v>590</v>
      </c>
      <c r="L59" s="5" t="s">
        <v>640</v>
      </c>
      <c r="M59" s="5" t="s">
        <v>581</v>
      </c>
      <c r="N59" s="5"/>
      <c r="O59" s="8"/>
      <c r="P59" s="22"/>
      <c r="Q59" s="5"/>
      <c r="R59" s="5" t="s">
        <v>557</v>
      </c>
      <c r="S59" s="5" t="s">
        <v>582</v>
      </c>
      <c r="T59" s="8">
        <v>46298</v>
      </c>
    </row>
    <row r="60" spans="1:20" ht="24" customHeight="1" x14ac:dyDescent="0.35">
      <c r="A60" s="1" t="s">
        <v>762</v>
      </c>
      <c r="B60" s="1" t="s">
        <v>763</v>
      </c>
      <c r="C60" s="1" t="s">
        <v>764</v>
      </c>
      <c r="D60" s="1" t="s">
        <v>706</v>
      </c>
      <c r="E60" s="10">
        <v>46188</v>
      </c>
      <c r="F60" s="1" t="s">
        <v>601</v>
      </c>
      <c r="G60" s="1" t="s">
        <v>602</v>
      </c>
      <c r="H60" s="23"/>
      <c r="I60" s="1" t="s">
        <v>603</v>
      </c>
      <c r="J60" s="1" t="s">
        <v>590</v>
      </c>
      <c r="K60" s="1" t="s">
        <v>545</v>
      </c>
      <c r="L60" s="1" t="s">
        <v>149</v>
      </c>
      <c r="M60" s="1" t="s">
        <v>581</v>
      </c>
      <c r="N60" s="1"/>
      <c r="O60" s="10"/>
      <c r="P60" s="23"/>
      <c r="Q60" s="1"/>
      <c r="R60" s="1" t="s">
        <v>557</v>
      </c>
      <c r="S60" s="1" t="s">
        <v>582</v>
      </c>
      <c r="T60" s="10">
        <v>46298</v>
      </c>
    </row>
    <row r="61" spans="1:20" ht="24" customHeight="1" x14ac:dyDescent="0.35">
      <c r="A61" s="5" t="s">
        <v>765</v>
      </c>
      <c r="B61" s="5" t="s">
        <v>766</v>
      </c>
      <c r="C61" s="5" t="s">
        <v>767</v>
      </c>
      <c r="D61" s="5" t="s">
        <v>717</v>
      </c>
      <c r="E61" s="8">
        <v>46188</v>
      </c>
      <c r="F61" s="5" t="s">
        <v>578</v>
      </c>
      <c r="G61" s="5" t="s">
        <v>579</v>
      </c>
      <c r="H61" s="22"/>
      <c r="I61" s="5" t="s">
        <v>580</v>
      </c>
      <c r="J61" s="5" t="s">
        <v>590</v>
      </c>
      <c r="K61" s="5" t="s">
        <v>547</v>
      </c>
      <c r="L61" s="5" t="s">
        <v>149</v>
      </c>
      <c r="M61" s="5" t="s">
        <v>581</v>
      </c>
      <c r="N61" s="5"/>
      <c r="O61" s="8"/>
      <c r="P61" s="22"/>
      <c r="Q61" s="5"/>
      <c r="R61" s="5" t="s">
        <v>557</v>
      </c>
      <c r="S61" s="5" t="s">
        <v>582</v>
      </c>
      <c r="T61" s="8">
        <v>46298</v>
      </c>
    </row>
    <row r="62" spans="1:20" ht="24" customHeight="1" x14ac:dyDescent="0.35">
      <c r="A62" s="1" t="s">
        <v>768</v>
      </c>
      <c r="B62" s="1" t="s">
        <v>218</v>
      </c>
      <c r="C62" s="1" t="s">
        <v>103</v>
      </c>
      <c r="D62" s="1" t="s">
        <v>114</v>
      </c>
      <c r="E62" s="10">
        <v>46188</v>
      </c>
      <c r="F62" s="1" t="s">
        <v>587</v>
      </c>
      <c r="G62" s="1" t="s">
        <v>588</v>
      </c>
      <c r="H62" s="23">
        <v>52000000</v>
      </c>
      <c r="I62" s="1" t="s">
        <v>589</v>
      </c>
      <c r="J62" s="1" t="s">
        <v>544</v>
      </c>
      <c r="K62" s="1" t="s">
        <v>545</v>
      </c>
      <c r="L62" s="1" t="s">
        <v>149</v>
      </c>
      <c r="M62" s="1" t="s">
        <v>581</v>
      </c>
      <c r="N62" s="1"/>
      <c r="O62" s="10"/>
      <c r="P62" s="23"/>
      <c r="Q62" s="1"/>
      <c r="R62" s="1" t="s">
        <v>557</v>
      </c>
      <c r="S62" s="1" t="s">
        <v>582</v>
      </c>
      <c r="T62" s="10">
        <v>46298</v>
      </c>
    </row>
    <row r="63" spans="1:20" ht="24" customHeight="1" x14ac:dyDescent="0.35">
      <c r="A63" s="5" t="s">
        <v>769</v>
      </c>
      <c r="B63" s="5" t="s">
        <v>770</v>
      </c>
      <c r="C63" s="5" t="s">
        <v>685</v>
      </c>
      <c r="D63" s="5" t="s">
        <v>664</v>
      </c>
      <c r="E63" s="8">
        <v>46188</v>
      </c>
      <c r="F63" s="5" t="s">
        <v>771</v>
      </c>
      <c r="G63" s="5" t="s">
        <v>772</v>
      </c>
      <c r="H63" s="22"/>
      <c r="I63" s="5" t="s">
        <v>603</v>
      </c>
      <c r="J63" s="5" t="s">
        <v>547</v>
      </c>
      <c r="K63" s="5" t="s">
        <v>547</v>
      </c>
      <c r="L63" s="5" t="s">
        <v>608</v>
      </c>
      <c r="M63" s="5" t="s">
        <v>581</v>
      </c>
      <c r="N63" s="5"/>
      <c r="O63" s="8"/>
      <c r="P63" s="22"/>
      <c r="Q63" s="5" t="s">
        <v>773</v>
      </c>
      <c r="R63" s="5" t="s">
        <v>557</v>
      </c>
      <c r="S63" s="5" t="s">
        <v>582</v>
      </c>
      <c r="T63" s="8">
        <v>46298</v>
      </c>
    </row>
    <row r="64" spans="1:20" ht="24" customHeight="1" x14ac:dyDescent="0.35">
      <c r="A64" s="1" t="s">
        <v>774</v>
      </c>
      <c r="B64" s="1" t="s">
        <v>775</v>
      </c>
      <c r="C64" s="1" t="s">
        <v>677</v>
      </c>
      <c r="D64" s="1" t="s">
        <v>698</v>
      </c>
      <c r="E64" s="10">
        <v>46188</v>
      </c>
      <c r="F64" s="1" t="s">
        <v>601</v>
      </c>
      <c r="G64" s="1" t="s">
        <v>602</v>
      </c>
      <c r="H64" s="23"/>
      <c r="I64" s="1" t="s">
        <v>603</v>
      </c>
      <c r="J64" s="1" t="s">
        <v>547</v>
      </c>
      <c r="K64" s="1" t="s">
        <v>590</v>
      </c>
      <c r="L64" s="1" t="s">
        <v>591</v>
      </c>
      <c r="M64" s="1" t="s">
        <v>581</v>
      </c>
      <c r="N64" s="1"/>
      <c r="O64" s="10"/>
      <c r="P64" s="23"/>
      <c r="Q64" s="1"/>
      <c r="R64" s="1" t="s">
        <v>557</v>
      </c>
      <c r="S64" s="1" t="s">
        <v>582</v>
      </c>
      <c r="T64" s="10">
        <v>46298</v>
      </c>
    </row>
    <row r="65" spans="1:20" ht="24" customHeight="1" x14ac:dyDescent="0.35">
      <c r="A65" s="5" t="s">
        <v>776</v>
      </c>
      <c r="B65" s="5" t="s">
        <v>777</v>
      </c>
      <c r="C65" s="5" t="s">
        <v>778</v>
      </c>
      <c r="D65" s="5" t="s">
        <v>779</v>
      </c>
      <c r="E65" s="8">
        <v>46188</v>
      </c>
      <c r="F65" s="5" t="s">
        <v>578</v>
      </c>
      <c r="G65" s="5" t="s">
        <v>579</v>
      </c>
      <c r="H65" s="22"/>
      <c r="I65" s="5" t="s">
        <v>580</v>
      </c>
      <c r="J65" s="5" t="s">
        <v>590</v>
      </c>
      <c r="K65" s="5" t="s">
        <v>548</v>
      </c>
      <c r="L65" s="5" t="s">
        <v>172</v>
      </c>
      <c r="M65" s="5" t="s">
        <v>581</v>
      </c>
      <c r="N65" s="5"/>
      <c r="O65" s="8"/>
      <c r="P65" s="22"/>
      <c r="Q65" s="5"/>
      <c r="R65" s="5" t="s">
        <v>557</v>
      </c>
      <c r="S65" s="5" t="s">
        <v>582</v>
      </c>
      <c r="T65" s="8">
        <v>46298</v>
      </c>
    </row>
    <row r="66" spans="1:20" ht="24" customHeight="1" x14ac:dyDescent="0.35">
      <c r="A66" s="1" t="s">
        <v>780</v>
      </c>
      <c r="B66" s="1" t="s">
        <v>781</v>
      </c>
      <c r="C66" s="1" t="s">
        <v>782</v>
      </c>
      <c r="D66" s="1" t="s">
        <v>128</v>
      </c>
      <c r="E66" s="10">
        <v>46188</v>
      </c>
      <c r="F66" s="1" t="s">
        <v>587</v>
      </c>
      <c r="G66" s="1" t="s">
        <v>588</v>
      </c>
      <c r="H66" s="23">
        <v>11000000</v>
      </c>
      <c r="I66" s="1" t="s">
        <v>589</v>
      </c>
      <c r="J66" s="1" t="s">
        <v>590</v>
      </c>
      <c r="K66" s="1" t="s">
        <v>544</v>
      </c>
      <c r="L66" s="1" t="s">
        <v>149</v>
      </c>
      <c r="M66" s="1" t="s">
        <v>581</v>
      </c>
      <c r="N66" s="1"/>
      <c r="O66" s="10"/>
      <c r="P66" s="23"/>
      <c r="Q66" s="1"/>
      <c r="R66" s="1" t="s">
        <v>557</v>
      </c>
      <c r="S66" s="1" t="s">
        <v>582</v>
      </c>
      <c r="T66" s="10">
        <v>46298</v>
      </c>
    </row>
    <row r="67" spans="1:20" ht="24" customHeight="1" x14ac:dyDescent="0.35">
      <c r="A67" s="5" t="s">
        <v>783</v>
      </c>
      <c r="B67" s="5" t="s">
        <v>784</v>
      </c>
      <c r="C67" s="5" t="s">
        <v>785</v>
      </c>
      <c r="D67" s="5" t="s">
        <v>240</v>
      </c>
      <c r="E67" s="8">
        <v>46188</v>
      </c>
      <c r="F67" s="5" t="s">
        <v>578</v>
      </c>
      <c r="G67" s="5" t="s">
        <v>579</v>
      </c>
      <c r="H67" s="22"/>
      <c r="I67" s="5" t="s">
        <v>580</v>
      </c>
      <c r="J67" s="5" t="s">
        <v>548</v>
      </c>
      <c r="K67" s="5" t="s">
        <v>548</v>
      </c>
      <c r="L67" s="5" t="s">
        <v>591</v>
      </c>
      <c r="M67" s="5" t="s">
        <v>581</v>
      </c>
      <c r="N67" s="5"/>
      <c r="O67" s="8"/>
      <c r="P67" s="22"/>
      <c r="Q67" s="5"/>
      <c r="R67" s="5" t="s">
        <v>557</v>
      </c>
      <c r="S67" s="5" t="s">
        <v>582</v>
      </c>
      <c r="T67" s="8">
        <v>46298</v>
      </c>
    </row>
    <row r="68" spans="1:20" ht="24" customHeight="1" x14ac:dyDescent="0.35">
      <c r="A68" s="1" t="s">
        <v>786</v>
      </c>
      <c r="B68" s="1" t="s">
        <v>787</v>
      </c>
      <c r="C68" s="1" t="s">
        <v>188</v>
      </c>
      <c r="D68" s="1" t="s">
        <v>788</v>
      </c>
      <c r="E68" s="10">
        <v>46188</v>
      </c>
      <c r="F68" s="1" t="s">
        <v>587</v>
      </c>
      <c r="G68" s="1" t="s">
        <v>588</v>
      </c>
      <c r="H68" s="23">
        <v>4300000</v>
      </c>
      <c r="I68" s="1" t="s">
        <v>589</v>
      </c>
      <c r="J68" s="1" t="s">
        <v>590</v>
      </c>
      <c r="K68" s="1" t="s">
        <v>546</v>
      </c>
      <c r="L68" s="1" t="s">
        <v>591</v>
      </c>
      <c r="M68" s="1" t="s">
        <v>581</v>
      </c>
      <c r="N68" s="1"/>
      <c r="O68" s="10"/>
      <c r="P68" s="23"/>
      <c r="Q68" s="1" t="s">
        <v>631</v>
      </c>
      <c r="R68" s="1" t="s">
        <v>557</v>
      </c>
      <c r="S68" s="1" t="s">
        <v>582</v>
      </c>
      <c r="T68" s="10">
        <v>46298</v>
      </c>
    </row>
    <row r="69" spans="1:20" ht="24" customHeight="1" x14ac:dyDescent="0.35">
      <c r="A69" s="5" t="s">
        <v>789</v>
      </c>
      <c r="B69" s="5" t="s">
        <v>790</v>
      </c>
      <c r="C69" s="5" t="s">
        <v>791</v>
      </c>
      <c r="D69" s="5" t="s">
        <v>707</v>
      </c>
      <c r="E69" s="8">
        <v>46189</v>
      </c>
      <c r="F69" s="5" t="s">
        <v>578</v>
      </c>
      <c r="G69" s="5" t="s">
        <v>579</v>
      </c>
      <c r="H69" s="22"/>
      <c r="I69" s="5" t="s">
        <v>580</v>
      </c>
      <c r="J69" s="5" t="s">
        <v>548</v>
      </c>
      <c r="K69" s="5" t="s">
        <v>545</v>
      </c>
      <c r="L69" s="5" t="s">
        <v>149</v>
      </c>
      <c r="M69" s="5" t="s">
        <v>581</v>
      </c>
      <c r="N69" s="5"/>
      <c r="O69" s="8"/>
      <c r="P69" s="22"/>
      <c r="Q69" s="5"/>
      <c r="R69" s="5" t="s">
        <v>557</v>
      </c>
      <c r="S69" s="5" t="s">
        <v>582</v>
      </c>
      <c r="T69" s="8">
        <v>46298</v>
      </c>
    </row>
    <row r="70" spans="1:20" ht="24" customHeight="1" x14ac:dyDescent="0.35">
      <c r="A70" s="1" t="s">
        <v>792</v>
      </c>
      <c r="B70" s="1" t="s">
        <v>793</v>
      </c>
      <c r="C70" s="1" t="s">
        <v>186</v>
      </c>
      <c r="D70" s="1" t="s">
        <v>794</v>
      </c>
      <c r="E70" s="10">
        <v>46189</v>
      </c>
      <c r="F70" s="1" t="s">
        <v>771</v>
      </c>
      <c r="G70" s="1" t="s">
        <v>772</v>
      </c>
      <c r="H70" s="23"/>
      <c r="I70" s="1" t="s">
        <v>603</v>
      </c>
      <c r="J70" s="1" t="s">
        <v>547</v>
      </c>
      <c r="K70" s="1" t="s">
        <v>590</v>
      </c>
      <c r="L70" s="1" t="s">
        <v>172</v>
      </c>
      <c r="M70" s="1" t="s">
        <v>581</v>
      </c>
      <c r="N70" s="1"/>
      <c r="O70" s="10"/>
      <c r="P70" s="23"/>
      <c r="Q70" s="1" t="s">
        <v>773</v>
      </c>
      <c r="R70" s="1" t="s">
        <v>557</v>
      </c>
      <c r="S70" s="1" t="s">
        <v>582</v>
      </c>
      <c r="T70" s="10">
        <v>46298</v>
      </c>
    </row>
    <row r="71" spans="1:20" ht="24" customHeight="1" x14ac:dyDescent="0.35">
      <c r="A71" s="5" t="s">
        <v>795</v>
      </c>
      <c r="B71" s="5" t="s">
        <v>796</v>
      </c>
      <c r="C71" s="5" t="s">
        <v>797</v>
      </c>
      <c r="D71" s="5" t="s">
        <v>798</v>
      </c>
      <c r="E71" s="8">
        <v>46189</v>
      </c>
      <c r="F71" s="5" t="s">
        <v>601</v>
      </c>
      <c r="G71" s="5" t="s">
        <v>602</v>
      </c>
      <c r="H71" s="22"/>
      <c r="I71" s="5" t="s">
        <v>603</v>
      </c>
      <c r="J71" s="5" t="s">
        <v>546</v>
      </c>
      <c r="K71" s="5" t="s">
        <v>590</v>
      </c>
      <c r="L71" s="5" t="s">
        <v>591</v>
      </c>
      <c r="M71" s="5" t="s">
        <v>581</v>
      </c>
      <c r="N71" s="5"/>
      <c r="O71" s="8"/>
      <c r="P71" s="22"/>
      <c r="Q71" s="5" t="s">
        <v>631</v>
      </c>
      <c r="R71" s="5" t="s">
        <v>557</v>
      </c>
      <c r="S71" s="5" t="s">
        <v>582</v>
      </c>
      <c r="T71" s="8">
        <v>46298</v>
      </c>
    </row>
    <row r="72" spans="1:20" ht="24" customHeight="1" x14ac:dyDescent="0.35">
      <c r="A72" s="1" t="s">
        <v>799</v>
      </c>
      <c r="B72" s="1" t="s">
        <v>800</v>
      </c>
      <c r="C72" s="1" t="s">
        <v>801</v>
      </c>
      <c r="D72" s="1" t="s">
        <v>802</v>
      </c>
      <c r="E72" s="10">
        <v>46189</v>
      </c>
      <c r="F72" s="1" t="s">
        <v>587</v>
      </c>
      <c r="G72" s="1" t="s">
        <v>588</v>
      </c>
      <c r="H72" s="23">
        <v>2600000</v>
      </c>
      <c r="I72" s="1" t="s">
        <v>589</v>
      </c>
      <c r="J72" s="1" t="s">
        <v>546</v>
      </c>
      <c r="K72" s="1" t="s">
        <v>546</v>
      </c>
      <c r="L72" s="1" t="s">
        <v>640</v>
      </c>
      <c r="M72" s="1" t="s">
        <v>581</v>
      </c>
      <c r="N72" s="1"/>
      <c r="O72" s="10"/>
      <c r="P72" s="23"/>
      <c r="Q72" s="1"/>
      <c r="R72" s="1" t="s">
        <v>557</v>
      </c>
      <c r="S72" s="1" t="s">
        <v>582</v>
      </c>
      <c r="T72" s="10">
        <v>46298</v>
      </c>
    </row>
    <row r="73" spans="1:20" ht="24" customHeight="1" x14ac:dyDescent="0.35">
      <c r="A73" s="5" t="s">
        <v>803</v>
      </c>
      <c r="B73" s="5" t="s">
        <v>804</v>
      </c>
      <c r="C73" s="5" t="s">
        <v>791</v>
      </c>
      <c r="D73" s="5" t="s">
        <v>651</v>
      </c>
      <c r="E73" s="8">
        <v>46189</v>
      </c>
      <c r="F73" s="5" t="s">
        <v>578</v>
      </c>
      <c r="G73" s="5" t="s">
        <v>579</v>
      </c>
      <c r="H73" s="22"/>
      <c r="I73" s="5" t="s">
        <v>580</v>
      </c>
      <c r="J73" s="5" t="s">
        <v>548</v>
      </c>
      <c r="K73" s="5" t="s">
        <v>548</v>
      </c>
      <c r="L73" s="5" t="s">
        <v>591</v>
      </c>
      <c r="M73" s="5" t="s">
        <v>581</v>
      </c>
      <c r="N73" s="5"/>
      <c r="O73" s="8"/>
      <c r="P73" s="22"/>
      <c r="Q73" s="5"/>
      <c r="R73" s="5" t="s">
        <v>557</v>
      </c>
      <c r="S73" s="5" t="s">
        <v>582</v>
      </c>
      <c r="T73" s="8">
        <v>46298</v>
      </c>
    </row>
    <row r="74" spans="1:20" ht="24" customHeight="1" x14ac:dyDescent="0.35">
      <c r="A74" s="1" t="s">
        <v>805</v>
      </c>
      <c r="B74" s="1" t="s">
        <v>806</v>
      </c>
      <c r="C74" s="1" t="s">
        <v>160</v>
      </c>
      <c r="D74" s="1" t="s">
        <v>807</v>
      </c>
      <c r="E74" s="10">
        <v>46188</v>
      </c>
      <c r="F74" s="1" t="s">
        <v>601</v>
      </c>
      <c r="G74" s="1" t="s">
        <v>602</v>
      </c>
      <c r="H74" s="23"/>
      <c r="I74" s="1" t="s">
        <v>603</v>
      </c>
      <c r="J74" s="1" t="s">
        <v>544</v>
      </c>
      <c r="K74" s="1" t="s">
        <v>590</v>
      </c>
      <c r="L74" s="1" t="s">
        <v>591</v>
      </c>
      <c r="M74" s="1" t="s">
        <v>581</v>
      </c>
      <c r="N74" s="1"/>
      <c r="O74" s="10"/>
      <c r="P74" s="23"/>
      <c r="Q74" s="1"/>
      <c r="R74" s="1" t="s">
        <v>557</v>
      </c>
      <c r="S74" s="1" t="s">
        <v>582</v>
      </c>
      <c r="T74" s="10">
        <v>46298</v>
      </c>
    </row>
    <row r="75" spans="1:20" ht="24" customHeight="1" x14ac:dyDescent="0.35">
      <c r="A75" s="5" t="s">
        <v>808</v>
      </c>
      <c r="B75" s="5" t="s">
        <v>304</v>
      </c>
      <c r="C75" s="5" t="s">
        <v>355</v>
      </c>
      <c r="D75" s="5" t="s">
        <v>114</v>
      </c>
      <c r="E75" s="8">
        <v>46190</v>
      </c>
      <c r="F75" s="5" t="s">
        <v>578</v>
      </c>
      <c r="G75" s="5" t="s">
        <v>579</v>
      </c>
      <c r="H75" s="22"/>
      <c r="I75" s="5" t="s">
        <v>580</v>
      </c>
      <c r="J75" s="5" t="s">
        <v>544</v>
      </c>
      <c r="K75" s="5" t="s">
        <v>545</v>
      </c>
      <c r="L75" s="5" t="s">
        <v>608</v>
      </c>
      <c r="M75" s="5" t="s">
        <v>581</v>
      </c>
      <c r="N75" s="5"/>
      <c r="O75" s="8"/>
      <c r="P75" s="22"/>
      <c r="Q75" s="5"/>
      <c r="R75" s="5" t="s">
        <v>557</v>
      </c>
      <c r="S75" s="5" t="s">
        <v>582</v>
      </c>
      <c r="T75" s="8">
        <v>46298</v>
      </c>
    </row>
    <row r="76" spans="1:20" ht="24" customHeight="1" x14ac:dyDescent="0.35">
      <c r="A76" s="1" t="s">
        <v>809</v>
      </c>
      <c r="B76" s="1" t="s">
        <v>810</v>
      </c>
      <c r="C76" s="1" t="s">
        <v>585</v>
      </c>
      <c r="D76" s="1" t="s">
        <v>779</v>
      </c>
      <c r="E76" s="10">
        <v>46190</v>
      </c>
      <c r="F76" s="1" t="s">
        <v>771</v>
      </c>
      <c r="G76" s="1" t="s">
        <v>772</v>
      </c>
      <c r="H76" s="23"/>
      <c r="I76" s="1" t="s">
        <v>603</v>
      </c>
      <c r="J76" s="1" t="s">
        <v>548</v>
      </c>
      <c r="K76" s="1" t="s">
        <v>548</v>
      </c>
      <c r="L76" s="1" t="s">
        <v>591</v>
      </c>
      <c r="M76" s="1" t="s">
        <v>581</v>
      </c>
      <c r="N76" s="1"/>
      <c r="O76" s="10"/>
      <c r="P76" s="23"/>
      <c r="Q76" s="1" t="s">
        <v>773</v>
      </c>
      <c r="R76" s="1" t="s">
        <v>557</v>
      </c>
      <c r="S76" s="1" t="s">
        <v>582</v>
      </c>
      <c r="T76" s="10">
        <v>46298</v>
      </c>
    </row>
    <row r="77" spans="1:20" ht="24" customHeight="1" x14ac:dyDescent="0.35">
      <c r="A77" s="5" t="s">
        <v>811</v>
      </c>
      <c r="B77" s="5" t="s">
        <v>812</v>
      </c>
      <c r="C77" s="5" t="s">
        <v>299</v>
      </c>
      <c r="D77" s="5" t="s">
        <v>614</v>
      </c>
      <c r="E77" s="8">
        <v>46190</v>
      </c>
      <c r="F77" s="5" t="s">
        <v>587</v>
      </c>
      <c r="G77" s="5" t="s">
        <v>588</v>
      </c>
      <c r="H77" s="22">
        <v>4300000</v>
      </c>
      <c r="I77" s="5" t="s">
        <v>589</v>
      </c>
      <c r="J77" s="5" t="s">
        <v>546</v>
      </c>
      <c r="K77" s="5" t="s">
        <v>546</v>
      </c>
      <c r="L77" s="5" t="s">
        <v>149</v>
      </c>
      <c r="M77" s="5" t="s">
        <v>581</v>
      </c>
      <c r="N77" s="5"/>
      <c r="O77" s="8"/>
      <c r="P77" s="22"/>
      <c r="Q77" s="5"/>
      <c r="R77" s="5" t="s">
        <v>557</v>
      </c>
      <c r="S77" s="5" t="s">
        <v>582</v>
      </c>
      <c r="T77" s="8">
        <v>46298</v>
      </c>
    </row>
    <row r="78" spans="1:20" ht="24" customHeight="1" x14ac:dyDescent="0.35">
      <c r="A78" s="1" t="s">
        <v>813</v>
      </c>
      <c r="B78" s="1" t="s">
        <v>814</v>
      </c>
      <c r="C78" s="1" t="s">
        <v>614</v>
      </c>
      <c r="D78" s="1" t="s">
        <v>815</v>
      </c>
      <c r="E78" s="10">
        <v>46190</v>
      </c>
      <c r="F78" s="1" t="s">
        <v>587</v>
      </c>
      <c r="G78" s="1" t="s">
        <v>588</v>
      </c>
      <c r="H78" s="23">
        <v>3100000</v>
      </c>
      <c r="I78" s="1" t="s">
        <v>589</v>
      </c>
      <c r="J78" s="1" t="s">
        <v>546</v>
      </c>
      <c r="K78" s="1" t="s">
        <v>590</v>
      </c>
      <c r="L78" s="1" t="s">
        <v>149</v>
      </c>
      <c r="M78" s="1" t="s">
        <v>581</v>
      </c>
      <c r="N78" s="1"/>
      <c r="O78" s="10"/>
      <c r="P78" s="23"/>
      <c r="Q78" s="1"/>
      <c r="R78" s="1" t="s">
        <v>557</v>
      </c>
      <c r="S78" s="1" t="s">
        <v>582</v>
      </c>
      <c r="T78" s="10">
        <v>46298</v>
      </c>
    </row>
    <row r="79" spans="1:20" ht="24" customHeight="1" x14ac:dyDescent="0.35">
      <c r="A79" s="5" t="s">
        <v>816</v>
      </c>
      <c r="B79" s="5" t="s">
        <v>817</v>
      </c>
      <c r="C79" s="5" t="s">
        <v>818</v>
      </c>
      <c r="D79" s="5" t="s">
        <v>819</v>
      </c>
      <c r="E79" s="8">
        <v>46190</v>
      </c>
      <c r="F79" s="5" t="s">
        <v>601</v>
      </c>
      <c r="G79" s="5" t="s">
        <v>602</v>
      </c>
      <c r="H79" s="22"/>
      <c r="I79" s="5" t="s">
        <v>603</v>
      </c>
      <c r="J79" s="5" t="s">
        <v>590</v>
      </c>
      <c r="K79" s="5" t="s">
        <v>546</v>
      </c>
      <c r="L79" s="5" t="s">
        <v>608</v>
      </c>
      <c r="M79" s="5" t="s">
        <v>581</v>
      </c>
      <c r="N79" s="5"/>
      <c r="O79" s="8"/>
      <c r="P79" s="22"/>
      <c r="Q79" s="5" t="s">
        <v>631</v>
      </c>
      <c r="R79" s="5" t="s">
        <v>557</v>
      </c>
      <c r="S79" s="5" t="s">
        <v>582</v>
      </c>
      <c r="T79" s="8">
        <v>46298</v>
      </c>
    </row>
    <row r="80" spans="1:20" ht="24" customHeight="1" x14ac:dyDescent="0.35">
      <c r="A80" s="1" t="s">
        <v>820</v>
      </c>
      <c r="B80" s="1" t="s">
        <v>821</v>
      </c>
      <c r="C80" s="1" t="s">
        <v>822</v>
      </c>
      <c r="D80" s="1" t="s">
        <v>606</v>
      </c>
      <c r="E80" s="10">
        <v>46190</v>
      </c>
      <c r="F80" s="1" t="s">
        <v>578</v>
      </c>
      <c r="G80" s="1" t="s">
        <v>579</v>
      </c>
      <c r="H80" s="23"/>
      <c r="I80" s="1" t="s">
        <v>580</v>
      </c>
      <c r="J80" s="1" t="s">
        <v>590</v>
      </c>
      <c r="K80" s="1" t="s">
        <v>547</v>
      </c>
      <c r="L80" s="1" t="s">
        <v>149</v>
      </c>
      <c r="M80" s="1" t="s">
        <v>581</v>
      </c>
      <c r="N80" s="1"/>
      <c r="O80" s="10"/>
      <c r="P80" s="23"/>
      <c r="Q80" s="1"/>
      <c r="R80" s="1" t="s">
        <v>557</v>
      </c>
      <c r="S80" s="1" t="s">
        <v>582</v>
      </c>
      <c r="T80" s="10">
        <v>46298</v>
      </c>
    </row>
    <row r="81" spans="1:20" ht="24" customHeight="1" x14ac:dyDescent="0.35">
      <c r="A81" s="5" t="s">
        <v>823</v>
      </c>
      <c r="B81" s="5" t="s">
        <v>824</v>
      </c>
      <c r="C81" s="5" t="s">
        <v>825</v>
      </c>
      <c r="D81" s="5" t="s">
        <v>627</v>
      </c>
      <c r="E81" s="8">
        <v>46190</v>
      </c>
      <c r="F81" s="5" t="s">
        <v>587</v>
      </c>
      <c r="G81" s="5" t="s">
        <v>588</v>
      </c>
      <c r="H81" s="22">
        <v>900000</v>
      </c>
      <c r="I81" s="5" t="s">
        <v>589</v>
      </c>
      <c r="J81" s="5" t="s">
        <v>590</v>
      </c>
      <c r="K81" s="5" t="s">
        <v>545</v>
      </c>
      <c r="L81" s="5" t="s">
        <v>149</v>
      </c>
      <c r="M81" s="5" t="s">
        <v>581</v>
      </c>
      <c r="N81" s="5"/>
      <c r="O81" s="8"/>
      <c r="P81" s="22"/>
      <c r="Q81" s="5" t="s">
        <v>631</v>
      </c>
      <c r="R81" s="5" t="s">
        <v>557</v>
      </c>
      <c r="S81" s="5" t="s">
        <v>582</v>
      </c>
      <c r="T81" s="8">
        <v>46298</v>
      </c>
    </row>
    <row r="82" spans="1:20" ht="24" customHeight="1" x14ac:dyDescent="0.35">
      <c r="A82" s="1" t="s">
        <v>826</v>
      </c>
      <c r="B82" s="1" t="s">
        <v>827</v>
      </c>
      <c r="C82" s="1" t="s">
        <v>606</v>
      </c>
      <c r="D82" s="1" t="s">
        <v>828</v>
      </c>
      <c r="E82" s="10">
        <v>46189</v>
      </c>
      <c r="F82" s="1" t="s">
        <v>771</v>
      </c>
      <c r="G82" s="1" t="s">
        <v>772</v>
      </c>
      <c r="H82" s="23"/>
      <c r="I82" s="1" t="s">
        <v>603</v>
      </c>
      <c r="J82" s="1" t="s">
        <v>547</v>
      </c>
      <c r="K82" s="1" t="s">
        <v>590</v>
      </c>
      <c r="L82" s="1" t="s">
        <v>149</v>
      </c>
      <c r="M82" s="1" t="s">
        <v>581</v>
      </c>
      <c r="N82" s="1"/>
      <c r="O82" s="10"/>
      <c r="P82" s="23"/>
      <c r="Q82" s="1" t="s">
        <v>773</v>
      </c>
      <c r="R82" s="1" t="s">
        <v>557</v>
      </c>
      <c r="S82" s="1" t="s">
        <v>582</v>
      </c>
      <c r="T82" s="10">
        <v>46298</v>
      </c>
    </row>
    <row r="83" spans="1:20" ht="24" customHeight="1" x14ac:dyDescent="0.35">
      <c r="A83" s="5" t="s">
        <v>829</v>
      </c>
      <c r="B83" s="5" t="s">
        <v>830</v>
      </c>
      <c r="C83" s="5" t="s">
        <v>733</v>
      </c>
      <c r="D83" s="5" t="s">
        <v>831</v>
      </c>
      <c r="E83" s="8">
        <v>46190</v>
      </c>
      <c r="F83" s="5" t="s">
        <v>587</v>
      </c>
      <c r="G83" s="5" t="s">
        <v>588</v>
      </c>
      <c r="H83" s="22">
        <v>2600000</v>
      </c>
      <c r="I83" s="5" t="s">
        <v>589</v>
      </c>
      <c r="J83" s="5" t="s">
        <v>545</v>
      </c>
      <c r="K83" s="5" t="s">
        <v>590</v>
      </c>
      <c r="L83" s="5" t="s">
        <v>149</v>
      </c>
      <c r="M83" s="5" t="s">
        <v>581</v>
      </c>
      <c r="N83" s="5"/>
      <c r="O83" s="8"/>
      <c r="P83" s="22"/>
      <c r="Q83" s="5"/>
      <c r="R83" s="5" t="s">
        <v>557</v>
      </c>
      <c r="S83" s="5" t="s">
        <v>582</v>
      </c>
      <c r="T83" s="8">
        <v>46298</v>
      </c>
    </row>
    <row r="84" spans="1:20" ht="24" customHeight="1" x14ac:dyDescent="0.35">
      <c r="A84" s="1" t="s">
        <v>832</v>
      </c>
      <c r="B84" s="1" t="s">
        <v>833</v>
      </c>
      <c r="C84" s="1" t="s">
        <v>101</v>
      </c>
      <c r="D84" s="1" t="s">
        <v>114</v>
      </c>
      <c r="E84" s="10">
        <v>46191</v>
      </c>
      <c r="F84" s="1" t="s">
        <v>578</v>
      </c>
      <c r="G84" s="1" t="s">
        <v>579</v>
      </c>
      <c r="H84" s="23"/>
      <c r="I84" s="1" t="s">
        <v>580</v>
      </c>
      <c r="J84" s="1" t="s">
        <v>544</v>
      </c>
      <c r="K84" s="1" t="s">
        <v>545</v>
      </c>
      <c r="L84" s="1" t="s">
        <v>149</v>
      </c>
      <c r="M84" s="1" t="s">
        <v>581</v>
      </c>
      <c r="N84" s="1"/>
      <c r="O84" s="10"/>
      <c r="P84" s="23"/>
      <c r="Q84" s="1"/>
      <c r="R84" s="1" t="s">
        <v>557</v>
      </c>
      <c r="S84" s="1" t="s">
        <v>582</v>
      </c>
      <c r="T84" s="10">
        <v>46298</v>
      </c>
    </row>
    <row r="85" spans="1:20" ht="24" customHeight="1" x14ac:dyDescent="0.35">
      <c r="A85" s="5" t="s">
        <v>834</v>
      </c>
      <c r="B85" s="5" t="s">
        <v>835</v>
      </c>
      <c r="C85" s="5" t="s">
        <v>836</v>
      </c>
      <c r="D85" s="5" t="s">
        <v>529</v>
      </c>
      <c r="E85" s="8">
        <v>46191</v>
      </c>
      <c r="F85" s="5" t="s">
        <v>587</v>
      </c>
      <c r="G85" s="5" t="s">
        <v>588</v>
      </c>
      <c r="H85" s="22">
        <v>400000</v>
      </c>
      <c r="I85" s="5" t="s">
        <v>589</v>
      </c>
      <c r="J85" s="5" t="s">
        <v>590</v>
      </c>
      <c r="K85" s="5" t="s">
        <v>547</v>
      </c>
      <c r="L85" s="5" t="s">
        <v>608</v>
      </c>
      <c r="M85" s="5" t="s">
        <v>581</v>
      </c>
      <c r="N85" s="5"/>
      <c r="O85" s="8"/>
      <c r="P85" s="22"/>
      <c r="Q85" s="5"/>
      <c r="R85" s="5" t="s">
        <v>557</v>
      </c>
      <c r="S85" s="5" t="s">
        <v>582</v>
      </c>
      <c r="T85" s="8">
        <v>46298</v>
      </c>
    </row>
    <row r="86" spans="1:20" ht="24" customHeight="1" x14ac:dyDescent="0.35">
      <c r="A86" s="1" t="s">
        <v>837</v>
      </c>
      <c r="B86" s="1" t="s">
        <v>838</v>
      </c>
      <c r="C86" s="1" t="s">
        <v>839</v>
      </c>
      <c r="D86" s="1" t="s">
        <v>607</v>
      </c>
      <c r="E86" s="10">
        <v>46191</v>
      </c>
      <c r="F86" s="1" t="s">
        <v>587</v>
      </c>
      <c r="G86" s="1" t="s">
        <v>588</v>
      </c>
      <c r="H86" s="23">
        <v>200000</v>
      </c>
      <c r="I86" s="1" t="s">
        <v>589</v>
      </c>
      <c r="J86" s="1" t="s">
        <v>590</v>
      </c>
      <c r="K86" s="1" t="s">
        <v>547</v>
      </c>
      <c r="L86" s="1" t="s">
        <v>149</v>
      </c>
      <c r="M86" s="1" t="s">
        <v>581</v>
      </c>
      <c r="N86" s="1"/>
      <c r="O86" s="10"/>
      <c r="P86" s="23"/>
      <c r="Q86" s="1"/>
      <c r="R86" s="1" t="s">
        <v>557</v>
      </c>
      <c r="S86" s="1" t="s">
        <v>582</v>
      </c>
      <c r="T86" s="10">
        <v>46298</v>
      </c>
    </row>
    <row r="87" spans="1:20" ht="24" customHeight="1" x14ac:dyDescent="0.35">
      <c r="A87" s="5" t="s">
        <v>840</v>
      </c>
      <c r="B87" s="5" t="s">
        <v>841</v>
      </c>
      <c r="C87" s="5" t="s">
        <v>801</v>
      </c>
      <c r="D87" s="5" t="s">
        <v>842</v>
      </c>
      <c r="E87" s="8">
        <v>46191</v>
      </c>
      <c r="F87" s="5" t="s">
        <v>601</v>
      </c>
      <c r="G87" s="5" t="s">
        <v>602</v>
      </c>
      <c r="H87" s="22"/>
      <c r="I87" s="5" t="s">
        <v>603</v>
      </c>
      <c r="J87" s="5" t="s">
        <v>546</v>
      </c>
      <c r="K87" s="5" t="s">
        <v>590</v>
      </c>
      <c r="L87" s="5" t="s">
        <v>640</v>
      </c>
      <c r="M87" s="5" t="s">
        <v>581</v>
      </c>
      <c r="N87" s="5"/>
      <c r="O87" s="8"/>
      <c r="P87" s="22"/>
      <c r="Q87" s="5"/>
      <c r="R87" s="5" t="s">
        <v>557</v>
      </c>
      <c r="S87" s="5" t="s">
        <v>582</v>
      </c>
      <c r="T87" s="8">
        <v>46298</v>
      </c>
    </row>
    <row r="88" spans="1:20" ht="24" customHeight="1" x14ac:dyDescent="0.35">
      <c r="A88" s="1" t="s">
        <v>843</v>
      </c>
      <c r="B88" s="1" t="s">
        <v>844</v>
      </c>
      <c r="C88" s="1" t="s">
        <v>240</v>
      </c>
      <c r="D88" s="1" t="s">
        <v>685</v>
      </c>
      <c r="E88" s="10">
        <v>46191</v>
      </c>
      <c r="F88" s="1" t="s">
        <v>587</v>
      </c>
      <c r="G88" s="1" t="s">
        <v>588</v>
      </c>
      <c r="H88" s="23">
        <v>25000000</v>
      </c>
      <c r="I88" s="1" t="s">
        <v>589</v>
      </c>
      <c r="J88" s="1" t="s">
        <v>548</v>
      </c>
      <c r="K88" s="1" t="s">
        <v>547</v>
      </c>
      <c r="L88" s="1" t="s">
        <v>591</v>
      </c>
      <c r="M88" s="1" t="s">
        <v>581</v>
      </c>
      <c r="N88" s="1"/>
      <c r="O88" s="10"/>
      <c r="P88" s="23"/>
      <c r="Q88" s="1"/>
      <c r="R88" s="1" t="s">
        <v>557</v>
      </c>
      <c r="S88" s="1" t="s">
        <v>582</v>
      </c>
      <c r="T88" s="10">
        <v>46298</v>
      </c>
    </row>
    <row r="89" spans="1:20" ht="24" customHeight="1" x14ac:dyDescent="0.35">
      <c r="A89" s="5" t="s">
        <v>845</v>
      </c>
      <c r="B89" s="5" t="s">
        <v>846</v>
      </c>
      <c r="C89" s="5" t="s">
        <v>847</v>
      </c>
      <c r="D89" s="5" t="s">
        <v>101</v>
      </c>
      <c r="E89" s="8">
        <v>46191</v>
      </c>
      <c r="F89" s="5" t="s">
        <v>587</v>
      </c>
      <c r="G89" s="5" t="s">
        <v>588</v>
      </c>
      <c r="H89" s="22">
        <v>34500000</v>
      </c>
      <c r="I89" s="5" t="s">
        <v>589</v>
      </c>
      <c r="J89" s="5" t="s">
        <v>545</v>
      </c>
      <c r="K89" s="5" t="s">
        <v>544</v>
      </c>
      <c r="L89" s="5" t="s">
        <v>640</v>
      </c>
      <c r="M89" s="5" t="s">
        <v>581</v>
      </c>
      <c r="N89" s="5"/>
      <c r="O89" s="8"/>
      <c r="P89" s="22"/>
      <c r="Q89" s="5"/>
      <c r="R89" s="5" t="s">
        <v>557</v>
      </c>
      <c r="S89" s="5" t="s">
        <v>582</v>
      </c>
      <c r="T89" s="8">
        <v>46298</v>
      </c>
    </row>
    <row r="90" spans="1:20" ht="24" customHeight="1" x14ac:dyDescent="0.35">
      <c r="A90" s="1" t="s">
        <v>848</v>
      </c>
      <c r="B90" s="1" t="s">
        <v>849</v>
      </c>
      <c r="C90" s="1" t="s">
        <v>850</v>
      </c>
      <c r="D90" s="1" t="s">
        <v>842</v>
      </c>
      <c r="E90" s="10">
        <v>46191</v>
      </c>
      <c r="F90" s="1" t="s">
        <v>771</v>
      </c>
      <c r="G90" s="1" t="s">
        <v>772</v>
      </c>
      <c r="H90" s="23"/>
      <c r="I90" s="1" t="s">
        <v>603</v>
      </c>
      <c r="J90" s="1" t="s">
        <v>544</v>
      </c>
      <c r="K90" s="1" t="s">
        <v>590</v>
      </c>
      <c r="L90" s="1" t="s">
        <v>608</v>
      </c>
      <c r="M90" s="1" t="s">
        <v>581</v>
      </c>
      <c r="N90" s="1"/>
      <c r="O90" s="10"/>
      <c r="P90" s="23"/>
      <c r="Q90" s="1" t="s">
        <v>773</v>
      </c>
      <c r="R90" s="1" t="s">
        <v>557</v>
      </c>
      <c r="S90" s="1" t="s">
        <v>582</v>
      </c>
      <c r="T90" s="10">
        <v>46298</v>
      </c>
    </row>
    <row r="91" spans="1:20" ht="24" customHeight="1" x14ac:dyDescent="0.35">
      <c r="A91" s="5" t="s">
        <v>851</v>
      </c>
      <c r="B91" s="5" t="s">
        <v>852</v>
      </c>
      <c r="C91" s="5" t="s">
        <v>850</v>
      </c>
      <c r="D91" s="5" t="s">
        <v>853</v>
      </c>
      <c r="E91" s="8">
        <v>46191</v>
      </c>
      <c r="F91" s="5" t="s">
        <v>601</v>
      </c>
      <c r="G91" s="5" t="s">
        <v>602</v>
      </c>
      <c r="H91" s="22"/>
      <c r="I91" s="5" t="s">
        <v>603</v>
      </c>
      <c r="J91" s="5" t="s">
        <v>544</v>
      </c>
      <c r="K91" s="5" t="s">
        <v>590</v>
      </c>
      <c r="L91" s="5" t="s">
        <v>608</v>
      </c>
      <c r="M91" s="5" t="s">
        <v>581</v>
      </c>
      <c r="N91" s="5"/>
      <c r="O91" s="8"/>
      <c r="P91" s="22"/>
      <c r="Q91" s="5"/>
      <c r="R91" s="5" t="s">
        <v>557</v>
      </c>
      <c r="S91" s="5" t="s">
        <v>582</v>
      </c>
      <c r="T91" s="8">
        <v>46298</v>
      </c>
    </row>
    <row r="92" spans="1:20" ht="24" customHeight="1" x14ac:dyDescent="0.35">
      <c r="A92" s="1" t="s">
        <v>854</v>
      </c>
      <c r="B92" s="1" t="s">
        <v>855</v>
      </c>
      <c r="C92" s="1" t="s">
        <v>856</v>
      </c>
      <c r="D92" s="1" t="s">
        <v>857</v>
      </c>
      <c r="E92" s="10">
        <v>46191</v>
      </c>
      <c r="F92" s="1" t="s">
        <v>771</v>
      </c>
      <c r="G92" s="1" t="s">
        <v>772</v>
      </c>
      <c r="H92" s="23"/>
      <c r="I92" s="1" t="s">
        <v>603</v>
      </c>
      <c r="J92" s="1" t="s">
        <v>546</v>
      </c>
      <c r="K92" s="1" t="s">
        <v>590</v>
      </c>
      <c r="L92" s="1" t="s">
        <v>591</v>
      </c>
      <c r="M92" s="1" t="s">
        <v>581</v>
      </c>
      <c r="N92" s="1"/>
      <c r="O92" s="10"/>
      <c r="P92" s="23"/>
      <c r="Q92" s="1" t="s">
        <v>773</v>
      </c>
      <c r="R92" s="1" t="s">
        <v>557</v>
      </c>
      <c r="S92" s="1" t="s">
        <v>582</v>
      </c>
      <c r="T92" s="10">
        <v>46298</v>
      </c>
    </row>
    <row r="93" spans="1:20" ht="24" customHeight="1" x14ac:dyDescent="0.35">
      <c r="A93" s="5" t="s">
        <v>858</v>
      </c>
      <c r="B93" s="5" t="s">
        <v>859</v>
      </c>
      <c r="C93" s="5" t="s">
        <v>785</v>
      </c>
      <c r="D93" s="5" t="s">
        <v>860</v>
      </c>
      <c r="E93" s="8">
        <v>46192</v>
      </c>
      <c r="F93" s="5" t="s">
        <v>587</v>
      </c>
      <c r="G93" s="5" t="s">
        <v>588</v>
      </c>
      <c r="H93" s="22">
        <v>5200000</v>
      </c>
      <c r="I93" s="5" t="s">
        <v>589</v>
      </c>
      <c r="J93" s="5" t="s">
        <v>548</v>
      </c>
      <c r="K93" s="5" t="s">
        <v>590</v>
      </c>
      <c r="L93" s="5" t="s">
        <v>608</v>
      </c>
      <c r="M93" s="5" t="s">
        <v>581</v>
      </c>
      <c r="N93" s="5"/>
      <c r="O93" s="8"/>
      <c r="P93" s="22"/>
      <c r="Q93" s="5"/>
      <c r="R93" s="5" t="s">
        <v>557</v>
      </c>
      <c r="S93" s="5" t="s">
        <v>582</v>
      </c>
      <c r="T93" s="8">
        <v>46298</v>
      </c>
    </row>
    <row r="94" spans="1:20" ht="24" customHeight="1" x14ac:dyDescent="0.35">
      <c r="A94" s="1" t="s">
        <v>861</v>
      </c>
      <c r="B94" s="1" t="s">
        <v>862</v>
      </c>
      <c r="C94" s="1" t="s">
        <v>863</v>
      </c>
      <c r="D94" s="1" t="s">
        <v>680</v>
      </c>
      <c r="E94" s="10">
        <v>46191</v>
      </c>
      <c r="F94" s="1" t="s">
        <v>578</v>
      </c>
      <c r="G94" s="1" t="s">
        <v>579</v>
      </c>
      <c r="H94" s="23"/>
      <c r="I94" s="1" t="s">
        <v>580</v>
      </c>
      <c r="J94" s="1" t="s">
        <v>548</v>
      </c>
      <c r="K94" s="1" t="s">
        <v>590</v>
      </c>
      <c r="L94" s="1" t="s">
        <v>149</v>
      </c>
      <c r="M94" s="1" t="s">
        <v>581</v>
      </c>
      <c r="N94" s="1"/>
      <c r="O94" s="10"/>
      <c r="P94" s="23"/>
      <c r="Q94" s="1"/>
      <c r="R94" s="1" t="s">
        <v>557</v>
      </c>
      <c r="S94" s="1" t="s">
        <v>582</v>
      </c>
      <c r="T94" s="10">
        <v>46298</v>
      </c>
    </row>
    <row r="95" spans="1:20" ht="24" customHeight="1" x14ac:dyDescent="0.35">
      <c r="A95" s="5" t="s">
        <v>864</v>
      </c>
      <c r="B95" s="5" t="s">
        <v>865</v>
      </c>
      <c r="C95" s="5" t="s">
        <v>630</v>
      </c>
      <c r="D95" s="5" t="s">
        <v>720</v>
      </c>
      <c r="E95" s="8">
        <v>46192</v>
      </c>
      <c r="F95" s="5" t="s">
        <v>578</v>
      </c>
      <c r="G95" s="5" t="s">
        <v>579</v>
      </c>
      <c r="H95" s="22"/>
      <c r="I95" s="5" t="s">
        <v>580</v>
      </c>
      <c r="J95" s="5" t="s">
        <v>547</v>
      </c>
      <c r="K95" s="5" t="s">
        <v>590</v>
      </c>
      <c r="L95" s="5" t="s">
        <v>149</v>
      </c>
      <c r="M95" s="5" t="s">
        <v>581</v>
      </c>
      <c r="N95" s="5"/>
      <c r="O95" s="8"/>
      <c r="P95" s="22"/>
      <c r="Q95" s="5"/>
      <c r="R95" s="5" t="s">
        <v>557</v>
      </c>
      <c r="S95" s="5" t="s">
        <v>582</v>
      </c>
      <c r="T95" s="8">
        <v>46298</v>
      </c>
    </row>
    <row r="96" spans="1:20" ht="24" customHeight="1" x14ac:dyDescent="0.35">
      <c r="A96" s="1" t="s">
        <v>866</v>
      </c>
      <c r="B96" s="1" t="s">
        <v>867</v>
      </c>
      <c r="C96" s="1" t="s">
        <v>868</v>
      </c>
      <c r="D96" s="1" t="s">
        <v>869</v>
      </c>
      <c r="E96" s="10">
        <v>46192</v>
      </c>
      <c r="F96" s="1" t="s">
        <v>587</v>
      </c>
      <c r="G96" s="1" t="s">
        <v>588</v>
      </c>
      <c r="H96" s="23">
        <v>1200000</v>
      </c>
      <c r="I96" s="1" t="s">
        <v>589</v>
      </c>
      <c r="J96" s="1" t="s">
        <v>545</v>
      </c>
      <c r="K96" s="1" t="s">
        <v>590</v>
      </c>
      <c r="L96" s="1" t="s">
        <v>608</v>
      </c>
      <c r="M96" s="1" t="s">
        <v>581</v>
      </c>
      <c r="N96" s="1"/>
      <c r="O96" s="10"/>
      <c r="P96" s="23"/>
      <c r="Q96" s="1"/>
      <c r="R96" s="1" t="s">
        <v>557</v>
      </c>
      <c r="S96" s="1" t="s">
        <v>582</v>
      </c>
      <c r="T96" s="10">
        <v>46298</v>
      </c>
    </row>
    <row r="97" spans="1:20" ht="24" customHeight="1" x14ac:dyDescent="0.35">
      <c r="A97" s="5" t="s">
        <v>870</v>
      </c>
      <c r="B97" s="5" t="s">
        <v>871</v>
      </c>
      <c r="C97" s="5" t="s">
        <v>788</v>
      </c>
      <c r="D97" s="5" t="s">
        <v>872</v>
      </c>
      <c r="E97" s="8">
        <v>46192</v>
      </c>
      <c r="F97" s="5" t="s">
        <v>601</v>
      </c>
      <c r="G97" s="5" t="s">
        <v>602</v>
      </c>
      <c r="H97" s="22"/>
      <c r="I97" s="5" t="s">
        <v>603</v>
      </c>
      <c r="J97" s="5" t="s">
        <v>546</v>
      </c>
      <c r="K97" s="5" t="s">
        <v>590</v>
      </c>
      <c r="L97" s="5" t="s">
        <v>172</v>
      </c>
      <c r="M97" s="5" t="s">
        <v>581</v>
      </c>
      <c r="N97" s="5"/>
      <c r="O97" s="8"/>
      <c r="P97" s="22"/>
      <c r="Q97" s="5"/>
      <c r="R97" s="5" t="s">
        <v>557</v>
      </c>
      <c r="S97" s="5" t="s">
        <v>582</v>
      </c>
      <c r="T97" s="8">
        <v>46298</v>
      </c>
    </row>
    <row r="98" spans="1:20" ht="24" customHeight="1" x14ac:dyDescent="0.35">
      <c r="A98" s="1" t="s">
        <v>873</v>
      </c>
      <c r="B98" s="1" t="s">
        <v>874</v>
      </c>
      <c r="C98" s="1" t="s">
        <v>643</v>
      </c>
      <c r="D98" s="1" t="s">
        <v>875</v>
      </c>
      <c r="E98" s="10">
        <v>46191</v>
      </c>
      <c r="F98" s="1" t="s">
        <v>578</v>
      </c>
      <c r="G98" s="1" t="s">
        <v>579</v>
      </c>
      <c r="H98" s="23"/>
      <c r="I98" s="1" t="s">
        <v>580</v>
      </c>
      <c r="J98" s="1" t="s">
        <v>544</v>
      </c>
      <c r="K98" s="1" t="s">
        <v>590</v>
      </c>
      <c r="L98" s="1" t="s">
        <v>149</v>
      </c>
      <c r="M98" s="1" t="s">
        <v>581</v>
      </c>
      <c r="N98" s="1"/>
      <c r="O98" s="10"/>
      <c r="P98" s="23"/>
      <c r="Q98" s="1"/>
      <c r="R98" s="1" t="s">
        <v>557</v>
      </c>
      <c r="S98" s="1" t="s">
        <v>582</v>
      </c>
      <c r="T98" s="10">
        <v>46298</v>
      </c>
    </row>
    <row r="99" spans="1:20" ht="24" customHeight="1" x14ac:dyDescent="0.35">
      <c r="A99" s="5" t="s">
        <v>876</v>
      </c>
      <c r="B99" s="5" t="s">
        <v>877</v>
      </c>
      <c r="C99" s="5" t="s">
        <v>123</v>
      </c>
      <c r="D99" s="5" t="s">
        <v>878</v>
      </c>
      <c r="E99" s="8">
        <v>46189</v>
      </c>
      <c r="F99" s="5" t="s">
        <v>587</v>
      </c>
      <c r="G99" s="5" t="s">
        <v>588</v>
      </c>
      <c r="H99" s="22">
        <v>400000</v>
      </c>
      <c r="I99" s="5" t="s">
        <v>589</v>
      </c>
      <c r="J99" s="5" t="s">
        <v>546</v>
      </c>
      <c r="K99" s="5" t="s">
        <v>590</v>
      </c>
      <c r="L99" s="5" t="s">
        <v>172</v>
      </c>
      <c r="M99" s="5" t="s">
        <v>581</v>
      </c>
      <c r="N99" s="5"/>
      <c r="O99" s="8"/>
      <c r="P99" s="22"/>
      <c r="Q99" s="5" t="s">
        <v>631</v>
      </c>
      <c r="R99" s="5" t="s">
        <v>557</v>
      </c>
      <c r="S99" s="5" t="s">
        <v>582</v>
      </c>
      <c r="T99" s="8">
        <v>46298</v>
      </c>
    </row>
    <row r="100" spans="1:20" ht="24" customHeight="1" x14ac:dyDescent="0.35">
      <c r="A100" s="1" t="s">
        <v>879</v>
      </c>
      <c r="B100" s="1" t="s">
        <v>877</v>
      </c>
      <c r="C100" s="1" t="s">
        <v>878</v>
      </c>
      <c r="D100" s="1" t="s">
        <v>123</v>
      </c>
      <c r="E100" s="10">
        <v>46193</v>
      </c>
      <c r="F100" s="1" t="s">
        <v>587</v>
      </c>
      <c r="G100" s="1" t="s">
        <v>588</v>
      </c>
      <c r="H100" s="23">
        <v>900000</v>
      </c>
      <c r="I100" s="1" t="s">
        <v>589</v>
      </c>
      <c r="J100" s="1" t="s">
        <v>590</v>
      </c>
      <c r="K100" s="1" t="s">
        <v>546</v>
      </c>
      <c r="L100" s="1" t="s">
        <v>172</v>
      </c>
      <c r="M100" s="1" t="s">
        <v>581</v>
      </c>
      <c r="N100" s="1"/>
      <c r="O100" s="10"/>
      <c r="P100" s="23"/>
      <c r="Q100" s="1"/>
      <c r="R100" s="1" t="s">
        <v>557</v>
      </c>
      <c r="S100" s="1" t="s">
        <v>582</v>
      </c>
      <c r="T100" s="10">
        <v>46298</v>
      </c>
    </row>
    <row r="101" spans="1:20" ht="24" customHeight="1" x14ac:dyDescent="0.35">
      <c r="A101" s="5" t="s">
        <v>880</v>
      </c>
      <c r="B101" s="5" t="s">
        <v>881</v>
      </c>
      <c r="C101" s="5" t="s">
        <v>111</v>
      </c>
      <c r="D101" s="5" t="s">
        <v>651</v>
      </c>
      <c r="E101" s="8">
        <v>46191</v>
      </c>
      <c r="F101" s="5" t="s">
        <v>587</v>
      </c>
      <c r="G101" s="5" t="s">
        <v>588</v>
      </c>
      <c r="H101" s="22">
        <v>3000000</v>
      </c>
      <c r="I101" s="5" t="s">
        <v>589</v>
      </c>
      <c r="J101" s="5" t="s">
        <v>590</v>
      </c>
      <c r="K101" s="5" t="s">
        <v>548</v>
      </c>
      <c r="L101" s="5" t="s">
        <v>149</v>
      </c>
      <c r="M101" s="5" t="s">
        <v>581</v>
      </c>
      <c r="N101" s="5"/>
      <c r="O101" s="8"/>
      <c r="P101" s="22"/>
      <c r="Q101" s="5"/>
      <c r="R101" s="5" t="s">
        <v>557</v>
      </c>
      <c r="S101" s="5" t="s">
        <v>582</v>
      </c>
      <c r="T101" s="8">
        <v>46298</v>
      </c>
    </row>
    <row r="102" spans="1:20" ht="24" customHeight="1" x14ac:dyDescent="0.35">
      <c r="A102" s="1" t="s">
        <v>882</v>
      </c>
      <c r="B102" s="1" t="s">
        <v>883</v>
      </c>
      <c r="C102" s="1" t="s">
        <v>788</v>
      </c>
      <c r="D102" s="1" t="s">
        <v>884</v>
      </c>
      <c r="E102" s="10">
        <v>46194</v>
      </c>
      <c r="F102" s="1" t="s">
        <v>771</v>
      </c>
      <c r="G102" s="1" t="s">
        <v>772</v>
      </c>
      <c r="H102" s="23"/>
      <c r="I102" s="1" t="s">
        <v>603</v>
      </c>
      <c r="J102" s="1" t="s">
        <v>546</v>
      </c>
      <c r="K102" s="1" t="s">
        <v>590</v>
      </c>
      <c r="L102" s="1" t="s">
        <v>172</v>
      </c>
      <c r="M102" s="1" t="s">
        <v>581</v>
      </c>
      <c r="N102" s="1"/>
      <c r="O102" s="10"/>
      <c r="P102" s="23"/>
      <c r="Q102" s="1" t="s">
        <v>773</v>
      </c>
      <c r="R102" s="1" t="s">
        <v>557</v>
      </c>
      <c r="S102" s="1" t="s">
        <v>582</v>
      </c>
      <c r="T102" s="10">
        <v>46298</v>
      </c>
    </row>
    <row r="103" spans="1:20" ht="24" customHeight="1" x14ac:dyDescent="0.35">
      <c r="A103" s="5" t="s">
        <v>885</v>
      </c>
      <c r="B103" s="5" t="s">
        <v>886</v>
      </c>
      <c r="C103" s="5" t="s">
        <v>103</v>
      </c>
      <c r="D103" s="5" t="s">
        <v>887</v>
      </c>
      <c r="E103" s="8">
        <v>46191</v>
      </c>
      <c r="F103" s="5" t="s">
        <v>587</v>
      </c>
      <c r="G103" s="5" t="s">
        <v>588</v>
      </c>
      <c r="H103" s="22">
        <v>4000000</v>
      </c>
      <c r="I103" s="5" t="s">
        <v>589</v>
      </c>
      <c r="J103" s="5" t="s">
        <v>544</v>
      </c>
      <c r="K103" s="5" t="s">
        <v>590</v>
      </c>
      <c r="L103" s="5" t="s">
        <v>640</v>
      </c>
      <c r="M103" s="5" t="s">
        <v>581</v>
      </c>
      <c r="N103" s="5"/>
      <c r="O103" s="8"/>
      <c r="P103" s="22"/>
      <c r="Q103" s="5"/>
      <c r="R103" s="5" t="s">
        <v>557</v>
      </c>
      <c r="S103" s="5" t="s">
        <v>582</v>
      </c>
      <c r="T103" s="8">
        <v>46298</v>
      </c>
    </row>
    <row r="104" spans="1:20" ht="24" customHeight="1" x14ac:dyDescent="0.35">
      <c r="A104" s="1" t="s">
        <v>888</v>
      </c>
      <c r="B104" s="1" t="s">
        <v>889</v>
      </c>
      <c r="C104" s="1" t="s">
        <v>720</v>
      </c>
      <c r="D104" s="1" t="s">
        <v>624</v>
      </c>
      <c r="E104" s="10">
        <v>46194</v>
      </c>
      <c r="F104" s="1" t="s">
        <v>578</v>
      </c>
      <c r="G104" s="1" t="s">
        <v>579</v>
      </c>
      <c r="H104" s="23"/>
      <c r="I104" s="1" t="s">
        <v>580</v>
      </c>
      <c r="J104" s="1" t="s">
        <v>590</v>
      </c>
      <c r="K104" s="1" t="s">
        <v>547</v>
      </c>
      <c r="L104" s="1" t="s">
        <v>640</v>
      </c>
      <c r="M104" s="1" t="s">
        <v>581</v>
      </c>
      <c r="N104" s="1"/>
      <c r="O104" s="10"/>
      <c r="P104" s="23"/>
      <c r="Q104" s="1"/>
      <c r="R104" s="1" t="s">
        <v>557</v>
      </c>
      <c r="S104" s="1" t="s">
        <v>582</v>
      </c>
      <c r="T104" s="10">
        <v>46298</v>
      </c>
    </row>
    <row r="105" spans="1:20" ht="24" customHeight="1" x14ac:dyDescent="0.35">
      <c r="A105" s="5" t="s">
        <v>890</v>
      </c>
      <c r="B105" s="5" t="s">
        <v>891</v>
      </c>
      <c r="C105" s="5" t="s">
        <v>749</v>
      </c>
      <c r="D105" s="5" t="s">
        <v>892</v>
      </c>
      <c r="E105" s="8">
        <v>46194</v>
      </c>
      <c r="F105" s="5" t="s">
        <v>771</v>
      </c>
      <c r="G105" s="5" t="s">
        <v>772</v>
      </c>
      <c r="H105" s="22"/>
      <c r="I105" s="5" t="s">
        <v>603</v>
      </c>
      <c r="J105" s="5" t="s">
        <v>547</v>
      </c>
      <c r="K105" s="5" t="s">
        <v>590</v>
      </c>
      <c r="L105" s="5" t="s">
        <v>172</v>
      </c>
      <c r="M105" s="5" t="s">
        <v>581</v>
      </c>
      <c r="N105" s="5"/>
      <c r="O105" s="8"/>
      <c r="P105" s="22"/>
      <c r="Q105" s="5" t="s">
        <v>773</v>
      </c>
      <c r="R105" s="5" t="s">
        <v>557</v>
      </c>
      <c r="S105" s="5" t="s">
        <v>582</v>
      </c>
      <c r="T105" s="8">
        <v>46298</v>
      </c>
    </row>
    <row r="106" spans="1:20" ht="24" customHeight="1" x14ac:dyDescent="0.35">
      <c r="A106" s="1" t="s">
        <v>893</v>
      </c>
      <c r="B106" s="1" t="s">
        <v>894</v>
      </c>
      <c r="C106" s="1" t="s">
        <v>126</v>
      </c>
      <c r="D106" s="1" t="s">
        <v>624</v>
      </c>
      <c r="E106" s="10">
        <v>46165</v>
      </c>
      <c r="F106" s="1" t="s">
        <v>587</v>
      </c>
      <c r="G106" s="1" t="s">
        <v>588</v>
      </c>
      <c r="H106" s="23">
        <v>2600000</v>
      </c>
      <c r="I106" s="1" t="s">
        <v>589</v>
      </c>
      <c r="J106" s="1" t="s">
        <v>544</v>
      </c>
      <c r="K106" s="1" t="s">
        <v>547</v>
      </c>
      <c r="L106" s="1" t="s">
        <v>172</v>
      </c>
      <c r="M106" s="1" t="s">
        <v>581</v>
      </c>
      <c r="N106" s="1"/>
      <c r="O106" s="10"/>
      <c r="P106" s="23"/>
      <c r="Q106" s="1" t="s">
        <v>592</v>
      </c>
      <c r="R106" s="1" t="s">
        <v>557</v>
      </c>
      <c r="S106" s="1" t="s">
        <v>582</v>
      </c>
      <c r="T106" s="10">
        <v>46298</v>
      </c>
    </row>
    <row r="107" spans="1:20" ht="24" customHeight="1" x14ac:dyDescent="0.35">
      <c r="A107" s="5" t="s">
        <v>895</v>
      </c>
      <c r="B107" s="5" t="s">
        <v>896</v>
      </c>
      <c r="C107" s="5" t="s">
        <v>624</v>
      </c>
      <c r="D107" s="5" t="s">
        <v>677</v>
      </c>
      <c r="E107" s="8">
        <v>46165</v>
      </c>
      <c r="F107" s="5" t="s">
        <v>587</v>
      </c>
      <c r="G107" s="5" t="s">
        <v>588</v>
      </c>
      <c r="H107" s="22">
        <v>12900000</v>
      </c>
      <c r="I107" s="5" t="s">
        <v>589</v>
      </c>
      <c r="J107" s="5" t="s">
        <v>547</v>
      </c>
      <c r="K107" s="5" t="s">
        <v>547</v>
      </c>
      <c r="L107" s="5" t="s">
        <v>172</v>
      </c>
      <c r="M107" s="5" t="s">
        <v>581</v>
      </c>
      <c r="N107" s="5"/>
      <c r="O107" s="8"/>
      <c r="P107" s="22"/>
      <c r="Q107" s="5" t="s">
        <v>592</v>
      </c>
      <c r="R107" s="5" t="s">
        <v>557</v>
      </c>
      <c r="S107" s="5" t="s">
        <v>582</v>
      </c>
      <c r="T107" s="8">
        <v>46298</v>
      </c>
    </row>
    <row r="108" spans="1:20" ht="24" customHeight="1" x14ac:dyDescent="0.35">
      <c r="A108" s="1" t="s">
        <v>897</v>
      </c>
      <c r="B108" s="1" t="s">
        <v>898</v>
      </c>
      <c r="C108" s="1" t="s">
        <v>200</v>
      </c>
      <c r="D108" s="1" t="s">
        <v>899</v>
      </c>
      <c r="E108" s="10">
        <v>46188</v>
      </c>
      <c r="F108" s="1" t="s">
        <v>601</v>
      </c>
      <c r="G108" s="1" t="s">
        <v>602</v>
      </c>
      <c r="H108" s="23"/>
      <c r="I108" s="1" t="s">
        <v>603</v>
      </c>
      <c r="J108" s="1" t="s">
        <v>544</v>
      </c>
      <c r="K108" s="1" t="s">
        <v>590</v>
      </c>
      <c r="L108" s="1" t="s">
        <v>591</v>
      </c>
      <c r="M108" s="1" t="s">
        <v>581</v>
      </c>
      <c r="N108" s="1"/>
      <c r="O108" s="10"/>
      <c r="P108" s="23"/>
      <c r="Q108" s="1"/>
      <c r="R108" s="1" t="s">
        <v>557</v>
      </c>
      <c r="S108" s="1" t="s">
        <v>582</v>
      </c>
      <c r="T108" s="10">
        <v>46298</v>
      </c>
    </row>
    <row r="109" spans="1:20" ht="24" customHeight="1" x14ac:dyDescent="0.35">
      <c r="A109" s="5" t="s">
        <v>900</v>
      </c>
      <c r="B109" s="5" t="s">
        <v>901</v>
      </c>
      <c r="C109" s="5" t="s">
        <v>684</v>
      </c>
      <c r="D109" s="5" t="s">
        <v>190</v>
      </c>
      <c r="E109" s="8">
        <v>46157</v>
      </c>
      <c r="F109" s="5" t="s">
        <v>587</v>
      </c>
      <c r="G109" s="5" t="s">
        <v>588</v>
      </c>
      <c r="H109" s="22">
        <v>14000000</v>
      </c>
      <c r="I109" s="5" t="s">
        <v>589</v>
      </c>
      <c r="J109" s="5" t="s">
        <v>590</v>
      </c>
      <c r="K109" s="5" t="s">
        <v>544</v>
      </c>
      <c r="L109" s="5" t="s">
        <v>149</v>
      </c>
      <c r="M109" s="5" t="s">
        <v>581</v>
      </c>
      <c r="N109" s="5"/>
      <c r="O109" s="8"/>
      <c r="P109" s="22"/>
      <c r="Q109" s="5" t="s">
        <v>592</v>
      </c>
      <c r="R109" s="5" t="s">
        <v>557</v>
      </c>
      <c r="S109" s="5" t="s">
        <v>582</v>
      </c>
      <c r="T109" s="8">
        <v>46298</v>
      </c>
    </row>
    <row r="110" spans="1:20" ht="24" customHeight="1" x14ac:dyDescent="0.35">
      <c r="A110" s="1" t="s">
        <v>902</v>
      </c>
      <c r="B110" s="1" t="s">
        <v>903</v>
      </c>
      <c r="C110" s="1" t="s">
        <v>680</v>
      </c>
      <c r="D110" s="1" t="s">
        <v>599</v>
      </c>
      <c r="E110" s="10">
        <v>46147</v>
      </c>
      <c r="F110" s="1" t="s">
        <v>587</v>
      </c>
      <c r="G110" s="1" t="s">
        <v>588</v>
      </c>
      <c r="H110" s="23">
        <v>1700000</v>
      </c>
      <c r="I110" s="1" t="s">
        <v>589</v>
      </c>
      <c r="J110" s="1" t="s">
        <v>590</v>
      </c>
      <c r="K110" s="1" t="s">
        <v>544</v>
      </c>
      <c r="L110" s="1" t="s">
        <v>149</v>
      </c>
      <c r="M110" s="1" t="s">
        <v>581</v>
      </c>
      <c r="N110" s="1"/>
      <c r="O110" s="10"/>
      <c r="P110" s="23"/>
      <c r="Q110" s="1" t="s">
        <v>592</v>
      </c>
      <c r="R110" s="1" t="s">
        <v>557</v>
      </c>
      <c r="S110" s="1" t="s">
        <v>582</v>
      </c>
      <c r="T110" s="10">
        <v>46298</v>
      </c>
    </row>
    <row r="111" spans="1:20" ht="24" customHeight="1" x14ac:dyDescent="0.35">
      <c r="A111" s="5" t="s">
        <v>904</v>
      </c>
      <c r="B111" s="5" t="s">
        <v>905</v>
      </c>
      <c r="C111" s="5" t="s">
        <v>144</v>
      </c>
      <c r="D111" s="5" t="s">
        <v>599</v>
      </c>
      <c r="E111" s="8">
        <v>46147</v>
      </c>
      <c r="F111" s="5" t="s">
        <v>587</v>
      </c>
      <c r="G111" s="5" t="s">
        <v>588</v>
      </c>
      <c r="H111" s="22">
        <v>7000000</v>
      </c>
      <c r="I111" s="5" t="s">
        <v>589</v>
      </c>
      <c r="J111" s="5" t="s">
        <v>590</v>
      </c>
      <c r="K111" s="5" t="s">
        <v>544</v>
      </c>
      <c r="L111" s="5" t="s">
        <v>640</v>
      </c>
      <c r="M111" s="5" t="s">
        <v>581</v>
      </c>
      <c r="N111" s="5"/>
      <c r="O111" s="8"/>
      <c r="P111" s="22"/>
      <c r="Q111" s="5" t="s">
        <v>592</v>
      </c>
      <c r="R111" s="5" t="s">
        <v>557</v>
      </c>
      <c r="S111" s="5" t="s">
        <v>582</v>
      </c>
      <c r="T111" s="8">
        <v>46298</v>
      </c>
    </row>
    <row r="112" spans="1:20" ht="24" customHeight="1" x14ac:dyDescent="0.35">
      <c r="A112" s="1" t="s">
        <v>906</v>
      </c>
      <c r="B112" s="1" t="s">
        <v>907</v>
      </c>
      <c r="C112" s="1" t="s">
        <v>425</v>
      </c>
      <c r="D112" s="1" t="s">
        <v>126</v>
      </c>
      <c r="E112" s="10">
        <v>46212</v>
      </c>
      <c r="F112" s="1" t="s">
        <v>578</v>
      </c>
      <c r="G112" s="1" t="s">
        <v>579</v>
      </c>
      <c r="H112" s="23"/>
      <c r="I112" s="1" t="s">
        <v>580</v>
      </c>
      <c r="J112" s="1" t="s">
        <v>544</v>
      </c>
      <c r="K112" s="1" t="s">
        <v>544</v>
      </c>
      <c r="L112" s="1" t="s">
        <v>172</v>
      </c>
      <c r="M112" s="1" t="s">
        <v>581</v>
      </c>
      <c r="N112" s="1"/>
      <c r="O112" s="10"/>
      <c r="P112" s="23"/>
      <c r="Q112" s="1"/>
      <c r="R112" s="1" t="s">
        <v>557</v>
      </c>
      <c r="S112" s="1" t="s">
        <v>582</v>
      </c>
      <c r="T112" s="10">
        <v>46298</v>
      </c>
    </row>
    <row r="113" spans="1:20" ht="24" customHeight="1" x14ac:dyDescent="0.35">
      <c r="A113" s="5" t="s">
        <v>908</v>
      </c>
      <c r="B113" s="5" t="s">
        <v>909</v>
      </c>
      <c r="C113" s="5" t="s">
        <v>101</v>
      </c>
      <c r="D113" s="5" t="s">
        <v>887</v>
      </c>
      <c r="E113" s="8">
        <v>46191</v>
      </c>
      <c r="F113" s="5" t="s">
        <v>601</v>
      </c>
      <c r="G113" s="5" t="s">
        <v>602</v>
      </c>
      <c r="H113" s="22"/>
      <c r="I113" s="5" t="s">
        <v>603</v>
      </c>
      <c r="J113" s="5" t="s">
        <v>544</v>
      </c>
      <c r="K113" s="5" t="s">
        <v>590</v>
      </c>
      <c r="L113" s="5" t="s">
        <v>149</v>
      </c>
      <c r="M113" s="5" t="s">
        <v>581</v>
      </c>
      <c r="N113" s="5"/>
      <c r="O113" s="8"/>
      <c r="P113" s="22"/>
      <c r="Q113" s="5"/>
      <c r="R113" s="5" t="s">
        <v>557</v>
      </c>
      <c r="S113" s="5" t="s">
        <v>582</v>
      </c>
      <c r="T113" s="8">
        <v>46298</v>
      </c>
    </row>
    <row r="114" spans="1:20" ht="24" customHeight="1" x14ac:dyDescent="0.35">
      <c r="A114" s="1" t="s">
        <v>910</v>
      </c>
      <c r="B114" s="1" t="s">
        <v>911</v>
      </c>
      <c r="C114" s="1" t="s">
        <v>677</v>
      </c>
      <c r="D114" s="1" t="s">
        <v>912</v>
      </c>
      <c r="E114" s="10">
        <v>46196</v>
      </c>
      <c r="F114" s="1" t="s">
        <v>587</v>
      </c>
      <c r="G114" s="1" t="s">
        <v>588</v>
      </c>
      <c r="H114" s="23">
        <v>700000</v>
      </c>
      <c r="I114" s="1" t="s">
        <v>589</v>
      </c>
      <c r="J114" s="1" t="s">
        <v>547</v>
      </c>
      <c r="K114" s="1" t="s">
        <v>590</v>
      </c>
      <c r="L114" s="1" t="s">
        <v>608</v>
      </c>
      <c r="M114" s="1" t="s">
        <v>581</v>
      </c>
      <c r="N114" s="1"/>
      <c r="O114" s="10"/>
      <c r="P114" s="23"/>
      <c r="Q114" s="1"/>
      <c r="R114" s="1" t="s">
        <v>557</v>
      </c>
      <c r="S114" s="1" t="s">
        <v>582</v>
      </c>
      <c r="T114" s="10">
        <v>46298</v>
      </c>
    </row>
    <row r="115" spans="1:20" ht="24" customHeight="1" x14ac:dyDescent="0.35">
      <c r="A115" s="5" t="s">
        <v>913</v>
      </c>
      <c r="B115" s="5" t="s">
        <v>914</v>
      </c>
      <c r="C115" s="5" t="s">
        <v>91</v>
      </c>
      <c r="D115" s="5" t="s">
        <v>586</v>
      </c>
      <c r="E115" s="8">
        <v>46196</v>
      </c>
      <c r="F115" s="5" t="s">
        <v>587</v>
      </c>
      <c r="G115" s="5" t="s">
        <v>588</v>
      </c>
      <c r="H115" s="22">
        <v>2600000</v>
      </c>
      <c r="I115" s="5" t="s">
        <v>589</v>
      </c>
      <c r="J115" s="5" t="s">
        <v>545</v>
      </c>
      <c r="K115" s="5" t="s">
        <v>590</v>
      </c>
      <c r="L115" s="5" t="s">
        <v>172</v>
      </c>
      <c r="M115" s="5" t="s">
        <v>581</v>
      </c>
      <c r="N115" s="5"/>
      <c r="O115" s="8"/>
      <c r="P115" s="22"/>
      <c r="Q115" s="5"/>
      <c r="R115" s="5" t="s">
        <v>557</v>
      </c>
      <c r="S115" s="5" t="s">
        <v>582</v>
      </c>
      <c r="T115" s="8">
        <v>46298</v>
      </c>
    </row>
    <row r="116" spans="1:20" ht="24" customHeight="1" x14ac:dyDescent="0.35">
      <c r="A116" s="1" t="s">
        <v>915</v>
      </c>
      <c r="B116" s="1" t="s">
        <v>916</v>
      </c>
      <c r="C116" s="1" t="s">
        <v>652</v>
      </c>
      <c r="D116" s="1" t="s">
        <v>184</v>
      </c>
      <c r="E116" s="10">
        <v>46196</v>
      </c>
      <c r="F116" s="1" t="s">
        <v>587</v>
      </c>
      <c r="G116" s="1" t="s">
        <v>588</v>
      </c>
      <c r="H116" s="23">
        <v>1300000</v>
      </c>
      <c r="I116" s="1" t="s">
        <v>589</v>
      </c>
      <c r="J116" s="1" t="s">
        <v>547</v>
      </c>
      <c r="K116" s="1" t="s">
        <v>590</v>
      </c>
      <c r="L116" s="1" t="s">
        <v>640</v>
      </c>
      <c r="M116" s="1" t="s">
        <v>581</v>
      </c>
      <c r="N116" s="1"/>
      <c r="O116" s="10"/>
      <c r="P116" s="23"/>
      <c r="Q116" s="1"/>
      <c r="R116" s="1" t="s">
        <v>557</v>
      </c>
      <c r="S116" s="1" t="s">
        <v>582</v>
      </c>
      <c r="T116" s="10">
        <v>46298</v>
      </c>
    </row>
    <row r="117" spans="1:20" ht="24" customHeight="1" x14ac:dyDescent="0.35">
      <c r="A117" s="5" t="s">
        <v>917</v>
      </c>
      <c r="B117" s="5" t="s">
        <v>918</v>
      </c>
      <c r="C117" s="5" t="s">
        <v>919</v>
      </c>
      <c r="D117" s="5" t="s">
        <v>643</v>
      </c>
      <c r="E117" s="8">
        <v>46197</v>
      </c>
      <c r="F117" s="5" t="s">
        <v>578</v>
      </c>
      <c r="G117" s="5" t="s">
        <v>579</v>
      </c>
      <c r="H117" s="22"/>
      <c r="I117" s="5" t="s">
        <v>580</v>
      </c>
      <c r="J117" s="5" t="s">
        <v>590</v>
      </c>
      <c r="K117" s="5" t="s">
        <v>544</v>
      </c>
      <c r="L117" s="5" t="s">
        <v>172</v>
      </c>
      <c r="M117" s="5" t="s">
        <v>581</v>
      </c>
      <c r="N117" s="5"/>
      <c r="O117" s="8"/>
      <c r="P117" s="22"/>
      <c r="Q117" s="5"/>
      <c r="R117" s="5" t="s">
        <v>557</v>
      </c>
      <c r="S117" s="5" t="s">
        <v>582</v>
      </c>
      <c r="T117" s="8">
        <v>46298</v>
      </c>
    </row>
    <row r="118" spans="1:20" ht="24" customHeight="1" x14ac:dyDescent="0.35">
      <c r="A118" s="1" t="s">
        <v>920</v>
      </c>
      <c r="B118" s="1" t="s">
        <v>921</v>
      </c>
      <c r="C118" s="1" t="s">
        <v>785</v>
      </c>
      <c r="D118" s="1" t="s">
        <v>778</v>
      </c>
      <c r="E118" s="10">
        <v>46197</v>
      </c>
      <c r="F118" s="1" t="s">
        <v>578</v>
      </c>
      <c r="G118" s="1" t="s">
        <v>579</v>
      </c>
      <c r="H118" s="23"/>
      <c r="I118" s="1" t="s">
        <v>580</v>
      </c>
      <c r="J118" s="1" t="s">
        <v>548</v>
      </c>
      <c r="K118" s="1" t="s">
        <v>590</v>
      </c>
      <c r="L118" s="1" t="s">
        <v>172</v>
      </c>
      <c r="M118" s="1" t="s">
        <v>581</v>
      </c>
      <c r="N118" s="1"/>
      <c r="O118" s="10"/>
      <c r="P118" s="23"/>
      <c r="Q118" s="1"/>
      <c r="R118" s="1" t="s">
        <v>557</v>
      </c>
      <c r="S118" s="1" t="s">
        <v>582</v>
      </c>
      <c r="T118" s="10">
        <v>46298</v>
      </c>
    </row>
    <row r="119" spans="1:20" ht="24" customHeight="1" x14ac:dyDescent="0.35">
      <c r="A119" s="5" t="s">
        <v>922</v>
      </c>
      <c r="B119" s="5" t="s">
        <v>923</v>
      </c>
      <c r="C119" s="5" t="s">
        <v>365</v>
      </c>
      <c r="D119" s="5" t="s">
        <v>924</v>
      </c>
      <c r="E119" s="8">
        <v>46197</v>
      </c>
      <c r="F119" s="5" t="s">
        <v>578</v>
      </c>
      <c r="G119" s="5" t="s">
        <v>579</v>
      </c>
      <c r="H119" s="22"/>
      <c r="I119" s="5" t="s">
        <v>580</v>
      </c>
      <c r="J119" s="5" t="s">
        <v>548</v>
      </c>
      <c r="K119" s="5" t="s">
        <v>590</v>
      </c>
      <c r="L119" s="5" t="s">
        <v>640</v>
      </c>
      <c r="M119" s="5" t="s">
        <v>581</v>
      </c>
      <c r="N119" s="5"/>
      <c r="O119" s="8"/>
      <c r="P119" s="22"/>
      <c r="Q119" s="5"/>
      <c r="R119" s="5" t="s">
        <v>557</v>
      </c>
      <c r="S119" s="5" t="s">
        <v>582</v>
      </c>
      <c r="T119" s="8">
        <v>46298</v>
      </c>
    </row>
    <row r="120" spans="1:20" ht="24" customHeight="1" x14ac:dyDescent="0.35">
      <c r="A120" s="1" t="s">
        <v>925</v>
      </c>
      <c r="B120" s="1" t="s">
        <v>926</v>
      </c>
      <c r="C120" s="1" t="s">
        <v>927</v>
      </c>
      <c r="D120" s="1" t="s">
        <v>639</v>
      </c>
      <c r="E120" s="10">
        <v>46197</v>
      </c>
      <c r="F120" s="1" t="s">
        <v>587</v>
      </c>
      <c r="G120" s="1" t="s">
        <v>588</v>
      </c>
      <c r="H120" s="23">
        <v>9500000</v>
      </c>
      <c r="I120" s="1" t="s">
        <v>589</v>
      </c>
      <c r="J120" s="1" t="s">
        <v>590</v>
      </c>
      <c r="K120" s="1" t="s">
        <v>548</v>
      </c>
      <c r="L120" s="1" t="s">
        <v>608</v>
      </c>
      <c r="M120" s="1" t="s">
        <v>581</v>
      </c>
      <c r="N120" s="1"/>
      <c r="O120" s="10"/>
      <c r="P120" s="23"/>
      <c r="Q120" s="1"/>
      <c r="R120" s="1" t="s">
        <v>557</v>
      </c>
      <c r="S120" s="1" t="s">
        <v>582</v>
      </c>
      <c r="T120" s="10">
        <v>46298</v>
      </c>
    </row>
    <row r="121" spans="1:20" ht="24" customHeight="1" x14ac:dyDescent="0.35">
      <c r="A121" s="5" t="s">
        <v>928</v>
      </c>
      <c r="B121" s="5" t="s">
        <v>929</v>
      </c>
      <c r="C121" s="5" t="s">
        <v>365</v>
      </c>
      <c r="D121" s="5" t="s">
        <v>930</v>
      </c>
      <c r="E121" s="8">
        <v>46197</v>
      </c>
      <c r="F121" s="5" t="s">
        <v>578</v>
      </c>
      <c r="G121" s="5" t="s">
        <v>579</v>
      </c>
      <c r="H121" s="22"/>
      <c r="I121" s="5" t="s">
        <v>580</v>
      </c>
      <c r="J121" s="5" t="s">
        <v>548</v>
      </c>
      <c r="K121" s="5" t="s">
        <v>590</v>
      </c>
      <c r="L121" s="5" t="s">
        <v>640</v>
      </c>
      <c r="M121" s="5" t="s">
        <v>581</v>
      </c>
      <c r="N121" s="5"/>
      <c r="O121" s="8"/>
      <c r="P121" s="22"/>
      <c r="Q121" s="5"/>
      <c r="R121" s="5" t="s">
        <v>557</v>
      </c>
      <c r="S121" s="5" t="s">
        <v>582</v>
      </c>
      <c r="T121" s="8">
        <v>46298</v>
      </c>
    </row>
    <row r="122" spans="1:20" ht="24" customHeight="1" x14ac:dyDescent="0.35">
      <c r="A122" s="1" t="s">
        <v>931</v>
      </c>
      <c r="B122" s="1" t="s">
        <v>932</v>
      </c>
      <c r="C122" s="1" t="s">
        <v>749</v>
      </c>
      <c r="D122" s="1" t="s">
        <v>933</v>
      </c>
      <c r="E122" s="10">
        <v>46198</v>
      </c>
      <c r="F122" s="1" t="s">
        <v>771</v>
      </c>
      <c r="G122" s="1" t="s">
        <v>772</v>
      </c>
      <c r="H122" s="23"/>
      <c r="I122" s="1" t="s">
        <v>603</v>
      </c>
      <c r="J122" s="1" t="s">
        <v>547</v>
      </c>
      <c r="K122" s="1" t="s">
        <v>590</v>
      </c>
      <c r="L122" s="1" t="s">
        <v>149</v>
      </c>
      <c r="M122" s="1" t="s">
        <v>581</v>
      </c>
      <c r="N122" s="1"/>
      <c r="O122" s="10"/>
      <c r="P122" s="23"/>
      <c r="Q122" s="1" t="s">
        <v>773</v>
      </c>
      <c r="R122" s="1" t="s">
        <v>557</v>
      </c>
      <c r="S122" s="1" t="s">
        <v>582</v>
      </c>
      <c r="T122" s="10">
        <v>46298</v>
      </c>
    </row>
    <row r="123" spans="1:20" ht="24" customHeight="1" x14ac:dyDescent="0.35">
      <c r="A123" s="5" t="s">
        <v>934</v>
      </c>
      <c r="B123" s="5" t="s">
        <v>935</v>
      </c>
      <c r="C123" s="5" t="s">
        <v>643</v>
      </c>
      <c r="D123" s="5" t="s">
        <v>936</v>
      </c>
      <c r="E123" s="8">
        <v>46198</v>
      </c>
      <c r="F123" s="5" t="s">
        <v>601</v>
      </c>
      <c r="G123" s="5" t="s">
        <v>602</v>
      </c>
      <c r="H123" s="22"/>
      <c r="I123" s="5" t="s">
        <v>603</v>
      </c>
      <c r="J123" s="5" t="s">
        <v>544</v>
      </c>
      <c r="K123" s="5" t="s">
        <v>590</v>
      </c>
      <c r="L123" s="5" t="s">
        <v>608</v>
      </c>
      <c r="M123" s="5" t="s">
        <v>581</v>
      </c>
      <c r="N123" s="5"/>
      <c r="O123" s="8"/>
      <c r="P123" s="22"/>
      <c r="Q123" s="5"/>
      <c r="R123" s="5" t="s">
        <v>557</v>
      </c>
      <c r="S123" s="5" t="s">
        <v>582</v>
      </c>
      <c r="T123" s="8">
        <v>46298</v>
      </c>
    </row>
    <row r="124" spans="1:20" ht="24" customHeight="1" x14ac:dyDescent="0.35">
      <c r="A124" s="1" t="s">
        <v>937</v>
      </c>
      <c r="B124" s="1" t="s">
        <v>938</v>
      </c>
      <c r="C124" s="1" t="s">
        <v>128</v>
      </c>
      <c r="D124" s="1" t="s">
        <v>939</v>
      </c>
      <c r="E124" s="10">
        <v>46198</v>
      </c>
      <c r="F124" s="1" t="s">
        <v>578</v>
      </c>
      <c r="G124" s="1" t="s">
        <v>579</v>
      </c>
      <c r="H124" s="23"/>
      <c r="I124" s="1" t="s">
        <v>580</v>
      </c>
      <c r="J124" s="1" t="s">
        <v>544</v>
      </c>
      <c r="K124" s="1" t="s">
        <v>590</v>
      </c>
      <c r="L124" s="1" t="s">
        <v>149</v>
      </c>
      <c r="M124" s="1" t="s">
        <v>581</v>
      </c>
      <c r="N124" s="1"/>
      <c r="O124" s="10"/>
      <c r="P124" s="23"/>
      <c r="Q124" s="1"/>
      <c r="R124" s="1" t="s">
        <v>557</v>
      </c>
      <c r="S124" s="1" t="s">
        <v>582</v>
      </c>
      <c r="T124" s="10">
        <v>46298</v>
      </c>
    </row>
    <row r="125" spans="1:20" ht="24" customHeight="1" x14ac:dyDescent="0.35">
      <c r="A125" s="5" t="s">
        <v>940</v>
      </c>
      <c r="B125" s="5" t="s">
        <v>941</v>
      </c>
      <c r="C125" s="5" t="s">
        <v>186</v>
      </c>
      <c r="D125" s="5" t="s">
        <v>664</v>
      </c>
      <c r="E125" s="8">
        <v>46198</v>
      </c>
      <c r="F125" s="5" t="s">
        <v>771</v>
      </c>
      <c r="G125" s="5" t="s">
        <v>772</v>
      </c>
      <c r="H125" s="22"/>
      <c r="I125" s="5" t="s">
        <v>603</v>
      </c>
      <c r="J125" s="5" t="s">
        <v>547</v>
      </c>
      <c r="K125" s="5" t="s">
        <v>547</v>
      </c>
      <c r="L125" s="5" t="s">
        <v>608</v>
      </c>
      <c r="M125" s="5" t="s">
        <v>581</v>
      </c>
      <c r="N125" s="5"/>
      <c r="O125" s="8"/>
      <c r="P125" s="22"/>
      <c r="Q125" s="5" t="s">
        <v>773</v>
      </c>
      <c r="R125" s="5" t="s">
        <v>557</v>
      </c>
      <c r="S125" s="5" t="s">
        <v>582</v>
      </c>
      <c r="T125" s="8">
        <v>46298</v>
      </c>
    </row>
    <row r="126" spans="1:20" ht="24" customHeight="1" x14ac:dyDescent="0.35">
      <c r="A126" s="1" t="s">
        <v>942</v>
      </c>
      <c r="B126" s="1" t="s">
        <v>943</v>
      </c>
      <c r="C126" s="1" t="s">
        <v>721</v>
      </c>
      <c r="D126" s="1" t="s">
        <v>944</v>
      </c>
      <c r="E126" s="10">
        <v>46198</v>
      </c>
      <c r="F126" s="1" t="s">
        <v>601</v>
      </c>
      <c r="G126" s="1" t="s">
        <v>602</v>
      </c>
      <c r="H126" s="23"/>
      <c r="I126" s="1" t="s">
        <v>603</v>
      </c>
      <c r="J126" s="1" t="s">
        <v>547</v>
      </c>
      <c r="K126" s="1" t="s">
        <v>590</v>
      </c>
      <c r="L126" s="1" t="s">
        <v>591</v>
      </c>
      <c r="M126" s="1" t="s">
        <v>581</v>
      </c>
      <c r="N126" s="1"/>
      <c r="O126" s="10"/>
      <c r="P126" s="23"/>
      <c r="Q126" s="1"/>
      <c r="R126" s="1" t="s">
        <v>557</v>
      </c>
      <c r="S126" s="1" t="s">
        <v>582</v>
      </c>
      <c r="T126" s="10">
        <v>46298</v>
      </c>
    </row>
    <row r="127" spans="1:20" ht="24" customHeight="1" x14ac:dyDescent="0.35">
      <c r="A127" s="5" t="s">
        <v>945</v>
      </c>
      <c r="B127" s="5" t="s">
        <v>946</v>
      </c>
      <c r="C127" s="5" t="s">
        <v>677</v>
      </c>
      <c r="D127" s="5" t="s">
        <v>184</v>
      </c>
      <c r="E127" s="8">
        <v>46198</v>
      </c>
      <c r="F127" s="5" t="s">
        <v>601</v>
      </c>
      <c r="G127" s="5" t="s">
        <v>602</v>
      </c>
      <c r="H127" s="22"/>
      <c r="I127" s="5" t="s">
        <v>603</v>
      </c>
      <c r="J127" s="5" t="s">
        <v>547</v>
      </c>
      <c r="K127" s="5" t="s">
        <v>590</v>
      </c>
      <c r="L127" s="5" t="s">
        <v>608</v>
      </c>
      <c r="M127" s="5" t="s">
        <v>581</v>
      </c>
      <c r="N127" s="5"/>
      <c r="O127" s="8"/>
      <c r="P127" s="22"/>
      <c r="Q127" s="5"/>
      <c r="R127" s="5" t="s">
        <v>557</v>
      </c>
      <c r="S127" s="5" t="s">
        <v>582</v>
      </c>
      <c r="T127" s="8">
        <v>46298</v>
      </c>
    </row>
    <row r="128" spans="1:20" ht="24" customHeight="1" x14ac:dyDescent="0.35">
      <c r="A128" s="1" t="s">
        <v>947</v>
      </c>
      <c r="B128" s="1" t="s">
        <v>948</v>
      </c>
      <c r="C128" s="1" t="s">
        <v>724</v>
      </c>
      <c r="D128" s="1" t="s">
        <v>585</v>
      </c>
      <c r="E128" s="10">
        <v>46199</v>
      </c>
      <c r="F128" s="1" t="s">
        <v>587</v>
      </c>
      <c r="G128" s="1" t="s">
        <v>588</v>
      </c>
      <c r="H128" s="23">
        <v>4300000</v>
      </c>
      <c r="I128" s="1" t="s">
        <v>589</v>
      </c>
      <c r="J128" s="1" t="s">
        <v>590</v>
      </c>
      <c r="K128" s="1" t="s">
        <v>548</v>
      </c>
      <c r="L128" s="1" t="s">
        <v>608</v>
      </c>
      <c r="M128" s="1" t="s">
        <v>581</v>
      </c>
      <c r="N128" s="1"/>
      <c r="O128" s="10"/>
      <c r="P128" s="23"/>
      <c r="Q128" s="1"/>
      <c r="R128" s="1" t="s">
        <v>557</v>
      </c>
      <c r="S128" s="1" t="s">
        <v>582</v>
      </c>
      <c r="T128" s="10">
        <v>46298</v>
      </c>
    </row>
    <row r="129" spans="1:20" ht="24" customHeight="1" x14ac:dyDescent="0.35">
      <c r="A129" s="5" t="s">
        <v>949</v>
      </c>
      <c r="B129" s="5" t="s">
        <v>950</v>
      </c>
      <c r="C129" s="5" t="s">
        <v>160</v>
      </c>
      <c r="D129" s="5" t="s">
        <v>600</v>
      </c>
      <c r="E129" s="8">
        <v>46199</v>
      </c>
      <c r="F129" s="5" t="s">
        <v>578</v>
      </c>
      <c r="G129" s="5" t="s">
        <v>579</v>
      </c>
      <c r="H129" s="22"/>
      <c r="I129" s="5" t="s">
        <v>580</v>
      </c>
      <c r="J129" s="5" t="s">
        <v>544</v>
      </c>
      <c r="K129" s="5" t="s">
        <v>590</v>
      </c>
      <c r="L129" s="5" t="s">
        <v>640</v>
      </c>
      <c r="M129" s="5" t="s">
        <v>581</v>
      </c>
      <c r="N129" s="5"/>
      <c r="O129" s="8"/>
      <c r="P129" s="22"/>
      <c r="Q129" s="5"/>
      <c r="R129" s="5" t="s">
        <v>557</v>
      </c>
      <c r="S129" s="5" t="s">
        <v>582</v>
      </c>
      <c r="T129" s="8">
        <v>46298</v>
      </c>
    </row>
    <row r="130" spans="1:20" ht="24" customHeight="1" x14ac:dyDescent="0.35">
      <c r="A130" s="1" t="s">
        <v>951</v>
      </c>
      <c r="B130" s="1" t="s">
        <v>952</v>
      </c>
      <c r="C130" s="1" t="s">
        <v>953</v>
      </c>
      <c r="D130" s="1" t="s">
        <v>651</v>
      </c>
      <c r="E130" s="10">
        <v>46199</v>
      </c>
      <c r="F130" s="1" t="s">
        <v>578</v>
      </c>
      <c r="G130" s="1" t="s">
        <v>579</v>
      </c>
      <c r="H130" s="23"/>
      <c r="I130" s="1" t="s">
        <v>580</v>
      </c>
      <c r="J130" s="1" t="s">
        <v>548</v>
      </c>
      <c r="K130" s="1" t="s">
        <v>548</v>
      </c>
      <c r="L130" s="1" t="s">
        <v>172</v>
      </c>
      <c r="M130" s="1" t="s">
        <v>581</v>
      </c>
      <c r="N130" s="1"/>
      <c r="O130" s="10"/>
      <c r="P130" s="23"/>
      <c r="Q130" s="1"/>
      <c r="R130" s="1" t="s">
        <v>557</v>
      </c>
      <c r="S130" s="1" t="s">
        <v>582</v>
      </c>
      <c r="T130" s="10">
        <v>46298</v>
      </c>
    </row>
    <row r="131" spans="1:20" ht="24" customHeight="1" x14ac:dyDescent="0.35">
      <c r="A131" s="5" t="s">
        <v>954</v>
      </c>
      <c r="B131" s="5" t="s">
        <v>955</v>
      </c>
      <c r="C131" s="5" t="s">
        <v>956</v>
      </c>
      <c r="D131" s="5" t="s">
        <v>624</v>
      </c>
      <c r="E131" s="8">
        <v>46199</v>
      </c>
      <c r="F131" s="5" t="s">
        <v>601</v>
      </c>
      <c r="G131" s="5" t="s">
        <v>602</v>
      </c>
      <c r="H131" s="22"/>
      <c r="I131" s="5" t="s">
        <v>603</v>
      </c>
      <c r="J131" s="5" t="s">
        <v>590</v>
      </c>
      <c r="K131" s="5" t="s">
        <v>547</v>
      </c>
      <c r="L131" s="5" t="s">
        <v>608</v>
      </c>
      <c r="M131" s="5" t="s">
        <v>581</v>
      </c>
      <c r="N131" s="5"/>
      <c r="O131" s="8"/>
      <c r="P131" s="22"/>
      <c r="Q131" s="5"/>
      <c r="R131" s="5" t="s">
        <v>557</v>
      </c>
      <c r="S131" s="5" t="s">
        <v>582</v>
      </c>
      <c r="T131" s="8">
        <v>46298</v>
      </c>
    </row>
    <row r="132" spans="1:20" ht="24" customHeight="1" x14ac:dyDescent="0.35">
      <c r="A132" s="1" t="s">
        <v>957</v>
      </c>
      <c r="B132" s="1" t="s">
        <v>958</v>
      </c>
      <c r="C132" s="1" t="s">
        <v>624</v>
      </c>
      <c r="D132" s="1" t="s">
        <v>959</v>
      </c>
      <c r="E132" s="10">
        <v>46199</v>
      </c>
      <c r="F132" s="1" t="s">
        <v>771</v>
      </c>
      <c r="G132" s="1" t="s">
        <v>772</v>
      </c>
      <c r="H132" s="23"/>
      <c r="I132" s="1" t="s">
        <v>603</v>
      </c>
      <c r="J132" s="1" t="s">
        <v>547</v>
      </c>
      <c r="K132" s="1" t="s">
        <v>590</v>
      </c>
      <c r="L132" s="1" t="s">
        <v>608</v>
      </c>
      <c r="M132" s="1" t="s">
        <v>581</v>
      </c>
      <c r="N132" s="1"/>
      <c r="O132" s="10"/>
      <c r="P132" s="23"/>
      <c r="Q132" s="1" t="s">
        <v>773</v>
      </c>
      <c r="R132" s="1" t="s">
        <v>557</v>
      </c>
      <c r="S132" s="1" t="s">
        <v>582</v>
      </c>
      <c r="T132" s="10">
        <v>46298</v>
      </c>
    </row>
    <row r="133" spans="1:20" ht="24" customHeight="1" x14ac:dyDescent="0.35">
      <c r="A133" s="5" t="s">
        <v>960</v>
      </c>
      <c r="B133" s="5" t="s">
        <v>961</v>
      </c>
      <c r="C133" s="5" t="s">
        <v>299</v>
      </c>
      <c r="D133" s="5" t="s">
        <v>842</v>
      </c>
      <c r="E133" s="8">
        <v>46199</v>
      </c>
      <c r="F133" s="5" t="s">
        <v>601</v>
      </c>
      <c r="G133" s="5" t="s">
        <v>602</v>
      </c>
      <c r="H133" s="22"/>
      <c r="I133" s="5" t="s">
        <v>603</v>
      </c>
      <c r="J133" s="5" t="s">
        <v>546</v>
      </c>
      <c r="K133" s="5" t="s">
        <v>590</v>
      </c>
      <c r="L133" s="5" t="s">
        <v>591</v>
      </c>
      <c r="M133" s="5" t="s">
        <v>581</v>
      </c>
      <c r="N133" s="5"/>
      <c r="O133" s="8"/>
      <c r="P133" s="22"/>
      <c r="Q133" s="5"/>
      <c r="R133" s="5" t="s">
        <v>557</v>
      </c>
      <c r="S133" s="5" t="s">
        <v>582</v>
      </c>
      <c r="T133" s="8">
        <v>46298</v>
      </c>
    </row>
    <row r="134" spans="1:20" ht="24" customHeight="1" x14ac:dyDescent="0.35">
      <c r="A134" s="1" t="s">
        <v>962</v>
      </c>
      <c r="B134" s="1" t="s">
        <v>963</v>
      </c>
      <c r="C134" s="1" t="s">
        <v>606</v>
      </c>
      <c r="D134" s="1" t="s">
        <v>607</v>
      </c>
      <c r="E134" s="10">
        <v>46199</v>
      </c>
      <c r="F134" s="1" t="s">
        <v>771</v>
      </c>
      <c r="G134" s="1" t="s">
        <v>772</v>
      </c>
      <c r="H134" s="23"/>
      <c r="I134" s="1" t="s">
        <v>603</v>
      </c>
      <c r="J134" s="1" t="s">
        <v>547</v>
      </c>
      <c r="K134" s="1" t="s">
        <v>547</v>
      </c>
      <c r="L134" s="1" t="s">
        <v>172</v>
      </c>
      <c r="M134" s="1" t="s">
        <v>581</v>
      </c>
      <c r="N134" s="1"/>
      <c r="O134" s="10"/>
      <c r="P134" s="23"/>
      <c r="Q134" s="1" t="s">
        <v>773</v>
      </c>
      <c r="R134" s="1" t="s">
        <v>557</v>
      </c>
      <c r="S134" s="1" t="s">
        <v>582</v>
      </c>
      <c r="T134" s="10">
        <v>46298</v>
      </c>
    </row>
    <row r="135" spans="1:20" ht="24" customHeight="1" x14ac:dyDescent="0.35">
      <c r="A135" s="5" t="s">
        <v>964</v>
      </c>
      <c r="B135" s="5" t="s">
        <v>965</v>
      </c>
      <c r="C135" s="5" t="s">
        <v>643</v>
      </c>
      <c r="D135" s="5" t="s">
        <v>966</v>
      </c>
      <c r="E135" s="8">
        <v>46199</v>
      </c>
      <c r="F135" s="5" t="s">
        <v>587</v>
      </c>
      <c r="G135" s="5" t="s">
        <v>588</v>
      </c>
      <c r="H135" s="22">
        <v>7800000</v>
      </c>
      <c r="I135" s="5" t="s">
        <v>589</v>
      </c>
      <c r="J135" s="5" t="s">
        <v>544</v>
      </c>
      <c r="K135" s="5" t="s">
        <v>590</v>
      </c>
      <c r="L135" s="5" t="s">
        <v>640</v>
      </c>
      <c r="M135" s="5" t="s">
        <v>581</v>
      </c>
      <c r="N135" s="5"/>
      <c r="O135" s="8"/>
      <c r="P135" s="22"/>
      <c r="Q135" s="5"/>
      <c r="R135" s="5" t="s">
        <v>557</v>
      </c>
      <c r="S135" s="5" t="s">
        <v>582</v>
      </c>
      <c r="T135" s="8">
        <v>46298</v>
      </c>
    </row>
    <row r="136" spans="1:20" ht="24" customHeight="1" x14ac:dyDescent="0.35">
      <c r="A136" s="1" t="s">
        <v>967</v>
      </c>
      <c r="B136" s="1" t="s">
        <v>968</v>
      </c>
      <c r="C136" s="1" t="s">
        <v>142</v>
      </c>
      <c r="D136" s="1" t="s">
        <v>292</v>
      </c>
      <c r="E136" s="10">
        <v>46200</v>
      </c>
      <c r="F136" s="1" t="s">
        <v>587</v>
      </c>
      <c r="G136" s="1" t="s">
        <v>588</v>
      </c>
      <c r="H136" s="23">
        <v>5200000</v>
      </c>
      <c r="I136" s="1" t="s">
        <v>589</v>
      </c>
      <c r="J136" s="1" t="s">
        <v>547</v>
      </c>
      <c r="K136" s="1" t="s">
        <v>544</v>
      </c>
      <c r="L136" s="1" t="s">
        <v>640</v>
      </c>
      <c r="M136" s="1" t="s">
        <v>581</v>
      </c>
      <c r="N136" s="1"/>
      <c r="O136" s="10"/>
      <c r="P136" s="23"/>
      <c r="Q136" s="1"/>
      <c r="R136" s="1" t="s">
        <v>557</v>
      </c>
      <c r="S136" s="1" t="s">
        <v>582</v>
      </c>
      <c r="T136" s="10">
        <v>46298</v>
      </c>
    </row>
    <row r="137" spans="1:20" ht="24" customHeight="1" x14ac:dyDescent="0.35">
      <c r="A137" s="5" t="s">
        <v>969</v>
      </c>
      <c r="B137" s="5" t="s">
        <v>970</v>
      </c>
      <c r="C137" s="5" t="s">
        <v>448</v>
      </c>
      <c r="D137" s="5" t="s">
        <v>971</v>
      </c>
      <c r="E137" s="8">
        <v>46200</v>
      </c>
      <c r="F137" s="5" t="s">
        <v>771</v>
      </c>
      <c r="G137" s="5" t="s">
        <v>772</v>
      </c>
      <c r="H137" s="22"/>
      <c r="I137" s="5" t="s">
        <v>603</v>
      </c>
      <c r="J137" s="5" t="s">
        <v>547</v>
      </c>
      <c r="K137" s="5" t="s">
        <v>590</v>
      </c>
      <c r="L137" s="5" t="s">
        <v>640</v>
      </c>
      <c r="M137" s="5" t="s">
        <v>581</v>
      </c>
      <c r="N137" s="5"/>
      <c r="O137" s="8"/>
      <c r="P137" s="22"/>
      <c r="Q137" s="5" t="s">
        <v>773</v>
      </c>
      <c r="R137" s="5" t="s">
        <v>557</v>
      </c>
      <c r="S137" s="5" t="s">
        <v>582</v>
      </c>
      <c r="T137" s="8">
        <v>46298</v>
      </c>
    </row>
    <row r="138" spans="1:20" ht="24" customHeight="1" x14ac:dyDescent="0.35">
      <c r="A138" s="1" t="s">
        <v>972</v>
      </c>
      <c r="B138" s="1" t="s">
        <v>973</v>
      </c>
      <c r="C138" s="1" t="s">
        <v>749</v>
      </c>
      <c r="D138" s="1" t="s">
        <v>974</v>
      </c>
      <c r="E138" s="10">
        <v>46200</v>
      </c>
      <c r="F138" s="1" t="s">
        <v>771</v>
      </c>
      <c r="G138" s="1" t="s">
        <v>772</v>
      </c>
      <c r="H138" s="23"/>
      <c r="I138" s="1" t="s">
        <v>603</v>
      </c>
      <c r="J138" s="1" t="s">
        <v>547</v>
      </c>
      <c r="K138" s="1" t="s">
        <v>590</v>
      </c>
      <c r="L138" s="1" t="s">
        <v>591</v>
      </c>
      <c r="M138" s="1" t="s">
        <v>581</v>
      </c>
      <c r="N138" s="1"/>
      <c r="O138" s="10"/>
      <c r="P138" s="23"/>
      <c r="Q138" s="1" t="s">
        <v>773</v>
      </c>
      <c r="R138" s="1" t="s">
        <v>557</v>
      </c>
      <c r="S138" s="1" t="s">
        <v>582</v>
      </c>
      <c r="T138" s="10">
        <v>46298</v>
      </c>
    </row>
    <row r="139" spans="1:20" ht="24" customHeight="1" x14ac:dyDescent="0.35">
      <c r="A139" s="5" t="s">
        <v>975</v>
      </c>
      <c r="B139" s="5" t="s">
        <v>976</v>
      </c>
      <c r="C139" s="5" t="s">
        <v>391</v>
      </c>
      <c r="D139" s="5" t="s">
        <v>977</v>
      </c>
      <c r="E139" s="8">
        <v>46199</v>
      </c>
      <c r="F139" s="5" t="s">
        <v>578</v>
      </c>
      <c r="G139" s="5" t="s">
        <v>579</v>
      </c>
      <c r="H139" s="22"/>
      <c r="I139" s="5" t="s">
        <v>580</v>
      </c>
      <c r="J139" s="5" t="s">
        <v>544</v>
      </c>
      <c r="K139" s="5" t="s">
        <v>590</v>
      </c>
      <c r="L139" s="5" t="s">
        <v>149</v>
      </c>
      <c r="M139" s="5" t="s">
        <v>581</v>
      </c>
      <c r="N139" s="5"/>
      <c r="O139" s="8"/>
      <c r="P139" s="22"/>
      <c r="Q139" s="5"/>
      <c r="R139" s="5" t="s">
        <v>557</v>
      </c>
      <c r="S139" s="5" t="s">
        <v>582</v>
      </c>
      <c r="T139" s="8">
        <v>46298</v>
      </c>
    </row>
    <row r="140" spans="1:20" ht="24" customHeight="1" x14ac:dyDescent="0.35">
      <c r="A140" s="1" t="s">
        <v>978</v>
      </c>
      <c r="B140" s="1" t="s">
        <v>979</v>
      </c>
      <c r="C140" s="1" t="s">
        <v>850</v>
      </c>
      <c r="D140" s="1" t="s">
        <v>977</v>
      </c>
      <c r="E140" s="10">
        <v>46199</v>
      </c>
      <c r="F140" s="1" t="s">
        <v>601</v>
      </c>
      <c r="G140" s="1" t="s">
        <v>602</v>
      </c>
      <c r="H140" s="23"/>
      <c r="I140" s="1" t="s">
        <v>603</v>
      </c>
      <c r="J140" s="1" t="s">
        <v>544</v>
      </c>
      <c r="K140" s="1" t="s">
        <v>590</v>
      </c>
      <c r="L140" s="1" t="s">
        <v>149</v>
      </c>
      <c r="M140" s="1" t="s">
        <v>581</v>
      </c>
      <c r="N140" s="1"/>
      <c r="O140" s="10"/>
      <c r="P140" s="23"/>
      <c r="Q140" s="1"/>
      <c r="R140" s="1" t="s">
        <v>557</v>
      </c>
      <c r="S140" s="1" t="s">
        <v>582</v>
      </c>
      <c r="T140" s="10">
        <v>46298</v>
      </c>
    </row>
    <row r="141" spans="1:20" ht="24" customHeight="1" x14ac:dyDescent="0.35">
      <c r="A141" s="5" t="s">
        <v>980</v>
      </c>
      <c r="B141" s="5" t="s">
        <v>981</v>
      </c>
      <c r="C141" s="5" t="s">
        <v>529</v>
      </c>
      <c r="D141" s="5" t="s">
        <v>982</v>
      </c>
      <c r="E141" s="8">
        <v>46200</v>
      </c>
      <c r="F141" s="5" t="s">
        <v>771</v>
      </c>
      <c r="G141" s="5" t="s">
        <v>772</v>
      </c>
      <c r="H141" s="22"/>
      <c r="I141" s="5" t="s">
        <v>603</v>
      </c>
      <c r="J141" s="5" t="s">
        <v>547</v>
      </c>
      <c r="K141" s="5" t="s">
        <v>590</v>
      </c>
      <c r="L141" s="5" t="s">
        <v>172</v>
      </c>
      <c r="M141" s="5" t="s">
        <v>581</v>
      </c>
      <c r="N141" s="5"/>
      <c r="O141" s="8"/>
      <c r="P141" s="22"/>
      <c r="Q141" s="5" t="s">
        <v>773</v>
      </c>
      <c r="R141" s="5" t="s">
        <v>557</v>
      </c>
      <c r="S141" s="5" t="s">
        <v>582</v>
      </c>
      <c r="T141" s="8">
        <v>46298</v>
      </c>
    </row>
    <row r="142" spans="1:20" ht="24" customHeight="1" x14ac:dyDescent="0.35">
      <c r="A142" s="1" t="s">
        <v>983</v>
      </c>
      <c r="B142" s="1" t="s">
        <v>984</v>
      </c>
      <c r="C142" s="1" t="s">
        <v>953</v>
      </c>
      <c r="D142" s="1" t="s">
        <v>355</v>
      </c>
      <c r="E142" s="10">
        <v>46200</v>
      </c>
      <c r="F142" s="1" t="s">
        <v>587</v>
      </c>
      <c r="G142" s="1" t="s">
        <v>588</v>
      </c>
      <c r="H142" s="23">
        <v>21600000</v>
      </c>
      <c r="I142" s="1" t="s">
        <v>589</v>
      </c>
      <c r="J142" s="1" t="s">
        <v>548</v>
      </c>
      <c r="K142" s="1" t="s">
        <v>544</v>
      </c>
      <c r="L142" s="1" t="s">
        <v>591</v>
      </c>
      <c r="M142" s="1" t="s">
        <v>581</v>
      </c>
      <c r="N142" s="1"/>
      <c r="O142" s="10"/>
      <c r="P142" s="23"/>
      <c r="Q142" s="1"/>
      <c r="R142" s="1" t="s">
        <v>557</v>
      </c>
      <c r="S142" s="1" t="s">
        <v>582</v>
      </c>
      <c r="T142" s="10">
        <v>46298</v>
      </c>
    </row>
    <row r="143" spans="1:20" ht="24" customHeight="1" x14ac:dyDescent="0.35">
      <c r="A143" s="5" t="s">
        <v>985</v>
      </c>
      <c r="B143" s="5" t="s">
        <v>986</v>
      </c>
      <c r="C143" s="5" t="s">
        <v>987</v>
      </c>
      <c r="D143" s="5" t="s">
        <v>620</v>
      </c>
      <c r="E143" s="8">
        <v>46200</v>
      </c>
      <c r="F143" s="5" t="s">
        <v>587</v>
      </c>
      <c r="G143" s="5" t="s">
        <v>588</v>
      </c>
      <c r="H143" s="22">
        <v>2200000</v>
      </c>
      <c r="I143" s="5" t="s">
        <v>589</v>
      </c>
      <c r="J143" s="5" t="s">
        <v>590</v>
      </c>
      <c r="K143" s="5" t="s">
        <v>546</v>
      </c>
      <c r="L143" s="5" t="s">
        <v>591</v>
      </c>
      <c r="M143" s="5" t="s">
        <v>581</v>
      </c>
      <c r="N143" s="5"/>
      <c r="O143" s="8"/>
      <c r="P143" s="22"/>
      <c r="Q143" s="5"/>
      <c r="R143" s="5" t="s">
        <v>557</v>
      </c>
      <c r="S143" s="5" t="s">
        <v>582</v>
      </c>
      <c r="T143" s="8">
        <v>46298</v>
      </c>
    </row>
    <row r="144" spans="1:20" ht="24" customHeight="1" x14ac:dyDescent="0.35">
      <c r="A144" s="1" t="s">
        <v>988</v>
      </c>
      <c r="B144" s="1" t="s">
        <v>989</v>
      </c>
      <c r="C144" s="1" t="s">
        <v>990</v>
      </c>
      <c r="D144" s="1" t="s">
        <v>797</v>
      </c>
      <c r="E144" s="10">
        <v>46200</v>
      </c>
      <c r="F144" s="1" t="s">
        <v>587</v>
      </c>
      <c r="G144" s="1" t="s">
        <v>588</v>
      </c>
      <c r="H144" s="23">
        <v>3900000</v>
      </c>
      <c r="I144" s="1" t="s">
        <v>589</v>
      </c>
      <c r="J144" s="1" t="s">
        <v>590</v>
      </c>
      <c r="K144" s="1" t="s">
        <v>546</v>
      </c>
      <c r="L144" s="1" t="s">
        <v>608</v>
      </c>
      <c r="M144" s="1" t="s">
        <v>581</v>
      </c>
      <c r="N144" s="1"/>
      <c r="O144" s="10"/>
      <c r="P144" s="23"/>
      <c r="Q144" s="1"/>
      <c r="R144" s="1" t="s">
        <v>557</v>
      </c>
      <c r="S144" s="1" t="s">
        <v>582</v>
      </c>
      <c r="T144" s="10">
        <v>46298</v>
      </c>
    </row>
    <row r="145" spans="1:20" ht="24" customHeight="1" x14ac:dyDescent="0.35">
      <c r="A145" s="5" t="s">
        <v>991</v>
      </c>
      <c r="B145" s="5" t="s">
        <v>992</v>
      </c>
      <c r="C145" s="5" t="s">
        <v>176</v>
      </c>
      <c r="D145" s="5" t="s">
        <v>993</v>
      </c>
      <c r="E145" s="8">
        <v>46202</v>
      </c>
      <c r="F145" s="5" t="s">
        <v>771</v>
      </c>
      <c r="G145" s="5" t="s">
        <v>772</v>
      </c>
      <c r="H145" s="22"/>
      <c r="I145" s="5" t="s">
        <v>603</v>
      </c>
      <c r="J145" s="5" t="s">
        <v>546</v>
      </c>
      <c r="K145" s="5" t="s">
        <v>590</v>
      </c>
      <c r="L145" s="5" t="s">
        <v>149</v>
      </c>
      <c r="M145" s="5" t="s">
        <v>581</v>
      </c>
      <c r="N145" s="5"/>
      <c r="O145" s="8"/>
      <c r="P145" s="22"/>
      <c r="Q145" s="5" t="s">
        <v>773</v>
      </c>
      <c r="R145" s="5" t="s">
        <v>557</v>
      </c>
      <c r="S145" s="5" t="s">
        <v>582</v>
      </c>
      <c r="T145" s="8">
        <v>46298</v>
      </c>
    </row>
    <row r="146" spans="1:20" ht="24" customHeight="1" x14ac:dyDescent="0.35">
      <c r="A146" s="1" t="s">
        <v>994</v>
      </c>
      <c r="B146" s="1" t="s">
        <v>995</v>
      </c>
      <c r="C146" s="1" t="s">
        <v>717</v>
      </c>
      <c r="D146" s="1" t="s">
        <v>996</v>
      </c>
      <c r="E146" s="10">
        <v>46202</v>
      </c>
      <c r="F146" s="1" t="s">
        <v>601</v>
      </c>
      <c r="G146" s="1" t="s">
        <v>602</v>
      </c>
      <c r="H146" s="23"/>
      <c r="I146" s="1" t="s">
        <v>603</v>
      </c>
      <c r="J146" s="1" t="s">
        <v>547</v>
      </c>
      <c r="K146" s="1" t="s">
        <v>590</v>
      </c>
      <c r="L146" s="1" t="s">
        <v>608</v>
      </c>
      <c r="M146" s="1" t="s">
        <v>581</v>
      </c>
      <c r="N146" s="1"/>
      <c r="O146" s="10"/>
      <c r="P146" s="23"/>
      <c r="Q146" s="1"/>
      <c r="R146" s="1" t="s">
        <v>557</v>
      </c>
      <c r="S146" s="1" t="s">
        <v>582</v>
      </c>
      <c r="T146" s="10">
        <v>46298</v>
      </c>
    </row>
    <row r="147" spans="1:20" ht="24" customHeight="1" x14ac:dyDescent="0.35">
      <c r="A147" s="5" t="s">
        <v>997</v>
      </c>
      <c r="B147" s="5" t="s">
        <v>998</v>
      </c>
      <c r="C147" s="5" t="s">
        <v>190</v>
      </c>
      <c r="D147" s="5" t="s">
        <v>999</v>
      </c>
      <c r="E147" s="8">
        <v>46202</v>
      </c>
      <c r="F147" s="5" t="s">
        <v>601</v>
      </c>
      <c r="G147" s="5" t="s">
        <v>602</v>
      </c>
      <c r="H147" s="22"/>
      <c r="I147" s="5" t="s">
        <v>603</v>
      </c>
      <c r="J147" s="5" t="s">
        <v>544</v>
      </c>
      <c r="K147" s="5" t="s">
        <v>544</v>
      </c>
      <c r="L147" s="5" t="s">
        <v>608</v>
      </c>
      <c r="M147" s="5" t="s">
        <v>581</v>
      </c>
      <c r="N147" s="5"/>
      <c r="O147" s="8"/>
      <c r="P147" s="22"/>
      <c r="Q147" s="5"/>
      <c r="R147" s="5" t="s">
        <v>557</v>
      </c>
      <c r="S147" s="5" t="s">
        <v>582</v>
      </c>
      <c r="T147" s="8">
        <v>46298</v>
      </c>
    </row>
    <row r="148" spans="1:20" ht="24" customHeight="1" x14ac:dyDescent="0.35">
      <c r="A148" s="1" t="s">
        <v>1000</v>
      </c>
      <c r="B148" s="1" t="s">
        <v>219</v>
      </c>
      <c r="C148" s="1" t="s">
        <v>365</v>
      </c>
      <c r="D148" s="1" t="s">
        <v>801</v>
      </c>
      <c r="E148" s="10">
        <v>46203</v>
      </c>
      <c r="F148" s="1" t="s">
        <v>587</v>
      </c>
      <c r="G148" s="1" t="s">
        <v>588</v>
      </c>
      <c r="H148" s="23">
        <v>60200000</v>
      </c>
      <c r="I148" s="1" t="s">
        <v>589</v>
      </c>
      <c r="J148" s="1" t="s">
        <v>548</v>
      </c>
      <c r="K148" s="1" t="s">
        <v>546</v>
      </c>
      <c r="L148" s="1" t="s">
        <v>640</v>
      </c>
      <c r="M148" s="1" t="s">
        <v>581</v>
      </c>
      <c r="N148" s="1"/>
      <c r="O148" s="10"/>
      <c r="P148" s="23"/>
      <c r="Q148" s="1" t="s">
        <v>1001</v>
      </c>
      <c r="R148" s="1" t="s">
        <v>557</v>
      </c>
      <c r="S148" s="1" t="s">
        <v>582</v>
      </c>
      <c r="T148" s="10">
        <v>46298</v>
      </c>
    </row>
    <row r="149" spans="1:20" ht="24" customHeight="1" x14ac:dyDescent="0.35">
      <c r="A149" s="5" t="s">
        <v>1002</v>
      </c>
      <c r="B149" s="5" t="s">
        <v>1003</v>
      </c>
      <c r="C149" s="5" t="s">
        <v>685</v>
      </c>
      <c r="D149" s="5" t="s">
        <v>1004</v>
      </c>
      <c r="E149" s="8">
        <v>46203</v>
      </c>
      <c r="F149" s="5" t="s">
        <v>587</v>
      </c>
      <c r="G149" s="5" t="s">
        <v>588</v>
      </c>
      <c r="H149" s="22">
        <v>19000000</v>
      </c>
      <c r="I149" s="5" t="s">
        <v>589</v>
      </c>
      <c r="J149" s="5" t="s">
        <v>547</v>
      </c>
      <c r="K149" s="5" t="s">
        <v>545</v>
      </c>
      <c r="L149" s="5" t="s">
        <v>149</v>
      </c>
      <c r="M149" s="5" t="s">
        <v>581</v>
      </c>
      <c r="N149" s="5"/>
      <c r="O149" s="8"/>
      <c r="P149" s="22"/>
      <c r="Q149" s="5" t="s">
        <v>1005</v>
      </c>
      <c r="R149" s="5" t="s">
        <v>557</v>
      </c>
      <c r="S149" s="5" t="s">
        <v>582</v>
      </c>
      <c r="T149" s="8">
        <v>46298</v>
      </c>
    </row>
    <row r="150" spans="1:20" ht="24" customHeight="1" x14ac:dyDescent="0.35">
      <c r="A150" s="1" t="s">
        <v>1006</v>
      </c>
      <c r="B150" s="1" t="s">
        <v>1007</v>
      </c>
      <c r="C150" s="1" t="s">
        <v>652</v>
      </c>
      <c r="D150" s="1" t="s">
        <v>448</v>
      </c>
      <c r="E150" s="10">
        <v>46203</v>
      </c>
      <c r="F150" s="1" t="s">
        <v>771</v>
      </c>
      <c r="G150" s="1" t="s">
        <v>772</v>
      </c>
      <c r="H150" s="23"/>
      <c r="I150" s="1" t="s">
        <v>603</v>
      </c>
      <c r="J150" s="1" t="s">
        <v>547</v>
      </c>
      <c r="K150" s="1" t="s">
        <v>547</v>
      </c>
      <c r="L150" s="1" t="s">
        <v>149</v>
      </c>
      <c r="M150" s="1" t="s">
        <v>581</v>
      </c>
      <c r="N150" s="1"/>
      <c r="O150" s="10"/>
      <c r="P150" s="23"/>
      <c r="Q150" s="1" t="s">
        <v>1008</v>
      </c>
      <c r="R150" s="1" t="s">
        <v>557</v>
      </c>
      <c r="S150" s="1" t="s">
        <v>582</v>
      </c>
      <c r="T150" s="10">
        <v>46298</v>
      </c>
    </row>
    <row r="151" spans="1:20" ht="24" customHeight="1" x14ac:dyDescent="0.35">
      <c r="A151" s="5" t="s">
        <v>1009</v>
      </c>
      <c r="B151" s="5" t="s">
        <v>1010</v>
      </c>
      <c r="C151" s="5" t="s">
        <v>721</v>
      </c>
      <c r="D151" s="5" t="s">
        <v>1011</v>
      </c>
      <c r="E151" s="8">
        <v>46203</v>
      </c>
      <c r="F151" s="5" t="s">
        <v>771</v>
      </c>
      <c r="G151" s="5" t="s">
        <v>772</v>
      </c>
      <c r="H151" s="22"/>
      <c r="I151" s="5" t="s">
        <v>603</v>
      </c>
      <c r="J151" s="5" t="s">
        <v>547</v>
      </c>
      <c r="K151" s="5" t="s">
        <v>590</v>
      </c>
      <c r="L151" s="5" t="s">
        <v>640</v>
      </c>
      <c r="M151" s="5" t="s">
        <v>581</v>
      </c>
      <c r="N151" s="5"/>
      <c r="O151" s="8"/>
      <c r="P151" s="22"/>
      <c r="Q151" s="5" t="s">
        <v>773</v>
      </c>
      <c r="R151" s="5" t="s">
        <v>557</v>
      </c>
      <c r="S151" s="5" t="s">
        <v>582</v>
      </c>
      <c r="T151" s="8">
        <v>46298</v>
      </c>
    </row>
    <row r="152" spans="1:20" ht="24" customHeight="1" x14ac:dyDescent="0.35">
      <c r="A152" s="1" t="s">
        <v>1012</v>
      </c>
      <c r="B152" s="1" t="s">
        <v>1013</v>
      </c>
      <c r="C152" s="1" t="s">
        <v>847</v>
      </c>
      <c r="D152" s="1" t="s">
        <v>1014</v>
      </c>
      <c r="E152" s="10">
        <v>46203</v>
      </c>
      <c r="F152" s="1" t="s">
        <v>578</v>
      </c>
      <c r="G152" s="1" t="s">
        <v>579</v>
      </c>
      <c r="H152" s="23"/>
      <c r="I152" s="1" t="s">
        <v>580</v>
      </c>
      <c r="J152" s="1" t="s">
        <v>545</v>
      </c>
      <c r="K152" s="1" t="s">
        <v>545</v>
      </c>
      <c r="L152" s="1" t="s">
        <v>149</v>
      </c>
      <c r="M152" s="1" t="s">
        <v>581</v>
      </c>
      <c r="N152" s="1"/>
      <c r="O152" s="10"/>
      <c r="P152" s="23"/>
      <c r="Q152" s="1"/>
      <c r="R152" s="1" t="s">
        <v>557</v>
      </c>
      <c r="S152" s="1" t="s">
        <v>582</v>
      </c>
      <c r="T152" s="10">
        <v>46298</v>
      </c>
    </row>
    <row r="153" spans="1:20" ht="24" customHeight="1" x14ac:dyDescent="0.35">
      <c r="A153" s="5" t="s">
        <v>1015</v>
      </c>
      <c r="B153" s="5" t="s">
        <v>1016</v>
      </c>
      <c r="C153" s="5" t="s">
        <v>91</v>
      </c>
      <c r="D153" s="5" t="s">
        <v>95</v>
      </c>
      <c r="E153" s="8">
        <v>46203</v>
      </c>
      <c r="F153" s="5" t="s">
        <v>587</v>
      </c>
      <c r="G153" s="5" t="s">
        <v>588</v>
      </c>
      <c r="H153" s="22">
        <v>9500000</v>
      </c>
      <c r="I153" s="5" t="s">
        <v>589</v>
      </c>
      <c r="J153" s="5" t="s">
        <v>545</v>
      </c>
      <c r="K153" s="5" t="s">
        <v>548</v>
      </c>
      <c r="L153" s="5" t="s">
        <v>591</v>
      </c>
      <c r="M153" s="5" t="s">
        <v>581</v>
      </c>
      <c r="N153" s="5"/>
      <c r="O153" s="8"/>
      <c r="P153" s="22"/>
      <c r="Q153" s="5"/>
      <c r="R153" s="5" t="s">
        <v>557</v>
      </c>
      <c r="S153" s="5" t="s">
        <v>582</v>
      </c>
      <c r="T153" s="8">
        <v>46298</v>
      </c>
    </row>
    <row r="154" spans="1:20" ht="24" customHeight="1" x14ac:dyDescent="0.35">
      <c r="A154" s="1" t="s">
        <v>1017</v>
      </c>
      <c r="B154" s="1" t="s">
        <v>1018</v>
      </c>
      <c r="C154" s="1" t="s">
        <v>425</v>
      </c>
      <c r="D154" s="1" t="s">
        <v>128</v>
      </c>
      <c r="E154" s="10">
        <v>46203</v>
      </c>
      <c r="F154" s="1" t="s">
        <v>587</v>
      </c>
      <c r="G154" s="1" t="s">
        <v>588</v>
      </c>
      <c r="H154" s="23">
        <v>18000000</v>
      </c>
      <c r="I154" s="1" t="s">
        <v>589</v>
      </c>
      <c r="J154" s="1" t="s">
        <v>544</v>
      </c>
      <c r="K154" s="1" t="s">
        <v>544</v>
      </c>
      <c r="L154" s="1" t="s">
        <v>149</v>
      </c>
      <c r="M154" s="1" t="s">
        <v>581</v>
      </c>
      <c r="N154" s="1"/>
      <c r="O154" s="10"/>
      <c r="P154" s="23"/>
      <c r="Q154" s="1"/>
      <c r="R154" s="1" t="s">
        <v>557</v>
      </c>
      <c r="S154" s="1" t="s">
        <v>582</v>
      </c>
      <c r="T154" s="10">
        <v>46298</v>
      </c>
    </row>
    <row r="155" spans="1:20" ht="24" customHeight="1" x14ac:dyDescent="0.35">
      <c r="A155" s="5" t="s">
        <v>1019</v>
      </c>
      <c r="B155" s="5" t="s">
        <v>1020</v>
      </c>
      <c r="C155" s="5" t="s">
        <v>176</v>
      </c>
      <c r="D155" s="5" t="s">
        <v>103</v>
      </c>
      <c r="E155" s="8">
        <v>46204</v>
      </c>
      <c r="F155" s="5" t="s">
        <v>587</v>
      </c>
      <c r="G155" s="5" t="s">
        <v>588</v>
      </c>
      <c r="H155" s="22">
        <v>47000000</v>
      </c>
      <c r="I155" s="5" t="s">
        <v>589</v>
      </c>
      <c r="J155" s="5" t="s">
        <v>546</v>
      </c>
      <c r="K155" s="5" t="s">
        <v>544</v>
      </c>
      <c r="L155" s="5" t="s">
        <v>149</v>
      </c>
      <c r="M155" s="5" t="s">
        <v>581</v>
      </c>
      <c r="N155" s="5"/>
      <c r="O155" s="8"/>
      <c r="P155" s="22"/>
      <c r="Q155" s="5"/>
      <c r="R155" s="5" t="s">
        <v>557</v>
      </c>
      <c r="S155" s="5" t="s">
        <v>582</v>
      </c>
      <c r="T155" s="8">
        <v>46298</v>
      </c>
    </row>
    <row r="156" spans="1:20" ht="24" customHeight="1" x14ac:dyDescent="0.35">
      <c r="A156" s="1" t="s">
        <v>1021</v>
      </c>
      <c r="B156" s="1" t="s">
        <v>1022</v>
      </c>
      <c r="C156" s="1" t="s">
        <v>111</v>
      </c>
      <c r="D156" s="1" t="s">
        <v>128</v>
      </c>
      <c r="E156" s="10">
        <v>46204</v>
      </c>
      <c r="F156" s="1" t="s">
        <v>601</v>
      </c>
      <c r="G156" s="1" t="s">
        <v>602</v>
      </c>
      <c r="H156" s="23"/>
      <c r="I156" s="1" t="s">
        <v>603</v>
      </c>
      <c r="J156" s="1" t="s">
        <v>590</v>
      </c>
      <c r="K156" s="1" t="s">
        <v>544</v>
      </c>
      <c r="L156" s="1" t="s">
        <v>591</v>
      </c>
      <c r="M156" s="1" t="s">
        <v>581</v>
      </c>
      <c r="N156" s="1"/>
      <c r="O156" s="10"/>
      <c r="P156" s="23"/>
      <c r="Q156" s="1"/>
      <c r="R156" s="1" t="s">
        <v>557</v>
      </c>
      <c r="S156" s="1" t="s">
        <v>582</v>
      </c>
      <c r="T156" s="10">
        <v>46298</v>
      </c>
    </row>
    <row r="157" spans="1:20" ht="24" customHeight="1" x14ac:dyDescent="0.35">
      <c r="A157" s="5" t="s">
        <v>1023</v>
      </c>
      <c r="B157" s="5" t="s">
        <v>1024</v>
      </c>
      <c r="C157" s="5" t="s">
        <v>1025</v>
      </c>
      <c r="D157" s="5" t="s">
        <v>142</v>
      </c>
      <c r="E157" s="8">
        <v>46204</v>
      </c>
      <c r="F157" s="5" t="s">
        <v>587</v>
      </c>
      <c r="G157" s="5" t="s">
        <v>588</v>
      </c>
      <c r="H157" s="22">
        <v>43000000</v>
      </c>
      <c r="I157" s="5" t="s">
        <v>589</v>
      </c>
      <c r="J157" s="5" t="s">
        <v>590</v>
      </c>
      <c r="K157" s="5" t="s">
        <v>547</v>
      </c>
      <c r="L157" s="5" t="s">
        <v>640</v>
      </c>
      <c r="M157" s="5" t="s">
        <v>581</v>
      </c>
      <c r="N157" s="5"/>
      <c r="O157" s="8"/>
      <c r="P157" s="22"/>
      <c r="Q157" s="5"/>
      <c r="R157" s="5" t="s">
        <v>557</v>
      </c>
      <c r="S157" s="5" t="s">
        <v>582</v>
      </c>
      <c r="T157" s="8">
        <v>46298</v>
      </c>
    </row>
    <row r="158" spans="1:20" ht="24" customHeight="1" x14ac:dyDescent="0.35">
      <c r="A158" s="1" t="s">
        <v>1026</v>
      </c>
      <c r="B158" s="1" t="s">
        <v>1027</v>
      </c>
      <c r="C158" s="1" t="s">
        <v>684</v>
      </c>
      <c r="D158" s="1" t="s">
        <v>240</v>
      </c>
      <c r="E158" s="10">
        <v>46204</v>
      </c>
      <c r="F158" s="1" t="s">
        <v>587</v>
      </c>
      <c r="G158" s="1" t="s">
        <v>588</v>
      </c>
      <c r="H158" s="23">
        <v>9000000</v>
      </c>
      <c r="I158" s="1" t="s">
        <v>589</v>
      </c>
      <c r="J158" s="1" t="s">
        <v>590</v>
      </c>
      <c r="K158" s="1" t="s">
        <v>548</v>
      </c>
      <c r="L158" s="1" t="s">
        <v>608</v>
      </c>
      <c r="M158" s="1" t="s">
        <v>581</v>
      </c>
      <c r="N158" s="1"/>
      <c r="O158" s="10"/>
      <c r="P158" s="23"/>
      <c r="Q158" s="1"/>
      <c r="R158" s="1" t="s">
        <v>557</v>
      </c>
      <c r="S158" s="1" t="s">
        <v>582</v>
      </c>
      <c r="T158" s="10">
        <v>46298</v>
      </c>
    </row>
    <row r="159" spans="1:20" ht="24" customHeight="1" x14ac:dyDescent="0.35">
      <c r="A159" s="5" t="s">
        <v>1028</v>
      </c>
      <c r="B159" s="5" t="s">
        <v>1029</v>
      </c>
      <c r="C159" s="5" t="s">
        <v>1030</v>
      </c>
      <c r="D159" s="5" t="s">
        <v>1031</v>
      </c>
      <c r="E159" s="8">
        <v>46204</v>
      </c>
      <c r="F159" s="5" t="s">
        <v>587</v>
      </c>
      <c r="G159" s="5" t="s">
        <v>588</v>
      </c>
      <c r="H159" s="22">
        <v>4300000</v>
      </c>
      <c r="I159" s="5" t="s">
        <v>589</v>
      </c>
      <c r="J159" s="5" t="s">
        <v>590</v>
      </c>
      <c r="K159" s="5" t="s">
        <v>548</v>
      </c>
      <c r="L159" s="5" t="s">
        <v>608</v>
      </c>
      <c r="M159" s="5" t="s">
        <v>581</v>
      </c>
      <c r="N159" s="5"/>
      <c r="O159" s="8"/>
      <c r="P159" s="22"/>
      <c r="Q159" s="5"/>
      <c r="R159" s="5" t="s">
        <v>557</v>
      </c>
      <c r="S159" s="5" t="s">
        <v>582</v>
      </c>
      <c r="T159" s="8">
        <v>46298</v>
      </c>
    </row>
    <row r="160" spans="1:20" ht="24" customHeight="1" x14ac:dyDescent="0.35">
      <c r="A160" s="1" t="s">
        <v>1032</v>
      </c>
      <c r="B160" s="1" t="s">
        <v>1033</v>
      </c>
      <c r="C160" s="1" t="s">
        <v>1034</v>
      </c>
      <c r="D160" s="1" t="s">
        <v>123</v>
      </c>
      <c r="E160" s="10">
        <v>46204</v>
      </c>
      <c r="F160" s="1" t="s">
        <v>587</v>
      </c>
      <c r="G160" s="1" t="s">
        <v>588</v>
      </c>
      <c r="H160" s="23">
        <v>14100000</v>
      </c>
      <c r="I160" s="1" t="s">
        <v>589</v>
      </c>
      <c r="J160" s="1" t="s">
        <v>546</v>
      </c>
      <c r="K160" s="1" t="s">
        <v>546</v>
      </c>
      <c r="L160" s="1" t="s">
        <v>640</v>
      </c>
      <c r="M160" s="1" t="s">
        <v>581</v>
      </c>
      <c r="N160" s="1"/>
      <c r="O160" s="10"/>
      <c r="P160" s="23"/>
      <c r="Q160" s="1" t="s">
        <v>1005</v>
      </c>
      <c r="R160" s="1" t="s">
        <v>557</v>
      </c>
      <c r="S160" s="1" t="s">
        <v>582</v>
      </c>
      <c r="T160" s="10">
        <v>46298</v>
      </c>
    </row>
    <row r="161" spans="1:20" ht="24" customHeight="1" x14ac:dyDescent="0.35">
      <c r="A161" s="5" t="s">
        <v>1035</v>
      </c>
      <c r="B161" s="5" t="s">
        <v>1036</v>
      </c>
      <c r="C161" s="5" t="s">
        <v>448</v>
      </c>
      <c r="D161" s="5" t="s">
        <v>1037</v>
      </c>
      <c r="E161" s="8">
        <v>46204</v>
      </c>
      <c r="F161" s="5" t="s">
        <v>587</v>
      </c>
      <c r="G161" s="5" t="s">
        <v>588</v>
      </c>
      <c r="H161" s="22">
        <v>1300000</v>
      </c>
      <c r="I161" s="5" t="s">
        <v>589</v>
      </c>
      <c r="J161" s="5" t="s">
        <v>547</v>
      </c>
      <c r="K161" s="5" t="s">
        <v>590</v>
      </c>
      <c r="L161" s="5" t="s">
        <v>149</v>
      </c>
      <c r="M161" s="5" t="s">
        <v>581</v>
      </c>
      <c r="N161" s="5"/>
      <c r="O161" s="8"/>
      <c r="P161" s="22"/>
      <c r="Q161" s="5"/>
      <c r="R161" s="5" t="s">
        <v>557</v>
      </c>
      <c r="S161" s="5" t="s">
        <v>582</v>
      </c>
      <c r="T161" s="8">
        <v>46298</v>
      </c>
    </row>
    <row r="162" spans="1:20" ht="24" customHeight="1" x14ac:dyDescent="0.35">
      <c r="A162" s="1" t="s">
        <v>1038</v>
      </c>
      <c r="B162" s="1" t="s">
        <v>1039</v>
      </c>
      <c r="C162" s="1" t="s">
        <v>850</v>
      </c>
      <c r="D162" s="1" t="s">
        <v>1040</v>
      </c>
      <c r="E162" s="10">
        <v>46204</v>
      </c>
      <c r="F162" s="1" t="s">
        <v>578</v>
      </c>
      <c r="G162" s="1" t="s">
        <v>579</v>
      </c>
      <c r="H162" s="23"/>
      <c r="I162" s="1" t="s">
        <v>580</v>
      </c>
      <c r="J162" s="1" t="s">
        <v>544</v>
      </c>
      <c r="K162" s="1" t="s">
        <v>590</v>
      </c>
      <c r="L162" s="1" t="s">
        <v>640</v>
      </c>
      <c r="M162" s="1" t="s">
        <v>581</v>
      </c>
      <c r="N162" s="1"/>
      <c r="O162" s="10"/>
      <c r="P162" s="23"/>
      <c r="Q162" s="1"/>
      <c r="R162" s="1" t="s">
        <v>557</v>
      </c>
      <c r="S162" s="1" t="s">
        <v>582</v>
      </c>
      <c r="T162" s="10">
        <v>46298</v>
      </c>
    </row>
    <row r="163" spans="1:20" ht="24" customHeight="1" x14ac:dyDescent="0.35">
      <c r="A163" s="5" t="s">
        <v>1041</v>
      </c>
      <c r="B163" s="5" t="s">
        <v>877</v>
      </c>
      <c r="C163" s="5" t="s">
        <v>123</v>
      </c>
      <c r="D163" s="5" t="s">
        <v>797</v>
      </c>
      <c r="E163" s="8">
        <v>46204</v>
      </c>
      <c r="F163" s="5" t="s">
        <v>587</v>
      </c>
      <c r="G163" s="5" t="s">
        <v>588</v>
      </c>
      <c r="H163" s="22">
        <v>5100000</v>
      </c>
      <c r="I163" s="5" t="s">
        <v>589</v>
      </c>
      <c r="J163" s="5" t="s">
        <v>546</v>
      </c>
      <c r="K163" s="5" t="s">
        <v>546</v>
      </c>
      <c r="L163" s="5" t="s">
        <v>172</v>
      </c>
      <c r="M163" s="5" t="s">
        <v>581</v>
      </c>
      <c r="N163" s="5"/>
      <c r="O163" s="8"/>
      <c r="P163" s="22"/>
      <c r="Q163" s="5"/>
      <c r="R163" s="5" t="s">
        <v>557</v>
      </c>
      <c r="S163" s="5" t="s">
        <v>582</v>
      </c>
      <c r="T163" s="8">
        <v>46298</v>
      </c>
    </row>
    <row r="164" spans="1:20" ht="24" customHeight="1" x14ac:dyDescent="0.35">
      <c r="A164" s="1" t="s">
        <v>1042</v>
      </c>
      <c r="B164" s="1" t="s">
        <v>1043</v>
      </c>
      <c r="C164" s="1" t="s">
        <v>1044</v>
      </c>
      <c r="D164" s="1" t="s">
        <v>620</v>
      </c>
      <c r="E164" s="10">
        <v>46202</v>
      </c>
      <c r="F164" s="1" t="s">
        <v>587</v>
      </c>
      <c r="G164" s="1" t="s">
        <v>588</v>
      </c>
      <c r="H164" s="23">
        <v>7000000</v>
      </c>
      <c r="I164" s="1" t="s">
        <v>589</v>
      </c>
      <c r="J164" s="1" t="s">
        <v>590</v>
      </c>
      <c r="K164" s="1" t="s">
        <v>546</v>
      </c>
      <c r="L164" s="1" t="s">
        <v>149</v>
      </c>
      <c r="M164" s="1" t="s">
        <v>581</v>
      </c>
      <c r="N164" s="1"/>
      <c r="O164" s="10"/>
      <c r="P164" s="23"/>
      <c r="Q164" s="1"/>
      <c r="R164" s="1" t="s">
        <v>557</v>
      </c>
      <c r="S164" s="1" t="s">
        <v>582</v>
      </c>
      <c r="T164" s="10">
        <v>46298</v>
      </c>
    </row>
    <row r="165" spans="1:20" ht="24" customHeight="1" x14ac:dyDescent="0.35">
      <c r="A165" s="5" t="s">
        <v>1045</v>
      </c>
      <c r="B165" s="5" t="s">
        <v>1046</v>
      </c>
      <c r="C165" s="5" t="s">
        <v>448</v>
      </c>
      <c r="D165" s="5" t="s">
        <v>1047</v>
      </c>
      <c r="E165" s="8">
        <v>46203</v>
      </c>
      <c r="F165" s="5" t="s">
        <v>587</v>
      </c>
      <c r="G165" s="5" t="s">
        <v>588</v>
      </c>
      <c r="H165" s="22">
        <v>5100000</v>
      </c>
      <c r="I165" s="5" t="s">
        <v>589</v>
      </c>
      <c r="J165" s="5" t="s">
        <v>547</v>
      </c>
      <c r="K165" s="5" t="s">
        <v>590</v>
      </c>
      <c r="L165" s="5" t="s">
        <v>149</v>
      </c>
      <c r="M165" s="5" t="s">
        <v>581</v>
      </c>
      <c r="N165" s="5"/>
      <c r="O165" s="8"/>
      <c r="P165" s="22"/>
      <c r="Q165" s="5"/>
      <c r="R165" s="5" t="s">
        <v>557</v>
      </c>
      <c r="S165" s="5" t="s">
        <v>582</v>
      </c>
      <c r="T165" s="8">
        <v>46298</v>
      </c>
    </row>
    <row r="166" spans="1:20" ht="24" customHeight="1" x14ac:dyDescent="0.35">
      <c r="A166" s="1" t="s">
        <v>1048</v>
      </c>
      <c r="B166" s="1" t="s">
        <v>1049</v>
      </c>
      <c r="C166" s="1" t="s">
        <v>95</v>
      </c>
      <c r="D166" s="1" t="s">
        <v>144</v>
      </c>
      <c r="E166" s="10">
        <v>46203</v>
      </c>
      <c r="F166" s="1" t="s">
        <v>587</v>
      </c>
      <c r="G166" s="1" t="s">
        <v>588</v>
      </c>
      <c r="H166" s="23">
        <v>9000000</v>
      </c>
      <c r="I166" s="1" t="s">
        <v>589</v>
      </c>
      <c r="J166" s="1" t="s">
        <v>548</v>
      </c>
      <c r="K166" s="1" t="s">
        <v>590</v>
      </c>
      <c r="L166" s="1" t="s">
        <v>149</v>
      </c>
      <c r="M166" s="1" t="s">
        <v>581</v>
      </c>
      <c r="N166" s="1"/>
      <c r="O166" s="10"/>
      <c r="P166" s="23"/>
      <c r="Q166" s="1"/>
      <c r="R166" s="1" t="s">
        <v>557</v>
      </c>
      <c r="S166" s="1" t="s">
        <v>582</v>
      </c>
      <c r="T166" s="10">
        <v>46298</v>
      </c>
    </row>
    <row r="167" spans="1:20" ht="24" customHeight="1" x14ac:dyDescent="0.35">
      <c r="A167" s="5" t="s">
        <v>1050</v>
      </c>
      <c r="B167" s="5" t="s">
        <v>1051</v>
      </c>
      <c r="C167" s="5" t="s">
        <v>1052</v>
      </c>
      <c r="D167" s="5" t="s">
        <v>95</v>
      </c>
      <c r="E167" s="8">
        <v>46203</v>
      </c>
      <c r="F167" s="5" t="s">
        <v>587</v>
      </c>
      <c r="G167" s="5" t="s">
        <v>588</v>
      </c>
      <c r="H167" s="22">
        <v>4300000</v>
      </c>
      <c r="I167" s="5" t="s">
        <v>589</v>
      </c>
      <c r="J167" s="5" t="s">
        <v>590</v>
      </c>
      <c r="K167" s="5" t="s">
        <v>548</v>
      </c>
      <c r="L167" s="5" t="s">
        <v>149</v>
      </c>
      <c r="M167" s="5" t="s">
        <v>581</v>
      </c>
      <c r="N167" s="5"/>
      <c r="O167" s="8"/>
      <c r="P167" s="22"/>
      <c r="Q167" s="5"/>
      <c r="R167" s="5" t="s">
        <v>557</v>
      </c>
      <c r="S167" s="5" t="s">
        <v>582</v>
      </c>
      <c r="T167" s="8">
        <v>46298</v>
      </c>
    </row>
    <row r="168" spans="1:20" ht="24" customHeight="1" x14ac:dyDescent="0.35">
      <c r="A168" s="1" t="s">
        <v>1053</v>
      </c>
      <c r="B168" s="1" t="s">
        <v>1054</v>
      </c>
      <c r="C168" s="1" t="s">
        <v>868</v>
      </c>
      <c r="D168" s="1" t="s">
        <v>215</v>
      </c>
      <c r="E168" s="10">
        <v>46203</v>
      </c>
      <c r="F168" s="1" t="s">
        <v>587</v>
      </c>
      <c r="G168" s="1" t="s">
        <v>588</v>
      </c>
      <c r="H168" s="23">
        <v>15400000</v>
      </c>
      <c r="I168" s="1" t="s">
        <v>589</v>
      </c>
      <c r="J168" s="1" t="s">
        <v>545</v>
      </c>
      <c r="K168" s="1" t="s">
        <v>590</v>
      </c>
      <c r="L168" s="1" t="s">
        <v>608</v>
      </c>
      <c r="M168" s="1" t="s">
        <v>581</v>
      </c>
      <c r="N168" s="1"/>
      <c r="O168" s="10"/>
      <c r="P168" s="23"/>
      <c r="Q168" s="1"/>
      <c r="R168" s="1" t="s">
        <v>557</v>
      </c>
      <c r="S168" s="1" t="s">
        <v>582</v>
      </c>
      <c r="T168" s="10">
        <v>46298</v>
      </c>
    </row>
    <row r="169" spans="1:20" ht="24" customHeight="1" x14ac:dyDescent="0.35">
      <c r="A169" s="5" t="s">
        <v>1055</v>
      </c>
      <c r="B169" s="5" t="s">
        <v>1056</v>
      </c>
      <c r="C169" s="5" t="s">
        <v>130</v>
      </c>
      <c r="D169" s="5" t="s">
        <v>586</v>
      </c>
      <c r="E169" s="8">
        <v>46203</v>
      </c>
      <c r="F169" s="5" t="s">
        <v>578</v>
      </c>
      <c r="G169" s="5" t="s">
        <v>579</v>
      </c>
      <c r="H169" s="22"/>
      <c r="I169" s="5" t="s">
        <v>580</v>
      </c>
      <c r="J169" s="5" t="s">
        <v>546</v>
      </c>
      <c r="K169" s="5" t="s">
        <v>590</v>
      </c>
      <c r="L169" s="5" t="s">
        <v>149</v>
      </c>
      <c r="M169" s="5" t="s">
        <v>581</v>
      </c>
      <c r="N169" s="5"/>
      <c r="O169" s="8"/>
      <c r="P169" s="22"/>
      <c r="Q169" s="5"/>
      <c r="R169" s="5" t="s">
        <v>557</v>
      </c>
      <c r="S169" s="5" t="s">
        <v>582</v>
      </c>
      <c r="T169" s="8">
        <v>46298</v>
      </c>
    </row>
    <row r="170" spans="1:20" ht="24" customHeight="1" x14ac:dyDescent="0.35">
      <c r="A170" s="1" t="s">
        <v>1057</v>
      </c>
      <c r="B170" s="1" t="s">
        <v>1058</v>
      </c>
      <c r="C170" s="1" t="s">
        <v>1004</v>
      </c>
      <c r="D170" s="1" t="s">
        <v>111</v>
      </c>
      <c r="E170" s="10">
        <v>46204</v>
      </c>
      <c r="F170" s="1" t="s">
        <v>771</v>
      </c>
      <c r="G170" s="1" t="s">
        <v>772</v>
      </c>
      <c r="H170" s="23"/>
      <c r="I170" s="1" t="s">
        <v>603</v>
      </c>
      <c r="J170" s="1" t="s">
        <v>545</v>
      </c>
      <c r="K170" s="1" t="s">
        <v>590</v>
      </c>
      <c r="L170" s="1" t="s">
        <v>149</v>
      </c>
      <c r="M170" s="1" t="s">
        <v>581</v>
      </c>
      <c r="N170" s="1"/>
      <c r="O170" s="10"/>
      <c r="P170" s="23"/>
      <c r="Q170" s="1" t="s">
        <v>1008</v>
      </c>
      <c r="R170" s="1" t="s">
        <v>557</v>
      </c>
      <c r="S170" s="1" t="s">
        <v>582</v>
      </c>
      <c r="T170" s="10">
        <v>46298</v>
      </c>
    </row>
    <row r="171" spans="1:20" ht="24" customHeight="1" x14ac:dyDescent="0.35">
      <c r="A171" s="5" t="s">
        <v>1059</v>
      </c>
      <c r="B171" s="5" t="s">
        <v>1060</v>
      </c>
      <c r="C171" s="5" t="s">
        <v>850</v>
      </c>
      <c r="D171" s="5" t="s">
        <v>993</v>
      </c>
      <c r="E171" s="8">
        <v>46204</v>
      </c>
      <c r="F171" s="5" t="s">
        <v>578</v>
      </c>
      <c r="G171" s="5" t="s">
        <v>579</v>
      </c>
      <c r="H171" s="22"/>
      <c r="I171" s="5" t="s">
        <v>580</v>
      </c>
      <c r="J171" s="5" t="s">
        <v>544</v>
      </c>
      <c r="K171" s="5" t="s">
        <v>590</v>
      </c>
      <c r="L171" s="5" t="s">
        <v>608</v>
      </c>
      <c r="M171" s="5" t="s">
        <v>581</v>
      </c>
      <c r="N171" s="5"/>
      <c r="O171" s="8"/>
      <c r="P171" s="22"/>
      <c r="Q171" s="5"/>
      <c r="R171" s="5" t="s">
        <v>557</v>
      </c>
      <c r="S171" s="5" t="s">
        <v>582</v>
      </c>
      <c r="T171" s="8">
        <v>46298</v>
      </c>
    </row>
    <row r="172" spans="1:20" ht="24" customHeight="1" x14ac:dyDescent="0.35">
      <c r="A172" s="1" t="s">
        <v>1061</v>
      </c>
      <c r="B172" s="1" t="s">
        <v>1062</v>
      </c>
      <c r="C172" s="1" t="s">
        <v>91</v>
      </c>
      <c r="D172" s="1" t="s">
        <v>1063</v>
      </c>
      <c r="E172" s="10">
        <v>46202</v>
      </c>
      <c r="F172" s="1" t="s">
        <v>578</v>
      </c>
      <c r="G172" s="1" t="s">
        <v>579</v>
      </c>
      <c r="H172" s="23"/>
      <c r="I172" s="1" t="s">
        <v>580</v>
      </c>
      <c r="J172" s="1" t="s">
        <v>545</v>
      </c>
      <c r="K172" s="1" t="s">
        <v>590</v>
      </c>
      <c r="L172" s="1" t="s">
        <v>640</v>
      </c>
      <c r="M172" s="1" t="s">
        <v>581</v>
      </c>
      <c r="N172" s="1"/>
      <c r="O172" s="10"/>
      <c r="P172" s="23"/>
      <c r="Q172" s="1"/>
      <c r="R172" s="1" t="s">
        <v>557</v>
      </c>
      <c r="S172" s="1" t="s">
        <v>582</v>
      </c>
      <c r="T172" s="10">
        <v>46298</v>
      </c>
    </row>
    <row r="173" spans="1:20" ht="24" customHeight="1" x14ac:dyDescent="0.35">
      <c r="A173" s="5" t="s">
        <v>1064</v>
      </c>
      <c r="B173" s="5" t="s">
        <v>1065</v>
      </c>
      <c r="C173" s="5" t="s">
        <v>355</v>
      </c>
      <c r="D173" s="5" t="s">
        <v>1066</v>
      </c>
      <c r="E173" s="8">
        <v>46204</v>
      </c>
      <c r="F173" s="5" t="s">
        <v>771</v>
      </c>
      <c r="G173" s="5" t="s">
        <v>772</v>
      </c>
      <c r="H173" s="22"/>
      <c r="I173" s="5" t="s">
        <v>603</v>
      </c>
      <c r="J173" s="5" t="s">
        <v>544</v>
      </c>
      <c r="K173" s="5" t="s">
        <v>590</v>
      </c>
      <c r="L173" s="5" t="s">
        <v>172</v>
      </c>
      <c r="M173" s="5" t="s">
        <v>581</v>
      </c>
      <c r="N173" s="5"/>
      <c r="O173" s="8"/>
      <c r="P173" s="22"/>
      <c r="Q173" s="5" t="s">
        <v>773</v>
      </c>
      <c r="R173" s="5" t="s">
        <v>557</v>
      </c>
      <c r="S173" s="5" t="s">
        <v>582</v>
      </c>
      <c r="T173" s="8">
        <v>46298</v>
      </c>
    </row>
    <row r="174" spans="1:20" ht="24" customHeight="1" x14ac:dyDescent="0.35">
      <c r="A174" s="1" t="s">
        <v>1067</v>
      </c>
      <c r="B174" s="1" t="s">
        <v>1068</v>
      </c>
      <c r="C174" s="1" t="s">
        <v>190</v>
      </c>
      <c r="D174" s="1" t="s">
        <v>1069</v>
      </c>
      <c r="E174" s="10">
        <v>46203</v>
      </c>
      <c r="F174" s="1" t="s">
        <v>601</v>
      </c>
      <c r="G174" s="1" t="s">
        <v>602</v>
      </c>
      <c r="H174" s="23"/>
      <c r="I174" s="1" t="s">
        <v>603</v>
      </c>
      <c r="J174" s="1" t="s">
        <v>544</v>
      </c>
      <c r="K174" s="1" t="s">
        <v>590</v>
      </c>
      <c r="L174" s="1" t="s">
        <v>608</v>
      </c>
      <c r="M174" s="1" t="s">
        <v>581</v>
      </c>
      <c r="N174" s="1"/>
      <c r="O174" s="10"/>
      <c r="P174" s="23"/>
      <c r="Q174" s="1"/>
      <c r="R174" s="1" t="s">
        <v>557</v>
      </c>
      <c r="S174" s="1" t="s">
        <v>582</v>
      </c>
      <c r="T174" s="10">
        <v>46298</v>
      </c>
    </row>
    <row r="175" spans="1:20" ht="24" customHeight="1" x14ac:dyDescent="0.35">
      <c r="A175" s="5" t="s">
        <v>1070</v>
      </c>
      <c r="B175" s="5" t="s">
        <v>1071</v>
      </c>
      <c r="C175" s="5" t="s">
        <v>850</v>
      </c>
      <c r="D175" s="5" t="s">
        <v>1069</v>
      </c>
      <c r="E175" s="8">
        <v>46203</v>
      </c>
      <c r="F175" s="5" t="s">
        <v>771</v>
      </c>
      <c r="G175" s="5" t="s">
        <v>772</v>
      </c>
      <c r="H175" s="22"/>
      <c r="I175" s="5" t="s">
        <v>603</v>
      </c>
      <c r="J175" s="5" t="s">
        <v>544</v>
      </c>
      <c r="K175" s="5" t="s">
        <v>590</v>
      </c>
      <c r="L175" s="5" t="s">
        <v>172</v>
      </c>
      <c r="M175" s="5" t="s">
        <v>581</v>
      </c>
      <c r="N175" s="5"/>
      <c r="O175" s="8"/>
      <c r="P175" s="22"/>
      <c r="Q175" s="5" t="s">
        <v>773</v>
      </c>
      <c r="R175" s="5" t="s">
        <v>557</v>
      </c>
      <c r="S175" s="5" t="s">
        <v>582</v>
      </c>
      <c r="T175" s="8">
        <v>46298</v>
      </c>
    </row>
    <row r="176" spans="1:20" ht="24" customHeight="1" x14ac:dyDescent="0.35">
      <c r="A176" s="1" t="s">
        <v>1072</v>
      </c>
      <c r="B176" s="1" t="s">
        <v>1073</v>
      </c>
      <c r="C176" s="1" t="s">
        <v>606</v>
      </c>
      <c r="D176" s="1" t="s">
        <v>717</v>
      </c>
      <c r="E176" s="10">
        <v>46204</v>
      </c>
      <c r="F176" s="1" t="s">
        <v>601</v>
      </c>
      <c r="G176" s="1" t="s">
        <v>602</v>
      </c>
      <c r="H176" s="23"/>
      <c r="I176" s="1" t="s">
        <v>603</v>
      </c>
      <c r="J176" s="1" t="s">
        <v>547</v>
      </c>
      <c r="K176" s="1" t="s">
        <v>547</v>
      </c>
      <c r="L176" s="1" t="s">
        <v>149</v>
      </c>
      <c r="M176" s="1" t="s">
        <v>581</v>
      </c>
      <c r="N176" s="1"/>
      <c r="O176" s="10"/>
      <c r="P176" s="23"/>
      <c r="Q176" s="1"/>
      <c r="R176" s="1" t="s">
        <v>557</v>
      </c>
      <c r="S176" s="1" t="s">
        <v>582</v>
      </c>
      <c r="T176" s="10">
        <v>46298</v>
      </c>
    </row>
    <row r="177" spans="1:20" ht="24" customHeight="1" x14ac:dyDescent="0.35">
      <c r="A177" s="5" t="s">
        <v>1074</v>
      </c>
      <c r="B177" s="5" t="s">
        <v>1075</v>
      </c>
      <c r="C177" s="5" t="s">
        <v>198</v>
      </c>
      <c r="D177" s="5" t="s">
        <v>661</v>
      </c>
      <c r="E177" s="8">
        <v>46204</v>
      </c>
      <c r="F177" s="5" t="s">
        <v>771</v>
      </c>
      <c r="G177" s="5" t="s">
        <v>772</v>
      </c>
      <c r="H177" s="22"/>
      <c r="I177" s="5" t="s">
        <v>603</v>
      </c>
      <c r="J177" s="5" t="s">
        <v>546</v>
      </c>
      <c r="K177" s="5" t="s">
        <v>546</v>
      </c>
      <c r="L177" s="5" t="s">
        <v>608</v>
      </c>
      <c r="M177" s="5" t="s">
        <v>581</v>
      </c>
      <c r="N177" s="5"/>
      <c r="O177" s="8"/>
      <c r="P177" s="22"/>
      <c r="Q177" s="5" t="s">
        <v>773</v>
      </c>
      <c r="R177" s="5" t="s">
        <v>557</v>
      </c>
      <c r="S177" s="5" t="s">
        <v>582</v>
      </c>
      <c r="T177" s="8">
        <v>46298</v>
      </c>
    </row>
    <row r="178" spans="1:20" ht="24" customHeight="1" x14ac:dyDescent="0.35">
      <c r="A178" s="1" t="s">
        <v>1076</v>
      </c>
      <c r="B178" s="1" t="s">
        <v>1077</v>
      </c>
      <c r="C178" s="1" t="s">
        <v>585</v>
      </c>
      <c r="D178" s="1" t="s">
        <v>1078</v>
      </c>
      <c r="E178" s="10">
        <v>46204</v>
      </c>
      <c r="F178" s="1" t="s">
        <v>601</v>
      </c>
      <c r="G178" s="1" t="s">
        <v>602</v>
      </c>
      <c r="H178" s="23"/>
      <c r="I178" s="1" t="s">
        <v>603</v>
      </c>
      <c r="J178" s="1" t="s">
        <v>548</v>
      </c>
      <c r="K178" s="1" t="s">
        <v>590</v>
      </c>
      <c r="L178" s="1" t="s">
        <v>608</v>
      </c>
      <c r="M178" s="1" t="s">
        <v>581</v>
      </c>
      <c r="N178" s="1"/>
      <c r="O178" s="10"/>
      <c r="P178" s="23"/>
      <c r="Q178" s="1"/>
      <c r="R178" s="1" t="s">
        <v>557</v>
      </c>
      <c r="S178" s="1" t="s">
        <v>582</v>
      </c>
      <c r="T178" s="10">
        <v>46298</v>
      </c>
    </row>
    <row r="179" spans="1:20" ht="24" customHeight="1" x14ac:dyDescent="0.35">
      <c r="A179" s="5" t="s">
        <v>1079</v>
      </c>
      <c r="B179" s="5" t="s">
        <v>1080</v>
      </c>
      <c r="C179" s="5" t="s">
        <v>802</v>
      </c>
      <c r="D179" s="5" t="s">
        <v>620</v>
      </c>
      <c r="E179" s="8">
        <v>46204</v>
      </c>
      <c r="F179" s="5" t="s">
        <v>578</v>
      </c>
      <c r="G179" s="5" t="s">
        <v>579</v>
      </c>
      <c r="H179" s="22"/>
      <c r="I179" s="5" t="s">
        <v>580</v>
      </c>
      <c r="J179" s="5" t="s">
        <v>546</v>
      </c>
      <c r="K179" s="5" t="s">
        <v>546</v>
      </c>
      <c r="L179" s="5" t="s">
        <v>608</v>
      </c>
      <c r="M179" s="5" t="s">
        <v>581</v>
      </c>
      <c r="N179" s="5"/>
      <c r="O179" s="8"/>
      <c r="P179" s="22"/>
      <c r="Q179" s="5"/>
      <c r="R179" s="5" t="s">
        <v>557</v>
      </c>
      <c r="S179" s="5" t="s">
        <v>582</v>
      </c>
      <c r="T179" s="8">
        <v>46298</v>
      </c>
    </row>
    <row r="180" spans="1:20" ht="24" customHeight="1" x14ac:dyDescent="0.35">
      <c r="A180" s="1" t="s">
        <v>1081</v>
      </c>
      <c r="B180" s="1" t="s">
        <v>1082</v>
      </c>
      <c r="C180" s="1" t="s">
        <v>1083</v>
      </c>
      <c r="D180" s="1" t="s">
        <v>1084</v>
      </c>
      <c r="E180" s="10">
        <v>46203</v>
      </c>
      <c r="F180" s="1" t="s">
        <v>601</v>
      </c>
      <c r="G180" s="1" t="s">
        <v>602</v>
      </c>
      <c r="H180" s="23"/>
      <c r="I180" s="1" t="s">
        <v>603</v>
      </c>
      <c r="J180" s="1" t="s">
        <v>544</v>
      </c>
      <c r="K180" s="1" t="s">
        <v>590</v>
      </c>
      <c r="L180" s="1" t="s">
        <v>149</v>
      </c>
      <c r="M180" s="1" t="s">
        <v>581</v>
      </c>
      <c r="N180" s="1"/>
      <c r="O180" s="10"/>
      <c r="P180" s="23"/>
      <c r="Q180" s="1"/>
      <c r="R180" s="1" t="s">
        <v>557</v>
      </c>
      <c r="S180" s="1" t="s">
        <v>582</v>
      </c>
      <c r="T180" s="10">
        <v>46298</v>
      </c>
    </row>
    <row r="181" spans="1:20" ht="24" customHeight="1" x14ac:dyDescent="0.35">
      <c r="A181" s="5" t="s">
        <v>1085</v>
      </c>
      <c r="B181" s="5" t="s">
        <v>1086</v>
      </c>
      <c r="C181" s="5" t="s">
        <v>106</v>
      </c>
      <c r="D181" s="5" t="s">
        <v>111</v>
      </c>
      <c r="E181" s="8">
        <v>46204</v>
      </c>
      <c r="F181" s="5" t="s">
        <v>587</v>
      </c>
      <c r="G181" s="5" t="s">
        <v>588</v>
      </c>
      <c r="H181" s="22">
        <v>12000000</v>
      </c>
      <c r="I181" s="5" t="s">
        <v>589</v>
      </c>
      <c r="J181" s="5" t="s">
        <v>544</v>
      </c>
      <c r="K181" s="5" t="s">
        <v>590</v>
      </c>
      <c r="L181" s="5" t="s">
        <v>608</v>
      </c>
      <c r="M181" s="5" t="s">
        <v>581</v>
      </c>
      <c r="N181" s="5"/>
      <c r="O181" s="8"/>
      <c r="P181" s="22"/>
      <c r="Q181" s="5"/>
      <c r="R181" s="5" t="s">
        <v>557</v>
      </c>
      <c r="S181" s="5" t="s">
        <v>582</v>
      </c>
      <c r="T181" s="8">
        <v>46298</v>
      </c>
    </row>
    <row r="182" spans="1:20" ht="24" customHeight="1" x14ac:dyDescent="0.35">
      <c r="A182" s="1" t="s">
        <v>1087</v>
      </c>
      <c r="B182" s="1" t="s">
        <v>1088</v>
      </c>
      <c r="C182" s="1" t="s">
        <v>1083</v>
      </c>
      <c r="D182" s="1" t="s">
        <v>993</v>
      </c>
      <c r="E182" s="10">
        <v>46203</v>
      </c>
      <c r="F182" s="1" t="s">
        <v>587</v>
      </c>
      <c r="G182" s="1" t="s">
        <v>588</v>
      </c>
      <c r="H182" s="23">
        <v>6000000</v>
      </c>
      <c r="I182" s="1" t="s">
        <v>589</v>
      </c>
      <c r="J182" s="1" t="s">
        <v>544</v>
      </c>
      <c r="K182" s="1" t="s">
        <v>590</v>
      </c>
      <c r="L182" s="1" t="s">
        <v>172</v>
      </c>
      <c r="M182" s="1" t="s">
        <v>581</v>
      </c>
      <c r="N182" s="1"/>
      <c r="O182" s="10"/>
      <c r="P182" s="23"/>
      <c r="Q182" s="1"/>
      <c r="R182" s="1" t="s">
        <v>557</v>
      </c>
      <c r="S182" s="1" t="s">
        <v>582</v>
      </c>
      <c r="T182" s="10">
        <v>46298</v>
      </c>
    </row>
    <row r="183" spans="1:20" ht="24" customHeight="1" x14ac:dyDescent="0.35">
      <c r="A183" s="5" t="s">
        <v>1089</v>
      </c>
      <c r="B183" s="5" t="s">
        <v>1090</v>
      </c>
      <c r="C183" s="5" t="s">
        <v>1091</v>
      </c>
      <c r="D183" s="5" t="s">
        <v>1034</v>
      </c>
      <c r="E183" s="8">
        <v>46203</v>
      </c>
      <c r="F183" s="5" t="s">
        <v>587</v>
      </c>
      <c r="G183" s="5" t="s">
        <v>588</v>
      </c>
      <c r="H183" s="22">
        <v>3400000</v>
      </c>
      <c r="I183" s="5" t="s">
        <v>589</v>
      </c>
      <c r="J183" s="5" t="s">
        <v>590</v>
      </c>
      <c r="K183" s="5" t="s">
        <v>546</v>
      </c>
      <c r="L183" s="5" t="s">
        <v>608</v>
      </c>
      <c r="M183" s="5" t="s">
        <v>581</v>
      </c>
      <c r="N183" s="5"/>
      <c r="O183" s="8"/>
      <c r="P183" s="22"/>
      <c r="Q183" s="5"/>
      <c r="R183" s="5" t="s">
        <v>557</v>
      </c>
      <c r="S183" s="5" t="s">
        <v>582</v>
      </c>
      <c r="T183" s="8">
        <v>46298</v>
      </c>
    </row>
    <row r="184" spans="1:20" ht="24" customHeight="1" x14ac:dyDescent="0.35">
      <c r="A184" s="1" t="s">
        <v>1092</v>
      </c>
      <c r="B184" s="1" t="s">
        <v>1093</v>
      </c>
      <c r="C184" s="1" t="s">
        <v>1094</v>
      </c>
      <c r="D184" s="1" t="s">
        <v>160</v>
      </c>
      <c r="E184" s="10">
        <v>46205</v>
      </c>
      <c r="F184" s="1" t="s">
        <v>587</v>
      </c>
      <c r="G184" s="1" t="s">
        <v>588</v>
      </c>
      <c r="H184" s="23">
        <v>16500000</v>
      </c>
      <c r="I184" s="1" t="s">
        <v>589</v>
      </c>
      <c r="J184" s="1" t="s">
        <v>590</v>
      </c>
      <c r="K184" s="1" t="s">
        <v>544</v>
      </c>
      <c r="L184" s="1" t="s">
        <v>608</v>
      </c>
      <c r="M184" s="1" t="s">
        <v>581</v>
      </c>
      <c r="N184" s="1"/>
      <c r="O184" s="10"/>
      <c r="P184" s="23"/>
      <c r="Q184" s="1" t="s">
        <v>1005</v>
      </c>
      <c r="R184" s="1" t="s">
        <v>557</v>
      </c>
      <c r="S184" s="1" t="s">
        <v>582</v>
      </c>
      <c r="T184" s="10">
        <v>46298</v>
      </c>
    </row>
    <row r="185" spans="1:20" ht="24" customHeight="1" x14ac:dyDescent="0.35">
      <c r="A185" s="5" t="s">
        <v>1095</v>
      </c>
      <c r="B185" s="5" t="s">
        <v>1096</v>
      </c>
      <c r="C185" s="5" t="s">
        <v>993</v>
      </c>
      <c r="D185" s="5" t="s">
        <v>1083</v>
      </c>
      <c r="E185" s="8">
        <v>46205</v>
      </c>
      <c r="F185" s="5" t="s">
        <v>587</v>
      </c>
      <c r="G185" s="5" t="s">
        <v>588</v>
      </c>
      <c r="H185" s="22">
        <v>3500000</v>
      </c>
      <c r="I185" s="5" t="s">
        <v>589</v>
      </c>
      <c r="J185" s="5" t="s">
        <v>590</v>
      </c>
      <c r="K185" s="5" t="s">
        <v>544</v>
      </c>
      <c r="L185" s="5" t="s">
        <v>172</v>
      </c>
      <c r="M185" s="5" t="s">
        <v>581</v>
      </c>
      <c r="N185" s="5"/>
      <c r="O185" s="8"/>
      <c r="P185" s="22"/>
      <c r="Q185" s="5"/>
      <c r="R185" s="5" t="s">
        <v>557</v>
      </c>
      <c r="S185" s="5" t="s">
        <v>582</v>
      </c>
      <c r="T185" s="8">
        <v>46298</v>
      </c>
    </row>
    <row r="186" spans="1:20" ht="24" customHeight="1" x14ac:dyDescent="0.35">
      <c r="A186" s="1" t="s">
        <v>1097</v>
      </c>
      <c r="B186" s="1" t="s">
        <v>1098</v>
      </c>
      <c r="C186" s="1" t="s">
        <v>1099</v>
      </c>
      <c r="D186" s="1" t="s">
        <v>620</v>
      </c>
      <c r="E186" s="10">
        <v>46205</v>
      </c>
      <c r="F186" s="1" t="s">
        <v>578</v>
      </c>
      <c r="G186" s="1" t="s">
        <v>579</v>
      </c>
      <c r="H186" s="23"/>
      <c r="I186" s="1" t="s">
        <v>580</v>
      </c>
      <c r="J186" s="1" t="s">
        <v>545</v>
      </c>
      <c r="K186" s="1" t="s">
        <v>546</v>
      </c>
      <c r="L186" s="1" t="s">
        <v>149</v>
      </c>
      <c r="M186" s="1" t="s">
        <v>581</v>
      </c>
      <c r="N186" s="1"/>
      <c r="O186" s="10"/>
      <c r="P186" s="23"/>
      <c r="Q186" s="1"/>
      <c r="R186" s="1" t="s">
        <v>557</v>
      </c>
      <c r="S186" s="1" t="s">
        <v>582</v>
      </c>
      <c r="T186" s="10">
        <v>46298</v>
      </c>
    </row>
    <row r="187" spans="1:20" ht="24" customHeight="1" x14ac:dyDescent="0.35">
      <c r="A187" s="5" t="s">
        <v>1100</v>
      </c>
      <c r="B187" s="5" t="s">
        <v>1101</v>
      </c>
      <c r="C187" s="5" t="s">
        <v>529</v>
      </c>
      <c r="D187" s="5" t="s">
        <v>1102</v>
      </c>
      <c r="E187" s="8">
        <v>46184</v>
      </c>
      <c r="F187" s="5" t="s">
        <v>771</v>
      </c>
      <c r="G187" s="5" t="s">
        <v>772</v>
      </c>
      <c r="H187" s="22"/>
      <c r="I187" s="5" t="s">
        <v>603</v>
      </c>
      <c r="J187" s="5" t="s">
        <v>547</v>
      </c>
      <c r="K187" s="5" t="s">
        <v>590</v>
      </c>
      <c r="L187" s="5" t="s">
        <v>640</v>
      </c>
      <c r="M187" s="5" t="s">
        <v>581</v>
      </c>
      <c r="N187" s="5"/>
      <c r="O187" s="8"/>
      <c r="P187" s="22"/>
      <c r="Q187" s="5" t="s">
        <v>773</v>
      </c>
      <c r="R187" s="5" t="s">
        <v>557</v>
      </c>
      <c r="S187" s="5" t="s">
        <v>582</v>
      </c>
      <c r="T187" s="8">
        <v>46298</v>
      </c>
    </row>
    <row r="188" spans="1:20" ht="24" customHeight="1" x14ac:dyDescent="0.35">
      <c r="A188" s="1" t="s">
        <v>1103</v>
      </c>
      <c r="B188" s="1" t="s">
        <v>1104</v>
      </c>
      <c r="C188" s="1" t="s">
        <v>620</v>
      </c>
      <c r="D188" s="1" t="s">
        <v>128</v>
      </c>
      <c r="E188" s="10">
        <v>46205</v>
      </c>
      <c r="F188" s="1" t="s">
        <v>587</v>
      </c>
      <c r="G188" s="1" t="s">
        <v>588</v>
      </c>
      <c r="H188" s="23">
        <v>4300000</v>
      </c>
      <c r="I188" s="1" t="s">
        <v>589</v>
      </c>
      <c r="J188" s="1" t="s">
        <v>546</v>
      </c>
      <c r="K188" s="1" t="s">
        <v>544</v>
      </c>
      <c r="L188" s="1" t="s">
        <v>149</v>
      </c>
      <c r="M188" s="1" t="s">
        <v>581</v>
      </c>
      <c r="N188" s="1"/>
      <c r="O188" s="10"/>
      <c r="P188" s="23"/>
      <c r="Q188" s="1"/>
      <c r="R188" s="1" t="s">
        <v>557</v>
      </c>
      <c r="S188" s="1" t="s">
        <v>582</v>
      </c>
      <c r="T188" s="10">
        <v>46298</v>
      </c>
    </row>
    <row r="189" spans="1:20" ht="24" customHeight="1" x14ac:dyDescent="0.35">
      <c r="A189" s="5" t="s">
        <v>1105</v>
      </c>
      <c r="B189" s="5" t="s">
        <v>1106</v>
      </c>
      <c r="C189" s="5" t="s">
        <v>617</v>
      </c>
      <c r="D189" s="5" t="s">
        <v>423</v>
      </c>
      <c r="E189" s="8">
        <v>46205</v>
      </c>
      <c r="F189" s="5" t="s">
        <v>771</v>
      </c>
      <c r="G189" s="5" t="s">
        <v>772</v>
      </c>
      <c r="H189" s="22"/>
      <c r="I189" s="5" t="s">
        <v>603</v>
      </c>
      <c r="J189" s="5" t="s">
        <v>590</v>
      </c>
      <c r="K189" s="5" t="s">
        <v>546</v>
      </c>
      <c r="L189" s="5" t="s">
        <v>149</v>
      </c>
      <c r="M189" s="5" t="s">
        <v>581</v>
      </c>
      <c r="N189" s="5"/>
      <c r="O189" s="8"/>
      <c r="P189" s="22"/>
      <c r="Q189" s="5" t="s">
        <v>1107</v>
      </c>
      <c r="R189" s="5" t="s">
        <v>557</v>
      </c>
      <c r="S189" s="5" t="s">
        <v>582</v>
      </c>
      <c r="T189" s="8">
        <v>46298</v>
      </c>
    </row>
    <row r="190" spans="1:20" ht="24" customHeight="1" x14ac:dyDescent="0.35">
      <c r="A190" s="1" t="s">
        <v>1108</v>
      </c>
      <c r="B190" s="1" t="s">
        <v>1109</v>
      </c>
      <c r="C190" s="1" t="s">
        <v>101</v>
      </c>
      <c r="D190" s="1" t="s">
        <v>1084</v>
      </c>
      <c r="E190" s="10">
        <v>46205</v>
      </c>
      <c r="F190" s="1" t="s">
        <v>601</v>
      </c>
      <c r="G190" s="1" t="s">
        <v>602</v>
      </c>
      <c r="H190" s="23"/>
      <c r="I190" s="1" t="s">
        <v>603</v>
      </c>
      <c r="J190" s="1" t="s">
        <v>544</v>
      </c>
      <c r="K190" s="1" t="s">
        <v>590</v>
      </c>
      <c r="L190" s="1" t="s">
        <v>149</v>
      </c>
      <c r="M190" s="1" t="s">
        <v>581</v>
      </c>
      <c r="N190" s="1"/>
      <c r="O190" s="10"/>
      <c r="P190" s="23"/>
      <c r="Q190" s="1"/>
      <c r="R190" s="1" t="s">
        <v>557</v>
      </c>
      <c r="S190" s="1" t="s">
        <v>582</v>
      </c>
      <c r="T190" s="10">
        <v>46298</v>
      </c>
    </row>
    <row r="191" spans="1:20" ht="24" customHeight="1" x14ac:dyDescent="0.35">
      <c r="A191" s="5" t="s">
        <v>1110</v>
      </c>
      <c r="B191" s="5" t="s">
        <v>1111</v>
      </c>
      <c r="C191" s="5" t="s">
        <v>106</v>
      </c>
      <c r="D191" s="5" t="s">
        <v>1112</v>
      </c>
      <c r="E191" s="8">
        <v>46205</v>
      </c>
      <c r="F191" s="5" t="s">
        <v>601</v>
      </c>
      <c r="G191" s="5" t="s">
        <v>602</v>
      </c>
      <c r="H191" s="22"/>
      <c r="I191" s="5" t="s">
        <v>603</v>
      </c>
      <c r="J191" s="5" t="s">
        <v>544</v>
      </c>
      <c r="K191" s="5" t="s">
        <v>590</v>
      </c>
      <c r="L191" s="5" t="s">
        <v>149</v>
      </c>
      <c r="M191" s="5" t="s">
        <v>581</v>
      </c>
      <c r="N191" s="5"/>
      <c r="O191" s="8"/>
      <c r="P191" s="22"/>
      <c r="Q191" s="5"/>
      <c r="R191" s="5" t="s">
        <v>557</v>
      </c>
      <c r="S191" s="5" t="s">
        <v>582</v>
      </c>
      <c r="T191" s="8">
        <v>46298</v>
      </c>
    </row>
    <row r="192" spans="1:20" ht="24" customHeight="1" x14ac:dyDescent="0.35">
      <c r="A192" s="1" t="s">
        <v>1113</v>
      </c>
      <c r="B192" s="1" t="s">
        <v>1114</v>
      </c>
      <c r="C192" s="1" t="s">
        <v>355</v>
      </c>
      <c r="D192" s="1" t="s">
        <v>1115</v>
      </c>
      <c r="E192" s="10">
        <v>46205</v>
      </c>
      <c r="F192" s="1" t="s">
        <v>601</v>
      </c>
      <c r="G192" s="1" t="s">
        <v>602</v>
      </c>
      <c r="H192" s="23"/>
      <c r="I192" s="1" t="s">
        <v>603</v>
      </c>
      <c r="J192" s="1" t="s">
        <v>544</v>
      </c>
      <c r="K192" s="1" t="s">
        <v>590</v>
      </c>
      <c r="L192" s="1" t="s">
        <v>149</v>
      </c>
      <c r="M192" s="1" t="s">
        <v>581</v>
      </c>
      <c r="N192" s="1"/>
      <c r="O192" s="10"/>
      <c r="P192" s="23"/>
      <c r="Q192" s="1"/>
      <c r="R192" s="1" t="s">
        <v>557</v>
      </c>
      <c r="S192" s="1" t="s">
        <v>582</v>
      </c>
      <c r="T192" s="10">
        <v>46298</v>
      </c>
    </row>
    <row r="193" spans="1:20" ht="24" customHeight="1" x14ac:dyDescent="0.35">
      <c r="A193" s="5" t="s">
        <v>1116</v>
      </c>
      <c r="B193" s="5" t="s">
        <v>1117</v>
      </c>
      <c r="C193" s="5" t="s">
        <v>607</v>
      </c>
      <c r="D193" s="5" t="s">
        <v>736</v>
      </c>
      <c r="E193" s="8">
        <v>46205</v>
      </c>
      <c r="F193" s="5" t="s">
        <v>601</v>
      </c>
      <c r="G193" s="5" t="s">
        <v>602</v>
      </c>
      <c r="H193" s="22"/>
      <c r="I193" s="5" t="s">
        <v>603</v>
      </c>
      <c r="J193" s="5" t="s">
        <v>547</v>
      </c>
      <c r="K193" s="5" t="s">
        <v>590</v>
      </c>
      <c r="L193" s="5" t="s">
        <v>640</v>
      </c>
      <c r="M193" s="5" t="s">
        <v>581</v>
      </c>
      <c r="N193" s="5"/>
      <c r="O193" s="8"/>
      <c r="P193" s="22"/>
      <c r="Q193" s="5"/>
      <c r="R193" s="5" t="s">
        <v>557</v>
      </c>
      <c r="S193" s="5" t="s">
        <v>582</v>
      </c>
      <c r="T193" s="8">
        <v>46298</v>
      </c>
    </row>
    <row r="194" spans="1:20" ht="24" customHeight="1" x14ac:dyDescent="0.35">
      <c r="A194" s="1" t="s">
        <v>1118</v>
      </c>
      <c r="B194" s="1" t="s">
        <v>1119</v>
      </c>
      <c r="C194" s="1" t="s">
        <v>157</v>
      </c>
      <c r="D194" s="1" t="s">
        <v>831</v>
      </c>
      <c r="E194" s="10">
        <v>46205</v>
      </c>
      <c r="F194" s="1" t="s">
        <v>771</v>
      </c>
      <c r="G194" s="1" t="s">
        <v>772</v>
      </c>
      <c r="H194" s="23"/>
      <c r="I194" s="1" t="s">
        <v>603</v>
      </c>
      <c r="J194" s="1" t="s">
        <v>546</v>
      </c>
      <c r="K194" s="1" t="s">
        <v>590</v>
      </c>
      <c r="L194" s="1" t="s">
        <v>640</v>
      </c>
      <c r="M194" s="1" t="s">
        <v>581</v>
      </c>
      <c r="N194" s="1"/>
      <c r="O194" s="10"/>
      <c r="P194" s="23"/>
      <c r="Q194" s="1" t="s">
        <v>1008</v>
      </c>
      <c r="R194" s="1" t="s">
        <v>557</v>
      </c>
      <c r="S194" s="1" t="s">
        <v>582</v>
      </c>
      <c r="T194" s="10">
        <v>46298</v>
      </c>
    </row>
    <row r="195" spans="1:20" ht="24" customHeight="1" x14ac:dyDescent="0.35">
      <c r="A195" s="5" t="s">
        <v>1120</v>
      </c>
      <c r="B195" s="5" t="s">
        <v>1121</v>
      </c>
      <c r="C195" s="5" t="s">
        <v>401</v>
      </c>
      <c r="D195" s="5" t="s">
        <v>240</v>
      </c>
      <c r="E195" s="8">
        <v>46205</v>
      </c>
      <c r="F195" s="5" t="s">
        <v>587</v>
      </c>
      <c r="G195" s="5" t="s">
        <v>588</v>
      </c>
      <c r="H195" s="22">
        <v>4300000</v>
      </c>
      <c r="I195" s="5" t="s">
        <v>589</v>
      </c>
      <c r="J195" s="5" t="s">
        <v>547</v>
      </c>
      <c r="K195" s="5" t="s">
        <v>548</v>
      </c>
      <c r="L195" s="5" t="s">
        <v>640</v>
      </c>
      <c r="M195" s="5" t="s">
        <v>581</v>
      </c>
      <c r="N195" s="5"/>
      <c r="O195" s="8"/>
      <c r="P195" s="22"/>
      <c r="Q195" s="5" t="s">
        <v>1005</v>
      </c>
      <c r="R195" s="5" t="s">
        <v>557</v>
      </c>
      <c r="S195" s="5" t="s">
        <v>582</v>
      </c>
      <c r="T195" s="8">
        <v>46298</v>
      </c>
    </row>
    <row r="196" spans="1:20" ht="24" customHeight="1" x14ac:dyDescent="0.35">
      <c r="A196" s="1" t="s">
        <v>1122</v>
      </c>
      <c r="B196" s="1" t="s">
        <v>1123</v>
      </c>
      <c r="C196" s="1" t="s">
        <v>1004</v>
      </c>
      <c r="D196" s="1" t="s">
        <v>1124</v>
      </c>
      <c r="E196" s="10">
        <v>46205</v>
      </c>
      <c r="F196" s="1" t="s">
        <v>601</v>
      </c>
      <c r="G196" s="1" t="s">
        <v>602</v>
      </c>
      <c r="H196" s="23"/>
      <c r="I196" s="1" t="s">
        <v>603</v>
      </c>
      <c r="J196" s="1" t="s">
        <v>545</v>
      </c>
      <c r="K196" s="1" t="s">
        <v>590</v>
      </c>
      <c r="L196" s="1" t="s">
        <v>591</v>
      </c>
      <c r="M196" s="1" t="s">
        <v>581</v>
      </c>
      <c r="N196" s="1"/>
      <c r="O196" s="10"/>
      <c r="P196" s="23"/>
      <c r="Q196" s="1"/>
      <c r="R196" s="1" t="s">
        <v>557</v>
      </c>
      <c r="S196" s="1" t="s">
        <v>582</v>
      </c>
      <c r="T196" s="10">
        <v>46298</v>
      </c>
    </row>
    <row r="197" spans="1:20" ht="24" customHeight="1" x14ac:dyDescent="0.35">
      <c r="A197" s="5" t="s">
        <v>1125</v>
      </c>
      <c r="B197" s="5" t="s">
        <v>984</v>
      </c>
      <c r="C197" s="5" t="s">
        <v>355</v>
      </c>
      <c r="D197" s="5" t="s">
        <v>95</v>
      </c>
      <c r="E197" s="8">
        <v>46205</v>
      </c>
      <c r="F197" s="5" t="s">
        <v>771</v>
      </c>
      <c r="G197" s="5" t="s">
        <v>772</v>
      </c>
      <c r="H197" s="22"/>
      <c r="I197" s="5" t="s">
        <v>603</v>
      </c>
      <c r="J197" s="5" t="s">
        <v>544</v>
      </c>
      <c r="K197" s="5" t="s">
        <v>548</v>
      </c>
      <c r="L197" s="5" t="s">
        <v>591</v>
      </c>
      <c r="M197" s="5" t="s">
        <v>581</v>
      </c>
      <c r="N197" s="5"/>
      <c r="O197" s="8"/>
      <c r="P197" s="22"/>
      <c r="Q197" s="5" t="s">
        <v>773</v>
      </c>
      <c r="R197" s="5" t="s">
        <v>557</v>
      </c>
      <c r="S197" s="5" t="s">
        <v>582</v>
      </c>
      <c r="T197" s="8">
        <v>46298</v>
      </c>
    </row>
    <row r="198" spans="1:20" ht="24" customHeight="1" x14ac:dyDescent="0.35">
      <c r="A198" s="1" t="s">
        <v>1126</v>
      </c>
      <c r="B198" s="1" t="s">
        <v>1127</v>
      </c>
      <c r="C198" s="1" t="s">
        <v>1128</v>
      </c>
      <c r="D198" s="1" t="s">
        <v>1129</v>
      </c>
      <c r="E198" s="10">
        <v>46205</v>
      </c>
      <c r="F198" s="1" t="s">
        <v>587</v>
      </c>
      <c r="G198" s="1" t="s">
        <v>588</v>
      </c>
      <c r="H198" s="23">
        <v>4300000</v>
      </c>
      <c r="I198" s="1" t="s">
        <v>589</v>
      </c>
      <c r="J198" s="1" t="s">
        <v>590</v>
      </c>
      <c r="K198" s="1" t="s">
        <v>545</v>
      </c>
      <c r="L198" s="1" t="s">
        <v>591</v>
      </c>
      <c r="M198" s="1" t="s">
        <v>581</v>
      </c>
      <c r="N198" s="1"/>
      <c r="O198" s="10"/>
      <c r="P198" s="23"/>
      <c r="Q198" s="1"/>
      <c r="R198" s="1" t="s">
        <v>557</v>
      </c>
      <c r="S198" s="1" t="s">
        <v>582</v>
      </c>
      <c r="T198" s="10">
        <v>46298</v>
      </c>
    </row>
    <row r="199" spans="1:20" ht="24" customHeight="1" x14ac:dyDescent="0.35">
      <c r="A199" s="5" t="s">
        <v>1130</v>
      </c>
      <c r="B199" s="5" t="s">
        <v>1131</v>
      </c>
      <c r="C199" s="5" t="s">
        <v>627</v>
      </c>
      <c r="D199" s="5" t="s">
        <v>730</v>
      </c>
      <c r="E199" s="8">
        <v>46205</v>
      </c>
      <c r="F199" s="5" t="s">
        <v>578</v>
      </c>
      <c r="G199" s="5" t="s">
        <v>579</v>
      </c>
      <c r="H199" s="22"/>
      <c r="I199" s="5" t="s">
        <v>580</v>
      </c>
      <c r="J199" s="5" t="s">
        <v>545</v>
      </c>
      <c r="K199" s="5" t="s">
        <v>590</v>
      </c>
      <c r="L199" s="5" t="s">
        <v>149</v>
      </c>
      <c r="M199" s="5" t="s">
        <v>581</v>
      </c>
      <c r="N199" s="5"/>
      <c r="O199" s="8"/>
      <c r="P199" s="22"/>
      <c r="Q199" s="5"/>
      <c r="R199" s="5" t="s">
        <v>557</v>
      </c>
      <c r="S199" s="5" t="s">
        <v>582</v>
      </c>
      <c r="T199" s="8">
        <v>46298</v>
      </c>
    </row>
    <row r="200" spans="1:20" ht="24" customHeight="1" x14ac:dyDescent="0.35">
      <c r="A200" s="1" t="s">
        <v>1132</v>
      </c>
      <c r="B200" s="1" t="s">
        <v>1133</v>
      </c>
      <c r="C200" s="1" t="s">
        <v>1134</v>
      </c>
      <c r="D200" s="1" t="s">
        <v>1034</v>
      </c>
      <c r="E200" s="10">
        <v>46205</v>
      </c>
      <c r="F200" s="1" t="s">
        <v>587</v>
      </c>
      <c r="G200" s="1" t="s">
        <v>588</v>
      </c>
      <c r="H200" s="23">
        <v>2100000</v>
      </c>
      <c r="I200" s="1" t="s">
        <v>589</v>
      </c>
      <c r="J200" s="1" t="s">
        <v>590</v>
      </c>
      <c r="K200" s="1" t="s">
        <v>546</v>
      </c>
      <c r="L200" s="1" t="s">
        <v>608</v>
      </c>
      <c r="M200" s="1" t="s">
        <v>581</v>
      </c>
      <c r="N200" s="1"/>
      <c r="O200" s="10"/>
      <c r="P200" s="23"/>
      <c r="Q200" s="1"/>
      <c r="R200" s="1" t="s">
        <v>557</v>
      </c>
      <c r="S200" s="1" t="s">
        <v>582</v>
      </c>
      <c r="T200" s="10">
        <v>46298</v>
      </c>
    </row>
    <row r="201" spans="1:20" ht="24" customHeight="1" x14ac:dyDescent="0.35">
      <c r="A201" s="5" t="s">
        <v>1135</v>
      </c>
      <c r="B201" s="5" t="s">
        <v>1136</v>
      </c>
      <c r="C201" s="5" t="s">
        <v>123</v>
      </c>
      <c r="D201" s="5" t="s">
        <v>1034</v>
      </c>
      <c r="E201" s="8">
        <v>46205</v>
      </c>
      <c r="F201" s="5" t="s">
        <v>587</v>
      </c>
      <c r="G201" s="5" t="s">
        <v>588</v>
      </c>
      <c r="H201" s="22">
        <v>5100000</v>
      </c>
      <c r="I201" s="5" t="s">
        <v>589</v>
      </c>
      <c r="J201" s="5" t="s">
        <v>546</v>
      </c>
      <c r="K201" s="5" t="s">
        <v>546</v>
      </c>
      <c r="L201" s="5" t="s">
        <v>149</v>
      </c>
      <c r="M201" s="5" t="s">
        <v>581</v>
      </c>
      <c r="N201" s="5"/>
      <c r="O201" s="8"/>
      <c r="P201" s="22"/>
      <c r="Q201" s="5"/>
      <c r="R201" s="5" t="s">
        <v>557</v>
      </c>
      <c r="S201" s="5" t="s">
        <v>582</v>
      </c>
      <c r="T201" s="8">
        <v>46298</v>
      </c>
    </row>
    <row r="202" spans="1:20" ht="24" customHeight="1" x14ac:dyDescent="0.35">
      <c r="A202" s="1" t="s">
        <v>1137</v>
      </c>
      <c r="B202" s="1" t="s">
        <v>1138</v>
      </c>
      <c r="C202" s="1" t="s">
        <v>1034</v>
      </c>
      <c r="D202" s="1" t="s">
        <v>1134</v>
      </c>
      <c r="E202" s="10">
        <v>46205</v>
      </c>
      <c r="F202" s="1" t="s">
        <v>601</v>
      </c>
      <c r="G202" s="1" t="s">
        <v>602</v>
      </c>
      <c r="H202" s="23"/>
      <c r="I202" s="1" t="s">
        <v>603</v>
      </c>
      <c r="J202" s="1" t="s">
        <v>546</v>
      </c>
      <c r="K202" s="1" t="s">
        <v>590</v>
      </c>
      <c r="L202" s="1" t="s">
        <v>172</v>
      </c>
      <c r="M202" s="1" t="s">
        <v>581</v>
      </c>
      <c r="N202" s="1"/>
      <c r="O202" s="10"/>
      <c r="P202" s="23"/>
      <c r="Q202" s="1"/>
      <c r="R202" s="1" t="s">
        <v>557</v>
      </c>
      <c r="S202" s="1" t="s">
        <v>582</v>
      </c>
      <c r="T202" s="10">
        <v>46298</v>
      </c>
    </row>
    <row r="203" spans="1:20" ht="24" customHeight="1" x14ac:dyDescent="0.35">
      <c r="A203" s="5" t="s">
        <v>1139</v>
      </c>
      <c r="B203" s="5" t="s">
        <v>1140</v>
      </c>
      <c r="C203" s="5" t="s">
        <v>1034</v>
      </c>
      <c r="D203" s="5" t="s">
        <v>1134</v>
      </c>
      <c r="E203" s="8">
        <v>46205</v>
      </c>
      <c r="F203" s="5" t="s">
        <v>601</v>
      </c>
      <c r="G203" s="5" t="s">
        <v>602</v>
      </c>
      <c r="H203" s="22"/>
      <c r="I203" s="5" t="s">
        <v>603</v>
      </c>
      <c r="J203" s="5" t="s">
        <v>546</v>
      </c>
      <c r="K203" s="5" t="s">
        <v>590</v>
      </c>
      <c r="L203" s="5" t="s">
        <v>149</v>
      </c>
      <c r="M203" s="5" t="s">
        <v>581</v>
      </c>
      <c r="N203" s="5"/>
      <c r="O203" s="8"/>
      <c r="P203" s="22"/>
      <c r="Q203" s="5"/>
      <c r="R203" s="5" t="s">
        <v>557</v>
      </c>
      <c r="S203" s="5" t="s">
        <v>582</v>
      </c>
      <c r="T203" s="8">
        <v>46298</v>
      </c>
    </row>
    <row r="204" spans="1:20" ht="24" customHeight="1" x14ac:dyDescent="0.35">
      <c r="A204" s="1" t="s">
        <v>1141</v>
      </c>
      <c r="B204" s="1" t="s">
        <v>1142</v>
      </c>
      <c r="C204" s="1" t="s">
        <v>178</v>
      </c>
      <c r="D204" s="1" t="s">
        <v>1143</v>
      </c>
      <c r="E204" s="10">
        <v>46205</v>
      </c>
      <c r="F204" s="1" t="s">
        <v>587</v>
      </c>
      <c r="G204" s="1" t="s">
        <v>588</v>
      </c>
      <c r="H204" s="23">
        <v>5100000</v>
      </c>
      <c r="I204" s="1" t="s">
        <v>589</v>
      </c>
      <c r="J204" s="1" t="s">
        <v>545</v>
      </c>
      <c r="K204" s="1" t="s">
        <v>590</v>
      </c>
      <c r="L204" s="1" t="s">
        <v>608</v>
      </c>
      <c r="M204" s="1" t="s">
        <v>581</v>
      </c>
      <c r="N204" s="1"/>
      <c r="O204" s="10"/>
      <c r="P204" s="23"/>
      <c r="Q204" s="1"/>
      <c r="R204" s="1" t="s">
        <v>557</v>
      </c>
      <c r="S204" s="1" t="s">
        <v>582</v>
      </c>
      <c r="T204" s="10">
        <v>46298</v>
      </c>
    </row>
    <row r="205" spans="1:20" ht="24" customHeight="1" x14ac:dyDescent="0.35">
      <c r="A205" s="5" t="s">
        <v>1144</v>
      </c>
      <c r="B205" s="5" t="s">
        <v>1145</v>
      </c>
      <c r="C205" s="5" t="s">
        <v>91</v>
      </c>
      <c r="D205" s="5" t="s">
        <v>636</v>
      </c>
      <c r="E205" s="8">
        <v>46205</v>
      </c>
      <c r="F205" s="5" t="s">
        <v>578</v>
      </c>
      <c r="G205" s="5" t="s">
        <v>579</v>
      </c>
      <c r="H205" s="22"/>
      <c r="I205" s="5" t="s">
        <v>580</v>
      </c>
      <c r="J205" s="5" t="s">
        <v>545</v>
      </c>
      <c r="K205" s="5" t="s">
        <v>590</v>
      </c>
      <c r="L205" s="5" t="s">
        <v>591</v>
      </c>
      <c r="M205" s="5" t="s">
        <v>581</v>
      </c>
      <c r="N205" s="5"/>
      <c r="O205" s="8"/>
      <c r="P205" s="22"/>
      <c r="Q205" s="5"/>
      <c r="R205" s="5" t="s">
        <v>557</v>
      </c>
      <c r="S205" s="5" t="s">
        <v>582</v>
      </c>
      <c r="T205" s="8">
        <v>46298</v>
      </c>
    </row>
    <row r="206" spans="1:20" ht="24" customHeight="1" x14ac:dyDescent="0.35">
      <c r="A206" s="1" t="s">
        <v>1146</v>
      </c>
      <c r="B206" s="1" t="s">
        <v>1147</v>
      </c>
      <c r="C206" s="1" t="s">
        <v>756</v>
      </c>
      <c r="D206" s="1" t="s">
        <v>630</v>
      </c>
      <c r="E206" s="10">
        <v>46205</v>
      </c>
      <c r="F206" s="1" t="s">
        <v>587</v>
      </c>
      <c r="G206" s="1" t="s">
        <v>588</v>
      </c>
      <c r="H206" s="23">
        <v>3900000</v>
      </c>
      <c r="I206" s="1" t="s">
        <v>589</v>
      </c>
      <c r="J206" s="1" t="s">
        <v>590</v>
      </c>
      <c r="K206" s="1" t="s">
        <v>547</v>
      </c>
      <c r="L206" s="1" t="s">
        <v>149</v>
      </c>
      <c r="M206" s="1" t="s">
        <v>581</v>
      </c>
      <c r="N206" s="1"/>
      <c r="O206" s="10"/>
      <c r="P206" s="23"/>
      <c r="Q206" s="1"/>
      <c r="R206" s="1" t="s">
        <v>557</v>
      </c>
      <c r="S206" s="1" t="s">
        <v>582</v>
      </c>
      <c r="T206" s="10">
        <v>46298</v>
      </c>
    </row>
    <row r="207" spans="1:20" ht="24" customHeight="1" x14ac:dyDescent="0.35">
      <c r="A207" s="5" t="s">
        <v>1148</v>
      </c>
      <c r="B207" s="5" t="s">
        <v>1149</v>
      </c>
      <c r="C207" s="5" t="s">
        <v>130</v>
      </c>
      <c r="D207" s="5" t="s">
        <v>797</v>
      </c>
      <c r="E207" s="8">
        <v>46205</v>
      </c>
      <c r="F207" s="5" t="s">
        <v>601</v>
      </c>
      <c r="G207" s="5" t="s">
        <v>602</v>
      </c>
      <c r="H207" s="22"/>
      <c r="I207" s="5" t="s">
        <v>603</v>
      </c>
      <c r="J207" s="5" t="s">
        <v>546</v>
      </c>
      <c r="K207" s="5" t="s">
        <v>546</v>
      </c>
      <c r="L207" s="5" t="s">
        <v>149</v>
      </c>
      <c r="M207" s="5" t="s">
        <v>581</v>
      </c>
      <c r="N207" s="5"/>
      <c r="O207" s="8"/>
      <c r="P207" s="22"/>
      <c r="Q207" s="5"/>
      <c r="R207" s="5" t="s">
        <v>557</v>
      </c>
      <c r="S207" s="5" t="s">
        <v>582</v>
      </c>
      <c r="T207" s="8">
        <v>46298</v>
      </c>
    </row>
    <row r="208" spans="1:20" ht="24" customHeight="1" x14ac:dyDescent="0.35">
      <c r="A208" s="1" t="s">
        <v>1150</v>
      </c>
      <c r="B208" s="1" t="s">
        <v>1151</v>
      </c>
      <c r="C208" s="1" t="s">
        <v>95</v>
      </c>
      <c r="D208" s="1" t="s">
        <v>1152</v>
      </c>
      <c r="E208" s="10">
        <v>46205</v>
      </c>
      <c r="F208" s="1" t="s">
        <v>587</v>
      </c>
      <c r="G208" s="1" t="s">
        <v>588</v>
      </c>
      <c r="H208" s="23">
        <v>6900000</v>
      </c>
      <c r="I208" s="1" t="s">
        <v>589</v>
      </c>
      <c r="J208" s="1" t="s">
        <v>548</v>
      </c>
      <c r="K208" s="1" t="s">
        <v>590</v>
      </c>
      <c r="L208" s="1" t="s">
        <v>149</v>
      </c>
      <c r="M208" s="1" t="s">
        <v>581</v>
      </c>
      <c r="N208" s="1"/>
      <c r="O208" s="10"/>
      <c r="P208" s="23"/>
      <c r="Q208" s="1"/>
      <c r="R208" s="1" t="s">
        <v>557</v>
      </c>
      <c r="S208" s="1" t="s">
        <v>582</v>
      </c>
      <c r="T208" s="10">
        <v>46298</v>
      </c>
    </row>
    <row r="209" spans="1:20" ht="24" customHeight="1" x14ac:dyDescent="0.35">
      <c r="A209" s="5" t="s">
        <v>1153</v>
      </c>
      <c r="B209" s="5" t="s">
        <v>1154</v>
      </c>
      <c r="C209" s="5" t="s">
        <v>733</v>
      </c>
      <c r="D209" s="5" t="s">
        <v>423</v>
      </c>
      <c r="E209" s="8">
        <v>46205</v>
      </c>
      <c r="F209" s="5" t="s">
        <v>587</v>
      </c>
      <c r="G209" s="5" t="s">
        <v>588</v>
      </c>
      <c r="H209" s="22">
        <v>5100000</v>
      </c>
      <c r="I209" s="5" t="s">
        <v>589</v>
      </c>
      <c r="J209" s="5" t="s">
        <v>545</v>
      </c>
      <c r="K209" s="5" t="s">
        <v>546</v>
      </c>
      <c r="L209" s="5" t="s">
        <v>608</v>
      </c>
      <c r="M209" s="5" t="s">
        <v>581</v>
      </c>
      <c r="N209" s="5"/>
      <c r="O209" s="8"/>
      <c r="P209" s="22"/>
      <c r="Q209" s="5"/>
      <c r="R209" s="5" t="s">
        <v>557</v>
      </c>
      <c r="S209" s="5" t="s">
        <v>582</v>
      </c>
      <c r="T209" s="8">
        <v>46298</v>
      </c>
    </row>
    <row r="210" spans="1:20" ht="24" customHeight="1" x14ac:dyDescent="0.35">
      <c r="A210" s="1" t="s">
        <v>1155</v>
      </c>
      <c r="B210" s="1" t="s">
        <v>1156</v>
      </c>
      <c r="C210" s="1" t="s">
        <v>1157</v>
      </c>
      <c r="D210" s="1" t="s">
        <v>785</v>
      </c>
      <c r="E210" s="10">
        <v>46205</v>
      </c>
      <c r="F210" s="1" t="s">
        <v>578</v>
      </c>
      <c r="G210" s="1" t="s">
        <v>579</v>
      </c>
      <c r="H210" s="23"/>
      <c r="I210" s="1" t="s">
        <v>580</v>
      </c>
      <c r="J210" s="1" t="s">
        <v>548</v>
      </c>
      <c r="K210" s="1" t="s">
        <v>548</v>
      </c>
      <c r="L210" s="1" t="s">
        <v>608</v>
      </c>
      <c r="M210" s="1" t="s">
        <v>581</v>
      </c>
      <c r="N210" s="1"/>
      <c r="O210" s="10"/>
      <c r="P210" s="23"/>
      <c r="Q210" s="1"/>
      <c r="R210" s="1" t="s">
        <v>557</v>
      </c>
      <c r="S210" s="1" t="s">
        <v>582</v>
      </c>
      <c r="T210" s="10">
        <v>46298</v>
      </c>
    </row>
    <row r="211" spans="1:20" ht="24" customHeight="1" x14ac:dyDescent="0.35">
      <c r="A211" s="5" t="s">
        <v>1158</v>
      </c>
      <c r="B211" s="5" t="s">
        <v>1159</v>
      </c>
      <c r="C211" s="5" t="s">
        <v>137</v>
      </c>
      <c r="D211" s="5" t="s">
        <v>1160</v>
      </c>
      <c r="E211" s="8">
        <v>46205</v>
      </c>
      <c r="F211" s="5" t="s">
        <v>771</v>
      </c>
      <c r="G211" s="5" t="s">
        <v>772</v>
      </c>
      <c r="H211" s="22"/>
      <c r="I211" s="5" t="s">
        <v>603</v>
      </c>
      <c r="J211" s="5" t="s">
        <v>548</v>
      </c>
      <c r="K211" s="5" t="s">
        <v>590</v>
      </c>
      <c r="L211" s="5" t="s">
        <v>149</v>
      </c>
      <c r="M211" s="5" t="s">
        <v>581</v>
      </c>
      <c r="N211" s="5"/>
      <c r="O211" s="8"/>
      <c r="P211" s="22"/>
      <c r="Q211" s="5" t="s">
        <v>773</v>
      </c>
      <c r="R211" s="5" t="s">
        <v>557</v>
      </c>
      <c r="S211" s="5" t="s">
        <v>582</v>
      </c>
      <c r="T211" s="8">
        <v>46298</v>
      </c>
    </row>
    <row r="212" spans="1:20" ht="24" customHeight="1" x14ac:dyDescent="0.35">
      <c r="A212" s="1" t="s">
        <v>1161</v>
      </c>
      <c r="B212" s="1" t="s">
        <v>1162</v>
      </c>
      <c r="C212" s="1" t="s">
        <v>1163</v>
      </c>
      <c r="D212" s="1" t="s">
        <v>1164</v>
      </c>
      <c r="E212" s="10">
        <v>46205</v>
      </c>
      <c r="F212" s="1" t="s">
        <v>578</v>
      </c>
      <c r="G212" s="1" t="s">
        <v>579</v>
      </c>
      <c r="H212" s="23"/>
      <c r="I212" s="1" t="s">
        <v>580</v>
      </c>
      <c r="J212" s="1" t="s">
        <v>545</v>
      </c>
      <c r="K212" s="1" t="s">
        <v>590</v>
      </c>
      <c r="L212" s="1" t="s">
        <v>149</v>
      </c>
      <c r="M212" s="1" t="s">
        <v>581</v>
      </c>
      <c r="N212" s="1"/>
      <c r="O212" s="10"/>
      <c r="P212" s="23"/>
      <c r="Q212" s="1"/>
      <c r="R212" s="1" t="s">
        <v>557</v>
      </c>
      <c r="S212" s="1" t="s">
        <v>582</v>
      </c>
      <c r="T212" s="10">
        <v>46298</v>
      </c>
    </row>
    <row r="213" spans="1:20" ht="24" customHeight="1" x14ac:dyDescent="0.35">
      <c r="A213" s="5" t="s">
        <v>1165</v>
      </c>
      <c r="B213" s="5" t="s">
        <v>1166</v>
      </c>
      <c r="C213" s="5" t="s">
        <v>1167</v>
      </c>
      <c r="D213" s="5" t="s">
        <v>119</v>
      </c>
      <c r="E213" s="8">
        <v>46203</v>
      </c>
      <c r="F213" s="5" t="s">
        <v>587</v>
      </c>
      <c r="G213" s="5" t="s">
        <v>588</v>
      </c>
      <c r="H213" s="22">
        <v>400000</v>
      </c>
      <c r="I213" s="5" t="s">
        <v>589</v>
      </c>
      <c r="J213" s="5" t="s">
        <v>590</v>
      </c>
      <c r="K213" s="5" t="s">
        <v>547</v>
      </c>
      <c r="L213" s="5" t="s">
        <v>608</v>
      </c>
      <c r="M213" s="5" t="s">
        <v>581</v>
      </c>
      <c r="N213" s="5"/>
      <c r="O213" s="8"/>
      <c r="P213" s="22"/>
      <c r="Q213" s="5"/>
      <c r="R213" s="5" t="s">
        <v>557</v>
      </c>
      <c r="S213" s="5" t="s">
        <v>582</v>
      </c>
      <c r="T213" s="8">
        <v>46298</v>
      </c>
    </row>
    <row r="214" spans="1:20" ht="24" customHeight="1" x14ac:dyDescent="0.35">
      <c r="A214" s="1" t="s">
        <v>1168</v>
      </c>
      <c r="B214" s="1" t="s">
        <v>1166</v>
      </c>
      <c r="C214" s="1" t="s">
        <v>119</v>
      </c>
      <c r="D214" s="1" t="s">
        <v>1169</v>
      </c>
      <c r="E214" s="10">
        <v>46203</v>
      </c>
      <c r="F214" s="1" t="s">
        <v>771</v>
      </c>
      <c r="G214" s="1" t="s">
        <v>772</v>
      </c>
      <c r="H214" s="23"/>
      <c r="I214" s="1" t="s">
        <v>603</v>
      </c>
      <c r="J214" s="1" t="s">
        <v>547</v>
      </c>
      <c r="K214" s="1" t="s">
        <v>590</v>
      </c>
      <c r="L214" s="1" t="s">
        <v>608</v>
      </c>
      <c r="M214" s="1" t="s">
        <v>581</v>
      </c>
      <c r="N214" s="1"/>
      <c r="O214" s="10"/>
      <c r="P214" s="23"/>
      <c r="Q214" s="1" t="s">
        <v>773</v>
      </c>
      <c r="R214" s="1" t="s">
        <v>557</v>
      </c>
      <c r="S214" s="1" t="s">
        <v>582</v>
      </c>
      <c r="T214" s="10">
        <v>46298</v>
      </c>
    </row>
    <row r="215" spans="1:20" ht="24" customHeight="1" x14ac:dyDescent="0.35">
      <c r="A215" s="5" t="s">
        <v>1170</v>
      </c>
      <c r="B215" s="5" t="s">
        <v>1171</v>
      </c>
      <c r="C215" s="5" t="s">
        <v>257</v>
      </c>
      <c r="D215" s="5" t="s">
        <v>1031</v>
      </c>
      <c r="E215" s="8">
        <v>46205</v>
      </c>
      <c r="F215" s="5" t="s">
        <v>587</v>
      </c>
      <c r="G215" s="5" t="s">
        <v>588</v>
      </c>
      <c r="H215" s="22">
        <v>4300000</v>
      </c>
      <c r="I215" s="5" t="s">
        <v>589</v>
      </c>
      <c r="J215" s="5" t="s">
        <v>590</v>
      </c>
      <c r="K215" s="5" t="s">
        <v>548</v>
      </c>
      <c r="L215" s="5" t="s">
        <v>640</v>
      </c>
      <c r="M215" s="5" t="s">
        <v>581</v>
      </c>
      <c r="N215" s="5"/>
      <c r="O215" s="8"/>
      <c r="P215" s="22"/>
      <c r="Q215" s="5"/>
      <c r="R215" s="5" t="s">
        <v>557</v>
      </c>
      <c r="S215" s="5" t="s">
        <v>582</v>
      </c>
      <c r="T215" s="8">
        <v>46298</v>
      </c>
    </row>
    <row r="216" spans="1:20" ht="24" customHeight="1" x14ac:dyDescent="0.35">
      <c r="A216" s="1" t="s">
        <v>1172</v>
      </c>
      <c r="B216" s="1" t="s">
        <v>1173</v>
      </c>
      <c r="C216" s="1" t="s">
        <v>91</v>
      </c>
      <c r="D216" s="1" t="s">
        <v>623</v>
      </c>
      <c r="E216" s="10">
        <v>46204</v>
      </c>
      <c r="F216" s="1" t="s">
        <v>578</v>
      </c>
      <c r="G216" s="1" t="s">
        <v>579</v>
      </c>
      <c r="H216" s="23"/>
      <c r="I216" s="1" t="s">
        <v>580</v>
      </c>
      <c r="J216" s="1" t="s">
        <v>545</v>
      </c>
      <c r="K216" s="1" t="s">
        <v>590</v>
      </c>
      <c r="L216" s="1" t="s">
        <v>640</v>
      </c>
      <c r="M216" s="1" t="s">
        <v>581</v>
      </c>
      <c r="N216" s="1"/>
      <c r="O216" s="10"/>
      <c r="P216" s="23"/>
      <c r="Q216" s="1"/>
      <c r="R216" s="1" t="s">
        <v>557</v>
      </c>
      <c r="S216" s="1" t="s">
        <v>582</v>
      </c>
      <c r="T216" s="10">
        <v>46298</v>
      </c>
    </row>
    <row r="217" spans="1:20" ht="24" customHeight="1" x14ac:dyDescent="0.35">
      <c r="A217" s="5" t="s">
        <v>1174</v>
      </c>
      <c r="B217" s="5" t="s">
        <v>1175</v>
      </c>
      <c r="C217" s="5" t="s">
        <v>868</v>
      </c>
      <c r="D217" s="5" t="s">
        <v>623</v>
      </c>
      <c r="E217" s="8">
        <v>46205</v>
      </c>
      <c r="F217" s="5" t="s">
        <v>578</v>
      </c>
      <c r="G217" s="5" t="s">
        <v>579</v>
      </c>
      <c r="H217" s="22"/>
      <c r="I217" s="5" t="s">
        <v>580</v>
      </c>
      <c r="J217" s="5" t="s">
        <v>545</v>
      </c>
      <c r="K217" s="5" t="s">
        <v>590</v>
      </c>
      <c r="L217" s="5" t="s">
        <v>608</v>
      </c>
      <c r="M217" s="5" t="s">
        <v>581</v>
      </c>
      <c r="N217" s="5"/>
      <c r="O217" s="8"/>
      <c r="P217" s="22"/>
      <c r="Q217" s="5"/>
      <c r="R217" s="5" t="s">
        <v>557</v>
      </c>
      <c r="S217" s="5" t="s">
        <v>582</v>
      </c>
      <c r="T217" s="8">
        <v>46298</v>
      </c>
    </row>
    <row r="218" spans="1:20" ht="24" customHeight="1" x14ac:dyDescent="0.35">
      <c r="A218" s="1" t="s">
        <v>1176</v>
      </c>
      <c r="B218" s="1" t="s">
        <v>1177</v>
      </c>
      <c r="C218" s="1" t="s">
        <v>1083</v>
      </c>
      <c r="D218" s="1" t="s">
        <v>1178</v>
      </c>
      <c r="E218" s="10">
        <v>46205</v>
      </c>
      <c r="F218" s="1" t="s">
        <v>771</v>
      </c>
      <c r="G218" s="1" t="s">
        <v>772</v>
      </c>
      <c r="H218" s="23"/>
      <c r="I218" s="1" t="s">
        <v>603</v>
      </c>
      <c r="J218" s="1" t="s">
        <v>544</v>
      </c>
      <c r="K218" s="1" t="s">
        <v>590</v>
      </c>
      <c r="L218" s="1" t="s">
        <v>149</v>
      </c>
      <c r="M218" s="1" t="s">
        <v>581</v>
      </c>
      <c r="N218" s="1"/>
      <c r="O218" s="10"/>
      <c r="P218" s="23"/>
      <c r="Q218" s="1" t="s">
        <v>773</v>
      </c>
      <c r="R218" s="1" t="s">
        <v>557</v>
      </c>
      <c r="S218" s="1" t="s">
        <v>582</v>
      </c>
      <c r="T218" s="10">
        <v>46298</v>
      </c>
    </row>
    <row r="219" spans="1:20" ht="24" customHeight="1" x14ac:dyDescent="0.35">
      <c r="A219" s="5" t="s">
        <v>1179</v>
      </c>
      <c r="B219" s="5" t="s">
        <v>1180</v>
      </c>
      <c r="C219" s="5" t="s">
        <v>448</v>
      </c>
      <c r="D219" s="5" t="s">
        <v>142</v>
      </c>
      <c r="E219" s="8">
        <v>46206</v>
      </c>
      <c r="F219" s="5" t="s">
        <v>587</v>
      </c>
      <c r="G219" s="5" t="s">
        <v>588</v>
      </c>
      <c r="H219" s="22">
        <v>42900000</v>
      </c>
      <c r="I219" s="5" t="s">
        <v>589</v>
      </c>
      <c r="J219" s="5" t="s">
        <v>547</v>
      </c>
      <c r="K219" s="5" t="s">
        <v>547</v>
      </c>
      <c r="L219" s="5" t="s">
        <v>149</v>
      </c>
      <c r="M219" s="5" t="s">
        <v>581</v>
      </c>
      <c r="N219" s="5"/>
      <c r="O219" s="8"/>
      <c r="P219" s="22"/>
      <c r="Q219" s="5"/>
      <c r="R219" s="5" t="s">
        <v>557</v>
      </c>
      <c r="S219" s="5" t="s">
        <v>582</v>
      </c>
      <c r="T219" s="8">
        <v>46298</v>
      </c>
    </row>
    <row r="220" spans="1:20" ht="24" customHeight="1" x14ac:dyDescent="0.35">
      <c r="A220" s="1" t="s">
        <v>1181</v>
      </c>
      <c r="B220" s="1" t="s">
        <v>1182</v>
      </c>
      <c r="C220" s="1" t="s">
        <v>1183</v>
      </c>
      <c r="D220" s="1" t="s">
        <v>1184</v>
      </c>
      <c r="E220" s="10">
        <v>46206</v>
      </c>
      <c r="F220" s="1" t="s">
        <v>578</v>
      </c>
      <c r="G220" s="1" t="s">
        <v>579</v>
      </c>
      <c r="H220" s="23"/>
      <c r="I220" s="1" t="s">
        <v>580</v>
      </c>
      <c r="J220" s="1" t="s">
        <v>545</v>
      </c>
      <c r="K220" s="1" t="s">
        <v>546</v>
      </c>
      <c r="L220" s="1" t="s">
        <v>149</v>
      </c>
      <c r="M220" s="1" t="s">
        <v>581</v>
      </c>
      <c r="N220" s="1"/>
      <c r="O220" s="10"/>
      <c r="P220" s="23"/>
      <c r="Q220" s="1"/>
      <c r="R220" s="1" t="s">
        <v>557</v>
      </c>
      <c r="S220" s="1" t="s">
        <v>582</v>
      </c>
      <c r="T220" s="10">
        <v>46298</v>
      </c>
    </row>
    <row r="221" spans="1:20" ht="24" customHeight="1" x14ac:dyDescent="0.35">
      <c r="A221" s="5" t="s">
        <v>1185</v>
      </c>
      <c r="B221" s="5" t="s">
        <v>1186</v>
      </c>
      <c r="C221" s="5" t="s">
        <v>749</v>
      </c>
      <c r="D221" s="5" t="s">
        <v>1187</v>
      </c>
      <c r="E221" s="8">
        <v>46206</v>
      </c>
      <c r="F221" s="5" t="s">
        <v>587</v>
      </c>
      <c r="G221" s="5" t="s">
        <v>588</v>
      </c>
      <c r="H221" s="22">
        <v>4300000</v>
      </c>
      <c r="I221" s="5" t="s">
        <v>589</v>
      </c>
      <c r="J221" s="5" t="s">
        <v>547</v>
      </c>
      <c r="K221" s="5" t="s">
        <v>590</v>
      </c>
      <c r="L221" s="5" t="s">
        <v>149</v>
      </c>
      <c r="M221" s="5" t="s">
        <v>581</v>
      </c>
      <c r="N221" s="5"/>
      <c r="O221" s="8"/>
      <c r="P221" s="22"/>
      <c r="Q221" s="5"/>
      <c r="R221" s="5" t="s">
        <v>557</v>
      </c>
      <c r="S221" s="5" t="s">
        <v>582</v>
      </c>
      <c r="T221" s="8">
        <v>46298</v>
      </c>
    </row>
    <row r="222" spans="1:20" ht="24" customHeight="1" x14ac:dyDescent="0.35">
      <c r="A222" s="1" t="s">
        <v>1188</v>
      </c>
      <c r="B222" s="1" t="s">
        <v>1189</v>
      </c>
      <c r="C222" s="1" t="s">
        <v>529</v>
      </c>
      <c r="D222" s="1" t="s">
        <v>974</v>
      </c>
      <c r="E222" s="10">
        <v>46206</v>
      </c>
      <c r="F222" s="1" t="s">
        <v>601</v>
      </c>
      <c r="G222" s="1" t="s">
        <v>602</v>
      </c>
      <c r="H222" s="23"/>
      <c r="I222" s="1" t="s">
        <v>603</v>
      </c>
      <c r="J222" s="1" t="s">
        <v>547</v>
      </c>
      <c r="K222" s="1" t="s">
        <v>590</v>
      </c>
      <c r="L222" s="1" t="s">
        <v>591</v>
      </c>
      <c r="M222" s="1" t="s">
        <v>581</v>
      </c>
      <c r="N222" s="1"/>
      <c r="O222" s="10"/>
      <c r="P222" s="23"/>
      <c r="Q222" s="1"/>
      <c r="R222" s="1" t="s">
        <v>557</v>
      </c>
      <c r="S222" s="1" t="s">
        <v>582</v>
      </c>
      <c r="T222" s="10">
        <v>46298</v>
      </c>
    </row>
    <row r="223" spans="1:20" ht="24" customHeight="1" x14ac:dyDescent="0.35">
      <c r="A223" s="5" t="s">
        <v>1190</v>
      </c>
      <c r="B223" s="5" t="s">
        <v>1191</v>
      </c>
      <c r="C223" s="5" t="s">
        <v>749</v>
      </c>
      <c r="D223" s="5" t="s">
        <v>1192</v>
      </c>
      <c r="E223" s="8">
        <v>46206</v>
      </c>
      <c r="F223" s="5" t="s">
        <v>587</v>
      </c>
      <c r="G223" s="5" t="s">
        <v>588</v>
      </c>
      <c r="H223" s="22">
        <v>300000</v>
      </c>
      <c r="I223" s="5" t="s">
        <v>589</v>
      </c>
      <c r="J223" s="5" t="s">
        <v>547</v>
      </c>
      <c r="K223" s="5" t="s">
        <v>590</v>
      </c>
      <c r="L223" s="5" t="s">
        <v>149</v>
      </c>
      <c r="M223" s="5" t="s">
        <v>581</v>
      </c>
      <c r="N223" s="5"/>
      <c r="O223" s="8"/>
      <c r="P223" s="22"/>
      <c r="Q223" s="5"/>
      <c r="R223" s="5" t="s">
        <v>557</v>
      </c>
      <c r="S223" s="5" t="s">
        <v>582</v>
      </c>
      <c r="T223" s="8">
        <v>46298</v>
      </c>
    </row>
    <row r="224" spans="1:20" ht="24" customHeight="1" x14ac:dyDescent="0.35">
      <c r="A224" s="1" t="s">
        <v>1193</v>
      </c>
      <c r="B224" s="1" t="s">
        <v>1194</v>
      </c>
      <c r="C224" s="1" t="s">
        <v>1195</v>
      </c>
      <c r="D224" s="1" t="s">
        <v>779</v>
      </c>
      <c r="E224" s="10">
        <v>46206</v>
      </c>
      <c r="F224" s="1" t="s">
        <v>587</v>
      </c>
      <c r="G224" s="1" t="s">
        <v>588</v>
      </c>
      <c r="H224" s="23">
        <v>200000</v>
      </c>
      <c r="I224" s="1" t="s">
        <v>589</v>
      </c>
      <c r="J224" s="1" t="s">
        <v>590</v>
      </c>
      <c r="K224" s="1" t="s">
        <v>548</v>
      </c>
      <c r="L224" s="1" t="s">
        <v>640</v>
      </c>
      <c r="M224" s="1" t="s">
        <v>581</v>
      </c>
      <c r="N224" s="1"/>
      <c r="O224" s="10"/>
      <c r="P224" s="23"/>
      <c r="Q224" s="1"/>
      <c r="R224" s="1" t="s">
        <v>557</v>
      </c>
      <c r="S224" s="1" t="s">
        <v>582</v>
      </c>
      <c r="T224" s="10">
        <v>46298</v>
      </c>
    </row>
    <row r="225" spans="1:20" ht="24" customHeight="1" x14ac:dyDescent="0.35">
      <c r="A225" s="5" t="s">
        <v>1196</v>
      </c>
      <c r="B225" s="5" t="s">
        <v>1197</v>
      </c>
      <c r="C225" s="5" t="s">
        <v>607</v>
      </c>
      <c r="D225" s="5" t="s">
        <v>1198</v>
      </c>
      <c r="E225" s="8">
        <v>46206</v>
      </c>
      <c r="F225" s="5" t="s">
        <v>771</v>
      </c>
      <c r="G225" s="5" t="s">
        <v>772</v>
      </c>
      <c r="H225" s="22"/>
      <c r="I225" s="5" t="s">
        <v>603</v>
      </c>
      <c r="J225" s="5" t="s">
        <v>547</v>
      </c>
      <c r="K225" s="5" t="s">
        <v>590</v>
      </c>
      <c r="L225" s="5" t="s">
        <v>608</v>
      </c>
      <c r="M225" s="5" t="s">
        <v>581</v>
      </c>
      <c r="N225" s="5"/>
      <c r="O225" s="8"/>
      <c r="P225" s="22"/>
      <c r="Q225" s="5" t="s">
        <v>773</v>
      </c>
      <c r="R225" s="5" t="s">
        <v>557</v>
      </c>
      <c r="S225" s="5" t="s">
        <v>582</v>
      </c>
      <c r="T225" s="8">
        <v>46298</v>
      </c>
    </row>
    <row r="226" spans="1:20" ht="24" customHeight="1" x14ac:dyDescent="0.35">
      <c r="A226" s="1" t="s">
        <v>1199</v>
      </c>
      <c r="B226" s="1" t="s">
        <v>1200</v>
      </c>
      <c r="C226" s="1" t="s">
        <v>198</v>
      </c>
      <c r="D226" s="1" t="s">
        <v>176</v>
      </c>
      <c r="E226" s="10">
        <v>46206</v>
      </c>
      <c r="F226" s="1" t="s">
        <v>578</v>
      </c>
      <c r="G226" s="1" t="s">
        <v>579</v>
      </c>
      <c r="H226" s="23"/>
      <c r="I226" s="1" t="s">
        <v>580</v>
      </c>
      <c r="J226" s="1" t="s">
        <v>546</v>
      </c>
      <c r="K226" s="1" t="s">
        <v>546</v>
      </c>
      <c r="L226" s="1" t="s">
        <v>149</v>
      </c>
      <c r="M226" s="1" t="s">
        <v>581</v>
      </c>
      <c r="N226" s="1"/>
      <c r="O226" s="10"/>
      <c r="P226" s="23"/>
      <c r="Q226" s="1"/>
      <c r="R226" s="1" t="s">
        <v>557</v>
      </c>
      <c r="S226" s="1" t="s">
        <v>582</v>
      </c>
      <c r="T226" s="10">
        <v>46298</v>
      </c>
    </row>
    <row r="227" spans="1:20" ht="24" customHeight="1" x14ac:dyDescent="0.35">
      <c r="A227" s="5" t="s">
        <v>1201</v>
      </c>
      <c r="B227" s="5" t="s">
        <v>1202</v>
      </c>
      <c r="C227" s="5" t="s">
        <v>1203</v>
      </c>
      <c r="D227" s="5" t="s">
        <v>240</v>
      </c>
      <c r="E227" s="8">
        <v>46206</v>
      </c>
      <c r="F227" s="5" t="s">
        <v>587</v>
      </c>
      <c r="G227" s="5" t="s">
        <v>588</v>
      </c>
      <c r="H227" s="22">
        <v>1900000</v>
      </c>
      <c r="I227" s="5" t="s">
        <v>589</v>
      </c>
      <c r="J227" s="5" t="s">
        <v>590</v>
      </c>
      <c r="K227" s="5" t="s">
        <v>548</v>
      </c>
      <c r="L227" s="5" t="s">
        <v>149</v>
      </c>
      <c r="M227" s="5" t="s">
        <v>581</v>
      </c>
      <c r="N227" s="5"/>
      <c r="O227" s="8"/>
      <c r="P227" s="22"/>
      <c r="Q227" s="5" t="s">
        <v>1005</v>
      </c>
      <c r="R227" s="5" t="s">
        <v>557</v>
      </c>
      <c r="S227" s="5" t="s">
        <v>582</v>
      </c>
      <c r="T227" s="8">
        <v>46298</v>
      </c>
    </row>
    <row r="228" spans="1:20" ht="24" customHeight="1" x14ac:dyDescent="0.35">
      <c r="A228" s="1" t="s">
        <v>1204</v>
      </c>
      <c r="B228" s="1" t="s">
        <v>1205</v>
      </c>
      <c r="C228" s="1" t="s">
        <v>91</v>
      </c>
      <c r="D228" s="1" t="s">
        <v>1206</v>
      </c>
      <c r="E228" s="10">
        <v>46206</v>
      </c>
      <c r="F228" s="1" t="s">
        <v>771</v>
      </c>
      <c r="G228" s="1" t="s">
        <v>772</v>
      </c>
      <c r="H228" s="23"/>
      <c r="I228" s="1" t="s">
        <v>603</v>
      </c>
      <c r="J228" s="1" t="s">
        <v>545</v>
      </c>
      <c r="K228" s="1" t="s">
        <v>590</v>
      </c>
      <c r="L228" s="1" t="s">
        <v>172</v>
      </c>
      <c r="M228" s="1" t="s">
        <v>581</v>
      </c>
      <c r="N228" s="1"/>
      <c r="O228" s="10"/>
      <c r="P228" s="23"/>
      <c r="Q228" s="1" t="s">
        <v>1008</v>
      </c>
      <c r="R228" s="1" t="s">
        <v>557</v>
      </c>
      <c r="S228" s="1" t="s">
        <v>582</v>
      </c>
      <c r="T228" s="10">
        <v>46298</v>
      </c>
    </row>
    <row r="229" spans="1:20" ht="24" customHeight="1" x14ac:dyDescent="0.35">
      <c r="A229" s="5" t="s">
        <v>1207</v>
      </c>
      <c r="B229" s="5" t="s">
        <v>1208</v>
      </c>
      <c r="C229" s="5" t="s">
        <v>1209</v>
      </c>
      <c r="D229" s="5" t="s">
        <v>1210</v>
      </c>
      <c r="E229" s="8">
        <v>46206</v>
      </c>
      <c r="F229" s="5" t="s">
        <v>587</v>
      </c>
      <c r="G229" s="5" t="s">
        <v>588</v>
      </c>
      <c r="H229" s="22">
        <v>7700000</v>
      </c>
      <c r="I229" s="5" t="s">
        <v>589</v>
      </c>
      <c r="J229" s="5" t="s">
        <v>590</v>
      </c>
      <c r="K229" s="5" t="s">
        <v>545</v>
      </c>
      <c r="L229" s="5" t="s">
        <v>172</v>
      </c>
      <c r="M229" s="5" t="s">
        <v>581</v>
      </c>
      <c r="N229" s="5"/>
      <c r="O229" s="8"/>
      <c r="P229" s="22"/>
      <c r="Q229" s="5"/>
      <c r="R229" s="5" t="s">
        <v>557</v>
      </c>
      <c r="S229" s="5" t="s">
        <v>582</v>
      </c>
      <c r="T229" s="8">
        <v>46298</v>
      </c>
    </row>
    <row r="230" spans="1:20" ht="24" customHeight="1" x14ac:dyDescent="0.35">
      <c r="A230" s="1" t="s">
        <v>1211</v>
      </c>
      <c r="B230" s="1" t="s">
        <v>1212</v>
      </c>
      <c r="C230" s="1" t="s">
        <v>355</v>
      </c>
      <c r="D230" s="1" t="s">
        <v>1213</v>
      </c>
      <c r="E230" s="10">
        <v>46207</v>
      </c>
      <c r="F230" s="1" t="s">
        <v>587</v>
      </c>
      <c r="G230" s="1" t="s">
        <v>588</v>
      </c>
      <c r="H230" s="23">
        <v>7000000</v>
      </c>
      <c r="I230" s="1" t="s">
        <v>589</v>
      </c>
      <c r="J230" s="1" t="s">
        <v>544</v>
      </c>
      <c r="K230" s="1" t="s">
        <v>590</v>
      </c>
      <c r="L230" s="1" t="s">
        <v>149</v>
      </c>
      <c r="M230" s="1" t="s">
        <v>581</v>
      </c>
      <c r="N230" s="1"/>
      <c r="O230" s="10"/>
      <c r="P230" s="23"/>
      <c r="Q230" s="1" t="s">
        <v>1005</v>
      </c>
      <c r="R230" s="1" t="s">
        <v>557</v>
      </c>
      <c r="S230" s="1" t="s">
        <v>582</v>
      </c>
      <c r="T230" s="10">
        <v>46298</v>
      </c>
    </row>
    <row r="231" spans="1:20" ht="24" customHeight="1" x14ac:dyDescent="0.35">
      <c r="A231" s="5" t="s">
        <v>1214</v>
      </c>
      <c r="B231" s="5" t="s">
        <v>1215</v>
      </c>
      <c r="C231" s="5" t="s">
        <v>1216</v>
      </c>
      <c r="D231" s="5" t="s">
        <v>639</v>
      </c>
      <c r="E231" s="8">
        <v>46207</v>
      </c>
      <c r="F231" s="5" t="s">
        <v>587</v>
      </c>
      <c r="G231" s="5" t="s">
        <v>588</v>
      </c>
      <c r="H231" s="22">
        <v>900000</v>
      </c>
      <c r="I231" s="5" t="s">
        <v>589</v>
      </c>
      <c r="J231" s="5" t="s">
        <v>590</v>
      </c>
      <c r="K231" s="5" t="s">
        <v>548</v>
      </c>
      <c r="L231" s="5" t="s">
        <v>608</v>
      </c>
      <c r="M231" s="5" t="s">
        <v>581</v>
      </c>
      <c r="N231" s="5"/>
      <c r="O231" s="8"/>
      <c r="P231" s="22"/>
      <c r="Q231" s="5" t="s">
        <v>1217</v>
      </c>
      <c r="R231" s="5" t="s">
        <v>557</v>
      </c>
      <c r="S231" s="5" t="s">
        <v>582</v>
      </c>
      <c r="T231" s="8">
        <v>46298</v>
      </c>
    </row>
    <row r="232" spans="1:20" ht="24" customHeight="1" x14ac:dyDescent="0.35">
      <c r="A232" s="1" t="s">
        <v>1218</v>
      </c>
      <c r="B232" s="1" t="s">
        <v>1219</v>
      </c>
      <c r="C232" s="1" t="s">
        <v>1083</v>
      </c>
      <c r="D232" s="1" t="s">
        <v>1220</v>
      </c>
      <c r="E232" s="10">
        <v>46207</v>
      </c>
      <c r="F232" s="1" t="s">
        <v>601</v>
      </c>
      <c r="G232" s="1" t="s">
        <v>602</v>
      </c>
      <c r="H232" s="23"/>
      <c r="I232" s="1" t="s">
        <v>603</v>
      </c>
      <c r="J232" s="1" t="s">
        <v>544</v>
      </c>
      <c r="K232" s="1" t="s">
        <v>590</v>
      </c>
      <c r="L232" s="1" t="s">
        <v>608</v>
      </c>
      <c r="M232" s="1" t="s">
        <v>581</v>
      </c>
      <c r="N232" s="1"/>
      <c r="O232" s="10"/>
      <c r="P232" s="23"/>
      <c r="Q232" s="1"/>
      <c r="R232" s="1" t="s">
        <v>557</v>
      </c>
      <c r="S232" s="1" t="s">
        <v>582</v>
      </c>
      <c r="T232" s="10">
        <v>46298</v>
      </c>
    </row>
    <row r="233" spans="1:20" ht="24" customHeight="1" x14ac:dyDescent="0.35">
      <c r="A233" s="5" t="s">
        <v>1221</v>
      </c>
      <c r="B233" s="5" t="s">
        <v>1222</v>
      </c>
      <c r="C233" s="5" t="s">
        <v>210</v>
      </c>
      <c r="D233" s="5" t="s">
        <v>1223</v>
      </c>
      <c r="E233" s="8">
        <v>46207</v>
      </c>
      <c r="F233" s="5" t="s">
        <v>771</v>
      </c>
      <c r="G233" s="5" t="s">
        <v>772</v>
      </c>
      <c r="H233" s="22"/>
      <c r="I233" s="5" t="s">
        <v>603</v>
      </c>
      <c r="J233" s="5" t="s">
        <v>544</v>
      </c>
      <c r="K233" s="5" t="s">
        <v>590</v>
      </c>
      <c r="L233" s="5" t="s">
        <v>640</v>
      </c>
      <c r="M233" s="5" t="s">
        <v>581</v>
      </c>
      <c r="N233" s="5"/>
      <c r="O233" s="8"/>
      <c r="P233" s="22"/>
      <c r="Q233" s="5" t="s">
        <v>773</v>
      </c>
      <c r="R233" s="5" t="s">
        <v>557</v>
      </c>
      <c r="S233" s="5" t="s">
        <v>582</v>
      </c>
      <c r="T233" s="8">
        <v>46298</v>
      </c>
    </row>
    <row r="234" spans="1:20" ht="24" customHeight="1" x14ac:dyDescent="0.35">
      <c r="A234" s="1" t="s">
        <v>1224</v>
      </c>
      <c r="B234" s="1" t="s">
        <v>1225</v>
      </c>
      <c r="C234" s="1" t="s">
        <v>423</v>
      </c>
      <c r="D234" s="1" t="s">
        <v>1226</v>
      </c>
      <c r="E234" s="10">
        <v>46207</v>
      </c>
      <c r="F234" s="1" t="s">
        <v>601</v>
      </c>
      <c r="G234" s="1" t="s">
        <v>602</v>
      </c>
      <c r="H234" s="23"/>
      <c r="I234" s="1" t="s">
        <v>603</v>
      </c>
      <c r="J234" s="1" t="s">
        <v>546</v>
      </c>
      <c r="K234" s="1" t="s">
        <v>590</v>
      </c>
      <c r="L234" s="1" t="s">
        <v>149</v>
      </c>
      <c r="M234" s="1" t="s">
        <v>581</v>
      </c>
      <c r="N234" s="1"/>
      <c r="O234" s="10"/>
      <c r="P234" s="23"/>
      <c r="Q234" s="1"/>
      <c r="R234" s="1" t="s">
        <v>557</v>
      </c>
      <c r="S234" s="1" t="s">
        <v>582</v>
      </c>
      <c r="T234" s="10">
        <v>46298</v>
      </c>
    </row>
    <row r="235" spans="1:20" ht="24" customHeight="1" x14ac:dyDescent="0.35">
      <c r="A235" s="5" t="s">
        <v>1227</v>
      </c>
      <c r="B235" s="5" t="s">
        <v>1228</v>
      </c>
      <c r="C235" s="5" t="s">
        <v>423</v>
      </c>
      <c r="D235" s="5" t="s">
        <v>1229</v>
      </c>
      <c r="E235" s="8">
        <v>46207</v>
      </c>
      <c r="F235" s="5" t="s">
        <v>771</v>
      </c>
      <c r="G235" s="5" t="s">
        <v>772</v>
      </c>
      <c r="H235" s="22"/>
      <c r="I235" s="5" t="s">
        <v>603</v>
      </c>
      <c r="J235" s="5" t="s">
        <v>546</v>
      </c>
      <c r="K235" s="5" t="s">
        <v>590</v>
      </c>
      <c r="L235" s="5" t="s">
        <v>591</v>
      </c>
      <c r="M235" s="5" t="s">
        <v>581</v>
      </c>
      <c r="N235" s="5"/>
      <c r="O235" s="8"/>
      <c r="P235" s="22"/>
      <c r="Q235" s="5" t="s">
        <v>773</v>
      </c>
      <c r="R235" s="5" t="s">
        <v>557</v>
      </c>
      <c r="S235" s="5" t="s">
        <v>582</v>
      </c>
      <c r="T235" s="8">
        <v>46298</v>
      </c>
    </row>
    <row r="236" spans="1:20" ht="24" customHeight="1" x14ac:dyDescent="0.35">
      <c r="A236" s="1" t="s">
        <v>1230</v>
      </c>
      <c r="B236" s="1" t="s">
        <v>1231</v>
      </c>
      <c r="C236" s="1" t="s">
        <v>157</v>
      </c>
      <c r="D236" s="1" t="s">
        <v>1232</v>
      </c>
      <c r="E236" s="10">
        <v>46207</v>
      </c>
      <c r="F236" s="1" t="s">
        <v>601</v>
      </c>
      <c r="G236" s="1" t="s">
        <v>602</v>
      </c>
      <c r="H236" s="23"/>
      <c r="I236" s="1" t="s">
        <v>603</v>
      </c>
      <c r="J236" s="1" t="s">
        <v>546</v>
      </c>
      <c r="K236" s="1" t="s">
        <v>590</v>
      </c>
      <c r="L236" s="1" t="s">
        <v>149</v>
      </c>
      <c r="M236" s="1" t="s">
        <v>581</v>
      </c>
      <c r="N236" s="1"/>
      <c r="O236" s="10"/>
      <c r="P236" s="23"/>
      <c r="Q236" s="1"/>
      <c r="R236" s="1" t="s">
        <v>557</v>
      </c>
      <c r="S236" s="1" t="s">
        <v>582</v>
      </c>
      <c r="T236" s="10">
        <v>46298</v>
      </c>
    </row>
    <row r="237" spans="1:20" ht="24" customHeight="1" x14ac:dyDescent="0.35">
      <c r="A237" s="5" t="s">
        <v>1233</v>
      </c>
      <c r="B237" s="5" t="s">
        <v>1234</v>
      </c>
      <c r="C237" s="5" t="s">
        <v>130</v>
      </c>
      <c r="D237" s="5" t="s">
        <v>114</v>
      </c>
      <c r="E237" s="8">
        <v>46208</v>
      </c>
      <c r="F237" s="5" t="s">
        <v>587</v>
      </c>
      <c r="G237" s="5" t="s">
        <v>588</v>
      </c>
      <c r="H237" s="22">
        <v>17100000</v>
      </c>
      <c r="I237" s="5" t="s">
        <v>589</v>
      </c>
      <c r="J237" s="5" t="s">
        <v>546</v>
      </c>
      <c r="K237" s="5" t="s">
        <v>545</v>
      </c>
      <c r="L237" s="5" t="s">
        <v>149</v>
      </c>
      <c r="M237" s="5" t="s">
        <v>581</v>
      </c>
      <c r="N237" s="5"/>
      <c r="O237" s="8"/>
      <c r="P237" s="22"/>
      <c r="Q237" s="5"/>
      <c r="R237" s="5" t="s">
        <v>557</v>
      </c>
      <c r="S237" s="5" t="s">
        <v>582</v>
      </c>
      <c r="T237" s="8">
        <v>46298</v>
      </c>
    </row>
    <row r="238" spans="1:20" ht="24" customHeight="1" x14ac:dyDescent="0.35">
      <c r="A238" s="1" t="s">
        <v>1235</v>
      </c>
      <c r="B238" s="1" t="s">
        <v>1236</v>
      </c>
      <c r="C238" s="1" t="s">
        <v>606</v>
      </c>
      <c r="D238" s="1" t="s">
        <v>391</v>
      </c>
      <c r="E238" s="10">
        <v>46208</v>
      </c>
      <c r="F238" s="1" t="s">
        <v>587</v>
      </c>
      <c r="G238" s="1" t="s">
        <v>588</v>
      </c>
      <c r="H238" s="23">
        <v>43000000</v>
      </c>
      <c r="I238" s="1" t="s">
        <v>589</v>
      </c>
      <c r="J238" s="1" t="s">
        <v>547</v>
      </c>
      <c r="K238" s="1" t="s">
        <v>544</v>
      </c>
      <c r="L238" s="1" t="s">
        <v>591</v>
      </c>
      <c r="M238" s="1" t="s">
        <v>581</v>
      </c>
      <c r="N238" s="1"/>
      <c r="O238" s="10"/>
      <c r="P238" s="23"/>
      <c r="Q238" s="1"/>
      <c r="R238" s="1" t="s">
        <v>557</v>
      </c>
      <c r="S238" s="1" t="s">
        <v>582</v>
      </c>
      <c r="T238" s="10">
        <v>46298</v>
      </c>
    </row>
    <row r="239" spans="1:20" ht="24" customHeight="1" x14ac:dyDescent="0.35">
      <c r="A239" s="5" t="s">
        <v>1237</v>
      </c>
      <c r="B239" s="5" t="s">
        <v>1238</v>
      </c>
      <c r="C239" s="5" t="s">
        <v>850</v>
      </c>
      <c r="D239" s="5" t="s">
        <v>651</v>
      </c>
      <c r="E239" s="8">
        <v>46209</v>
      </c>
      <c r="F239" s="5" t="s">
        <v>587</v>
      </c>
      <c r="G239" s="5" t="s">
        <v>588</v>
      </c>
      <c r="H239" s="22">
        <v>17100000</v>
      </c>
      <c r="I239" s="5" t="s">
        <v>589</v>
      </c>
      <c r="J239" s="5" t="s">
        <v>544</v>
      </c>
      <c r="K239" s="5" t="s">
        <v>548</v>
      </c>
      <c r="L239" s="5" t="s">
        <v>640</v>
      </c>
      <c r="M239" s="5" t="s">
        <v>581</v>
      </c>
      <c r="N239" s="5"/>
      <c r="O239" s="8"/>
      <c r="P239" s="22"/>
      <c r="Q239" s="5"/>
      <c r="R239" s="5" t="s">
        <v>557</v>
      </c>
      <c r="S239" s="5" t="s">
        <v>582</v>
      </c>
      <c r="T239" s="8">
        <v>46298</v>
      </c>
    </row>
    <row r="240" spans="1:20" ht="24" customHeight="1" x14ac:dyDescent="0.35">
      <c r="A240" s="1" t="s">
        <v>1239</v>
      </c>
      <c r="B240" s="1" t="s">
        <v>1240</v>
      </c>
      <c r="C240" s="1" t="s">
        <v>692</v>
      </c>
      <c r="D240" s="1" t="s">
        <v>720</v>
      </c>
      <c r="E240" s="10">
        <v>46209</v>
      </c>
      <c r="F240" s="1" t="s">
        <v>771</v>
      </c>
      <c r="G240" s="1" t="s">
        <v>772</v>
      </c>
      <c r="H240" s="23"/>
      <c r="I240" s="1" t="s">
        <v>603</v>
      </c>
      <c r="J240" s="1" t="s">
        <v>547</v>
      </c>
      <c r="K240" s="1" t="s">
        <v>590</v>
      </c>
      <c r="L240" s="1" t="s">
        <v>172</v>
      </c>
      <c r="M240" s="1" t="s">
        <v>581</v>
      </c>
      <c r="N240" s="1"/>
      <c r="O240" s="10"/>
      <c r="P240" s="23"/>
      <c r="Q240" s="1" t="s">
        <v>773</v>
      </c>
      <c r="R240" s="1" t="s">
        <v>557</v>
      </c>
      <c r="S240" s="1" t="s">
        <v>582</v>
      </c>
      <c r="T240" s="10">
        <v>46298</v>
      </c>
    </row>
    <row r="241" spans="1:20" ht="24" customHeight="1" x14ac:dyDescent="0.35">
      <c r="A241" s="5" t="s">
        <v>1241</v>
      </c>
      <c r="B241" s="5" t="s">
        <v>1242</v>
      </c>
      <c r="C241" s="5" t="s">
        <v>749</v>
      </c>
      <c r="D241" s="5" t="s">
        <v>660</v>
      </c>
      <c r="E241" s="8">
        <v>46209</v>
      </c>
      <c r="F241" s="5" t="s">
        <v>601</v>
      </c>
      <c r="G241" s="5" t="s">
        <v>602</v>
      </c>
      <c r="H241" s="22"/>
      <c r="I241" s="5" t="s">
        <v>603</v>
      </c>
      <c r="J241" s="5" t="s">
        <v>547</v>
      </c>
      <c r="K241" s="5" t="s">
        <v>590</v>
      </c>
      <c r="L241" s="5" t="s">
        <v>149</v>
      </c>
      <c r="M241" s="5" t="s">
        <v>581</v>
      </c>
      <c r="N241" s="5"/>
      <c r="O241" s="8"/>
      <c r="P241" s="22"/>
      <c r="Q241" s="5"/>
      <c r="R241" s="5" t="s">
        <v>557</v>
      </c>
      <c r="S241" s="5" t="s">
        <v>582</v>
      </c>
      <c r="T241" s="8">
        <v>46298</v>
      </c>
    </row>
    <row r="242" spans="1:20" ht="24" customHeight="1" x14ac:dyDescent="0.35">
      <c r="A242" s="1" t="s">
        <v>1243</v>
      </c>
      <c r="B242" s="1" t="s">
        <v>1244</v>
      </c>
      <c r="C242" s="1" t="s">
        <v>103</v>
      </c>
      <c r="D242" s="1" t="s">
        <v>160</v>
      </c>
      <c r="E242" s="10">
        <v>46209</v>
      </c>
      <c r="F242" s="1" t="s">
        <v>587</v>
      </c>
      <c r="G242" s="1" t="s">
        <v>588</v>
      </c>
      <c r="H242" s="23">
        <v>18000000</v>
      </c>
      <c r="I242" s="1" t="s">
        <v>589</v>
      </c>
      <c r="J242" s="1" t="s">
        <v>544</v>
      </c>
      <c r="K242" s="1" t="s">
        <v>544</v>
      </c>
      <c r="L242" s="1" t="s">
        <v>591</v>
      </c>
      <c r="M242" s="1" t="s">
        <v>581</v>
      </c>
      <c r="N242" s="1"/>
      <c r="O242" s="10"/>
      <c r="P242" s="23"/>
      <c r="Q242" s="1" t="s">
        <v>1245</v>
      </c>
      <c r="R242" s="1" t="s">
        <v>557</v>
      </c>
      <c r="S242" s="1" t="s">
        <v>582</v>
      </c>
      <c r="T242" s="10">
        <v>46298</v>
      </c>
    </row>
    <row r="243" spans="1:20" ht="24" customHeight="1" x14ac:dyDescent="0.35">
      <c r="A243" s="5" t="s">
        <v>1246</v>
      </c>
      <c r="B243" s="5" t="s">
        <v>1247</v>
      </c>
      <c r="C243" s="5" t="s">
        <v>1248</v>
      </c>
      <c r="D243" s="5" t="s">
        <v>788</v>
      </c>
      <c r="E243" s="8">
        <v>46209</v>
      </c>
      <c r="F243" s="5" t="s">
        <v>601</v>
      </c>
      <c r="G243" s="5" t="s">
        <v>602</v>
      </c>
      <c r="H243" s="22"/>
      <c r="I243" s="5" t="s">
        <v>603</v>
      </c>
      <c r="J243" s="5" t="s">
        <v>590</v>
      </c>
      <c r="K243" s="5" t="s">
        <v>546</v>
      </c>
      <c r="L243" s="5" t="s">
        <v>608</v>
      </c>
      <c r="M243" s="5" t="s">
        <v>581</v>
      </c>
      <c r="N243" s="5"/>
      <c r="O243" s="8"/>
      <c r="P243" s="22"/>
      <c r="Q243" s="5"/>
      <c r="R243" s="5" t="s">
        <v>557</v>
      </c>
      <c r="S243" s="5" t="s">
        <v>582</v>
      </c>
      <c r="T243" s="8">
        <v>46298</v>
      </c>
    </row>
    <row r="244" spans="1:20" ht="24" customHeight="1" x14ac:dyDescent="0.35">
      <c r="A244" s="1" t="s">
        <v>1249</v>
      </c>
      <c r="B244" s="1" t="s">
        <v>1250</v>
      </c>
      <c r="C244" s="1" t="s">
        <v>655</v>
      </c>
      <c r="D244" s="1" t="s">
        <v>733</v>
      </c>
      <c r="E244" s="10">
        <v>46209</v>
      </c>
      <c r="F244" s="1" t="s">
        <v>587</v>
      </c>
      <c r="G244" s="1" t="s">
        <v>588</v>
      </c>
      <c r="H244" s="23">
        <v>5100000</v>
      </c>
      <c r="I244" s="1" t="s">
        <v>589</v>
      </c>
      <c r="J244" s="1" t="s">
        <v>590</v>
      </c>
      <c r="K244" s="1" t="s">
        <v>545</v>
      </c>
      <c r="L244" s="1" t="s">
        <v>149</v>
      </c>
      <c r="M244" s="1" t="s">
        <v>581</v>
      </c>
      <c r="N244" s="1"/>
      <c r="O244" s="10"/>
      <c r="P244" s="23"/>
      <c r="Q244" s="1"/>
      <c r="R244" s="1" t="s">
        <v>557</v>
      </c>
      <c r="S244" s="1" t="s">
        <v>582</v>
      </c>
      <c r="T244" s="10">
        <v>46298</v>
      </c>
    </row>
    <row r="245" spans="1:20" ht="24" customHeight="1" x14ac:dyDescent="0.35">
      <c r="A245" s="5" t="s">
        <v>1251</v>
      </c>
      <c r="B245" s="5" t="s">
        <v>1252</v>
      </c>
      <c r="C245" s="5" t="s">
        <v>801</v>
      </c>
      <c r="D245" s="5" t="s">
        <v>365</v>
      </c>
      <c r="E245" s="8">
        <v>46209</v>
      </c>
      <c r="F245" s="5" t="s">
        <v>578</v>
      </c>
      <c r="G245" s="5" t="s">
        <v>579</v>
      </c>
      <c r="H245" s="22"/>
      <c r="I245" s="5" t="s">
        <v>580</v>
      </c>
      <c r="J245" s="5" t="s">
        <v>546</v>
      </c>
      <c r="K245" s="5" t="s">
        <v>548</v>
      </c>
      <c r="L245" s="5" t="s">
        <v>172</v>
      </c>
      <c r="M245" s="5" t="s">
        <v>581</v>
      </c>
      <c r="N245" s="5"/>
      <c r="O245" s="8"/>
      <c r="P245" s="22"/>
      <c r="Q245" s="5"/>
      <c r="R245" s="5" t="s">
        <v>557</v>
      </c>
      <c r="S245" s="5" t="s">
        <v>582</v>
      </c>
      <c r="T245" s="8">
        <v>46298</v>
      </c>
    </row>
    <row r="246" spans="1:20" ht="24" customHeight="1" x14ac:dyDescent="0.35">
      <c r="A246" s="1" t="s">
        <v>1253</v>
      </c>
      <c r="B246" s="1" t="s">
        <v>1254</v>
      </c>
      <c r="C246" s="1" t="s">
        <v>1255</v>
      </c>
      <c r="D246" s="1" t="s">
        <v>639</v>
      </c>
      <c r="E246" s="10">
        <v>46209</v>
      </c>
      <c r="F246" s="1" t="s">
        <v>578</v>
      </c>
      <c r="G246" s="1" t="s">
        <v>579</v>
      </c>
      <c r="H246" s="23"/>
      <c r="I246" s="1" t="s">
        <v>580</v>
      </c>
      <c r="J246" s="1" t="s">
        <v>590</v>
      </c>
      <c r="K246" s="1" t="s">
        <v>548</v>
      </c>
      <c r="L246" s="1" t="s">
        <v>172</v>
      </c>
      <c r="M246" s="1" t="s">
        <v>581</v>
      </c>
      <c r="N246" s="1"/>
      <c r="O246" s="10"/>
      <c r="P246" s="23"/>
      <c r="Q246" s="1"/>
      <c r="R246" s="1" t="s">
        <v>557</v>
      </c>
      <c r="S246" s="1" t="s">
        <v>582</v>
      </c>
      <c r="T246" s="10">
        <v>46298</v>
      </c>
    </row>
    <row r="247" spans="1:20" ht="24" customHeight="1" x14ac:dyDescent="0.35">
      <c r="A247" s="5" t="s">
        <v>1256</v>
      </c>
      <c r="B247" s="5" t="s">
        <v>1257</v>
      </c>
      <c r="C247" s="5" t="s">
        <v>128</v>
      </c>
      <c r="D247" s="5" t="s">
        <v>956</v>
      </c>
      <c r="E247" s="8">
        <v>46208</v>
      </c>
      <c r="F247" s="5" t="s">
        <v>771</v>
      </c>
      <c r="G247" s="5" t="s">
        <v>772</v>
      </c>
      <c r="H247" s="22"/>
      <c r="I247" s="5" t="s">
        <v>603</v>
      </c>
      <c r="J247" s="5" t="s">
        <v>544</v>
      </c>
      <c r="K247" s="5" t="s">
        <v>590</v>
      </c>
      <c r="L247" s="5" t="s">
        <v>591</v>
      </c>
      <c r="M247" s="5" t="s">
        <v>581</v>
      </c>
      <c r="N247" s="5"/>
      <c r="O247" s="8"/>
      <c r="P247" s="22"/>
      <c r="Q247" s="5" t="s">
        <v>773</v>
      </c>
      <c r="R247" s="5" t="s">
        <v>557</v>
      </c>
      <c r="S247" s="5" t="s">
        <v>582</v>
      </c>
      <c r="T247" s="8">
        <v>46298</v>
      </c>
    </row>
    <row r="248" spans="1:20" ht="24" customHeight="1" x14ac:dyDescent="0.35">
      <c r="A248" s="1" t="s">
        <v>1258</v>
      </c>
      <c r="B248" s="1" t="s">
        <v>1259</v>
      </c>
      <c r="C248" s="1" t="s">
        <v>721</v>
      </c>
      <c r="D248" s="1" t="s">
        <v>1260</v>
      </c>
      <c r="E248" s="10">
        <v>46208</v>
      </c>
      <c r="F248" s="1" t="s">
        <v>771</v>
      </c>
      <c r="G248" s="1" t="s">
        <v>772</v>
      </c>
      <c r="H248" s="23"/>
      <c r="I248" s="1" t="s">
        <v>603</v>
      </c>
      <c r="J248" s="1" t="s">
        <v>547</v>
      </c>
      <c r="K248" s="1" t="s">
        <v>590</v>
      </c>
      <c r="L248" s="1" t="s">
        <v>149</v>
      </c>
      <c r="M248" s="1" t="s">
        <v>581</v>
      </c>
      <c r="N248" s="1"/>
      <c r="O248" s="10"/>
      <c r="P248" s="23"/>
      <c r="Q248" s="1" t="s">
        <v>1008</v>
      </c>
      <c r="R248" s="1" t="s">
        <v>557</v>
      </c>
      <c r="S248" s="1" t="s">
        <v>582</v>
      </c>
      <c r="T248" s="10">
        <v>46298</v>
      </c>
    </row>
    <row r="249" spans="1:20" ht="24" customHeight="1" x14ac:dyDescent="0.35">
      <c r="A249" s="5" t="s">
        <v>1261</v>
      </c>
      <c r="B249" s="5" t="s">
        <v>1262</v>
      </c>
      <c r="C249" s="5" t="s">
        <v>1263</v>
      </c>
      <c r="D249" s="5" t="s">
        <v>868</v>
      </c>
      <c r="E249" s="8">
        <v>46209</v>
      </c>
      <c r="F249" s="5" t="s">
        <v>587</v>
      </c>
      <c r="G249" s="5" t="s">
        <v>588</v>
      </c>
      <c r="H249" s="22">
        <v>8900000</v>
      </c>
      <c r="I249" s="5" t="s">
        <v>589</v>
      </c>
      <c r="J249" s="5" t="s">
        <v>590</v>
      </c>
      <c r="K249" s="5" t="s">
        <v>545</v>
      </c>
      <c r="L249" s="5" t="s">
        <v>608</v>
      </c>
      <c r="M249" s="5" t="s">
        <v>581</v>
      </c>
      <c r="N249" s="5"/>
      <c r="O249" s="8"/>
      <c r="P249" s="22"/>
      <c r="Q249" s="5"/>
      <c r="R249" s="5" t="s">
        <v>557</v>
      </c>
      <c r="S249" s="5" t="s">
        <v>582</v>
      </c>
      <c r="T249" s="8">
        <v>46298</v>
      </c>
    </row>
    <row r="250" spans="1:20" ht="24" customHeight="1" x14ac:dyDescent="0.35">
      <c r="A250" s="1" t="s">
        <v>1264</v>
      </c>
      <c r="B250" s="1" t="s">
        <v>1265</v>
      </c>
      <c r="C250" s="1" t="s">
        <v>919</v>
      </c>
      <c r="D250" s="1" t="s">
        <v>190</v>
      </c>
      <c r="E250" s="10">
        <v>46210</v>
      </c>
      <c r="F250" s="1" t="s">
        <v>587</v>
      </c>
      <c r="G250" s="1" t="s">
        <v>588</v>
      </c>
      <c r="H250" s="23">
        <v>15000000</v>
      </c>
      <c r="I250" s="1" t="s">
        <v>589</v>
      </c>
      <c r="J250" s="1" t="s">
        <v>590</v>
      </c>
      <c r="K250" s="1" t="s">
        <v>544</v>
      </c>
      <c r="L250" s="1" t="s">
        <v>591</v>
      </c>
      <c r="M250" s="1" t="s">
        <v>581</v>
      </c>
      <c r="N250" s="1"/>
      <c r="O250" s="10"/>
      <c r="P250" s="23"/>
      <c r="Q250" s="1"/>
      <c r="R250" s="1" t="s">
        <v>557</v>
      </c>
      <c r="S250" s="1" t="s">
        <v>582</v>
      </c>
      <c r="T250" s="10">
        <v>46298</v>
      </c>
    </row>
    <row r="251" spans="1:20" ht="24" customHeight="1" x14ac:dyDescent="0.35">
      <c r="A251" s="5" t="s">
        <v>1266</v>
      </c>
      <c r="B251" s="5" t="s">
        <v>1267</v>
      </c>
      <c r="C251" s="5" t="s">
        <v>1268</v>
      </c>
      <c r="D251" s="5" t="s">
        <v>1031</v>
      </c>
      <c r="E251" s="8">
        <v>46209</v>
      </c>
      <c r="F251" s="5" t="s">
        <v>587</v>
      </c>
      <c r="G251" s="5" t="s">
        <v>588</v>
      </c>
      <c r="H251" s="22">
        <v>1700000</v>
      </c>
      <c r="I251" s="5" t="s">
        <v>589</v>
      </c>
      <c r="J251" s="5" t="s">
        <v>590</v>
      </c>
      <c r="K251" s="5" t="s">
        <v>548</v>
      </c>
      <c r="L251" s="5" t="s">
        <v>172</v>
      </c>
      <c r="M251" s="5" t="s">
        <v>581</v>
      </c>
      <c r="N251" s="5"/>
      <c r="O251" s="8"/>
      <c r="P251" s="22"/>
      <c r="Q251" s="5"/>
      <c r="R251" s="5" t="s">
        <v>557</v>
      </c>
      <c r="S251" s="5" t="s">
        <v>582</v>
      </c>
      <c r="T251" s="8">
        <v>46298</v>
      </c>
    </row>
    <row r="252" spans="1:20" ht="24" customHeight="1" x14ac:dyDescent="0.35">
      <c r="A252" s="1" t="s">
        <v>1269</v>
      </c>
      <c r="B252" s="1" t="s">
        <v>1270</v>
      </c>
      <c r="C252" s="1" t="s">
        <v>1271</v>
      </c>
      <c r="D252" s="1" t="s">
        <v>1272</v>
      </c>
      <c r="E252" s="10">
        <v>46209</v>
      </c>
      <c r="F252" s="1" t="s">
        <v>578</v>
      </c>
      <c r="G252" s="1" t="s">
        <v>579</v>
      </c>
      <c r="H252" s="23"/>
      <c r="I252" s="1" t="s">
        <v>580</v>
      </c>
      <c r="J252" s="1" t="s">
        <v>590</v>
      </c>
      <c r="K252" s="1" t="s">
        <v>548</v>
      </c>
      <c r="L252" s="1" t="s">
        <v>591</v>
      </c>
      <c r="M252" s="1" t="s">
        <v>581</v>
      </c>
      <c r="N252" s="1"/>
      <c r="O252" s="10"/>
      <c r="P252" s="23"/>
      <c r="Q252" s="1"/>
      <c r="R252" s="1" t="s">
        <v>557</v>
      </c>
      <c r="S252" s="1" t="s">
        <v>582</v>
      </c>
      <c r="T252" s="10">
        <v>46298</v>
      </c>
    </row>
    <row r="253" spans="1:20" ht="24" customHeight="1" x14ac:dyDescent="0.35">
      <c r="A253" s="5" t="s">
        <v>1273</v>
      </c>
      <c r="B253" s="5" t="s">
        <v>1274</v>
      </c>
      <c r="C253" s="5" t="s">
        <v>919</v>
      </c>
      <c r="D253" s="5" t="s">
        <v>1129</v>
      </c>
      <c r="E253" s="8">
        <v>46210</v>
      </c>
      <c r="F253" s="5" t="s">
        <v>771</v>
      </c>
      <c r="G253" s="5" t="s">
        <v>772</v>
      </c>
      <c r="H253" s="22"/>
      <c r="I253" s="5" t="s">
        <v>603</v>
      </c>
      <c r="J253" s="5" t="s">
        <v>590</v>
      </c>
      <c r="K253" s="5" t="s">
        <v>545</v>
      </c>
      <c r="L253" s="5" t="s">
        <v>149</v>
      </c>
      <c r="M253" s="5" t="s">
        <v>581</v>
      </c>
      <c r="N253" s="5"/>
      <c r="O253" s="8"/>
      <c r="P253" s="22"/>
      <c r="Q253" s="5" t="s">
        <v>773</v>
      </c>
      <c r="R253" s="5" t="s">
        <v>557</v>
      </c>
      <c r="S253" s="5" t="s">
        <v>582</v>
      </c>
      <c r="T253" s="8">
        <v>46298</v>
      </c>
    </row>
    <row r="254" spans="1:20" ht="24" customHeight="1" x14ac:dyDescent="0.35">
      <c r="A254" s="1" t="s">
        <v>1275</v>
      </c>
      <c r="B254" s="1" t="s">
        <v>1276</v>
      </c>
      <c r="C254" s="1" t="s">
        <v>1157</v>
      </c>
      <c r="D254" s="1" t="s">
        <v>680</v>
      </c>
      <c r="E254" s="10">
        <v>46210</v>
      </c>
      <c r="F254" s="1" t="s">
        <v>578</v>
      </c>
      <c r="G254" s="1" t="s">
        <v>579</v>
      </c>
      <c r="H254" s="23"/>
      <c r="I254" s="1" t="s">
        <v>580</v>
      </c>
      <c r="J254" s="1" t="s">
        <v>548</v>
      </c>
      <c r="K254" s="1" t="s">
        <v>590</v>
      </c>
      <c r="L254" s="1" t="s">
        <v>640</v>
      </c>
      <c r="M254" s="1" t="s">
        <v>581</v>
      </c>
      <c r="N254" s="1"/>
      <c r="O254" s="10"/>
      <c r="P254" s="23"/>
      <c r="Q254" s="1"/>
      <c r="R254" s="1" t="s">
        <v>557</v>
      </c>
      <c r="S254" s="1" t="s">
        <v>582</v>
      </c>
      <c r="T254" s="10">
        <v>46298</v>
      </c>
    </row>
    <row r="255" spans="1:20" ht="24" customHeight="1" x14ac:dyDescent="0.35">
      <c r="A255" s="5" t="s">
        <v>1277</v>
      </c>
      <c r="B255" s="5" t="s">
        <v>1278</v>
      </c>
      <c r="C255" s="5" t="s">
        <v>425</v>
      </c>
      <c r="D255" s="5" t="s">
        <v>1112</v>
      </c>
      <c r="E255" s="8">
        <v>46210</v>
      </c>
      <c r="F255" s="5" t="s">
        <v>771</v>
      </c>
      <c r="G255" s="5" t="s">
        <v>772</v>
      </c>
      <c r="H255" s="22"/>
      <c r="I255" s="5" t="s">
        <v>603</v>
      </c>
      <c r="J255" s="5" t="s">
        <v>544</v>
      </c>
      <c r="K255" s="5" t="s">
        <v>590</v>
      </c>
      <c r="L255" s="5" t="s">
        <v>640</v>
      </c>
      <c r="M255" s="5" t="s">
        <v>581</v>
      </c>
      <c r="N255" s="5"/>
      <c r="O255" s="8"/>
      <c r="P255" s="22"/>
      <c r="Q255" s="5" t="s">
        <v>773</v>
      </c>
      <c r="R255" s="5" t="s">
        <v>557</v>
      </c>
      <c r="S255" s="5" t="s">
        <v>582</v>
      </c>
      <c r="T255" s="8">
        <v>46298</v>
      </c>
    </row>
    <row r="256" spans="1:20" ht="24" customHeight="1" x14ac:dyDescent="0.35">
      <c r="A256" s="1" t="s">
        <v>1279</v>
      </c>
      <c r="B256" s="1" t="s">
        <v>1280</v>
      </c>
      <c r="C256" s="1" t="s">
        <v>1210</v>
      </c>
      <c r="D256" s="1" t="s">
        <v>623</v>
      </c>
      <c r="E256" s="10">
        <v>46210</v>
      </c>
      <c r="F256" s="1" t="s">
        <v>587</v>
      </c>
      <c r="G256" s="1" t="s">
        <v>588</v>
      </c>
      <c r="H256" s="23">
        <v>400000</v>
      </c>
      <c r="I256" s="1" t="s">
        <v>589</v>
      </c>
      <c r="J256" s="1" t="s">
        <v>545</v>
      </c>
      <c r="K256" s="1" t="s">
        <v>590</v>
      </c>
      <c r="L256" s="1" t="s">
        <v>591</v>
      </c>
      <c r="M256" s="1" t="s">
        <v>581</v>
      </c>
      <c r="N256" s="1"/>
      <c r="O256" s="10"/>
      <c r="P256" s="23"/>
      <c r="Q256" s="1"/>
      <c r="R256" s="1" t="s">
        <v>557</v>
      </c>
      <c r="S256" s="1" t="s">
        <v>582</v>
      </c>
      <c r="T256" s="10">
        <v>46298</v>
      </c>
    </row>
    <row r="257" spans="1:20" ht="24" customHeight="1" x14ac:dyDescent="0.35">
      <c r="A257" s="5" t="s">
        <v>1281</v>
      </c>
      <c r="B257" s="5" t="s">
        <v>1282</v>
      </c>
      <c r="C257" s="5" t="s">
        <v>1283</v>
      </c>
      <c r="D257" s="5" t="s">
        <v>1099</v>
      </c>
      <c r="E257" s="8">
        <v>46210</v>
      </c>
      <c r="F257" s="5" t="s">
        <v>601</v>
      </c>
      <c r="G257" s="5" t="s">
        <v>602</v>
      </c>
      <c r="H257" s="22"/>
      <c r="I257" s="5" t="s">
        <v>603</v>
      </c>
      <c r="J257" s="5" t="s">
        <v>590</v>
      </c>
      <c r="K257" s="5" t="s">
        <v>545</v>
      </c>
      <c r="L257" s="5" t="s">
        <v>608</v>
      </c>
      <c r="M257" s="5" t="s">
        <v>581</v>
      </c>
      <c r="N257" s="5"/>
      <c r="O257" s="8"/>
      <c r="P257" s="22"/>
      <c r="Q257" s="5"/>
      <c r="R257" s="5" t="s">
        <v>557</v>
      </c>
      <c r="S257" s="5" t="s">
        <v>582</v>
      </c>
      <c r="T257" s="8">
        <v>46298</v>
      </c>
    </row>
    <row r="258" spans="1:20" ht="24" customHeight="1" x14ac:dyDescent="0.35">
      <c r="A258" s="1" t="s">
        <v>1284</v>
      </c>
      <c r="B258" s="1" t="s">
        <v>1285</v>
      </c>
      <c r="C258" s="1" t="s">
        <v>974</v>
      </c>
      <c r="D258" s="1" t="s">
        <v>791</v>
      </c>
      <c r="E258" s="10">
        <v>46210</v>
      </c>
      <c r="F258" s="1" t="s">
        <v>578</v>
      </c>
      <c r="G258" s="1" t="s">
        <v>579</v>
      </c>
      <c r="H258" s="23"/>
      <c r="I258" s="1" t="s">
        <v>580</v>
      </c>
      <c r="J258" s="1" t="s">
        <v>590</v>
      </c>
      <c r="K258" s="1" t="s">
        <v>548</v>
      </c>
      <c r="L258" s="1" t="s">
        <v>608</v>
      </c>
      <c r="M258" s="1" t="s">
        <v>581</v>
      </c>
      <c r="N258" s="1"/>
      <c r="O258" s="10"/>
      <c r="P258" s="23"/>
      <c r="Q258" s="1"/>
      <c r="R258" s="1" t="s">
        <v>557</v>
      </c>
      <c r="S258" s="1" t="s">
        <v>582</v>
      </c>
      <c r="T258" s="10">
        <v>46298</v>
      </c>
    </row>
    <row r="259" spans="1:20" ht="24" customHeight="1" x14ac:dyDescent="0.35">
      <c r="A259" s="5" t="s">
        <v>1286</v>
      </c>
      <c r="B259" s="5" t="s">
        <v>1287</v>
      </c>
      <c r="C259" s="5" t="s">
        <v>142</v>
      </c>
      <c r="D259" s="5" t="s">
        <v>106</v>
      </c>
      <c r="E259" s="8">
        <v>46261</v>
      </c>
      <c r="F259" s="5" t="s">
        <v>578</v>
      </c>
      <c r="G259" s="5" t="s">
        <v>579</v>
      </c>
      <c r="H259" s="22"/>
      <c r="I259" s="5" t="s">
        <v>580</v>
      </c>
      <c r="J259" s="5" t="s">
        <v>547</v>
      </c>
      <c r="K259" s="5" t="s">
        <v>544</v>
      </c>
      <c r="L259" s="5" t="s">
        <v>608</v>
      </c>
      <c r="M259" s="5" t="s">
        <v>581</v>
      </c>
      <c r="N259" s="5"/>
      <c r="O259" s="8"/>
      <c r="P259" s="22"/>
      <c r="Q259" s="5"/>
      <c r="R259" s="5" t="s">
        <v>557</v>
      </c>
      <c r="S259" s="5" t="s">
        <v>582</v>
      </c>
      <c r="T259" s="8">
        <v>46298</v>
      </c>
    </row>
    <row r="260" spans="1:20" ht="24" customHeight="1" x14ac:dyDescent="0.35">
      <c r="A260" s="1" t="s">
        <v>1288</v>
      </c>
      <c r="B260" s="1" t="s">
        <v>1289</v>
      </c>
      <c r="C260" s="1" t="s">
        <v>1290</v>
      </c>
      <c r="D260" s="1" t="s">
        <v>1210</v>
      </c>
      <c r="E260" s="10">
        <v>46210</v>
      </c>
      <c r="F260" s="1" t="s">
        <v>587</v>
      </c>
      <c r="G260" s="1" t="s">
        <v>588</v>
      </c>
      <c r="H260" s="23">
        <v>400000</v>
      </c>
      <c r="I260" s="1" t="s">
        <v>589</v>
      </c>
      <c r="J260" s="1" t="s">
        <v>590</v>
      </c>
      <c r="K260" s="1" t="s">
        <v>545</v>
      </c>
      <c r="L260" s="1" t="s">
        <v>149</v>
      </c>
      <c r="M260" s="1" t="s">
        <v>581</v>
      </c>
      <c r="N260" s="1"/>
      <c r="O260" s="10"/>
      <c r="P260" s="23"/>
      <c r="Q260" s="1"/>
      <c r="R260" s="1" t="s">
        <v>557</v>
      </c>
      <c r="S260" s="1" t="s">
        <v>582</v>
      </c>
      <c r="T260" s="10">
        <v>46298</v>
      </c>
    </row>
    <row r="261" spans="1:20" ht="24" customHeight="1" x14ac:dyDescent="0.35">
      <c r="A261" s="5" t="s">
        <v>1291</v>
      </c>
      <c r="B261" s="5" t="s">
        <v>1292</v>
      </c>
      <c r="C261" s="5" t="s">
        <v>596</v>
      </c>
      <c r="D261" s="5" t="s">
        <v>599</v>
      </c>
      <c r="E261" s="8">
        <v>46211</v>
      </c>
      <c r="F261" s="5" t="s">
        <v>587</v>
      </c>
      <c r="G261" s="5" t="s">
        <v>588</v>
      </c>
      <c r="H261" s="22">
        <v>24000000</v>
      </c>
      <c r="I261" s="5" t="s">
        <v>589</v>
      </c>
      <c r="J261" s="5" t="s">
        <v>548</v>
      </c>
      <c r="K261" s="5" t="s">
        <v>544</v>
      </c>
      <c r="L261" s="5" t="s">
        <v>640</v>
      </c>
      <c r="M261" s="5" t="s">
        <v>581</v>
      </c>
      <c r="N261" s="5"/>
      <c r="O261" s="8"/>
      <c r="P261" s="22"/>
      <c r="Q261" s="5"/>
      <c r="R261" s="5" t="s">
        <v>557</v>
      </c>
      <c r="S261" s="5" t="s">
        <v>582</v>
      </c>
      <c r="T261" s="8">
        <v>46298</v>
      </c>
    </row>
    <row r="262" spans="1:20" ht="24" customHeight="1" x14ac:dyDescent="0.35">
      <c r="A262" s="1" t="s">
        <v>1293</v>
      </c>
      <c r="B262" s="1" t="s">
        <v>1294</v>
      </c>
      <c r="C262" s="1" t="s">
        <v>365</v>
      </c>
      <c r="D262" s="1" t="s">
        <v>1129</v>
      </c>
      <c r="E262" s="10">
        <v>46211</v>
      </c>
      <c r="F262" s="1" t="s">
        <v>771</v>
      </c>
      <c r="G262" s="1" t="s">
        <v>772</v>
      </c>
      <c r="H262" s="23"/>
      <c r="I262" s="1" t="s">
        <v>603</v>
      </c>
      <c r="J262" s="1" t="s">
        <v>548</v>
      </c>
      <c r="K262" s="1" t="s">
        <v>545</v>
      </c>
      <c r="L262" s="1" t="s">
        <v>608</v>
      </c>
      <c r="M262" s="1" t="s">
        <v>581</v>
      </c>
      <c r="N262" s="1"/>
      <c r="O262" s="10"/>
      <c r="P262" s="23"/>
      <c r="Q262" s="1" t="s">
        <v>773</v>
      </c>
      <c r="R262" s="1" t="s">
        <v>557</v>
      </c>
      <c r="S262" s="1" t="s">
        <v>582</v>
      </c>
      <c r="T262" s="10">
        <v>46298</v>
      </c>
    </row>
    <row r="263" spans="1:20" ht="24" customHeight="1" x14ac:dyDescent="0.35">
      <c r="A263" s="5" t="s">
        <v>1295</v>
      </c>
      <c r="B263" s="5" t="s">
        <v>1296</v>
      </c>
      <c r="C263" s="5" t="s">
        <v>643</v>
      </c>
      <c r="D263" s="5" t="s">
        <v>157</v>
      </c>
      <c r="E263" s="8">
        <v>46211</v>
      </c>
      <c r="F263" s="5" t="s">
        <v>771</v>
      </c>
      <c r="G263" s="5" t="s">
        <v>772</v>
      </c>
      <c r="H263" s="22"/>
      <c r="I263" s="5" t="s">
        <v>603</v>
      </c>
      <c r="J263" s="5" t="s">
        <v>544</v>
      </c>
      <c r="K263" s="5" t="s">
        <v>546</v>
      </c>
      <c r="L263" s="5" t="s">
        <v>149</v>
      </c>
      <c r="M263" s="5" t="s">
        <v>581</v>
      </c>
      <c r="N263" s="5"/>
      <c r="O263" s="8"/>
      <c r="P263" s="22"/>
      <c r="Q263" s="5" t="s">
        <v>1008</v>
      </c>
      <c r="R263" s="5" t="s">
        <v>557</v>
      </c>
      <c r="S263" s="5" t="s">
        <v>582</v>
      </c>
      <c r="T263" s="8">
        <v>46298</v>
      </c>
    </row>
    <row r="264" spans="1:20" ht="24" customHeight="1" x14ac:dyDescent="0.35">
      <c r="A264" s="1" t="s">
        <v>1297</v>
      </c>
      <c r="B264" s="1" t="s">
        <v>1298</v>
      </c>
      <c r="C264" s="1" t="s">
        <v>190</v>
      </c>
      <c r="D264" s="1" t="s">
        <v>1299</v>
      </c>
      <c r="E264" s="10">
        <v>46211</v>
      </c>
      <c r="F264" s="1" t="s">
        <v>771</v>
      </c>
      <c r="G264" s="1" t="s">
        <v>772</v>
      </c>
      <c r="H264" s="23"/>
      <c r="I264" s="1" t="s">
        <v>603</v>
      </c>
      <c r="J264" s="1" t="s">
        <v>544</v>
      </c>
      <c r="K264" s="1" t="s">
        <v>590</v>
      </c>
      <c r="L264" s="1" t="s">
        <v>640</v>
      </c>
      <c r="M264" s="1" t="s">
        <v>581</v>
      </c>
      <c r="N264" s="1"/>
      <c r="O264" s="10"/>
      <c r="P264" s="23"/>
      <c r="Q264" s="1" t="s">
        <v>773</v>
      </c>
      <c r="R264" s="1" t="s">
        <v>557</v>
      </c>
      <c r="S264" s="1" t="s">
        <v>582</v>
      </c>
      <c r="T264" s="10">
        <v>46298</v>
      </c>
    </row>
    <row r="265" spans="1:20" ht="24" customHeight="1" x14ac:dyDescent="0.35">
      <c r="A265" s="5" t="s">
        <v>1300</v>
      </c>
      <c r="B265" s="5" t="s">
        <v>1301</v>
      </c>
      <c r="C265" s="5" t="s">
        <v>292</v>
      </c>
      <c r="D265" s="5" t="s">
        <v>425</v>
      </c>
      <c r="E265" s="8">
        <v>46211</v>
      </c>
      <c r="F265" s="5" t="s">
        <v>578</v>
      </c>
      <c r="G265" s="5" t="s">
        <v>579</v>
      </c>
      <c r="H265" s="22"/>
      <c r="I265" s="5" t="s">
        <v>580</v>
      </c>
      <c r="J265" s="5" t="s">
        <v>544</v>
      </c>
      <c r="K265" s="5" t="s">
        <v>544</v>
      </c>
      <c r="L265" s="5" t="s">
        <v>591</v>
      </c>
      <c r="M265" s="5" t="s">
        <v>581</v>
      </c>
      <c r="N265" s="5"/>
      <c r="O265" s="8"/>
      <c r="P265" s="22"/>
      <c r="Q265" s="5"/>
      <c r="R265" s="5" t="s">
        <v>557</v>
      </c>
      <c r="S265" s="5" t="s">
        <v>582</v>
      </c>
      <c r="T265" s="8">
        <v>46298</v>
      </c>
    </row>
    <row r="266" spans="1:20" ht="24" customHeight="1" x14ac:dyDescent="0.35">
      <c r="A266" s="1" t="s">
        <v>1302</v>
      </c>
      <c r="B266" s="1" t="s">
        <v>1303</v>
      </c>
      <c r="C266" s="1" t="s">
        <v>114</v>
      </c>
      <c r="D266" s="1" t="s">
        <v>868</v>
      </c>
      <c r="E266" s="10">
        <v>46211</v>
      </c>
      <c r="F266" s="1" t="s">
        <v>587</v>
      </c>
      <c r="G266" s="1" t="s">
        <v>588</v>
      </c>
      <c r="H266" s="23">
        <v>3200000</v>
      </c>
      <c r="I266" s="1" t="s">
        <v>589</v>
      </c>
      <c r="J266" s="1" t="s">
        <v>545</v>
      </c>
      <c r="K266" s="1" t="s">
        <v>545</v>
      </c>
      <c r="L266" s="1" t="s">
        <v>149</v>
      </c>
      <c r="M266" s="1" t="s">
        <v>581</v>
      </c>
      <c r="N266" s="1"/>
      <c r="O266" s="10"/>
      <c r="P266" s="23"/>
      <c r="Q266" s="1"/>
      <c r="R266" s="1" t="s">
        <v>557</v>
      </c>
      <c r="S266" s="1" t="s">
        <v>582</v>
      </c>
      <c r="T266" s="10">
        <v>46298</v>
      </c>
    </row>
    <row r="267" spans="1:20" ht="24" customHeight="1" x14ac:dyDescent="0.35">
      <c r="A267" s="5" t="s">
        <v>1304</v>
      </c>
      <c r="B267" s="5" t="s">
        <v>1305</v>
      </c>
      <c r="C267" s="5" t="s">
        <v>630</v>
      </c>
      <c r="D267" s="5" t="s">
        <v>1306</v>
      </c>
      <c r="E267" s="8">
        <v>46211</v>
      </c>
      <c r="F267" s="5" t="s">
        <v>601</v>
      </c>
      <c r="G267" s="5" t="s">
        <v>602</v>
      </c>
      <c r="H267" s="22"/>
      <c r="I267" s="5" t="s">
        <v>603</v>
      </c>
      <c r="J267" s="5" t="s">
        <v>547</v>
      </c>
      <c r="K267" s="5" t="s">
        <v>590</v>
      </c>
      <c r="L267" s="5" t="s">
        <v>608</v>
      </c>
      <c r="M267" s="5" t="s">
        <v>581</v>
      </c>
      <c r="N267" s="5"/>
      <c r="O267" s="8"/>
      <c r="P267" s="22"/>
      <c r="Q267" s="5"/>
      <c r="R267" s="5" t="s">
        <v>557</v>
      </c>
      <c r="S267" s="5" t="s">
        <v>582</v>
      </c>
      <c r="T267" s="8">
        <v>46298</v>
      </c>
    </row>
    <row r="268" spans="1:20" ht="24" customHeight="1" x14ac:dyDescent="0.35">
      <c r="A268" s="1" t="s">
        <v>1307</v>
      </c>
      <c r="B268" s="1" t="s">
        <v>1308</v>
      </c>
      <c r="C268" s="1" t="s">
        <v>142</v>
      </c>
      <c r="D268" s="1" t="s">
        <v>1152</v>
      </c>
      <c r="E268" s="10">
        <v>46211</v>
      </c>
      <c r="F268" s="1" t="s">
        <v>587</v>
      </c>
      <c r="G268" s="1" t="s">
        <v>588</v>
      </c>
      <c r="H268" s="23">
        <v>5500000</v>
      </c>
      <c r="I268" s="1" t="s">
        <v>589</v>
      </c>
      <c r="J268" s="1" t="s">
        <v>547</v>
      </c>
      <c r="K268" s="1" t="s">
        <v>590</v>
      </c>
      <c r="L268" s="1" t="s">
        <v>172</v>
      </c>
      <c r="M268" s="1" t="s">
        <v>581</v>
      </c>
      <c r="N268" s="1"/>
      <c r="O268" s="10"/>
      <c r="P268" s="23"/>
      <c r="Q268" s="1"/>
      <c r="R268" s="1" t="s">
        <v>557</v>
      </c>
      <c r="S268" s="1" t="s">
        <v>582</v>
      </c>
      <c r="T268" s="10">
        <v>46298</v>
      </c>
    </row>
    <row r="269" spans="1:20" ht="24" customHeight="1" x14ac:dyDescent="0.35">
      <c r="A269" s="5" t="s">
        <v>1309</v>
      </c>
      <c r="B269" s="5" t="s">
        <v>1310</v>
      </c>
      <c r="C269" s="5" t="s">
        <v>157</v>
      </c>
      <c r="D269" s="5" t="s">
        <v>1311</v>
      </c>
      <c r="E269" s="8">
        <v>46211</v>
      </c>
      <c r="F269" s="5" t="s">
        <v>771</v>
      </c>
      <c r="G269" s="5" t="s">
        <v>772</v>
      </c>
      <c r="H269" s="22"/>
      <c r="I269" s="5" t="s">
        <v>603</v>
      </c>
      <c r="J269" s="5" t="s">
        <v>546</v>
      </c>
      <c r="K269" s="5" t="s">
        <v>546</v>
      </c>
      <c r="L269" s="5" t="s">
        <v>149</v>
      </c>
      <c r="M269" s="5" t="s">
        <v>581</v>
      </c>
      <c r="N269" s="5"/>
      <c r="O269" s="8"/>
      <c r="P269" s="22"/>
      <c r="Q269" s="5" t="s">
        <v>773</v>
      </c>
      <c r="R269" s="5" t="s">
        <v>557</v>
      </c>
      <c r="S269" s="5" t="s">
        <v>582</v>
      </c>
      <c r="T269" s="8">
        <v>46298</v>
      </c>
    </row>
    <row r="270" spans="1:20" ht="24" customHeight="1" x14ac:dyDescent="0.35">
      <c r="A270" s="1" t="s">
        <v>1312</v>
      </c>
      <c r="B270" s="1" t="s">
        <v>1313</v>
      </c>
      <c r="C270" s="1" t="s">
        <v>1129</v>
      </c>
      <c r="D270" s="1" t="s">
        <v>1314</v>
      </c>
      <c r="E270" s="10">
        <v>46211</v>
      </c>
      <c r="F270" s="1" t="s">
        <v>578</v>
      </c>
      <c r="G270" s="1" t="s">
        <v>579</v>
      </c>
      <c r="H270" s="23"/>
      <c r="I270" s="1" t="s">
        <v>580</v>
      </c>
      <c r="J270" s="1" t="s">
        <v>545</v>
      </c>
      <c r="K270" s="1" t="s">
        <v>590</v>
      </c>
      <c r="L270" s="1" t="s">
        <v>608</v>
      </c>
      <c r="M270" s="1" t="s">
        <v>581</v>
      </c>
      <c r="N270" s="1"/>
      <c r="O270" s="10"/>
      <c r="P270" s="23"/>
      <c r="Q270" s="1"/>
      <c r="R270" s="1" t="s">
        <v>557</v>
      </c>
      <c r="S270" s="1" t="s">
        <v>582</v>
      </c>
      <c r="T270" s="10">
        <v>46298</v>
      </c>
    </row>
    <row r="271" spans="1:20" ht="24" customHeight="1" x14ac:dyDescent="0.35">
      <c r="A271" s="5" t="s">
        <v>1315</v>
      </c>
      <c r="B271" s="5" t="s">
        <v>1316</v>
      </c>
      <c r="C271" s="5" t="s">
        <v>620</v>
      </c>
      <c r="D271" s="5" t="s">
        <v>1317</v>
      </c>
      <c r="E271" s="8">
        <v>46211</v>
      </c>
      <c r="F271" s="5" t="s">
        <v>771</v>
      </c>
      <c r="G271" s="5" t="s">
        <v>772</v>
      </c>
      <c r="H271" s="22"/>
      <c r="I271" s="5" t="s">
        <v>603</v>
      </c>
      <c r="J271" s="5" t="s">
        <v>546</v>
      </c>
      <c r="K271" s="5" t="s">
        <v>590</v>
      </c>
      <c r="L271" s="5" t="s">
        <v>591</v>
      </c>
      <c r="M271" s="5" t="s">
        <v>581</v>
      </c>
      <c r="N271" s="5"/>
      <c r="O271" s="8"/>
      <c r="P271" s="22"/>
      <c r="Q271" s="5" t="s">
        <v>773</v>
      </c>
      <c r="R271" s="5" t="s">
        <v>557</v>
      </c>
      <c r="S271" s="5" t="s">
        <v>582</v>
      </c>
      <c r="T271" s="8">
        <v>46298</v>
      </c>
    </row>
    <row r="272" spans="1:20" ht="24" customHeight="1" x14ac:dyDescent="0.35">
      <c r="A272" s="1" t="s">
        <v>1318</v>
      </c>
      <c r="B272" s="1" t="s">
        <v>1319</v>
      </c>
      <c r="C272" s="1" t="s">
        <v>1320</v>
      </c>
      <c r="D272" s="1" t="s">
        <v>137</v>
      </c>
      <c r="E272" s="10">
        <v>46211</v>
      </c>
      <c r="F272" s="1" t="s">
        <v>587</v>
      </c>
      <c r="G272" s="1" t="s">
        <v>588</v>
      </c>
      <c r="H272" s="23">
        <v>8100000</v>
      </c>
      <c r="I272" s="1" t="s">
        <v>589</v>
      </c>
      <c r="J272" s="1" t="s">
        <v>590</v>
      </c>
      <c r="K272" s="1" t="s">
        <v>548</v>
      </c>
      <c r="L272" s="1" t="s">
        <v>591</v>
      </c>
      <c r="M272" s="1" t="s">
        <v>581</v>
      </c>
      <c r="N272" s="1"/>
      <c r="O272" s="10"/>
      <c r="P272" s="23"/>
      <c r="Q272" s="1"/>
      <c r="R272" s="1" t="s">
        <v>557</v>
      </c>
      <c r="S272" s="1" t="s">
        <v>582</v>
      </c>
      <c r="T272" s="10">
        <v>46298</v>
      </c>
    </row>
    <row r="273" spans="1:20" ht="24" customHeight="1" x14ac:dyDescent="0.35">
      <c r="A273" s="5" t="s">
        <v>1321</v>
      </c>
      <c r="B273" s="5" t="s">
        <v>1322</v>
      </c>
      <c r="C273" s="5" t="s">
        <v>1129</v>
      </c>
      <c r="D273" s="5" t="s">
        <v>1323</v>
      </c>
      <c r="E273" s="8">
        <v>46211</v>
      </c>
      <c r="F273" s="5" t="s">
        <v>771</v>
      </c>
      <c r="G273" s="5" t="s">
        <v>772</v>
      </c>
      <c r="H273" s="22"/>
      <c r="I273" s="5" t="s">
        <v>603</v>
      </c>
      <c r="J273" s="5" t="s">
        <v>545</v>
      </c>
      <c r="K273" s="5" t="s">
        <v>590</v>
      </c>
      <c r="L273" s="5" t="s">
        <v>640</v>
      </c>
      <c r="M273" s="5" t="s">
        <v>581</v>
      </c>
      <c r="N273" s="5"/>
      <c r="O273" s="8"/>
      <c r="P273" s="22"/>
      <c r="Q273" s="5" t="s">
        <v>773</v>
      </c>
      <c r="R273" s="5" t="s">
        <v>557</v>
      </c>
      <c r="S273" s="5" t="s">
        <v>582</v>
      </c>
      <c r="T273" s="8">
        <v>46298</v>
      </c>
    </row>
    <row r="274" spans="1:20" ht="24" customHeight="1" x14ac:dyDescent="0.35">
      <c r="A274" s="1" t="s">
        <v>1324</v>
      </c>
      <c r="B274" s="1" t="s">
        <v>1325</v>
      </c>
      <c r="C274" s="1" t="s">
        <v>1326</v>
      </c>
      <c r="D274" s="1" t="s">
        <v>721</v>
      </c>
      <c r="E274" s="10">
        <v>46211</v>
      </c>
      <c r="F274" s="1" t="s">
        <v>601</v>
      </c>
      <c r="G274" s="1" t="s">
        <v>602</v>
      </c>
      <c r="H274" s="23"/>
      <c r="I274" s="1" t="s">
        <v>603</v>
      </c>
      <c r="J274" s="1" t="s">
        <v>590</v>
      </c>
      <c r="K274" s="1" t="s">
        <v>547</v>
      </c>
      <c r="L274" s="1" t="s">
        <v>172</v>
      </c>
      <c r="M274" s="1" t="s">
        <v>581</v>
      </c>
      <c r="N274" s="1"/>
      <c r="O274" s="10"/>
      <c r="P274" s="23"/>
      <c r="Q274" s="1"/>
      <c r="R274" s="1" t="s">
        <v>557</v>
      </c>
      <c r="S274" s="1" t="s">
        <v>582</v>
      </c>
      <c r="T274" s="10">
        <v>46298</v>
      </c>
    </row>
    <row r="275" spans="1:20" ht="24" customHeight="1" x14ac:dyDescent="0.35">
      <c r="A275" s="5" t="s">
        <v>1327</v>
      </c>
      <c r="B275" s="5" t="s">
        <v>1328</v>
      </c>
      <c r="C275" s="5" t="s">
        <v>643</v>
      </c>
      <c r="D275" s="5" t="s">
        <v>1329</v>
      </c>
      <c r="E275" s="8">
        <v>46210</v>
      </c>
      <c r="F275" s="5" t="s">
        <v>587</v>
      </c>
      <c r="G275" s="5" t="s">
        <v>588</v>
      </c>
      <c r="H275" s="22">
        <v>6000000</v>
      </c>
      <c r="I275" s="5" t="s">
        <v>589</v>
      </c>
      <c r="J275" s="5" t="s">
        <v>544</v>
      </c>
      <c r="K275" s="5" t="s">
        <v>590</v>
      </c>
      <c r="L275" s="5" t="s">
        <v>608</v>
      </c>
      <c r="M275" s="5" t="s">
        <v>581</v>
      </c>
      <c r="N275" s="5"/>
      <c r="O275" s="8"/>
      <c r="P275" s="22"/>
      <c r="Q275" s="5"/>
      <c r="R275" s="5" t="s">
        <v>557</v>
      </c>
      <c r="S275" s="5" t="s">
        <v>582</v>
      </c>
      <c r="T275" s="8">
        <v>46298</v>
      </c>
    </row>
    <row r="276" spans="1:20" ht="24" customHeight="1" x14ac:dyDescent="0.35">
      <c r="A276" s="1" t="s">
        <v>1330</v>
      </c>
      <c r="B276" s="1" t="s">
        <v>629</v>
      </c>
      <c r="C276" s="1" t="s">
        <v>630</v>
      </c>
      <c r="D276" s="1" t="s">
        <v>111</v>
      </c>
      <c r="E276" s="10">
        <v>46210</v>
      </c>
      <c r="F276" s="1" t="s">
        <v>587</v>
      </c>
      <c r="G276" s="1" t="s">
        <v>588</v>
      </c>
      <c r="H276" s="23">
        <v>17000000</v>
      </c>
      <c r="I276" s="1" t="s">
        <v>589</v>
      </c>
      <c r="J276" s="1" t="s">
        <v>547</v>
      </c>
      <c r="K276" s="1" t="s">
        <v>590</v>
      </c>
      <c r="L276" s="1" t="s">
        <v>591</v>
      </c>
      <c r="M276" s="1" t="s">
        <v>581</v>
      </c>
      <c r="N276" s="1"/>
      <c r="O276" s="10"/>
      <c r="P276" s="23"/>
      <c r="Q276" s="1"/>
      <c r="R276" s="1" t="s">
        <v>557</v>
      </c>
      <c r="S276" s="1" t="s">
        <v>582</v>
      </c>
      <c r="T276" s="10">
        <v>46298</v>
      </c>
    </row>
    <row r="277" spans="1:20" ht="24" customHeight="1" x14ac:dyDescent="0.35">
      <c r="A277" s="5" t="s">
        <v>1331</v>
      </c>
      <c r="B277" s="5" t="s">
        <v>1332</v>
      </c>
      <c r="C277" s="5" t="s">
        <v>1014</v>
      </c>
      <c r="D277" s="5" t="s">
        <v>210</v>
      </c>
      <c r="E277" s="8">
        <v>46212</v>
      </c>
      <c r="F277" s="5" t="s">
        <v>578</v>
      </c>
      <c r="G277" s="5" t="s">
        <v>579</v>
      </c>
      <c r="H277" s="22"/>
      <c r="I277" s="5" t="s">
        <v>580</v>
      </c>
      <c r="J277" s="5" t="s">
        <v>545</v>
      </c>
      <c r="K277" s="5" t="s">
        <v>544</v>
      </c>
      <c r="L277" s="5" t="s">
        <v>149</v>
      </c>
      <c r="M277" s="5" t="s">
        <v>581</v>
      </c>
      <c r="N277" s="5"/>
      <c r="O277" s="8"/>
      <c r="P277" s="22"/>
      <c r="Q277" s="5"/>
      <c r="R277" s="5" t="s">
        <v>557</v>
      </c>
      <c r="S277" s="5" t="s">
        <v>582</v>
      </c>
      <c r="T277" s="8">
        <v>46298</v>
      </c>
    </row>
    <row r="278" spans="1:20" ht="24" customHeight="1" x14ac:dyDescent="0.35">
      <c r="A278" s="1" t="s">
        <v>1333</v>
      </c>
      <c r="B278" s="1" t="s">
        <v>1334</v>
      </c>
      <c r="C278" s="1" t="s">
        <v>106</v>
      </c>
      <c r="D278" s="1" t="s">
        <v>1112</v>
      </c>
      <c r="E278" s="10">
        <v>46212</v>
      </c>
      <c r="F278" s="1" t="s">
        <v>601</v>
      </c>
      <c r="G278" s="1" t="s">
        <v>602</v>
      </c>
      <c r="H278" s="23"/>
      <c r="I278" s="1" t="s">
        <v>603</v>
      </c>
      <c r="J278" s="1" t="s">
        <v>544</v>
      </c>
      <c r="K278" s="1" t="s">
        <v>590</v>
      </c>
      <c r="L278" s="1" t="s">
        <v>591</v>
      </c>
      <c r="M278" s="1" t="s">
        <v>581</v>
      </c>
      <c r="N278" s="1"/>
      <c r="O278" s="10"/>
      <c r="P278" s="23"/>
      <c r="Q278" s="1"/>
      <c r="R278" s="1" t="s">
        <v>557</v>
      </c>
      <c r="S278" s="1" t="s">
        <v>582</v>
      </c>
      <c r="T278" s="10">
        <v>46298</v>
      </c>
    </row>
    <row r="279" spans="1:20" ht="24" customHeight="1" x14ac:dyDescent="0.35">
      <c r="A279" s="5" t="s">
        <v>1335</v>
      </c>
      <c r="B279" s="5" t="s">
        <v>1336</v>
      </c>
      <c r="C279" s="5" t="s">
        <v>785</v>
      </c>
      <c r="D279" s="5" t="s">
        <v>1157</v>
      </c>
      <c r="E279" s="8">
        <v>46212</v>
      </c>
      <c r="F279" s="5" t="s">
        <v>601</v>
      </c>
      <c r="G279" s="5" t="s">
        <v>602</v>
      </c>
      <c r="H279" s="22"/>
      <c r="I279" s="5" t="s">
        <v>603</v>
      </c>
      <c r="J279" s="5" t="s">
        <v>548</v>
      </c>
      <c r="K279" s="5" t="s">
        <v>548</v>
      </c>
      <c r="L279" s="5" t="s">
        <v>608</v>
      </c>
      <c r="M279" s="5" t="s">
        <v>581</v>
      </c>
      <c r="N279" s="5"/>
      <c r="O279" s="8"/>
      <c r="P279" s="22"/>
      <c r="Q279" s="5"/>
      <c r="R279" s="5" t="s">
        <v>557</v>
      </c>
      <c r="S279" s="5" t="s">
        <v>582</v>
      </c>
      <c r="T279" s="8">
        <v>46298</v>
      </c>
    </row>
    <row r="280" spans="1:20" ht="24" customHeight="1" x14ac:dyDescent="0.35">
      <c r="A280" s="1" t="s">
        <v>1337</v>
      </c>
      <c r="B280" s="1" t="s">
        <v>1338</v>
      </c>
      <c r="C280" s="1" t="s">
        <v>408</v>
      </c>
      <c r="D280" s="1" t="s">
        <v>190</v>
      </c>
      <c r="E280" s="10">
        <v>46212</v>
      </c>
      <c r="F280" s="1" t="s">
        <v>578</v>
      </c>
      <c r="G280" s="1" t="s">
        <v>579</v>
      </c>
      <c r="H280" s="23"/>
      <c r="I280" s="1" t="s">
        <v>580</v>
      </c>
      <c r="J280" s="1" t="s">
        <v>590</v>
      </c>
      <c r="K280" s="1" t="s">
        <v>544</v>
      </c>
      <c r="L280" s="1" t="s">
        <v>640</v>
      </c>
      <c r="M280" s="1" t="s">
        <v>581</v>
      </c>
      <c r="N280" s="1"/>
      <c r="O280" s="10"/>
      <c r="P280" s="23"/>
      <c r="Q280" s="1"/>
      <c r="R280" s="1" t="s">
        <v>557</v>
      </c>
      <c r="S280" s="1" t="s">
        <v>582</v>
      </c>
      <c r="T280" s="10">
        <v>46298</v>
      </c>
    </row>
    <row r="281" spans="1:20" ht="24" customHeight="1" x14ac:dyDescent="0.35">
      <c r="A281" s="5" t="s">
        <v>1339</v>
      </c>
      <c r="B281" s="5" t="s">
        <v>1340</v>
      </c>
      <c r="C281" s="5" t="s">
        <v>401</v>
      </c>
      <c r="D281" s="5" t="s">
        <v>1152</v>
      </c>
      <c r="E281" s="8">
        <v>46212</v>
      </c>
      <c r="F281" s="5" t="s">
        <v>578</v>
      </c>
      <c r="G281" s="5" t="s">
        <v>579</v>
      </c>
      <c r="H281" s="22"/>
      <c r="I281" s="5" t="s">
        <v>580</v>
      </c>
      <c r="J281" s="5" t="s">
        <v>547</v>
      </c>
      <c r="K281" s="5" t="s">
        <v>590</v>
      </c>
      <c r="L281" s="5" t="s">
        <v>608</v>
      </c>
      <c r="M281" s="5" t="s">
        <v>581</v>
      </c>
      <c r="N281" s="5"/>
      <c r="O281" s="8"/>
      <c r="P281" s="22"/>
      <c r="Q281" s="5"/>
      <c r="R281" s="5" t="s">
        <v>557</v>
      </c>
      <c r="S281" s="5" t="s">
        <v>582</v>
      </c>
      <c r="T281" s="8">
        <v>46298</v>
      </c>
    </row>
    <row r="282" spans="1:20" ht="24" customHeight="1" x14ac:dyDescent="0.35">
      <c r="A282" s="1" t="s">
        <v>1341</v>
      </c>
      <c r="B282" s="1" t="s">
        <v>1342</v>
      </c>
      <c r="C282" s="1" t="s">
        <v>391</v>
      </c>
      <c r="D282" s="1" t="s">
        <v>1220</v>
      </c>
      <c r="E282" s="10">
        <v>46212</v>
      </c>
      <c r="F282" s="1" t="s">
        <v>771</v>
      </c>
      <c r="G282" s="1" t="s">
        <v>772</v>
      </c>
      <c r="H282" s="23"/>
      <c r="I282" s="1" t="s">
        <v>603</v>
      </c>
      <c r="J282" s="1" t="s">
        <v>544</v>
      </c>
      <c r="K282" s="1" t="s">
        <v>590</v>
      </c>
      <c r="L282" s="1" t="s">
        <v>149</v>
      </c>
      <c r="M282" s="1" t="s">
        <v>581</v>
      </c>
      <c r="N282" s="1"/>
      <c r="O282" s="10"/>
      <c r="P282" s="23"/>
      <c r="Q282" s="1" t="s">
        <v>773</v>
      </c>
      <c r="R282" s="1" t="s">
        <v>557</v>
      </c>
      <c r="S282" s="1" t="s">
        <v>582</v>
      </c>
      <c r="T282" s="10">
        <v>46298</v>
      </c>
    </row>
    <row r="283" spans="1:20" ht="24" customHeight="1" x14ac:dyDescent="0.35">
      <c r="A283" s="5" t="s">
        <v>1343</v>
      </c>
      <c r="B283" s="5" t="s">
        <v>1344</v>
      </c>
      <c r="C283" s="5" t="s">
        <v>144</v>
      </c>
      <c r="D283" s="5" t="s">
        <v>391</v>
      </c>
      <c r="E283" s="8">
        <v>46212</v>
      </c>
      <c r="F283" s="5" t="s">
        <v>587</v>
      </c>
      <c r="G283" s="5" t="s">
        <v>588</v>
      </c>
      <c r="H283" s="22">
        <v>20000000</v>
      </c>
      <c r="I283" s="5" t="s">
        <v>589</v>
      </c>
      <c r="J283" s="5" t="s">
        <v>590</v>
      </c>
      <c r="K283" s="5" t="s">
        <v>544</v>
      </c>
      <c r="L283" s="5" t="s">
        <v>608</v>
      </c>
      <c r="M283" s="5" t="s">
        <v>581</v>
      </c>
      <c r="N283" s="5"/>
      <c r="O283" s="8"/>
      <c r="P283" s="22"/>
      <c r="Q283" s="5"/>
      <c r="R283" s="5" t="s">
        <v>557</v>
      </c>
      <c r="S283" s="5" t="s">
        <v>582</v>
      </c>
      <c r="T283" s="8">
        <v>46298</v>
      </c>
    </row>
    <row r="284" spans="1:20" ht="24" customHeight="1" x14ac:dyDescent="0.35">
      <c r="A284" s="1" t="s">
        <v>1345</v>
      </c>
      <c r="B284" s="1" t="s">
        <v>1346</v>
      </c>
      <c r="C284" s="1" t="s">
        <v>1112</v>
      </c>
      <c r="D284" s="1" t="s">
        <v>355</v>
      </c>
      <c r="E284" s="10">
        <v>46213</v>
      </c>
      <c r="F284" s="1" t="s">
        <v>587</v>
      </c>
      <c r="G284" s="1" t="s">
        <v>588</v>
      </c>
      <c r="H284" s="23">
        <v>3000000</v>
      </c>
      <c r="I284" s="1" t="s">
        <v>589</v>
      </c>
      <c r="J284" s="1" t="s">
        <v>590</v>
      </c>
      <c r="K284" s="1" t="s">
        <v>544</v>
      </c>
      <c r="L284" s="1" t="s">
        <v>172</v>
      </c>
      <c r="M284" s="1" t="s">
        <v>581</v>
      </c>
      <c r="N284" s="1"/>
      <c r="O284" s="10"/>
      <c r="P284" s="23"/>
      <c r="Q284" s="1" t="s">
        <v>1347</v>
      </c>
      <c r="R284" s="1" t="s">
        <v>557</v>
      </c>
      <c r="S284" s="1" t="s">
        <v>582</v>
      </c>
      <c r="T284" s="10">
        <v>46298</v>
      </c>
    </row>
    <row r="285" spans="1:20" ht="24" customHeight="1" x14ac:dyDescent="0.35">
      <c r="A285" s="5" t="s">
        <v>1348</v>
      </c>
      <c r="B285" s="5" t="s">
        <v>1349</v>
      </c>
      <c r="C285" s="5" t="s">
        <v>652</v>
      </c>
      <c r="D285" s="5" t="s">
        <v>1209</v>
      </c>
      <c r="E285" s="8">
        <v>46213</v>
      </c>
      <c r="F285" s="5" t="s">
        <v>771</v>
      </c>
      <c r="G285" s="5" t="s">
        <v>772</v>
      </c>
      <c r="H285" s="22"/>
      <c r="I285" s="5" t="s">
        <v>603</v>
      </c>
      <c r="J285" s="5" t="s">
        <v>547</v>
      </c>
      <c r="K285" s="5" t="s">
        <v>590</v>
      </c>
      <c r="L285" s="5" t="s">
        <v>149</v>
      </c>
      <c r="M285" s="5" t="s">
        <v>581</v>
      </c>
      <c r="N285" s="5"/>
      <c r="O285" s="8"/>
      <c r="P285" s="22"/>
      <c r="Q285" s="5" t="s">
        <v>773</v>
      </c>
      <c r="R285" s="5" t="s">
        <v>557</v>
      </c>
      <c r="S285" s="5" t="s">
        <v>582</v>
      </c>
      <c r="T285" s="8">
        <v>46298</v>
      </c>
    </row>
    <row r="286" spans="1:20" ht="24" customHeight="1" x14ac:dyDescent="0.35">
      <c r="A286" s="1" t="s">
        <v>1350</v>
      </c>
      <c r="B286" s="1" t="s">
        <v>1351</v>
      </c>
      <c r="C286" s="1" t="s">
        <v>661</v>
      </c>
      <c r="D286" s="1" t="s">
        <v>176</v>
      </c>
      <c r="E286" s="10">
        <v>46212</v>
      </c>
      <c r="F286" s="1" t="s">
        <v>587</v>
      </c>
      <c r="G286" s="1" t="s">
        <v>588</v>
      </c>
      <c r="H286" s="23">
        <v>10200000</v>
      </c>
      <c r="I286" s="1" t="s">
        <v>589</v>
      </c>
      <c r="J286" s="1" t="s">
        <v>546</v>
      </c>
      <c r="K286" s="1" t="s">
        <v>546</v>
      </c>
      <c r="L286" s="1" t="s">
        <v>608</v>
      </c>
      <c r="M286" s="1" t="s">
        <v>581</v>
      </c>
      <c r="N286" s="1"/>
      <c r="O286" s="10"/>
      <c r="P286" s="23"/>
      <c r="Q286" s="1"/>
      <c r="R286" s="1" t="s">
        <v>557</v>
      </c>
      <c r="S286" s="1" t="s">
        <v>582</v>
      </c>
      <c r="T286" s="10">
        <v>46298</v>
      </c>
    </row>
    <row r="287" spans="1:20" ht="24" customHeight="1" x14ac:dyDescent="0.35">
      <c r="A287" s="5" t="s">
        <v>1352</v>
      </c>
      <c r="B287" s="5" t="s">
        <v>1353</v>
      </c>
      <c r="C287" s="5" t="s">
        <v>1354</v>
      </c>
      <c r="D287" s="5" t="s">
        <v>620</v>
      </c>
      <c r="E287" s="8">
        <v>46212</v>
      </c>
      <c r="F287" s="5" t="s">
        <v>601</v>
      </c>
      <c r="G287" s="5" t="s">
        <v>602</v>
      </c>
      <c r="H287" s="22"/>
      <c r="I287" s="5" t="s">
        <v>603</v>
      </c>
      <c r="J287" s="5" t="s">
        <v>590</v>
      </c>
      <c r="K287" s="5" t="s">
        <v>546</v>
      </c>
      <c r="L287" s="5" t="s">
        <v>149</v>
      </c>
      <c r="M287" s="5" t="s">
        <v>581</v>
      </c>
      <c r="N287" s="5"/>
      <c r="O287" s="8"/>
      <c r="P287" s="22"/>
      <c r="Q287" s="5"/>
      <c r="R287" s="5" t="s">
        <v>557</v>
      </c>
      <c r="S287" s="5" t="s">
        <v>582</v>
      </c>
      <c r="T287" s="8">
        <v>46298</v>
      </c>
    </row>
    <row r="288" spans="1:20" ht="24" customHeight="1" x14ac:dyDescent="0.35">
      <c r="A288" s="1" t="s">
        <v>1355</v>
      </c>
      <c r="B288" s="1" t="s">
        <v>1356</v>
      </c>
      <c r="C288" s="1" t="s">
        <v>606</v>
      </c>
      <c r="D288" s="1" t="s">
        <v>1357</v>
      </c>
      <c r="E288" s="10">
        <v>46212</v>
      </c>
      <c r="F288" s="1" t="s">
        <v>578</v>
      </c>
      <c r="G288" s="1" t="s">
        <v>579</v>
      </c>
      <c r="H288" s="23"/>
      <c r="I288" s="1" t="s">
        <v>580</v>
      </c>
      <c r="J288" s="1" t="s">
        <v>547</v>
      </c>
      <c r="K288" s="1" t="s">
        <v>590</v>
      </c>
      <c r="L288" s="1" t="s">
        <v>608</v>
      </c>
      <c r="M288" s="1" t="s">
        <v>581</v>
      </c>
      <c r="N288" s="1"/>
      <c r="O288" s="10"/>
      <c r="P288" s="23"/>
      <c r="Q288" s="1"/>
      <c r="R288" s="1" t="s">
        <v>557</v>
      </c>
      <c r="S288" s="1" t="s">
        <v>582</v>
      </c>
      <c r="T288" s="10">
        <v>46298</v>
      </c>
    </row>
    <row r="289" spans="1:20" ht="24" customHeight="1" x14ac:dyDescent="0.35">
      <c r="A289" s="5" t="s">
        <v>1358</v>
      </c>
      <c r="B289" s="5" t="s">
        <v>1359</v>
      </c>
      <c r="C289" s="5" t="s">
        <v>374</v>
      </c>
      <c r="D289" s="5" t="s">
        <v>782</v>
      </c>
      <c r="E289" s="8">
        <v>46212</v>
      </c>
      <c r="F289" s="5" t="s">
        <v>771</v>
      </c>
      <c r="G289" s="5" t="s">
        <v>772</v>
      </c>
      <c r="H289" s="22"/>
      <c r="I289" s="5" t="s">
        <v>603</v>
      </c>
      <c r="J289" s="5" t="s">
        <v>544</v>
      </c>
      <c r="K289" s="5" t="s">
        <v>590</v>
      </c>
      <c r="L289" s="5" t="s">
        <v>640</v>
      </c>
      <c r="M289" s="5" t="s">
        <v>581</v>
      </c>
      <c r="N289" s="5"/>
      <c r="O289" s="8"/>
      <c r="P289" s="22"/>
      <c r="Q289" s="5" t="s">
        <v>773</v>
      </c>
      <c r="R289" s="5" t="s">
        <v>557</v>
      </c>
      <c r="S289" s="5" t="s">
        <v>582</v>
      </c>
      <c r="T289" s="8">
        <v>46298</v>
      </c>
    </row>
    <row r="290" spans="1:20" ht="24" customHeight="1" x14ac:dyDescent="0.35">
      <c r="A290" s="1" t="s">
        <v>1360</v>
      </c>
      <c r="B290" s="1" t="s">
        <v>1361</v>
      </c>
      <c r="C290" s="1" t="s">
        <v>1030</v>
      </c>
      <c r="D290" s="1" t="s">
        <v>651</v>
      </c>
      <c r="E290" s="10">
        <v>46213</v>
      </c>
      <c r="F290" s="1" t="s">
        <v>587</v>
      </c>
      <c r="G290" s="1" t="s">
        <v>588</v>
      </c>
      <c r="H290" s="23">
        <v>3400000</v>
      </c>
      <c r="I290" s="1" t="s">
        <v>589</v>
      </c>
      <c r="J290" s="1" t="s">
        <v>590</v>
      </c>
      <c r="K290" s="1" t="s">
        <v>548</v>
      </c>
      <c r="L290" s="1" t="s">
        <v>149</v>
      </c>
      <c r="M290" s="1" t="s">
        <v>581</v>
      </c>
      <c r="N290" s="1"/>
      <c r="O290" s="10"/>
      <c r="P290" s="23"/>
      <c r="Q290" s="1"/>
      <c r="R290" s="1" t="s">
        <v>557</v>
      </c>
      <c r="S290" s="1" t="s">
        <v>582</v>
      </c>
      <c r="T290" s="10">
        <v>46298</v>
      </c>
    </row>
    <row r="291" spans="1:20" ht="24" customHeight="1" x14ac:dyDescent="0.35">
      <c r="A291" s="5" t="s">
        <v>1362</v>
      </c>
      <c r="B291" s="5" t="s">
        <v>1363</v>
      </c>
      <c r="C291" s="5" t="s">
        <v>1364</v>
      </c>
      <c r="D291" s="5" t="s">
        <v>624</v>
      </c>
      <c r="E291" s="8">
        <v>46212</v>
      </c>
      <c r="F291" s="5" t="s">
        <v>587</v>
      </c>
      <c r="G291" s="5" t="s">
        <v>588</v>
      </c>
      <c r="H291" s="22">
        <v>2560000</v>
      </c>
      <c r="I291" s="5" t="s">
        <v>589</v>
      </c>
      <c r="J291" s="5" t="s">
        <v>590</v>
      </c>
      <c r="K291" s="5" t="s">
        <v>547</v>
      </c>
      <c r="L291" s="5" t="s">
        <v>149</v>
      </c>
      <c r="M291" s="5" t="s">
        <v>581</v>
      </c>
      <c r="N291" s="5"/>
      <c r="O291" s="8"/>
      <c r="P291" s="22"/>
      <c r="Q291" s="5"/>
      <c r="R291" s="5" t="s">
        <v>557</v>
      </c>
      <c r="S291" s="5" t="s">
        <v>582</v>
      </c>
      <c r="T291" s="8">
        <v>46298</v>
      </c>
    </row>
    <row r="292" spans="1:20" ht="24" customHeight="1" x14ac:dyDescent="0.35">
      <c r="A292" s="1" t="s">
        <v>1365</v>
      </c>
      <c r="B292" s="1" t="s">
        <v>1366</v>
      </c>
      <c r="C292" s="1" t="s">
        <v>1367</v>
      </c>
      <c r="D292" s="1" t="s">
        <v>620</v>
      </c>
      <c r="E292" s="10">
        <v>46212</v>
      </c>
      <c r="F292" s="1" t="s">
        <v>587</v>
      </c>
      <c r="G292" s="1" t="s">
        <v>588</v>
      </c>
      <c r="H292" s="23">
        <v>6400000</v>
      </c>
      <c r="I292" s="1" t="s">
        <v>589</v>
      </c>
      <c r="J292" s="1" t="s">
        <v>590</v>
      </c>
      <c r="K292" s="1" t="s">
        <v>546</v>
      </c>
      <c r="L292" s="1" t="s">
        <v>640</v>
      </c>
      <c r="M292" s="1" t="s">
        <v>581</v>
      </c>
      <c r="N292" s="1"/>
      <c r="O292" s="10"/>
      <c r="P292" s="23"/>
      <c r="Q292" s="1" t="s">
        <v>1005</v>
      </c>
      <c r="R292" s="1" t="s">
        <v>557</v>
      </c>
      <c r="S292" s="1" t="s">
        <v>582</v>
      </c>
      <c r="T292" s="10">
        <v>46298</v>
      </c>
    </row>
    <row r="293" spans="1:20" ht="24" customHeight="1" x14ac:dyDescent="0.35">
      <c r="A293" s="5" t="s">
        <v>1368</v>
      </c>
      <c r="B293" s="5" t="s">
        <v>1369</v>
      </c>
      <c r="C293" s="5" t="s">
        <v>1083</v>
      </c>
      <c r="D293" s="5" t="s">
        <v>1094</v>
      </c>
      <c r="E293" s="8">
        <v>46213</v>
      </c>
      <c r="F293" s="5" t="s">
        <v>601</v>
      </c>
      <c r="G293" s="5" t="s">
        <v>602</v>
      </c>
      <c r="H293" s="22"/>
      <c r="I293" s="5" t="s">
        <v>603</v>
      </c>
      <c r="J293" s="5" t="s">
        <v>544</v>
      </c>
      <c r="K293" s="5" t="s">
        <v>590</v>
      </c>
      <c r="L293" s="5" t="s">
        <v>640</v>
      </c>
      <c r="M293" s="5" t="s">
        <v>581</v>
      </c>
      <c r="N293" s="5"/>
      <c r="O293" s="8"/>
      <c r="P293" s="22"/>
      <c r="Q293" s="5"/>
      <c r="R293" s="5" t="s">
        <v>557</v>
      </c>
      <c r="S293" s="5" t="s">
        <v>582</v>
      </c>
      <c r="T293" s="8">
        <v>46298</v>
      </c>
    </row>
    <row r="294" spans="1:20" ht="24" customHeight="1" x14ac:dyDescent="0.35">
      <c r="A294" s="1" t="s">
        <v>1370</v>
      </c>
      <c r="B294" s="1" t="s">
        <v>1371</v>
      </c>
      <c r="C294" s="1" t="s">
        <v>401</v>
      </c>
      <c r="D294" s="1" t="s">
        <v>664</v>
      </c>
      <c r="E294" s="10">
        <v>46212</v>
      </c>
      <c r="F294" s="1" t="s">
        <v>587</v>
      </c>
      <c r="G294" s="1" t="s">
        <v>588</v>
      </c>
      <c r="H294" s="23">
        <v>5100000</v>
      </c>
      <c r="I294" s="1" t="s">
        <v>589</v>
      </c>
      <c r="J294" s="1" t="s">
        <v>547</v>
      </c>
      <c r="K294" s="1" t="s">
        <v>547</v>
      </c>
      <c r="L294" s="1" t="s">
        <v>591</v>
      </c>
      <c r="M294" s="1" t="s">
        <v>581</v>
      </c>
      <c r="N294" s="1"/>
      <c r="O294" s="10"/>
      <c r="P294" s="23"/>
      <c r="Q294" s="1"/>
      <c r="R294" s="1" t="s">
        <v>557</v>
      </c>
      <c r="S294" s="1" t="s">
        <v>582</v>
      </c>
      <c r="T294" s="10">
        <v>46298</v>
      </c>
    </row>
    <row r="295" spans="1:20" ht="24" customHeight="1" x14ac:dyDescent="0.35">
      <c r="A295" s="5" t="s">
        <v>1372</v>
      </c>
      <c r="B295" s="5" t="s">
        <v>1373</v>
      </c>
      <c r="C295" s="5" t="s">
        <v>171</v>
      </c>
      <c r="D295" s="5" t="s">
        <v>788</v>
      </c>
      <c r="E295" s="8">
        <v>46211</v>
      </c>
      <c r="F295" s="5" t="s">
        <v>587</v>
      </c>
      <c r="G295" s="5" t="s">
        <v>588</v>
      </c>
      <c r="H295" s="22">
        <v>3830000</v>
      </c>
      <c r="I295" s="5" t="s">
        <v>589</v>
      </c>
      <c r="J295" s="5" t="s">
        <v>545</v>
      </c>
      <c r="K295" s="5" t="s">
        <v>546</v>
      </c>
      <c r="L295" s="5" t="s">
        <v>608</v>
      </c>
      <c r="M295" s="5" t="s">
        <v>581</v>
      </c>
      <c r="N295" s="5"/>
      <c r="O295" s="8"/>
      <c r="P295" s="22"/>
      <c r="Q295" s="5"/>
      <c r="R295" s="5" t="s">
        <v>557</v>
      </c>
      <c r="S295" s="5" t="s">
        <v>582</v>
      </c>
      <c r="T295" s="8">
        <v>46298</v>
      </c>
    </row>
    <row r="296" spans="1:20" ht="24" customHeight="1" x14ac:dyDescent="0.35">
      <c r="A296" s="1" t="s">
        <v>1374</v>
      </c>
      <c r="B296" s="1" t="s">
        <v>1375</v>
      </c>
      <c r="C296" s="1" t="s">
        <v>1183</v>
      </c>
      <c r="D296" s="1" t="s">
        <v>733</v>
      </c>
      <c r="E296" s="10">
        <v>46212</v>
      </c>
      <c r="F296" s="1" t="s">
        <v>587</v>
      </c>
      <c r="G296" s="1" t="s">
        <v>588</v>
      </c>
      <c r="H296" s="23">
        <v>2130000</v>
      </c>
      <c r="I296" s="1" t="s">
        <v>589</v>
      </c>
      <c r="J296" s="1" t="s">
        <v>545</v>
      </c>
      <c r="K296" s="1" t="s">
        <v>545</v>
      </c>
      <c r="L296" s="1" t="s">
        <v>608</v>
      </c>
      <c r="M296" s="1" t="s">
        <v>581</v>
      </c>
      <c r="N296" s="1"/>
      <c r="O296" s="10"/>
      <c r="P296" s="23"/>
      <c r="Q296" s="1"/>
      <c r="R296" s="1" t="s">
        <v>557</v>
      </c>
      <c r="S296" s="1" t="s">
        <v>582</v>
      </c>
      <c r="T296" s="10">
        <v>46298</v>
      </c>
    </row>
    <row r="297" spans="1:20" ht="24" customHeight="1" x14ac:dyDescent="0.35">
      <c r="A297" s="5" t="s">
        <v>1376</v>
      </c>
      <c r="B297" s="5" t="s">
        <v>1377</v>
      </c>
      <c r="C297" s="5" t="s">
        <v>1378</v>
      </c>
      <c r="D297" s="5" t="s">
        <v>1379</v>
      </c>
      <c r="E297" s="8">
        <v>46212</v>
      </c>
      <c r="F297" s="5" t="s">
        <v>771</v>
      </c>
      <c r="G297" s="5" t="s">
        <v>772</v>
      </c>
      <c r="H297" s="22"/>
      <c r="I297" s="5" t="s">
        <v>603</v>
      </c>
      <c r="J297" s="5" t="s">
        <v>545</v>
      </c>
      <c r="K297" s="5" t="s">
        <v>590</v>
      </c>
      <c r="L297" s="5" t="s">
        <v>608</v>
      </c>
      <c r="M297" s="5" t="s">
        <v>581</v>
      </c>
      <c r="N297" s="5"/>
      <c r="O297" s="8"/>
      <c r="P297" s="22"/>
      <c r="Q297" s="5" t="s">
        <v>773</v>
      </c>
      <c r="R297" s="5" t="s">
        <v>557</v>
      </c>
      <c r="S297" s="5" t="s">
        <v>582</v>
      </c>
      <c r="T297" s="8">
        <v>46298</v>
      </c>
    </row>
    <row r="298" spans="1:20" ht="24" customHeight="1" x14ac:dyDescent="0.35">
      <c r="A298" s="1" t="s">
        <v>1380</v>
      </c>
      <c r="B298" s="1" t="s">
        <v>1381</v>
      </c>
      <c r="C298" s="1" t="s">
        <v>730</v>
      </c>
      <c r="D298" s="1" t="s">
        <v>606</v>
      </c>
      <c r="E298" s="10">
        <v>46213</v>
      </c>
      <c r="F298" s="1" t="s">
        <v>587</v>
      </c>
      <c r="G298" s="1" t="s">
        <v>588</v>
      </c>
      <c r="H298" s="23">
        <v>14500000</v>
      </c>
      <c r="I298" s="1" t="s">
        <v>589</v>
      </c>
      <c r="J298" s="1" t="s">
        <v>590</v>
      </c>
      <c r="K298" s="1" t="s">
        <v>547</v>
      </c>
      <c r="L298" s="1" t="s">
        <v>608</v>
      </c>
      <c r="M298" s="1" t="s">
        <v>581</v>
      </c>
      <c r="N298" s="1"/>
      <c r="O298" s="10"/>
      <c r="P298" s="23"/>
      <c r="Q298" s="1"/>
      <c r="R298" s="1" t="s">
        <v>557</v>
      </c>
      <c r="S298" s="1" t="s">
        <v>582</v>
      </c>
      <c r="T298" s="10">
        <v>46298</v>
      </c>
    </row>
    <row r="299" spans="1:20" ht="24" customHeight="1" x14ac:dyDescent="0.35">
      <c r="A299" s="5" t="s">
        <v>1382</v>
      </c>
      <c r="B299" s="5" t="s">
        <v>1383</v>
      </c>
      <c r="C299" s="5" t="s">
        <v>1184</v>
      </c>
      <c r="D299" s="5" t="s">
        <v>801</v>
      </c>
      <c r="E299" s="8">
        <v>46213</v>
      </c>
      <c r="F299" s="5" t="s">
        <v>587</v>
      </c>
      <c r="G299" s="5" t="s">
        <v>588</v>
      </c>
      <c r="H299" s="22">
        <v>25600000</v>
      </c>
      <c r="I299" s="5" t="s">
        <v>589</v>
      </c>
      <c r="J299" s="5" t="s">
        <v>546</v>
      </c>
      <c r="K299" s="5" t="s">
        <v>546</v>
      </c>
      <c r="L299" s="5" t="s">
        <v>149</v>
      </c>
      <c r="M299" s="5" t="s">
        <v>581</v>
      </c>
      <c r="N299" s="5"/>
      <c r="O299" s="8"/>
      <c r="P299" s="22"/>
      <c r="Q299" s="5"/>
      <c r="R299" s="5" t="s">
        <v>557</v>
      </c>
      <c r="S299" s="5" t="s">
        <v>582</v>
      </c>
      <c r="T299" s="8">
        <v>46298</v>
      </c>
    </row>
    <row r="300" spans="1:20" ht="24" customHeight="1" x14ac:dyDescent="0.35">
      <c r="A300" s="1" t="s">
        <v>1384</v>
      </c>
      <c r="B300" s="1" t="s">
        <v>1385</v>
      </c>
      <c r="C300" s="1" t="s">
        <v>720</v>
      </c>
      <c r="D300" s="1" t="s">
        <v>749</v>
      </c>
      <c r="E300" s="10">
        <v>46213</v>
      </c>
      <c r="F300" s="1" t="s">
        <v>587</v>
      </c>
      <c r="G300" s="1" t="s">
        <v>588</v>
      </c>
      <c r="H300" s="23">
        <v>1400000</v>
      </c>
      <c r="I300" s="1" t="s">
        <v>589</v>
      </c>
      <c r="J300" s="1" t="s">
        <v>590</v>
      </c>
      <c r="K300" s="1" t="s">
        <v>547</v>
      </c>
      <c r="L300" s="1" t="s">
        <v>608</v>
      </c>
      <c r="M300" s="1" t="s">
        <v>581</v>
      </c>
      <c r="N300" s="1"/>
      <c r="O300" s="10"/>
      <c r="P300" s="23"/>
      <c r="Q300" s="1"/>
      <c r="R300" s="1" t="s">
        <v>557</v>
      </c>
      <c r="S300" s="1" t="s">
        <v>582</v>
      </c>
      <c r="T300" s="10">
        <v>46298</v>
      </c>
    </row>
    <row r="301" spans="1:20" ht="24" customHeight="1" x14ac:dyDescent="0.35">
      <c r="A301" s="5" t="s">
        <v>1386</v>
      </c>
      <c r="B301" s="5" t="s">
        <v>1387</v>
      </c>
      <c r="C301" s="5" t="s">
        <v>749</v>
      </c>
      <c r="D301" s="5" t="s">
        <v>720</v>
      </c>
      <c r="E301" s="8">
        <v>46213</v>
      </c>
      <c r="F301" s="5" t="s">
        <v>601</v>
      </c>
      <c r="G301" s="5" t="s">
        <v>602</v>
      </c>
      <c r="H301" s="22"/>
      <c r="I301" s="5" t="s">
        <v>603</v>
      </c>
      <c r="J301" s="5" t="s">
        <v>547</v>
      </c>
      <c r="K301" s="5" t="s">
        <v>590</v>
      </c>
      <c r="L301" s="5" t="s">
        <v>149</v>
      </c>
      <c r="M301" s="5" t="s">
        <v>581</v>
      </c>
      <c r="N301" s="5"/>
      <c r="O301" s="8"/>
      <c r="P301" s="22"/>
      <c r="Q301" s="5"/>
      <c r="R301" s="5" t="s">
        <v>557</v>
      </c>
      <c r="S301" s="5" t="s">
        <v>582</v>
      </c>
      <c r="T301" s="8">
        <v>46298</v>
      </c>
    </row>
    <row r="302" spans="1:20" ht="24" customHeight="1" x14ac:dyDescent="0.35">
      <c r="A302" s="1" t="s">
        <v>1388</v>
      </c>
      <c r="B302" s="1" t="s">
        <v>1389</v>
      </c>
      <c r="C302" s="1" t="s">
        <v>684</v>
      </c>
      <c r="D302" s="1" t="s">
        <v>624</v>
      </c>
      <c r="E302" s="10">
        <v>46213</v>
      </c>
      <c r="F302" s="1" t="s">
        <v>601</v>
      </c>
      <c r="G302" s="1" t="s">
        <v>602</v>
      </c>
      <c r="H302" s="23"/>
      <c r="I302" s="1" t="s">
        <v>603</v>
      </c>
      <c r="J302" s="1" t="s">
        <v>590</v>
      </c>
      <c r="K302" s="1" t="s">
        <v>547</v>
      </c>
      <c r="L302" s="1" t="s">
        <v>172</v>
      </c>
      <c r="M302" s="1" t="s">
        <v>581</v>
      </c>
      <c r="N302" s="1"/>
      <c r="O302" s="10"/>
      <c r="P302" s="23"/>
      <c r="Q302" s="1"/>
      <c r="R302" s="1" t="s">
        <v>557</v>
      </c>
      <c r="S302" s="1" t="s">
        <v>582</v>
      </c>
      <c r="T302" s="10">
        <v>46298</v>
      </c>
    </row>
    <row r="303" spans="1:20" ht="24" customHeight="1" x14ac:dyDescent="0.35">
      <c r="A303" s="5" t="s">
        <v>1390</v>
      </c>
      <c r="B303" s="5" t="s">
        <v>1391</v>
      </c>
      <c r="C303" s="5" t="s">
        <v>1392</v>
      </c>
      <c r="D303" s="5" t="s">
        <v>1034</v>
      </c>
      <c r="E303" s="8">
        <v>46213</v>
      </c>
      <c r="F303" s="5" t="s">
        <v>587</v>
      </c>
      <c r="G303" s="5" t="s">
        <v>588</v>
      </c>
      <c r="H303" s="22">
        <v>1700000</v>
      </c>
      <c r="I303" s="5" t="s">
        <v>589</v>
      </c>
      <c r="J303" s="5" t="s">
        <v>590</v>
      </c>
      <c r="K303" s="5" t="s">
        <v>546</v>
      </c>
      <c r="L303" s="5" t="s">
        <v>640</v>
      </c>
      <c r="M303" s="5" t="s">
        <v>581</v>
      </c>
      <c r="N303" s="5"/>
      <c r="O303" s="8"/>
      <c r="P303" s="22"/>
      <c r="Q303" s="5"/>
      <c r="R303" s="5" t="s">
        <v>557</v>
      </c>
      <c r="S303" s="5" t="s">
        <v>582</v>
      </c>
      <c r="T303" s="8">
        <v>46298</v>
      </c>
    </row>
    <row r="304" spans="1:20" ht="24" customHeight="1" x14ac:dyDescent="0.35">
      <c r="A304" s="1" t="s">
        <v>1393</v>
      </c>
      <c r="B304" s="1" t="s">
        <v>1394</v>
      </c>
      <c r="C304" s="1" t="s">
        <v>1183</v>
      </c>
      <c r="D304" s="1" t="s">
        <v>623</v>
      </c>
      <c r="E304" s="10">
        <v>46213</v>
      </c>
      <c r="F304" s="1" t="s">
        <v>601</v>
      </c>
      <c r="G304" s="1" t="s">
        <v>602</v>
      </c>
      <c r="H304" s="23"/>
      <c r="I304" s="1" t="s">
        <v>603</v>
      </c>
      <c r="J304" s="1" t="s">
        <v>545</v>
      </c>
      <c r="K304" s="1" t="s">
        <v>590</v>
      </c>
      <c r="L304" s="1" t="s">
        <v>608</v>
      </c>
      <c r="M304" s="1" t="s">
        <v>581</v>
      </c>
      <c r="N304" s="1"/>
      <c r="O304" s="10"/>
      <c r="P304" s="23"/>
      <c r="Q304" s="1"/>
      <c r="R304" s="1" t="s">
        <v>557</v>
      </c>
      <c r="S304" s="1" t="s">
        <v>582</v>
      </c>
      <c r="T304" s="10">
        <v>46298</v>
      </c>
    </row>
    <row r="305" spans="1:20" ht="24" customHeight="1" x14ac:dyDescent="0.35">
      <c r="A305" s="5" t="s">
        <v>1395</v>
      </c>
      <c r="B305" s="5" t="s">
        <v>1396</v>
      </c>
      <c r="C305" s="5" t="s">
        <v>1210</v>
      </c>
      <c r="D305" s="5" t="s">
        <v>1323</v>
      </c>
      <c r="E305" s="8">
        <v>46213</v>
      </c>
      <c r="F305" s="5" t="s">
        <v>578</v>
      </c>
      <c r="G305" s="5" t="s">
        <v>579</v>
      </c>
      <c r="H305" s="22"/>
      <c r="I305" s="5" t="s">
        <v>580</v>
      </c>
      <c r="J305" s="5" t="s">
        <v>545</v>
      </c>
      <c r="K305" s="5" t="s">
        <v>590</v>
      </c>
      <c r="L305" s="5" t="s">
        <v>149</v>
      </c>
      <c r="M305" s="5" t="s">
        <v>581</v>
      </c>
      <c r="N305" s="5"/>
      <c r="O305" s="8"/>
      <c r="P305" s="22"/>
      <c r="Q305" s="5"/>
      <c r="R305" s="5" t="s">
        <v>557</v>
      </c>
      <c r="S305" s="5" t="s">
        <v>582</v>
      </c>
      <c r="T305" s="8">
        <v>46298</v>
      </c>
    </row>
    <row r="306" spans="1:20" ht="24" customHeight="1" x14ac:dyDescent="0.35">
      <c r="A306" s="1" t="s">
        <v>1397</v>
      </c>
      <c r="B306" s="1" t="s">
        <v>1398</v>
      </c>
      <c r="C306" s="1" t="s">
        <v>1378</v>
      </c>
      <c r="D306" s="1" t="s">
        <v>1399</v>
      </c>
      <c r="E306" s="10">
        <v>46213</v>
      </c>
      <c r="F306" s="1" t="s">
        <v>587</v>
      </c>
      <c r="G306" s="1" t="s">
        <v>588</v>
      </c>
      <c r="H306" s="23">
        <v>400000</v>
      </c>
      <c r="I306" s="1" t="s">
        <v>589</v>
      </c>
      <c r="J306" s="1" t="s">
        <v>545</v>
      </c>
      <c r="K306" s="1" t="s">
        <v>590</v>
      </c>
      <c r="L306" s="1" t="s">
        <v>149</v>
      </c>
      <c r="M306" s="1" t="s">
        <v>581</v>
      </c>
      <c r="N306" s="1"/>
      <c r="O306" s="10"/>
      <c r="P306" s="23"/>
      <c r="Q306" s="1"/>
      <c r="R306" s="1" t="s">
        <v>557</v>
      </c>
      <c r="S306" s="1" t="s">
        <v>582</v>
      </c>
      <c r="T306" s="10">
        <v>46298</v>
      </c>
    </row>
    <row r="307" spans="1:20" ht="24" customHeight="1" x14ac:dyDescent="0.35">
      <c r="A307" s="5" t="s">
        <v>1400</v>
      </c>
      <c r="B307" s="5" t="s">
        <v>1401</v>
      </c>
      <c r="C307" s="5" t="s">
        <v>103</v>
      </c>
      <c r="D307" s="5" t="s">
        <v>1402</v>
      </c>
      <c r="E307" s="8">
        <v>46213</v>
      </c>
      <c r="F307" s="5" t="s">
        <v>771</v>
      </c>
      <c r="G307" s="5" t="s">
        <v>772</v>
      </c>
      <c r="H307" s="22"/>
      <c r="I307" s="5" t="s">
        <v>603</v>
      </c>
      <c r="J307" s="5" t="s">
        <v>544</v>
      </c>
      <c r="K307" s="5" t="s">
        <v>590</v>
      </c>
      <c r="L307" s="5" t="s">
        <v>149</v>
      </c>
      <c r="M307" s="5" t="s">
        <v>581</v>
      </c>
      <c r="N307" s="5"/>
      <c r="O307" s="8"/>
      <c r="P307" s="22"/>
      <c r="Q307" s="5" t="s">
        <v>773</v>
      </c>
      <c r="R307" s="5" t="s">
        <v>557</v>
      </c>
      <c r="S307" s="5" t="s">
        <v>582</v>
      </c>
      <c r="T307" s="8">
        <v>46298</v>
      </c>
    </row>
    <row r="308" spans="1:20" ht="24" customHeight="1" x14ac:dyDescent="0.35">
      <c r="A308" s="1" t="s">
        <v>1403</v>
      </c>
      <c r="B308" s="1" t="s">
        <v>1404</v>
      </c>
      <c r="C308" s="1" t="s">
        <v>157</v>
      </c>
      <c r="D308" s="1" t="s">
        <v>1405</v>
      </c>
      <c r="E308" s="10">
        <v>46213</v>
      </c>
      <c r="F308" s="1" t="s">
        <v>771</v>
      </c>
      <c r="G308" s="1" t="s">
        <v>772</v>
      </c>
      <c r="H308" s="23"/>
      <c r="I308" s="1" t="s">
        <v>603</v>
      </c>
      <c r="J308" s="1" t="s">
        <v>546</v>
      </c>
      <c r="K308" s="1" t="s">
        <v>590</v>
      </c>
      <c r="L308" s="1" t="s">
        <v>640</v>
      </c>
      <c r="M308" s="1" t="s">
        <v>581</v>
      </c>
      <c r="N308" s="1"/>
      <c r="O308" s="10"/>
      <c r="P308" s="23"/>
      <c r="Q308" s="1" t="s">
        <v>773</v>
      </c>
      <c r="R308" s="1" t="s">
        <v>557</v>
      </c>
      <c r="S308" s="1" t="s">
        <v>582</v>
      </c>
      <c r="T308" s="10">
        <v>46298</v>
      </c>
    </row>
    <row r="309" spans="1:20" ht="24" customHeight="1" x14ac:dyDescent="0.35">
      <c r="A309" s="5" t="s">
        <v>1406</v>
      </c>
      <c r="B309" s="5" t="s">
        <v>1407</v>
      </c>
      <c r="C309" s="5" t="s">
        <v>1184</v>
      </c>
      <c r="D309" s="5" t="s">
        <v>1405</v>
      </c>
      <c r="E309" s="8">
        <v>46212</v>
      </c>
      <c r="F309" s="5" t="s">
        <v>771</v>
      </c>
      <c r="G309" s="5" t="s">
        <v>772</v>
      </c>
      <c r="H309" s="22"/>
      <c r="I309" s="5" t="s">
        <v>603</v>
      </c>
      <c r="J309" s="5" t="s">
        <v>546</v>
      </c>
      <c r="K309" s="5" t="s">
        <v>590</v>
      </c>
      <c r="L309" s="5" t="s">
        <v>608</v>
      </c>
      <c r="M309" s="5" t="s">
        <v>581</v>
      </c>
      <c r="N309" s="5"/>
      <c r="O309" s="8"/>
      <c r="P309" s="22"/>
      <c r="Q309" s="5" t="s">
        <v>1008</v>
      </c>
      <c r="R309" s="5" t="s">
        <v>557</v>
      </c>
      <c r="S309" s="5" t="s">
        <v>582</v>
      </c>
      <c r="T309" s="8">
        <v>46298</v>
      </c>
    </row>
    <row r="310" spans="1:20" ht="24" customHeight="1" x14ac:dyDescent="0.35">
      <c r="A310" s="1" t="s">
        <v>1408</v>
      </c>
      <c r="B310" s="1" t="s">
        <v>1409</v>
      </c>
      <c r="C310" s="1" t="s">
        <v>157</v>
      </c>
      <c r="D310" s="1" t="s">
        <v>1405</v>
      </c>
      <c r="E310" s="10">
        <v>46213</v>
      </c>
      <c r="F310" s="1" t="s">
        <v>771</v>
      </c>
      <c r="G310" s="1" t="s">
        <v>772</v>
      </c>
      <c r="H310" s="23"/>
      <c r="I310" s="1" t="s">
        <v>603</v>
      </c>
      <c r="J310" s="1" t="s">
        <v>546</v>
      </c>
      <c r="K310" s="1" t="s">
        <v>590</v>
      </c>
      <c r="L310" s="1" t="s">
        <v>149</v>
      </c>
      <c r="M310" s="1" t="s">
        <v>581</v>
      </c>
      <c r="N310" s="1"/>
      <c r="O310" s="10"/>
      <c r="P310" s="23"/>
      <c r="Q310" s="1" t="s">
        <v>773</v>
      </c>
      <c r="R310" s="1" t="s">
        <v>557</v>
      </c>
      <c r="S310" s="1" t="s">
        <v>582</v>
      </c>
      <c r="T310" s="10">
        <v>46298</v>
      </c>
    </row>
    <row r="311" spans="1:20" ht="24" customHeight="1" x14ac:dyDescent="0.35">
      <c r="A311" s="5" t="s">
        <v>1410</v>
      </c>
      <c r="B311" s="5" t="s">
        <v>1411</v>
      </c>
      <c r="C311" s="5" t="s">
        <v>797</v>
      </c>
      <c r="D311" s="5" t="s">
        <v>1405</v>
      </c>
      <c r="E311" s="8">
        <v>46213</v>
      </c>
      <c r="F311" s="5" t="s">
        <v>771</v>
      </c>
      <c r="G311" s="5" t="s">
        <v>772</v>
      </c>
      <c r="H311" s="22"/>
      <c r="I311" s="5" t="s">
        <v>603</v>
      </c>
      <c r="J311" s="5" t="s">
        <v>546</v>
      </c>
      <c r="K311" s="5" t="s">
        <v>590</v>
      </c>
      <c r="L311" s="5" t="s">
        <v>640</v>
      </c>
      <c r="M311" s="5" t="s">
        <v>581</v>
      </c>
      <c r="N311" s="5"/>
      <c r="O311" s="8"/>
      <c r="P311" s="22"/>
      <c r="Q311" s="5" t="s">
        <v>773</v>
      </c>
      <c r="R311" s="5" t="s">
        <v>557</v>
      </c>
      <c r="S311" s="5" t="s">
        <v>582</v>
      </c>
      <c r="T311" s="8">
        <v>46298</v>
      </c>
    </row>
    <row r="312" spans="1:20" ht="24" customHeight="1" x14ac:dyDescent="0.35">
      <c r="A312" s="1" t="s">
        <v>1412</v>
      </c>
      <c r="B312" s="1" t="s">
        <v>1413</v>
      </c>
      <c r="C312" s="1" t="s">
        <v>620</v>
      </c>
      <c r="D312" s="1" t="s">
        <v>1414</v>
      </c>
      <c r="E312" s="10">
        <v>46213</v>
      </c>
      <c r="F312" s="1" t="s">
        <v>771</v>
      </c>
      <c r="G312" s="1" t="s">
        <v>772</v>
      </c>
      <c r="H312" s="23"/>
      <c r="I312" s="1" t="s">
        <v>603</v>
      </c>
      <c r="J312" s="1" t="s">
        <v>546</v>
      </c>
      <c r="K312" s="1" t="s">
        <v>590</v>
      </c>
      <c r="L312" s="1" t="s">
        <v>172</v>
      </c>
      <c r="M312" s="1" t="s">
        <v>581</v>
      </c>
      <c r="N312" s="1"/>
      <c r="O312" s="10"/>
      <c r="P312" s="23"/>
      <c r="Q312" s="1" t="s">
        <v>773</v>
      </c>
      <c r="R312" s="1" t="s">
        <v>557</v>
      </c>
      <c r="S312" s="1" t="s">
        <v>582</v>
      </c>
      <c r="T312" s="10">
        <v>46298</v>
      </c>
    </row>
    <row r="313" spans="1:20" ht="24" customHeight="1" x14ac:dyDescent="0.35">
      <c r="A313" s="5" t="s">
        <v>1415</v>
      </c>
      <c r="B313" s="5" t="s">
        <v>1416</v>
      </c>
      <c r="C313" s="5" t="s">
        <v>123</v>
      </c>
      <c r="D313" s="5" t="s">
        <v>878</v>
      </c>
      <c r="E313" s="8">
        <v>46213</v>
      </c>
      <c r="F313" s="5" t="s">
        <v>771</v>
      </c>
      <c r="G313" s="5" t="s">
        <v>772</v>
      </c>
      <c r="H313" s="22"/>
      <c r="I313" s="5" t="s">
        <v>603</v>
      </c>
      <c r="J313" s="5" t="s">
        <v>546</v>
      </c>
      <c r="K313" s="5" t="s">
        <v>590</v>
      </c>
      <c r="L313" s="5" t="s">
        <v>149</v>
      </c>
      <c r="M313" s="5" t="s">
        <v>581</v>
      </c>
      <c r="N313" s="5"/>
      <c r="O313" s="8"/>
      <c r="P313" s="22"/>
      <c r="Q313" s="5" t="s">
        <v>773</v>
      </c>
      <c r="R313" s="5" t="s">
        <v>557</v>
      </c>
      <c r="S313" s="5" t="s">
        <v>582</v>
      </c>
      <c r="T313" s="8">
        <v>46298</v>
      </c>
    </row>
    <row r="314" spans="1:20" ht="24" customHeight="1" x14ac:dyDescent="0.35">
      <c r="A314" s="1" t="s">
        <v>1417</v>
      </c>
      <c r="B314" s="1" t="s">
        <v>1418</v>
      </c>
      <c r="C314" s="1" t="s">
        <v>123</v>
      </c>
      <c r="D314" s="1" t="s">
        <v>878</v>
      </c>
      <c r="E314" s="10">
        <v>46213</v>
      </c>
      <c r="F314" s="1" t="s">
        <v>771</v>
      </c>
      <c r="G314" s="1" t="s">
        <v>772</v>
      </c>
      <c r="H314" s="23"/>
      <c r="I314" s="1" t="s">
        <v>603</v>
      </c>
      <c r="J314" s="1" t="s">
        <v>546</v>
      </c>
      <c r="K314" s="1" t="s">
        <v>590</v>
      </c>
      <c r="L314" s="1" t="s">
        <v>608</v>
      </c>
      <c r="M314" s="1" t="s">
        <v>581</v>
      </c>
      <c r="N314" s="1"/>
      <c r="O314" s="10"/>
      <c r="P314" s="23"/>
      <c r="Q314" s="1" t="s">
        <v>1008</v>
      </c>
      <c r="R314" s="1" t="s">
        <v>557</v>
      </c>
      <c r="S314" s="1" t="s">
        <v>582</v>
      </c>
      <c r="T314" s="10">
        <v>46298</v>
      </c>
    </row>
    <row r="315" spans="1:20" ht="24" customHeight="1" x14ac:dyDescent="0.35">
      <c r="A315" s="5" t="s">
        <v>1419</v>
      </c>
      <c r="B315" s="5" t="s">
        <v>1420</v>
      </c>
      <c r="C315" s="5" t="s">
        <v>157</v>
      </c>
      <c r="D315" s="5" t="s">
        <v>878</v>
      </c>
      <c r="E315" s="8">
        <v>46213</v>
      </c>
      <c r="F315" s="5" t="s">
        <v>771</v>
      </c>
      <c r="G315" s="5" t="s">
        <v>772</v>
      </c>
      <c r="H315" s="22"/>
      <c r="I315" s="5" t="s">
        <v>603</v>
      </c>
      <c r="J315" s="5" t="s">
        <v>546</v>
      </c>
      <c r="K315" s="5" t="s">
        <v>590</v>
      </c>
      <c r="L315" s="5" t="s">
        <v>172</v>
      </c>
      <c r="M315" s="5" t="s">
        <v>581</v>
      </c>
      <c r="N315" s="5"/>
      <c r="O315" s="8"/>
      <c r="P315" s="22"/>
      <c r="Q315" s="5" t="s">
        <v>773</v>
      </c>
      <c r="R315" s="5" t="s">
        <v>557</v>
      </c>
      <c r="S315" s="5" t="s">
        <v>582</v>
      </c>
      <c r="T315" s="8">
        <v>46298</v>
      </c>
    </row>
    <row r="316" spans="1:20" ht="24" customHeight="1" x14ac:dyDescent="0.35">
      <c r="A316" s="1" t="s">
        <v>1421</v>
      </c>
      <c r="B316" s="1" t="s">
        <v>1422</v>
      </c>
      <c r="C316" s="1" t="s">
        <v>611</v>
      </c>
      <c r="D316" s="1" t="s">
        <v>355</v>
      </c>
      <c r="E316" s="10">
        <v>46214</v>
      </c>
      <c r="F316" s="1" t="s">
        <v>587</v>
      </c>
      <c r="G316" s="1" t="s">
        <v>588</v>
      </c>
      <c r="H316" s="23">
        <v>12500000</v>
      </c>
      <c r="I316" s="1" t="s">
        <v>589</v>
      </c>
      <c r="J316" s="1" t="s">
        <v>590</v>
      </c>
      <c r="K316" s="1" t="s">
        <v>544</v>
      </c>
      <c r="L316" s="1" t="s">
        <v>591</v>
      </c>
      <c r="M316" s="1" t="s">
        <v>581</v>
      </c>
      <c r="N316" s="1"/>
      <c r="O316" s="10"/>
      <c r="P316" s="23"/>
      <c r="Q316" s="1"/>
      <c r="R316" s="1" t="s">
        <v>557</v>
      </c>
      <c r="S316" s="1" t="s">
        <v>582</v>
      </c>
      <c r="T316" s="10">
        <v>46298</v>
      </c>
    </row>
    <row r="317" spans="1:20" ht="24" customHeight="1" x14ac:dyDescent="0.35">
      <c r="A317" s="5" t="s">
        <v>1423</v>
      </c>
      <c r="B317" s="5" t="s">
        <v>1424</v>
      </c>
      <c r="C317" s="5" t="s">
        <v>215</v>
      </c>
      <c r="D317" s="5" t="s">
        <v>1004</v>
      </c>
      <c r="E317" s="8">
        <v>46214</v>
      </c>
      <c r="F317" s="5" t="s">
        <v>587</v>
      </c>
      <c r="G317" s="5" t="s">
        <v>588</v>
      </c>
      <c r="H317" s="22">
        <v>34000000</v>
      </c>
      <c r="I317" s="5" t="s">
        <v>589</v>
      </c>
      <c r="J317" s="5" t="s">
        <v>590</v>
      </c>
      <c r="K317" s="5" t="s">
        <v>545</v>
      </c>
      <c r="L317" s="5" t="s">
        <v>608</v>
      </c>
      <c r="M317" s="5" t="s">
        <v>581</v>
      </c>
      <c r="N317" s="5"/>
      <c r="O317" s="8"/>
      <c r="P317" s="22"/>
      <c r="Q317" s="5"/>
      <c r="R317" s="5" t="s">
        <v>557</v>
      </c>
      <c r="S317" s="5" t="s">
        <v>582</v>
      </c>
      <c r="T317" s="8">
        <v>46298</v>
      </c>
    </row>
    <row r="318" spans="1:20" ht="24" customHeight="1" x14ac:dyDescent="0.35">
      <c r="A318" s="1" t="s">
        <v>1425</v>
      </c>
      <c r="B318" s="1" t="s">
        <v>1426</v>
      </c>
      <c r="C318" s="1" t="s">
        <v>355</v>
      </c>
      <c r="D318" s="1" t="s">
        <v>1427</v>
      </c>
      <c r="E318" s="10">
        <v>46214</v>
      </c>
      <c r="F318" s="1" t="s">
        <v>771</v>
      </c>
      <c r="G318" s="1" t="s">
        <v>772</v>
      </c>
      <c r="H318" s="23"/>
      <c r="I318" s="1" t="s">
        <v>603</v>
      </c>
      <c r="J318" s="1" t="s">
        <v>544</v>
      </c>
      <c r="K318" s="1" t="s">
        <v>590</v>
      </c>
      <c r="L318" s="1" t="s">
        <v>608</v>
      </c>
      <c r="M318" s="1" t="s">
        <v>581</v>
      </c>
      <c r="N318" s="1"/>
      <c r="O318" s="10"/>
      <c r="P318" s="23"/>
      <c r="Q318" s="1" t="s">
        <v>773</v>
      </c>
      <c r="R318" s="1" t="s">
        <v>557</v>
      </c>
      <c r="S318" s="1" t="s">
        <v>582</v>
      </c>
      <c r="T318" s="10">
        <v>46298</v>
      </c>
    </row>
    <row r="319" spans="1:20" ht="24" customHeight="1" x14ac:dyDescent="0.35">
      <c r="A319" s="5" t="s">
        <v>1428</v>
      </c>
      <c r="B319" s="5" t="s">
        <v>1429</v>
      </c>
      <c r="C319" s="5" t="s">
        <v>1031</v>
      </c>
      <c r="D319" s="5" t="s">
        <v>630</v>
      </c>
      <c r="E319" s="8">
        <v>46214</v>
      </c>
      <c r="F319" s="5" t="s">
        <v>578</v>
      </c>
      <c r="G319" s="5" t="s">
        <v>579</v>
      </c>
      <c r="H319" s="22"/>
      <c r="I319" s="5" t="s">
        <v>580</v>
      </c>
      <c r="J319" s="5" t="s">
        <v>548</v>
      </c>
      <c r="K319" s="5" t="s">
        <v>547</v>
      </c>
      <c r="L319" s="5" t="s">
        <v>149</v>
      </c>
      <c r="M319" s="5" t="s">
        <v>581</v>
      </c>
      <c r="N319" s="5"/>
      <c r="O319" s="8"/>
      <c r="P319" s="22"/>
      <c r="Q319" s="5"/>
      <c r="R319" s="5" t="s">
        <v>557</v>
      </c>
      <c r="S319" s="5" t="s">
        <v>582</v>
      </c>
      <c r="T319" s="8">
        <v>46298</v>
      </c>
    </row>
    <row r="320" spans="1:20" ht="24" customHeight="1" x14ac:dyDescent="0.35">
      <c r="A320" s="1" t="s">
        <v>1430</v>
      </c>
      <c r="B320" s="1" t="s">
        <v>1431</v>
      </c>
      <c r="C320" s="1" t="s">
        <v>606</v>
      </c>
      <c r="D320" s="1" t="s">
        <v>684</v>
      </c>
      <c r="E320" s="10">
        <v>46214</v>
      </c>
      <c r="F320" s="1" t="s">
        <v>587</v>
      </c>
      <c r="G320" s="1" t="s">
        <v>588</v>
      </c>
      <c r="H320" s="23">
        <v>4300000</v>
      </c>
      <c r="I320" s="1" t="s">
        <v>589</v>
      </c>
      <c r="J320" s="1" t="s">
        <v>547</v>
      </c>
      <c r="K320" s="1" t="s">
        <v>590</v>
      </c>
      <c r="L320" s="1" t="s">
        <v>640</v>
      </c>
      <c r="M320" s="1" t="s">
        <v>581</v>
      </c>
      <c r="N320" s="1"/>
      <c r="O320" s="10"/>
      <c r="P320" s="23"/>
      <c r="Q320" s="1"/>
      <c r="R320" s="1" t="s">
        <v>557</v>
      </c>
      <c r="S320" s="1" t="s">
        <v>582</v>
      </c>
      <c r="T320" s="10">
        <v>46298</v>
      </c>
    </row>
    <row r="321" spans="1:20" ht="24" customHeight="1" x14ac:dyDescent="0.35">
      <c r="A321" s="5" t="s">
        <v>1432</v>
      </c>
      <c r="B321" s="5" t="s">
        <v>1433</v>
      </c>
      <c r="C321" s="5" t="s">
        <v>919</v>
      </c>
      <c r="D321" s="5" t="s">
        <v>999</v>
      </c>
      <c r="E321" s="8">
        <v>46214</v>
      </c>
      <c r="F321" s="5" t="s">
        <v>587</v>
      </c>
      <c r="G321" s="5" t="s">
        <v>588</v>
      </c>
      <c r="H321" s="22">
        <v>20000000</v>
      </c>
      <c r="I321" s="5" t="s">
        <v>589</v>
      </c>
      <c r="J321" s="5" t="s">
        <v>590</v>
      </c>
      <c r="K321" s="5" t="s">
        <v>544</v>
      </c>
      <c r="L321" s="5" t="s">
        <v>591</v>
      </c>
      <c r="M321" s="5" t="s">
        <v>581</v>
      </c>
      <c r="N321" s="5"/>
      <c r="O321" s="8"/>
      <c r="P321" s="22"/>
      <c r="Q321" s="5"/>
      <c r="R321" s="5" t="s">
        <v>557</v>
      </c>
      <c r="S321" s="5" t="s">
        <v>582</v>
      </c>
      <c r="T321" s="8">
        <v>46298</v>
      </c>
    </row>
    <row r="322" spans="1:20" ht="24" customHeight="1" x14ac:dyDescent="0.35">
      <c r="A322" s="1" t="s">
        <v>1434</v>
      </c>
      <c r="B322" s="1" t="s">
        <v>1435</v>
      </c>
      <c r="C322" s="1" t="s">
        <v>620</v>
      </c>
      <c r="D322" s="1" t="s">
        <v>1044</v>
      </c>
      <c r="E322" s="10">
        <v>46214</v>
      </c>
      <c r="F322" s="1" t="s">
        <v>771</v>
      </c>
      <c r="G322" s="1" t="s">
        <v>772</v>
      </c>
      <c r="H322" s="23"/>
      <c r="I322" s="1" t="s">
        <v>603</v>
      </c>
      <c r="J322" s="1" t="s">
        <v>546</v>
      </c>
      <c r="K322" s="1" t="s">
        <v>590</v>
      </c>
      <c r="L322" s="1" t="s">
        <v>149</v>
      </c>
      <c r="M322" s="1" t="s">
        <v>581</v>
      </c>
      <c r="N322" s="1"/>
      <c r="O322" s="10"/>
      <c r="P322" s="23"/>
      <c r="Q322" s="1" t="s">
        <v>1008</v>
      </c>
      <c r="R322" s="1" t="s">
        <v>557</v>
      </c>
      <c r="S322" s="1" t="s">
        <v>582</v>
      </c>
      <c r="T322" s="10">
        <v>46298</v>
      </c>
    </row>
    <row r="323" spans="1:20" ht="24" customHeight="1" x14ac:dyDescent="0.35">
      <c r="A323" s="5" t="s">
        <v>1436</v>
      </c>
      <c r="B323" s="5" t="s">
        <v>1437</v>
      </c>
      <c r="C323" s="5" t="s">
        <v>733</v>
      </c>
      <c r="D323" s="5" t="s">
        <v>1438</v>
      </c>
      <c r="E323" s="8">
        <v>46214</v>
      </c>
      <c r="F323" s="5" t="s">
        <v>601</v>
      </c>
      <c r="G323" s="5" t="s">
        <v>602</v>
      </c>
      <c r="H323" s="22"/>
      <c r="I323" s="5" t="s">
        <v>603</v>
      </c>
      <c r="J323" s="5" t="s">
        <v>545</v>
      </c>
      <c r="K323" s="5" t="s">
        <v>590</v>
      </c>
      <c r="L323" s="5" t="s">
        <v>591</v>
      </c>
      <c r="M323" s="5" t="s">
        <v>581</v>
      </c>
      <c r="N323" s="5"/>
      <c r="O323" s="8"/>
      <c r="P323" s="22"/>
      <c r="Q323" s="5"/>
      <c r="R323" s="5" t="s">
        <v>557</v>
      </c>
      <c r="S323" s="5" t="s">
        <v>582</v>
      </c>
      <c r="T323" s="8">
        <v>46298</v>
      </c>
    </row>
    <row r="324" spans="1:20" ht="24" customHeight="1" x14ac:dyDescent="0.35">
      <c r="A324" s="1" t="s">
        <v>1439</v>
      </c>
      <c r="B324" s="1" t="s">
        <v>1440</v>
      </c>
      <c r="C324" s="1" t="s">
        <v>999</v>
      </c>
      <c r="D324" s="1" t="s">
        <v>1441</v>
      </c>
      <c r="E324" s="10">
        <v>46214</v>
      </c>
      <c r="F324" s="1" t="s">
        <v>578</v>
      </c>
      <c r="G324" s="1" t="s">
        <v>579</v>
      </c>
      <c r="H324" s="23"/>
      <c r="I324" s="1" t="s">
        <v>580</v>
      </c>
      <c r="J324" s="1" t="s">
        <v>544</v>
      </c>
      <c r="K324" s="1" t="s">
        <v>590</v>
      </c>
      <c r="L324" s="1" t="s">
        <v>172</v>
      </c>
      <c r="M324" s="1" t="s">
        <v>581</v>
      </c>
      <c r="N324" s="1"/>
      <c r="O324" s="10"/>
      <c r="P324" s="23"/>
      <c r="Q324" s="1"/>
      <c r="R324" s="1" t="s">
        <v>557</v>
      </c>
      <c r="S324" s="1" t="s">
        <v>582</v>
      </c>
      <c r="T324" s="10">
        <v>46298</v>
      </c>
    </row>
    <row r="325" spans="1:20" ht="24" customHeight="1" x14ac:dyDescent="0.35">
      <c r="A325" s="5" t="s">
        <v>1442</v>
      </c>
      <c r="B325" s="5" t="s">
        <v>1443</v>
      </c>
      <c r="C325" s="5" t="s">
        <v>643</v>
      </c>
      <c r="D325" s="5" t="s">
        <v>1444</v>
      </c>
      <c r="E325" s="8">
        <v>46214</v>
      </c>
      <c r="F325" s="5" t="s">
        <v>771</v>
      </c>
      <c r="G325" s="5" t="s">
        <v>772</v>
      </c>
      <c r="H325" s="22"/>
      <c r="I325" s="5" t="s">
        <v>603</v>
      </c>
      <c r="J325" s="5" t="s">
        <v>544</v>
      </c>
      <c r="K325" s="5" t="s">
        <v>590</v>
      </c>
      <c r="L325" s="5" t="s">
        <v>591</v>
      </c>
      <c r="M325" s="5" t="s">
        <v>581</v>
      </c>
      <c r="N325" s="5"/>
      <c r="O325" s="8"/>
      <c r="P325" s="22"/>
      <c r="Q325" s="5" t="s">
        <v>773</v>
      </c>
      <c r="R325" s="5" t="s">
        <v>557</v>
      </c>
      <c r="S325" s="5" t="s">
        <v>582</v>
      </c>
      <c r="T325" s="8">
        <v>46298</v>
      </c>
    </row>
    <row r="326" spans="1:20" ht="24" customHeight="1" x14ac:dyDescent="0.35">
      <c r="A326" s="1" t="s">
        <v>1445</v>
      </c>
      <c r="B326" s="1" t="s">
        <v>502</v>
      </c>
      <c r="C326" s="1" t="s">
        <v>788</v>
      </c>
      <c r="D326" s="1" t="s">
        <v>157</v>
      </c>
      <c r="E326" s="10">
        <v>46214</v>
      </c>
      <c r="F326" s="1" t="s">
        <v>587</v>
      </c>
      <c r="G326" s="1" t="s">
        <v>588</v>
      </c>
      <c r="H326" s="23">
        <v>25600000</v>
      </c>
      <c r="I326" s="1" t="s">
        <v>589</v>
      </c>
      <c r="J326" s="1" t="s">
        <v>546</v>
      </c>
      <c r="K326" s="1" t="s">
        <v>546</v>
      </c>
      <c r="L326" s="1" t="s">
        <v>608</v>
      </c>
      <c r="M326" s="1" t="s">
        <v>581</v>
      </c>
      <c r="N326" s="1"/>
      <c r="O326" s="10"/>
      <c r="P326" s="23"/>
      <c r="Q326" s="1"/>
      <c r="R326" s="1" t="s">
        <v>557</v>
      </c>
      <c r="S326" s="1" t="s">
        <v>582</v>
      </c>
      <c r="T326" s="10">
        <v>46298</v>
      </c>
    </row>
    <row r="327" spans="1:20" ht="24" customHeight="1" x14ac:dyDescent="0.35">
      <c r="A327" s="5" t="s">
        <v>1446</v>
      </c>
      <c r="B327" s="5" t="s">
        <v>1447</v>
      </c>
      <c r="C327" s="5" t="s">
        <v>171</v>
      </c>
      <c r="D327" s="5" t="s">
        <v>825</v>
      </c>
      <c r="E327" s="8">
        <v>46214</v>
      </c>
      <c r="F327" s="5" t="s">
        <v>601</v>
      </c>
      <c r="G327" s="5" t="s">
        <v>602</v>
      </c>
      <c r="H327" s="22"/>
      <c r="I327" s="5" t="s">
        <v>603</v>
      </c>
      <c r="J327" s="5" t="s">
        <v>545</v>
      </c>
      <c r="K327" s="5" t="s">
        <v>590</v>
      </c>
      <c r="L327" s="5" t="s">
        <v>640</v>
      </c>
      <c r="M327" s="5" t="s">
        <v>581</v>
      </c>
      <c r="N327" s="5"/>
      <c r="O327" s="8"/>
      <c r="P327" s="22"/>
      <c r="Q327" s="5"/>
      <c r="R327" s="5" t="s">
        <v>557</v>
      </c>
      <c r="S327" s="5" t="s">
        <v>582</v>
      </c>
      <c r="T327" s="8">
        <v>46298</v>
      </c>
    </row>
    <row r="328" spans="1:20" ht="24" customHeight="1" x14ac:dyDescent="0.35">
      <c r="A328" s="1" t="s">
        <v>1448</v>
      </c>
      <c r="B328" s="1" t="s">
        <v>1449</v>
      </c>
      <c r="C328" s="1" t="s">
        <v>103</v>
      </c>
      <c r="D328" s="1" t="s">
        <v>215</v>
      </c>
      <c r="E328" s="10">
        <v>46214</v>
      </c>
      <c r="F328" s="1" t="s">
        <v>771</v>
      </c>
      <c r="G328" s="1" t="s">
        <v>772</v>
      </c>
      <c r="H328" s="23"/>
      <c r="I328" s="1" t="s">
        <v>603</v>
      </c>
      <c r="J328" s="1" t="s">
        <v>544</v>
      </c>
      <c r="K328" s="1" t="s">
        <v>590</v>
      </c>
      <c r="L328" s="1" t="s">
        <v>591</v>
      </c>
      <c r="M328" s="1" t="s">
        <v>581</v>
      </c>
      <c r="N328" s="1"/>
      <c r="O328" s="10"/>
      <c r="P328" s="23"/>
      <c r="Q328" s="1" t="s">
        <v>773</v>
      </c>
      <c r="R328" s="1" t="s">
        <v>557</v>
      </c>
      <c r="S328" s="1" t="s">
        <v>582</v>
      </c>
      <c r="T328" s="10">
        <v>46298</v>
      </c>
    </row>
    <row r="329" spans="1:20" ht="24" customHeight="1" x14ac:dyDescent="0.35">
      <c r="A329" s="5" t="s">
        <v>1450</v>
      </c>
      <c r="B329" s="5" t="s">
        <v>1451</v>
      </c>
      <c r="C329" s="5" t="s">
        <v>1034</v>
      </c>
      <c r="D329" s="5" t="s">
        <v>1044</v>
      </c>
      <c r="E329" s="8">
        <v>46214</v>
      </c>
      <c r="F329" s="5" t="s">
        <v>578</v>
      </c>
      <c r="G329" s="5" t="s">
        <v>579</v>
      </c>
      <c r="H329" s="22"/>
      <c r="I329" s="5" t="s">
        <v>580</v>
      </c>
      <c r="J329" s="5" t="s">
        <v>546</v>
      </c>
      <c r="K329" s="5" t="s">
        <v>590</v>
      </c>
      <c r="L329" s="5" t="s">
        <v>172</v>
      </c>
      <c r="M329" s="5" t="s">
        <v>581</v>
      </c>
      <c r="N329" s="5"/>
      <c r="O329" s="8"/>
      <c r="P329" s="22"/>
      <c r="Q329" s="5"/>
      <c r="R329" s="5" t="s">
        <v>557</v>
      </c>
      <c r="S329" s="5" t="s">
        <v>582</v>
      </c>
      <c r="T329" s="8">
        <v>46298</v>
      </c>
    </row>
    <row r="330" spans="1:20" ht="24" customHeight="1" x14ac:dyDescent="0.35">
      <c r="A330" s="1" t="s">
        <v>1452</v>
      </c>
      <c r="B330" s="1" t="s">
        <v>1453</v>
      </c>
      <c r="C330" s="1" t="s">
        <v>1311</v>
      </c>
      <c r="D330" s="1" t="s">
        <v>1134</v>
      </c>
      <c r="E330" s="10">
        <v>46214</v>
      </c>
      <c r="F330" s="1" t="s">
        <v>601</v>
      </c>
      <c r="G330" s="1" t="s">
        <v>602</v>
      </c>
      <c r="H330" s="23"/>
      <c r="I330" s="1" t="s">
        <v>603</v>
      </c>
      <c r="J330" s="1" t="s">
        <v>546</v>
      </c>
      <c r="K330" s="1" t="s">
        <v>590</v>
      </c>
      <c r="L330" s="1" t="s">
        <v>591</v>
      </c>
      <c r="M330" s="1" t="s">
        <v>581</v>
      </c>
      <c r="N330" s="1"/>
      <c r="O330" s="10"/>
      <c r="P330" s="23"/>
      <c r="Q330" s="1"/>
      <c r="R330" s="1" t="s">
        <v>557</v>
      </c>
      <c r="S330" s="1" t="s">
        <v>582</v>
      </c>
      <c r="T330" s="10">
        <v>46298</v>
      </c>
    </row>
    <row r="331" spans="1:20" ht="24" customHeight="1" x14ac:dyDescent="0.35">
      <c r="A331" s="5" t="s">
        <v>1454</v>
      </c>
      <c r="B331" s="5" t="s">
        <v>1455</v>
      </c>
      <c r="C331" s="5" t="s">
        <v>1456</v>
      </c>
      <c r="D331" s="5" t="s">
        <v>1272</v>
      </c>
      <c r="E331" s="8">
        <v>46214</v>
      </c>
      <c r="F331" s="5" t="s">
        <v>601</v>
      </c>
      <c r="G331" s="5" t="s">
        <v>602</v>
      </c>
      <c r="H331" s="22"/>
      <c r="I331" s="5" t="s">
        <v>603</v>
      </c>
      <c r="J331" s="5" t="s">
        <v>590</v>
      </c>
      <c r="K331" s="5" t="s">
        <v>548</v>
      </c>
      <c r="L331" s="5" t="s">
        <v>640</v>
      </c>
      <c r="M331" s="5" t="s">
        <v>581</v>
      </c>
      <c r="N331" s="5"/>
      <c r="O331" s="8"/>
      <c r="P331" s="22"/>
      <c r="Q331" s="5"/>
      <c r="R331" s="5" t="s">
        <v>557</v>
      </c>
      <c r="S331" s="5" t="s">
        <v>582</v>
      </c>
      <c r="T331" s="8">
        <v>46298</v>
      </c>
    </row>
    <row r="332" spans="1:20" ht="24" customHeight="1" x14ac:dyDescent="0.35">
      <c r="A332" s="1" t="s">
        <v>1457</v>
      </c>
      <c r="B332" s="1" t="s">
        <v>1458</v>
      </c>
      <c r="C332" s="1" t="s">
        <v>791</v>
      </c>
      <c r="D332" s="1" t="s">
        <v>1459</v>
      </c>
      <c r="E332" s="10">
        <v>46215</v>
      </c>
      <c r="F332" s="1" t="s">
        <v>578</v>
      </c>
      <c r="G332" s="1" t="s">
        <v>579</v>
      </c>
      <c r="H332" s="23"/>
      <c r="I332" s="1" t="s">
        <v>580</v>
      </c>
      <c r="J332" s="1" t="s">
        <v>548</v>
      </c>
      <c r="K332" s="1" t="s">
        <v>590</v>
      </c>
      <c r="L332" s="1" t="s">
        <v>608</v>
      </c>
      <c r="M332" s="1" t="s">
        <v>581</v>
      </c>
      <c r="N332" s="1"/>
      <c r="O332" s="10"/>
      <c r="P332" s="23"/>
      <c r="Q332" s="1"/>
      <c r="R332" s="1" t="s">
        <v>557</v>
      </c>
      <c r="S332" s="1" t="s">
        <v>582</v>
      </c>
      <c r="T332" s="10">
        <v>46298</v>
      </c>
    </row>
    <row r="333" spans="1:20" ht="24" customHeight="1" x14ac:dyDescent="0.35">
      <c r="A333" s="5" t="s">
        <v>1460</v>
      </c>
      <c r="B333" s="5" t="s">
        <v>1461</v>
      </c>
      <c r="C333" s="5" t="s">
        <v>374</v>
      </c>
      <c r="D333" s="5" t="s">
        <v>1462</v>
      </c>
      <c r="E333" s="8">
        <v>46211</v>
      </c>
      <c r="F333" s="5" t="s">
        <v>578</v>
      </c>
      <c r="G333" s="5" t="s">
        <v>579</v>
      </c>
      <c r="H333" s="22"/>
      <c r="I333" s="5" t="s">
        <v>580</v>
      </c>
      <c r="J333" s="5" t="s">
        <v>544</v>
      </c>
      <c r="K333" s="5" t="s">
        <v>590</v>
      </c>
      <c r="L333" s="5" t="s">
        <v>172</v>
      </c>
      <c r="M333" s="5" t="s">
        <v>581</v>
      </c>
      <c r="N333" s="5"/>
      <c r="O333" s="8"/>
      <c r="P333" s="22"/>
      <c r="Q333" s="5"/>
      <c r="R333" s="5" t="s">
        <v>557</v>
      </c>
      <c r="S333" s="5" t="s">
        <v>582</v>
      </c>
      <c r="T333" s="8">
        <v>46298</v>
      </c>
    </row>
    <row r="334" spans="1:20" ht="24" customHeight="1" x14ac:dyDescent="0.35">
      <c r="A334" s="1" t="s">
        <v>1463</v>
      </c>
      <c r="B334" s="1" t="s">
        <v>1464</v>
      </c>
      <c r="C334" s="1" t="s">
        <v>401</v>
      </c>
      <c r="D334" s="1" t="s">
        <v>1047</v>
      </c>
      <c r="E334" s="10">
        <v>46216</v>
      </c>
      <c r="F334" s="1" t="s">
        <v>587</v>
      </c>
      <c r="G334" s="1" t="s">
        <v>588</v>
      </c>
      <c r="H334" s="23">
        <v>1700000</v>
      </c>
      <c r="I334" s="1" t="s">
        <v>589</v>
      </c>
      <c r="J334" s="1" t="s">
        <v>547</v>
      </c>
      <c r="K334" s="1" t="s">
        <v>590</v>
      </c>
      <c r="L334" s="1" t="s">
        <v>608</v>
      </c>
      <c r="M334" s="1" t="s">
        <v>581</v>
      </c>
      <c r="N334" s="1"/>
      <c r="O334" s="10"/>
      <c r="P334" s="23"/>
      <c r="Q334" s="1"/>
      <c r="R334" s="1" t="s">
        <v>557</v>
      </c>
      <c r="S334" s="1" t="s">
        <v>582</v>
      </c>
      <c r="T334" s="10">
        <v>46298</v>
      </c>
    </row>
    <row r="335" spans="1:20" ht="24" customHeight="1" x14ac:dyDescent="0.35">
      <c r="A335" s="5" t="s">
        <v>1465</v>
      </c>
      <c r="B335" s="5" t="s">
        <v>1466</v>
      </c>
      <c r="C335" s="5" t="s">
        <v>103</v>
      </c>
      <c r="D335" s="5" t="s">
        <v>469</v>
      </c>
      <c r="E335" s="8">
        <v>46216</v>
      </c>
      <c r="F335" s="5" t="s">
        <v>587</v>
      </c>
      <c r="G335" s="5" t="s">
        <v>588</v>
      </c>
      <c r="H335" s="22">
        <v>50000000</v>
      </c>
      <c r="I335" s="5" t="s">
        <v>589</v>
      </c>
      <c r="J335" s="5" t="s">
        <v>544</v>
      </c>
      <c r="K335" s="5" t="s">
        <v>544</v>
      </c>
      <c r="L335" s="5" t="s">
        <v>608</v>
      </c>
      <c r="M335" s="5" t="s">
        <v>581</v>
      </c>
      <c r="N335" s="5"/>
      <c r="O335" s="8"/>
      <c r="P335" s="22"/>
      <c r="Q335" s="5"/>
      <c r="R335" s="5" t="s">
        <v>557</v>
      </c>
      <c r="S335" s="5" t="s">
        <v>582</v>
      </c>
      <c r="T335" s="8">
        <v>46298</v>
      </c>
    </row>
    <row r="336" spans="1:20" ht="24" customHeight="1" x14ac:dyDescent="0.35">
      <c r="A336" s="1" t="s">
        <v>1467</v>
      </c>
      <c r="B336" s="1" t="s">
        <v>1468</v>
      </c>
      <c r="C336" s="1" t="s">
        <v>606</v>
      </c>
      <c r="D336" s="1" t="s">
        <v>749</v>
      </c>
      <c r="E336" s="10">
        <v>46216</v>
      </c>
      <c r="F336" s="1" t="s">
        <v>587</v>
      </c>
      <c r="G336" s="1" t="s">
        <v>588</v>
      </c>
      <c r="H336" s="23">
        <v>3000000</v>
      </c>
      <c r="I336" s="1" t="s">
        <v>589</v>
      </c>
      <c r="J336" s="1" t="s">
        <v>547</v>
      </c>
      <c r="K336" s="1" t="s">
        <v>547</v>
      </c>
      <c r="L336" s="1" t="s">
        <v>149</v>
      </c>
      <c r="M336" s="1" t="s">
        <v>581</v>
      </c>
      <c r="N336" s="1"/>
      <c r="O336" s="10"/>
      <c r="P336" s="23"/>
      <c r="Q336" s="1"/>
      <c r="R336" s="1" t="s">
        <v>557</v>
      </c>
      <c r="S336" s="1" t="s">
        <v>582</v>
      </c>
      <c r="T336" s="10">
        <v>46298</v>
      </c>
    </row>
    <row r="337" spans="1:20" ht="24" customHeight="1" x14ac:dyDescent="0.35">
      <c r="A337" s="5" t="s">
        <v>1469</v>
      </c>
      <c r="B337" s="5" t="s">
        <v>1470</v>
      </c>
      <c r="C337" s="5" t="s">
        <v>119</v>
      </c>
      <c r="D337" s="5" t="s">
        <v>749</v>
      </c>
      <c r="E337" s="8">
        <v>46135</v>
      </c>
      <c r="F337" s="5" t="s">
        <v>578</v>
      </c>
      <c r="G337" s="5" t="s">
        <v>579</v>
      </c>
      <c r="H337" s="22"/>
      <c r="I337" s="5" t="s">
        <v>580</v>
      </c>
      <c r="J337" s="5" t="s">
        <v>547</v>
      </c>
      <c r="K337" s="5" t="s">
        <v>547</v>
      </c>
      <c r="L337" s="5" t="s">
        <v>608</v>
      </c>
      <c r="M337" s="5" t="s">
        <v>581</v>
      </c>
      <c r="N337" s="5"/>
      <c r="O337" s="8"/>
      <c r="P337" s="22"/>
      <c r="Q337" s="5" t="s">
        <v>592</v>
      </c>
      <c r="R337" s="5" t="s">
        <v>557</v>
      </c>
      <c r="S337" s="5" t="s">
        <v>582</v>
      </c>
      <c r="T337" s="8">
        <v>46298</v>
      </c>
    </row>
    <row r="338" spans="1:20" ht="24" customHeight="1" x14ac:dyDescent="0.35">
      <c r="A338" s="1" t="s">
        <v>1471</v>
      </c>
      <c r="B338" s="1" t="s">
        <v>1472</v>
      </c>
      <c r="C338" s="1" t="s">
        <v>1129</v>
      </c>
      <c r="D338" s="1" t="s">
        <v>919</v>
      </c>
      <c r="E338" s="10">
        <v>46215</v>
      </c>
      <c r="F338" s="1" t="s">
        <v>601</v>
      </c>
      <c r="G338" s="1" t="s">
        <v>602</v>
      </c>
      <c r="H338" s="23"/>
      <c r="I338" s="1" t="s">
        <v>603</v>
      </c>
      <c r="J338" s="1" t="s">
        <v>545</v>
      </c>
      <c r="K338" s="1" t="s">
        <v>590</v>
      </c>
      <c r="L338" s="1" t="s">
        <v>591</v>
      </c>
      <c r="M338" s="1" t="s">
        <v>581</v>
      </c>
      <c r="N338" s="1"/>
      <c r="O338" s="10"/>
      <c r="P338" s="23"/>
      <c r="Q338" s="1"/>
      <c r="R338" s="1" t="s">
        <v>557</v>
      </c>
      <c r="S338" s="1" t="s">
        <v>582</v>
      </c>
      <c r="T338" s="10">
        <v>46298</v>
      </c>
    </row>
    <row r="339" spans="1:20" ht="24" customHeight="1" x14ac:dyDescent="0.35">
      <c r="A339" s="5" t="s">
        <v>1473</v>
      </c>
      <c r="B339" s="5" t="s">
        <v>1474</v>
      </c>
      <c r="C339" s="5" t="s">
        <v>599</v>
      </c>
      <c r="D339" s="5" t="s">
        <v>1115</v>
      </c>
      <c r="E339" s="8">
        <v>46216</v>
      </c>
      <c r="F339" s="5" t="s">
        <v>771</v>
      </c>
      <c r="G339" s="5" t="s">
        <v>772</v>
      </c>
      <c r="H339" s="22"/>
      <c r="I339" s="5" t="s">
        <v>603</v>
      </c>
      <c r="J339" s="5" t="s">
        <v>544</v>
      </c>
      <c r="K339" s="5" t="s">
        <v>590</v>
      </c>
      <c r="L339" s="5" t="s">
        <v>172</v>
      </c>
      <c r="M339" s="5" t="s">
        <v>581</v>
      </c>
      <c r="N339" s="5"/>
      <c r="O339" s="8"/>
      <c r="P339" s="22"/>
      <c r="Q339" s="5" t="s">
        <v>773</v>
      </c>
      <c r="R339" s="5" t="s">
        <v>557</v>
      </c>
      <c r="S339" s="5" t="s">
        <v>582</v>
      </c>
      <c r="T339" s="8">
        <v>46298</v>
      </c>
    </row>
    <row r="340" spans="1:20" ht="24" customHeight="1" x14ac:dyDescent="0.35">
      <c r="A340" s="1" t="s">
        <v>1475</v>
      </c>
      <c r="B340" s="1" t="s">
        <v>1476</v>
      </c>
      <c r="C340" s="1" t="s">
        <v>186</v>
      </c>
      <c r="D340" s="1" t="s">
        <v>749</v>
      </c>
      <c r="E340" s="10">
        <v>46196</v>
      </c>
      <c r="F340" s="1" t="s">
        <v>1477</v>
      </c>
      <c r="G340" s="1" t="s">
        <v>772</v>
      </c>
      <c r="H340" s="23"/>
      <c r="I340" s="1" t="s">
        <v>603</v>
      </c>
      <c r="J340" s="1" t="s">
        <v>547</v>
      </c>
      <c r="K340" s="1" t="s">
        <v>547</v>
      </c>
      <c r="L340" s="1" t="s">
        <v>608</v>
      </c>
      <c r="M340" s="1" t="s">
        <v>581</v>
      </c>
      <c r="N340" s="1"/>
      <c r="O340" s="10"/>
      <c r="P340" s="23"/>
      <c r="Q340" s="1" t="s">
        <v>631</v>
      </c>
      <c r="R340" s="1" t="s">
        <v>557</v>
      </c>
      <c r="S340" s="1" t="s">
        <v>582</v>
      </c>
      <c r="T340" s="10">
        <v>46298</v>
      </c>
    </row>
    <row r="341" spans="1:20" ht="24" customHeight="1" x14ac:dyDescent="0.35">
      <c r="A341" s="5" t="s">
        <v>1478</v>
      </c>
      <c r="B341" s="5" t="s">
        <v>1479</v>
      </c>
      <c r="C341" s="5" t="s">
        <v>607</v>
      </c>
      <c r="D341" s="5" t="s">
        <v>749</v>
      </c>
      <c r="E341" s="8">
        <v>46171</v>
      </c>
      <c r="F341" s="5" t="s">
        <v>578</v>
      </c>
      <c r="G341" s="5" t="s">
        <v>579</v>
      </c>
      <c r="H341" s="22"/>
      <c r="I341" s="5" t="s">
        <v>580</v>
      </c>
      <c r="J341" s="5" t="s">
        <v>547</v>
      </c>
      <c r="K341" s="5" t="s">
        <v>547</v>
      </c>
      <c r="L341" s="5" t="s">
        <v>149</v>
      </c>
      <c r="M341" s="5" t="s">
        <v>581</v>
      </c>
      <c r="N341" s="5"/>
      <c r="O341" s="8"/>
      <c r="P341" s="22"/>
      <c r="Q341" s="5" t="s">
        <v>592</v>
      </c>
      <c r="R341" s="5" t="s">
        <v>557</v>
      </c>
      <c r="S341" s="5" t="s">
        <v>582</v>
      </c>
      <c r="T341" s="8">
        <v>46298</v>
      </c>
    </row>
    <row r="342" spans="1:20" ht="24" customHeight="1" x14ac:dyDescent="0.35">
      <c r="A342" s="1" t="s">
        <v>1480</v>
      </c>
      <c r="B342" s="1" t="s">
        <v>1481</v>
      </c>
      <c r="C342" s="1" t="s">
        <v>215</v>
      </c>
      <c r="D342" s="1" t="s">
        <v>749</v>
      </c>
      <c r="E342" s="10">
        <v>46169</v>
      </c>
      <c r="F342" s="1" t="s">
        <v>587</v>
      </c>
      <c r="G342" s="1" t="s">
        <v>588</v>
      </c>
      <c r="H342" s="23">
        <v>4300000</v>
      </c>
      <c r="I342" s="1" t="s">
        <v>589</v>
      </c>
      <c r="J342" s="1" t="s">
        <v>590</v>
      </c>
      <c r="K342" s="1" t="s">
        <v>547</v>
      </c>
      <c r="L342" s="1" t="s">
        <v>640</v>
      </c>
      <c r="M342" s="1" t="s">
        <v>581</v>
      </c>
      <c r="N342" s="1"/>
      <c r="O342" s="10"/>
      <c r="P342" s="23"/>
      <c r="Q342" s="1" t="s">
        <v>592</v>
      </c>
      <c r="R342" s="1" t="s">
        <v>557</v>
      </c>
      <c r="S342" s="1" t="s">
        <v>582</v>
      </c>
      <c r="T342" s="10">
        <v>46298</v>
      </c>
    </row>
    <row r="343" spans="1:20" ht="24" customHeight="1" x14ac:dyDescent="0.35">
      <c r="A343" s="5" t="s">
        <v>1482</v>
      </c>
      <c r="B343" s="5" t="s">
        <v>1483</v>
      </c>
      <c r="C343" s="5" t="s">
        <v>620</v>
      </c>
      <c r="D343" s="5" t="s">
        <v>299</v>
      </c>
      <c r="E343" s="8">
        <v>46212</v>
      </c>
      <c r="F343" s="5" t="s">
        <v>771</v>
      </c>
      <c r="G343" s="5" t="s">
        <v>772</v>
      </c>
      <c r="H343" s="22"/>
      <c r="I343" s="5" t="s">
        <v>603</v>
      </c>
      <c r="J343" s="5" t="s">
        <v>546</v>
      </c>
      <c r="K343" s="5" t="s">
        <v>546</v>
      </c>
      <c r="L343" s="5" t="s">
        <v>608</v>
      </c>
      <c r="M343" s="5" t="s">
        <v>581</v>
      </c>
      <c r="N343" s="5"/>
      <c r="O343" s="8"/>
      <c r="P343" s="22"/>
      <c r="Q343" s="5" t="s">
        <v>1008</v>
      </c>
      <c r="R343" s="5" t="s">
        <v>557</v>
      </c>
      <c r="S343" s="5" t="s">
        <v>582</v>
      </c>
      <c r="T343" s="8">
        <v>46298</v>
      </c>
    </row>
    <row r="344" spans="1:20" ht="24" customHeight="1" x14ac:dyDescent="0.35">
      <c r="A344" s="1" t="s">
        <v>1484</v>
      </c>
      <c r="B344" s="1" t="s">
        <v>1485</v>
      </c>
      <c r="C344" s="1" t="s">
        <v>128</v>
      </c>
      <c r="D344" s="1" t="s">
        <v>119</v>
      </c>
      <c r="E344" s="10">
        <v>46216</v>
      </c>
      <c r="F344" s="1" t="s">
        <v>1477</v>
      </c>
      <c r="G344" s="1" t="s">
        <v>772</v>
      </c>
      <c r="H344" s="23"/>
      <c r="I344" s="1" t="s">
        <v>603</v>
      </c>
      <c r="J344" s="1" t="s">
        <v>544</v>
      </c>
      <c r="K344" s="1" t="s">
        <v>547</v>
      </c>
      <c r="L344" s="1" t="s">
        <v>608</v>
      </c>
      <c r="M344" s="1" t="s">
        <v>581</v>
      </c>
      <c r="N344" s="1"/>
      <c r="O344" s="10"/>
      <c r="P344" s="23"/>
      <c r="Q344" s="1"/>
      <c r="R344" s="1" t="s">
        <v>557</v>
      </c>
      <c r="S344" s="1" t="s">
        <v>582</v>
      </c>
      <c r="T344" s="10">
        <v>46298</v>
      </c>
    </row>
    <row r="345" spans="1:20" ht="24" customHeight="1" x14ac:dyDescent="0.35">
      <c r="A345" s="5" t="s">
        <v>1486</v>
      </c>
      <c r="B345" s="5" t="s">
        <v>1487</v>
      </c>
      <c r="C345" s="5" t="s">
        <v>299</v>
      </c>
      <c r="D345" s="5" t="s">
        <v>1488</v>
      </c>
      <c r="E345" s="8">
        <v>46216</v>
      </c>
      <c r="F345" s="5" t="s">
        <v>578</v>
      </c>
      <c r="G345" s="5" t="s">
        <v>579</v>
      </c>
      <c r="H345" s="22"/>
      <c r="I345" s="5" t="s">
        <v>580</v>
      </c>
      <c r="J345" s="5" t="s">
        <v>546</v>
      </c>
      <c r="K345" s="5" t="s">
        <v>590</v>
      </c>
      <c r="L345" s="5" t="s">
        <v>608</v>
      </c>
      <c r="M345" s="5" t="s">
        <v>581</v>
      </c>
      <c r="N345" s="5"/>
      <c r="O345" s="8"/>
      <c r="P345" s="22"/>
      <c r="Q345" s="5"/>
      <c r="R345" s="5" t="s">
        <v>557</v>
      </c>
      <c r="S345" s="5" t="s">
        <v>582</v>
      </c>
      <c r="T345" s="8">
        <v>46298</v>
      </c>
    </row>
    <row r="346" spans="1:20" ht="24" customHeight="1" x14ac:dyDescent="0.35">
      <c r="A346" s="1" t="s">
        <v>1489</v>
      </c>
      <c r="B346" s="1" t="s">
        <v>1490</v>
      </c>
      <c r="C346" s="1" t="s">
        <v>1491</v>
      </c>
      <c r="D346" s="1" t="s">
        <v>157</v>
      </c>
      <c r="E346" s="10">
        <v>46204</v>
      </c>
      <c r="F346" s="1" t="s">
        <v>587</v>
      </c>
      <c r="G346" s="1" t="s">
        <v>588</v>
      </c>
      <c r="H346" s="23">
        <v>12800000</v>
      </c>
      <c r="I346" s="1" t="s">
        <v>589</v>
      </c>
      <c r="J346" s="1" t="s">
        <v>590</v>
      </c>
      <c r="K346" s="1" t="s">
        <v>546</v>
      </c>
      <c r="L346" s="1" t="s">
        <v>149</v>
      </c>
      <c r="M346" s="1" t="s">
        <v>581</v>
      </c>
      <c r="N346" s="1"/>
      <c r="O346" s="10"/>
      <c r="P346" s="23"/>
      <c r="Q346" s="1"/>
      <c r="R346" s="1" t="s">
        <v>557</v>
      </c>
      <c r="S346" s="1" t="s">
        <v>582</v>
      </c>
      <c r="T346" s="10">
        <v>46298</v>
      </c>
    </row>
    <row r="347" spans="1:20" ht="24" customHeight="1" x14ac:dyDescent="0.35">
      <c r="A347" s="5" t="s">
        <v>1492</v>
      </c>
      <c r="B347" s="5" t="s">
        <v>1493</v>
      </c>
      <c r="C347" s="5" t="s">
        <v>585</v>
      </c>
      <c r="D347" s="5" t="s">
        <v>1494</v>
      </c>
      <c r="E347" s="8">
        <v>46216</v>
      </c>
      <c r="F347" s="5" t="s">
        <v>578</v>
      </c>
      <c r="G347" s="5" t="s">
        <v>579</v>
      </c>
      <c r="H347" s="22"/>
      <c r="I347" s="5" t="s">
        <v>580</v>
      </c>
      <c r="J347" s="5" t="s">
        <v>548</v>
      </c>
      <c r="K347" s="5" t="s">
        <v>590</v>
      </c>
      <c r="L347" s="5" t="s">
        <v>591</v>
      </c>
      <c r="M347" s="5" t="s">
        <v>581</v>
      </c>
      <c r="N347" s="5"/>
      <c r="O347" s="8"/>
      <c r="P347" s="22"/>
      <c r="Q347" s="5"/>
      <c r="R347" s="5" t="s">
        <v>557</v>
      </c>
      <c r="S347" s="5" t="s">
        <v>582</v>
      </c>
      <c r="T347" s="8">
        <v>46298</v>
      </c>
    </row>
    <row r="348" spans="1:20" ht="24" customHeight="1" x14ac:dyDescent="0.35">
      <c r="A348" s="1" t="s">
        <v>1495</v>
      </c>
      <c r="B348" s="1" t="s">
        <v>1496</v>
      </c>
      <c r="C348" s="1" t="s">
        <v>190</v>
      </c>
      <c r="D348" s="1" t="s">
        <v>1497</v>
      </c>
      <c r="E348" s="10">
        <v>46216</v>
      </c>
      <c r="F348" s="1" t="s">
        <v>771</v>
      </c>
      <c r="G348" s="1" t="s">
        <v>772</v>
      </c>
      <c r="H348" s="23"/>
      <c r="I348" s="1" t="s">
        <v>603</v>
      </c>
      <c r="J348" s="1" t="s">
        <v>544</v>
      </c>
      <c r="K348" s="1" t="s">
        <v>590</v>
      </c>
      <c r="L348" s="1" t="s">
        <v>608</v>
      </c>
      <c r="M348" s="1" t="s">
        <v>581</v>
      </c>
      <c r="N348" s="1"/>
      <c r="O348" s="10"/>
      <c r="P348" s="23"/>
      <c r="Q348" s="1" t="s">
        <v>773</v>
      </c>
      <c r="R348" s="1" t="s">
        <v>557</v>
      </c>
      <c r="S348" s="1" t="s">
        <v>582</v>
      </c>
      <c r="T348" s="10">
        <v>46298</v>
      </c>
    </row>
    <row r="349" spans="1:20" ht="24" customHeight="1" x14ac:dyDescent="0.35">
      <c r="A349" s="5" t="s">
        <v>1498</v>
      </c>
      <c r="B349" s="5" t="s">
        <v>1499</v>
      </c>
      <c r="C349" s="5" t="s">
        <v>200</v>
      </c>
      <c r="D349" s="5" t="s">
        <v>1500</v>
      </c>
      <c r="E349" s="8">
        <v>46216</v>
      </c>
      <c r="F349" s="5" t="s">
        <v>771</v>
      </c>
      <c r="G349" s="5" t="s">
        <v>772</v>
      </c>
      <c r="H349" s="22"/>
      <c r="I349" s="5" t="s">
        <v>603</v>
      </c>
      <c r="J349" s="5" t="s">
        <v>544</v>
      </c>
      <c r="K349" s="5" t="s">
        <v>590</v>
      </c>
      <c r="L349" s="5" t="s">
        <v>172</v>
      </c>
      <c r="M349" s="5" t="s">
        <v>581</v>
      </c>
      <c r="N349" s="5"/>
      <c r="O349" s="8"/>
      <c r="P349" s="22"/>
      <c r="Q349" s="5" t="s">
        <v>773</v>
      </c>
      <c r="R349" s="5" t="s">
        <v>557</v>
      </c>
      <c r="S349" s="5" t="s">
        <v>582</v>
      </c>
      <c r="T349" s="8">
        <v>46298</v>
      </c>
    </row>
    <row r="350" spans="1:20" ht="24" customHeight="1" x14ac:dyDescent="0.35">
      <c r="A350" s="1" t="s">
        <v>1501</v>
      </c>
      <c r="B350" s="1" t="s">
        <v>120</v>
      </c>
      <c r="C350" s="1" t="s">
        <v>1004</v>
      </c>
      <c r="D350" s="1" t="s">
        <v>1502</v>
      </c>
      <c r="E350" s="10">
        <v>46211</v>
      </c>
      <c r="F350" s="1" t="s">
        <v>578</v>
      </c>
      <c r="G350" s="1" t="s">
        <v>579</v>
      </c>
      <c r="H350" s="23"/>
      <c r="I350" s="1" t="s">
        <v>580</v>
      </c>
      <c r="J350" s="1" t="s">
        <v>545</v>
      </c>
      <c r="K350" s="1" t="s">
        <v>590</v>
      </c>
      <c r="L350" s="1" t="s">
        <v>640</v>
      </c>
      <c r="M350" s="1" t="s">
        <v>581</v>
      </c>
      <c r="N350" s="1"/>
      <c r="O350" s="10"/>
      <c r="P350" s="23"/>
      <c r="Q350" s="1"/>
      <c r="R350" s="1" t="s">
        <v>557</v>
      </c>
      <c r="S350" s="1" t="s">
        <v>582</v>
      </c>
      <c r="T350" s="10">
        <v>46298</v>
      </c>
    </row>
    <row r="351" spans="1:20" ht="24" customHeight="1" x14ac:dyDescent="0.35">
      <c r="A351" s="5" t="s">
        <v>1503</v>
      </c>
      <c r="B351" s="5" t="s">
        <v>1504</v>
      </c>
      <c r="C351" s="5" t="s">
        <v>730</v>
      </c>
      <c r="D351" s="5" t="s">
        <v>585</v>
      </c>
      <c r="E351" s="8">
        <v>46216</v>
      </c>
      <c r="F351" s="5" t="s">
        <v>578</v>
      </c>
      <c r="G351" s="5" t="s">
        <v>579</v>
      </c>
      <c r="H351" s="22"/>
      <c r="I351" s="5" t="s">
        <v>580</v>
      </c>
      <c r="J351" s="5" t="s">
        <v>590</v>
      </c>
      <c r="K351" s="5" t="s">
        <v>548</v>
      </c>
      <c r="L351" s="5" t="s">
        <v>591</v>
      </c>
      <c r="M351" s="5" t="s">
        <v>581</v>
      </c>
      <c r="N351" s="5"/>
      <c r="O351" s="8"/>
      <c r="P351" s="22"/>
      <c r="Q351" s="5"/>
      <c r="R351" s="5" t="s">
        <v>557</v>
      </c>
      <c r="S351" s="5" t="s">
        <v>582</v>
      </c>
      <c r="T351" s="8">
        <v>46298</v>
      </c>
    </row>
    <row r="352" spans="1:20" ht="24" customHeight="1" x14ac:dyDescent="0.35">
      <c r="A352" s="1" t="s">
        <v>1505</v>
      </c>
      <c r="B352" s="1" t="s">
        <v>1506</v>
      </c>
      <c r="C352" s="1" t="s">
        <v>130</v>
      </c>
      <c r="D352" s="1" t="s">
        <v>1229</v>
      </c>
      <c r="E352" s="10">
        <v>46216</v>
      </c>
      <c r="F352" s="1" t="s">
        <v>771</v>
      </c>
      <c r="G352" s="1" t="s">
        <v>772</v>
      </c>
      <c r="H352" s="23"/>
      <c r="I352" s="1" t="s">
        <v>603</v>
      </c>
      <c r="J352" s="1" t="s">
        <v>546</v>
      </c>
      <c r="K352" s="1" t="s">
        <v>590</v>
      </c>
      <c r="L352" s="1" t="s">
        <v>640</v>
      </c>
      <c r="M352" s="1" t="s">
        <v>581</v>
      </c>
      <c r="N352" s="1"/>
      <c r="O352" s="10"/>
      <c r="P352" s="23"/>
      <c r="Q352" s="1" t="s">
        <v>1008</v>
      </c>
      <c r="R352" s="1" t="s">
        <v>557</v>
      </c>
      <c r="S352" s="1" t="s">
        <v>582</v>
      </c>
      <c r="T352" s="10">
        <v>46298</v>
      </c>
    </row>
    <row r="353" spans="1:20" ht="24" customHeight="1" x14ac:dyDescent="0.35">
      <c r="A353" s="5" t="s">
        <v>1507</v>
      </c>
      <c r="B353" s="5" t="s">
        <v>1508</v>
      </c>
      <c r="C353" s="5" t="s">
        <v>797</v>
      </c>
      <c r="D353" s="5" t="s">
        <v>1509</v>
      </c>
      <c r="E353" s="8">
        <v>46216</v>
      </c>
      <c r="F353" s="5" t="s">
        <v>771</v>
      </c>
      <c r="G353" s="5" t="s">
        <v>772</v>
      </c>
      <c r="H353" s="22"/>
      <c r="I353" s="5" t="s">
        <v>603</v>
      </c>
      <c r="J353" s="5" t="s">
        <v>546</v>
      </c>
      <c r="K353" s="5" t="s">
        <v>590</v>
      </c>
      <c r="L353" s="5" t="s">
        <v>591</v>
      </c>
      <c r="M353" s="5" t="s">
        <v>581</v>
      </c>
      <c r="N353" s="5"/>
      <c r="O353" s="8"/>
      <c r="P353" s="22"/>
      <c r="Q353" s="5" t="s">
        <v>773</v>
      </c>
      <c r="R353" s="5" t="s">
        <v>557</v>
      </c>
      <c r="S353" s="5" t="s">
        <v>582</v>
      </c>
      <c r="T353" s="8">
        <v>46298</v>
      </c>
    </row>
    <row r="354" spans="1:20" ht="24" customHeight="1" x14ac:dyDescent="0.35">
      <c r="A354" s="1" t="s">
        <v>1510</v>
      </c>
      <c r="B354" s="1" t="s">
        <v>1511</v>
      </c>
      <c r="C354" s="1" t="s">
        <v>142</v>
      </c>
      <c r="D354" s="1" t="s">
        <v>1210</v>
      </c>
      <c r="E354" s="10">
        <v>46216</v>
      </c>
      <c r="F354" s="1" t="s">
        <v>587</v>
      </c>
      <c r="G354" s="1" t="s">
        <v>588</v>
      </c>
      <c r="H354" s="23">
        <v>5100000</v>
      </c>
      <c r="I354" s="1" t="s">
        <v>589</v>
      </c>
      <c r="J354" s="1" t="s">
        <v>547</v>
      </c>
      <c r="K354" s="1" t="s">
        <v>545</v>
      </c>
      <c r="L354" s="1" t="s">
        <v>608</v>
      </c>
      <c r="M354" s="1" t="s">
        <v>581</v>
      </c>
      <c r="N354" s="1"/>
      <c r="O354" s="10"/>
      <c r="P354" s="23"/>
      <c r="Q354" s="1"/>
      <c r="R354" s="1" t="s">
        <v>557</v>
      </c>
      <c r="S354" s="1" t="s">
        <v>582</v>
      </c>
      <c r="T354" s="10">
        <v>46298</v>
      </c>
    </row>
    <row r="355" spans="1:20" ht="24" customHeight="1" x14ac:dyDescent="0.35">
      <c r="A355" s="5" t="s">
        <v>1512</v>
      </c>
      <c r="B355" s="5" t="s">
        <v>1513</v>
      </c>
      <c r="C355" s="5" t="s">
        <v>953</v>
      </c>
      <c r="D355" s="5" t="s">
        <v>652</v>
      </c>
      <c r="E355" s="8">
        <v>46216</v>
      </c>
      <c r="F355" s="5" t="s">
        <v>587</v>
      </c>
      <c r="G355" s="5" t="s">
        <v>588</v>
      </c>
      <c r="H355" s="22">
        <v>3400000</v>
      </c>
      <c r="I355" s="5" t="s">
        <v>589</v>
      </c>
      <c r="J355" s="5" t="s">
        <v>548</v>
      </c>
      <c r="K355" s="5" t="s">
        <v>547</v>
      </c>
      <c r="L355" s="5" t="s">
        <v>608</v>
      </c>
      <c r="M355" s="5" t="s">
        <v>581</v>
      </c>
      <c r="N355" s="5"/>
      <c r="O355" s="8"/>
      <c r="P355" s="22"/>
      <c r="Q355" s="5"/>
      <c r="R355" s="5" t="s">
        <v>557</v>
      </c>
      <c r="S355" s="5" t="s">
        <v>582</v>
      </c>
      <c r="T355" s="8">
        <v>46298</v>
      </c>
    </row>
    <row r="356" spans="1:20" ht="24" customHeight="1" x14ac:dyDescent="0.35">
      <c r="A356" s="1" t="s">
        <v>1514</v>
      </c>
      <c r="B356" s="1" t="s">
        <v>1515</v>
      </c>
      <c r="C356" s="1" t="s">
        <v>797</v>
      </c>
      <c r="D356" s="1" t="s">
        <v>1516</v>
      </c>
      <c r="E356" s="10">
        <v>46216</v>
      </c>
      <c r="F356" s="1" t="s">
        <v>771</v>
      </c>
      <c r="G356" s="1" t="s">
        <v>772</v>
      </c>
      <c r="H356" s="23"/>
      <c r="I356" s="1" t="s">
        <v>603</v>
      </c>
      <c r="J356" s="1" t="s">
        <v>546</v>
      </c>
      <c r="K356" s="1" t="s">
        <v>590</v>
      </c>
      <c r="L356" s="1" t="s">
        <v>608</v>
      </c>
      <c r="M356" s="1" t="s">
        <v>581</v>
      </c>
      <c r="N356" s="1"/>
      <c r="O356" s="10"/>
      <c r="P356" s="23"/>
      <c r="Q356" s="1" t="s">
        <v>773</v>
      </c>
      <c r="R356" s="1" t="s">
        <v>557</v>
      </c>
      <c r="S356" s="1" t="s">
        <v>582</v>
      </c>
      <c r="T356" s="10">
        <v>46298</v>
      </c>
    </row>
    <row r="357" spans="1:20" ht="24" customHeight="1" x14ac:dyDescent="0.35">
      <c r="A357" s="5" t="s">
        <v>1517</v>
      </c>
      <c r="B357" s="5" t="s">
        <v>1518</v>
      </c>
      <c r="C357" s="5" t="s">
        <v>1099</v>
      </c>
      <c r="D357" s="5" t="s">
        <v>1519</v>
      </c>
      <c r="E357" s="8">
        <v>46216</v>
      </c>
      <c r="F357" s="5" t="s">
        <v>578</v>
      </c>
      <c r="G357" s="5" t="s">
        <v>579</v>
      </c>
      <c r="H357" s="22"/>
      <c r="I357" s="5" t="s">
        <v>580</v>
      </c>
      <c r="J357" s="5" t="s">
        <v>545</v>
      </c>
      <c r="K357" s="5" t="s">
        <v>590</v>
      </c>
      <c r="L357" s="5" t="s">
        <v>608</v>
      </c>
      <c r="M357" s="5" t="s">
        <v>581</v>
      </c>
      <c r="N357" s="5"/>
      <c r="O357" s="8"/>
      <c r="P357" s="22"/>
      <c r="Q357" s="5"/>
      <c r="R357" s="5" t="s">
        <v>557</v>
      </c>
      <c r="S357" s="5" t="s">
        <v>582</v>
      </c>
      <c r="T357" s="8">
        <v>46298</v>
      </c>
    </row>
    <row r="358" spans="1:20" ht="24" customHeight="1" x14ac:dyDescent="0.35">
      <c r="A358" s="1" t="s">
        <v>1520</v>
      </c>
      <c r="B358" s="1" t="s">
        <v>1521</v>
      </c>
      <c r="C358" s="1" t="s">
        <v>176</v>
      </c>
      <c r="D358" s="1" t="s">
        <v>1405</v>
      </c>
      <c r="E358" s="10">
        <v>46216</v>
      </c>
      <c r="F358" s="1" t="s">
        <v>771</v>
      </c>
      <c r="G358" s="1" t="s">
        <v>772</v>
      </c>
      <c r="H358" s="23"/>
      <c r="I358" s="1" t="s">
        <v>603</v>
      </c>
      <c r="J358" s="1" t="s">
        <v>546</v>
      </c>
      <c r="K358" s="1" t="s">
        <v>590</v>
      </c>
      <c r="L358" s="1" t="s">
        <v>640</v>
      </c>
      <c r="M358" s="1" t="s">
        <v>581</v>
      </c>
      <c r="N358" s="1"/>
      <c r="O358" s="10"/>
      <c r="P358" s="23"/>
      <c r="Q358" s="1" t="s">
        <v>773</v>
      </c>
      <c r="R358" s="1" t="s">
        <v>557</v>
      </c>
      <c r="S358" s="1" t="s">
        <v>582</v>
      </c>
      <c r="T358" s="10">
        <v>46298</v>
      </c>
    </row>
    <row r="359" spans="1:20" ht="24" customHeight="1" x14ac:dyDescent="0.35">
      <c r="A359" s="5" t="s">
        <v>1522</v>
      </c>
      <c r="B359" s="5" t="s">
        <v>1523</v>
      </c>
      <c r="C359" s="5" t="s">
        <v>720</v>
      </c>
      <c r="D359" s="5" t="s">
        <v>819</v>
      </c>
      <c r="E359" s="8">
        <v>46216</v>
      </c>
      <c r="F359" s="5" t="s">
        <v>578</v>
      </c>
      <c r="G359" s="5" t="s">
        <v>579</v>
      </c>
      <c r="H359" s="22"/>
      <c r="I359" s="5" t="s">
        <v>580</v>
      </c>
      <c r="J359" s="5" t="s">
        <v>590</v>
      </c>
      <c r="K359" s="5" t="s">
        <v>546</v>
      </c>
      <c r="L359" s="5" t="s">
        <v>608</v>
      </c>
      <c r="M359" s="5" t="s">
        <v>581</v>
      </c>
      <c r="N359" s="5"/>
      <c r="O359" s="8"/>
      <c r="P359" s="22"/>
      <c r="Q359" s="5"/>
      <c r="R359" s="5" t="s">
        <v>557</v>
      </c>
      <c r="S359" s="5" t="s">
        <v>582</v>
      </c>
      <c r="T359" s="8">
        <v>46298</v>
      </c>
    </row>
    <row r="360" spans="1:20" ht="24" customHeight="1" x14ac:dyDescent="0.35">
      <c r="A360" s="1" t="s">
        <v>1524</v>
      </c>
      <c r="B360" s="1" t="s">
        <v>1525</v>
      </c>
      <c r="C360" s="1" t="s">
        <v>157</v>
      </c>
      <c r="D360" s="1" t="s">
        <v>661</v>
      </c>
      <c r="E360" s="10">
        <v>46216</v>
      </c>
      <c r="F360" s="1" t="s">
        <v>771</v>
      </c>
      <c r="G360" s="1" t="s">
        <v>772</v>
      </c>
      <c r="H360" s="23"/>
      <c r="I360" s="1" t="s">
        <v>603</v>
      </c>
      <c r="J360" s="1" t="s">
        <v>546</v>
      </c>
      <c r="K360" s="1" t="s">
        <v>546</v>
      </c>
      <c r="L360" s="1" t="s">
        <v>608</v>
      </c>
      <c r="M360" s="1" t="s">
        <v>581</v>
      </c>
      <c r="N360" s="1"/>
      <c r="O360" s="10"/>
      <c r="P360" s="23"/>
      <c r="Q360" s="1" t="s">
        <v>773</v>
      </c>
      <c r="R360" s="1" t="s">
        <v>557</v>
      </c>
      <c r="S360" s="1" t="s">
        <v>582</v>
      </c>
      <c r="T360" s="10">
        <v>46298</v>
      </c>
    </row>
    <row r="361" spans="1:20" ht="24" customHeight="1" x14ac:dyDescent="0.35">
      <c r="A361" s="5" t="s">
        <v>1526</v>
      </c>
      <c r="B361" s="5" t="s">
        <v>1527</v>
      </c>
      <c r="C361" s="5" t="s">
        <v>391</v>
      </c>
      <c r="D361" s="5" t="s">
        <v>825</v>
      </c>
      <c r="E361" s="8">
        <v>46215</v>
      </c>
      <c r="F361" s="5" t="s">
        <v>771</v>
      </c>
      <c r="G361" s="5" t="s">
        <v>772</v>
      </c>
      <c r="H361" s="22"/>
      <c r="I361" s="5" t="s">
        <v>603</v>
      </c>
      <c r="J361" s="5" t="s">
        <v>544</v>
      </c>
      <c r="K361" s="5" t="s">
        <v>590</v>
      </c>
      <c r="L361" s="5" t="s">
        <v>591</v>
      </c>
      <c r="M361" s="5" t="s">
        <v>581</v>
      </c>
      <c r="N361" s="5"/>
      <c r="O361" s="8"/>
      <c r="P361" s="22"/>
      <c r="Q361" s="5" t="s">
        <v>773</v>
      </c>
      <c r="R361" s="5" t="s">
        <v>557</v>
      </c>
      <c r="S361" s="5" t="s">
        <v>582</v>
      </c>
      <c r="T361" s="8">
        <v>46298</v>
      </c>
    </row>
    <row r="362" spans="1:20" ht="24" customHeight="1" x14ac:dyDescent="0.35">
      <c r="A362" s="1" t="s">
        <v>1528</v>
      </c>
      <c r="B362" s="1" t="s">
        <v>1529</v>
      </c>
      <c r="C362" s="1" t="s">
        <v>130</v>
      </c>
      <c r="D362" s="1" t="s">
        <v>655</v>
      </c>
      <c r="E362" s="10">
        <v>46217</v>
      </c>
      <c r="F362" s="1" t="s">
        <v>578</v>
      </c>
      <c r="G362" s="1" t="s">
        <v>579</v>
      </c>
      <c r="H362" s="23"/>
      <c r="I362" s="1" t="s">
        <v>580</v>
      </c>
      <c r="J362" s="1" t="s">
        <v>546</v>
      </c>
      <c r="K362" s="1" t="s">
        <v>590</v>
      </c>
      <c r="L362" s="1" t="s">
        <v>172</v>
      </c>
      <c r="M362" s="1" t="s">
        <v>581</v>
      </c>
      <c r="N362" s="1"/>
      <c r="O362" s="10"/>
      <c r="P362" s="23"/>
      <c r="Q362" s="1"/>
      <c r="R362" s="1" t="s">
        <v>557</v>
      </c>
      <c r="S362" s="1" t="s">
        <v>582</v>
      </c>
      <c r="T362" s="10">
        <v>46298</v>
      </c>
    </row>
    <row r="363" spans="1:20" ht="24" customHeight="1" x14ac:dyDescent="0.35">
      <c r="A363" s="5" t="s">
        <v>1530</v>
      </c>
      <c r="B363" s="5" t="s">
        <v>1531</v>
      </c>
      <c r="C363" s="5" t="s">
        <v>643</v>
      </c>
      <c r="D363" s="5" t="s">
        <v>128</v>
      </c>
      <c r="E363" s="8">
        <v>46217</v>
      </c>
      <c r="F363" s="5" t="s">
        <v>587</v>
      </c>
      <c r="G363" s="5" t="s">
        <v>588</v>
      </c>
      <c r="H363" s="22">
        <v>46000000</v>
      </c>
      <c r="I363" s="5" t="s">
        <v>589</v>
      </c>
      <c r="J363" s="5" t="s">
        <v>544</v>
      </c>
      <c r="K363" s="5" t="s">
        <v>544</v>
      </c>
      <c r="L363" s="5" t="s">
        <v>149</v>
      </c>
      <c r="M363" s="5" t="s">
        <v>581</v>
      </c>
      <c r="N363" s="5"/>
      <c r="O363" s="8"/>
      <c r="P363" s="22"/>
      <c r="Q363" s="5"/>
      <c r="R363" s="5" t="s">
        <v>557</v>
      </c>
      <c r="S363" s="5" t="s">
        <v>582</v>
      </c>
      <c r="T363" s="8">
        <v>46298</v>
      </c>
    </row>
    <row r="364" spans="1:20" ht="24" customHeight="1" x14ac:dyDescent="0.35">
      <c r="A364" s="1" t="s">
        <v>1532</v>
      </c>
      <c r="B364" s="1" t="s">
        <v>1533</v>
      </c>
      <c r="C364" s="1" t="s">
        <v>953</v>
      </c>
      <c r="D364" s="1" t="s">
        <v>1272</v>
      </c>
      <c r="E364" s="10">
        <v>46217</v>
      </c>
      <c r="F364" s="1" t="s">
        <v>578</v>
      </c>
      <c r="G364" s="1" t="s">
        <v>579</v>
      </c>
      <c r="H364" s="23"/>
      <c r="I364" s="1" t="s">
        <v>580</v>
      </c>
      <c r="J364" s="1" t="s">
        <v>548</v>
      </c>
      <c r="K364" s="1" t="s">
        <v>548</v>
      </c>
      <c r="L364" s="1" t="s">
        <v>149</v>
      </c>
      <c r="M364" s="1" t="s">
        <v>581</v>
      </c>
      <c r="N364" s="1"/>
      <c r="O364" s="10"/>
      <c r="P364" s="23"/>
      <c r="Q364" s="1"/>
      <c r="R364" s="1" t="s">
        <v>557</v>
      </c>
      <c r="S364" s="1" t="s">
        <v>582</v>
      </c>
      <c r="T364" s="10">
        <v>46298</v>
      </c>
    </row>
    <row r="365" spans="1:20" ht="24" customHeight="1" x14ac:dyDescent="0.35">
      <c r="A365" s="5" t="s">
        <v>1534</v>
      </c>
      <c r="B365" s="5" t="s">
        <v>1535</v>
      </c>
      <c r="C365" s="5" t="s">
        <v>681</v>
      </c>
      <c r="D365" s="5" t="s">
        <v>927</v>
      </c>
      <c r="E365" s="8">
        <v>46217</v>
      </c>
      <c r="F365" s="5" t="s">
        <v>601</v>
      </c>
      <c r="G365" s="5" t="s">
        <v>602</v>
      </c>
      <c r="H365" s="22"/>
      <c r="I365" s="5" t="s">
        <v>603</v>
      </c>
      <c r="J365" s="5" t="s">
        <v>548</v>
      </c>
      <c r="K365" s="5" t="s">
        <v>590</v>
      </c>
      <c r="L365" s="5" t="s">
        <v>608</v>
      </c>
      <c r="M365" s="5" t="s">
        <v>581</v>
      </c>
      <c r="N365" s="5"/>
      <c r="O365" s="8"/>
      <c r="P365" s="22"/>
      <c r="Q365" s="5"/>
      <c r="R365" s="5" t="s">
        <v>557</v>
      </c>
      <c r="S365" s="5" t="s">
        <v>582</v>
      </c>
      <c r="T365" s="8">
        <v>46298</v>
      </c>
    </row>
    <row r="366" spans="1:20" ht="24" customHeight="1" x14ac:dyDescent="0.35">
      <c r="A366" s="1" t="s">
        <v>1536</v>
      </c>
      <c r="B366" s="1" t="s">
        <v>1537</v>
      </c>
      <c r="C366" s="1" t="s">
        <v>706</v>
      </c>
      <c r="D366" s="1" t="s">
        <v>1538</v>
      </c>
      <c r="E366" s="10">
        <v>46217</v>
      </c>
      <c r="F366" s="1" t="s">
        <v>587</v>
      </c>
      <c r="G366" s="1" t="s">
        <v>588</v>
      </c>
      <c r="H366" s="23">
        <v>4270000</v>
      </c>
      <c r="I366" s="1" t="s">
        <v>589</v>
      </c>
      <c r="J366" s="1" t="s">
        <v>545</v>
      </c>
      <c r="K366" s="1" t="s">
        <v>590</v>
      </c>
      <c r="L366" s="1" t="s">
        <v>149</v>
      </c>
      <c r="M366" s="1" t="s">
        <v>581</v>
      </c>
      <c r="N366" s="1"/>
      <c r="O366" s="10"/>
      <c r="P366" s="23"/>
      <c r="Q366" s="1"/>
      <c r="R366" s="1" t="s">
        <v>557</v>
      </c>
      <c r="S366" s="1" t="s">
        <v>582</v>
      </c>
      <c r="T366" s="10">
        <v>46298</v>
      </c>
    </row>
    <row r="367" spans="1:20" ht="24" customHeight="1" x14ac:dyDescent="0.35">
      <c r="A367" s="5" t="s">
        <v>1539</v>
      </c>
      <c r="B367" s="5" t="s">
        <v>1540</v>
      </c>
      <c r="C367" s="5" t="s">
        <v>627</v>
      </c>
      <c r="D367" s="5" t="s">
        <v>200</v>
      </c>
      <c r="E367" s="8">
        <v>46217</v>
      </c>
      <c r="F367" s="5" t="s">
        <v>587</v>
      </c>
      <c r="G367" s="5" t="s">
        <v>588</v>
      </c>
      <c r="H367" s="22">
        <v>21300000</v>
      </c>
      <c r="I367" s="5" t="s">
        <v>589</v>
      </c>
      <c r="J367" s="5" t="s">
        <v>545</v>
      </c>
      <c r="K367" s="5" t="s">
        <v>544</v>
      </c>
      <c r="L367" s="5" t="s">
        <v>640</v>
      </c>
      <c r="M367" s="5" t="s">
        <v>581</v>
      </c>
      <c r="N367" s="5"/>
      <c r="O367" s="8"/>
      <c r="P367" s="22"/>
      <c r="Q367" s="5"/>
      <c r="R367" s="5" t="s">
        <v>557</v>
      </c>
      <c r="S367" s="5" t="s">
        <v>582</v>
      </c>
      <c r="T367" s="8">
        <v>46298</v>
      </c>
    </row>
    <row r="368" spans="1:20" ht="24" customHeight="1" x14ac:dyDescent="0.35">
      <c r="A368" s="1" t="s">
        <v>1541</v>
      </c>
      <c r="B368" s="1" t="s">
        <v>1542</v>
      </c>
      <c r="C368" s="1" t="s">
        <v>717</v>
      </c>
      <c r="D368" s="1" t="s">
        <v>1184</v>
      </c>
      <c r="E368" s="10">
        <v>46217</v>
      </c>
      <c r="F368" s="1" t="s">
        <v>578</v>
      </c>
      <c r="G368" s="1" t="s">
        <v>579</v>
      </c>
      <c r="H368" s="23"/>
      <c r="I368" s="1" t="s">
        <v>580</v>
      </c>
      <c r="J368" s="1" t="s">
        <v>547</v>
      </c>
      <c r="K368" s="1" t="s">
        <v>546</v>
      </c>
      <c r="L368" s="1" t="s">
        <v>149</v>
      </c>
      <c r="M368" s="1" t="s">
        <v>581</v>
      </c>
      <c r="N368" s="1"/>
      <c r="O368" s="10"/>
      <c r="P368" s="23"/>
      <c r="Q368" s="1"/>
      <c r="R368" s="1" t="s">
        <v>557</v>
      </c>
      <c r="S368" s="1" t="s">
        <v>582</v>
      </c>
      <c r="T368" s="10">
        <v>46298</v>
      </c>
    </row>
    <row r="369" spans="1:20" ht="24" customHeight="1" x14ac:dyDescent="0.35">
      <c r="A369" s="5" t="s">
        <v>1543</v>
      </c>
      <c r="B369" s="5" t="s">
        <v>1544</v>
      </c>
      <c r="C369" s="5" t="s">
        <v>423</v>
      </c>
      <c r="D369" s="5" t="s">
        <v>1545</v>
      </c>
      <c r="E369" s="8">
        <v>46217</v>
      </c>
      <c r="F369" s="5" t="s">
        <v>771</v>
      </c>
      <c r="G369" s="5" t="s">
        <v>772</v>
      </c>
      <c r="H369" s="22"/>
      <c r="I369" s="5" t="s">
        <v>603</v>
      </c>
      <c r="J369" s="5" t="s">
        <v>546</v>
      </c>
      <c r="K369" s="5" t="s">
        <v>590</v>
      </c>
      <c r="L369" s="5" t="s">
        <v>149</v>
      </c>
      <c r="M369" s="5" t="s">
        <v>581</v>
      </c>
      <c r="N369" s="5"/>
      <c r="O369" s="8"/>
      <c r="P369" s="22"/>
      <c r="Q369" s="5" t="s">
        <v>773</v>
      </c>
      <c r="R369" s="5" t="s">
        <v>557</v>
      </c>
      <c r="S369" s="5" t="s">
        <v>582</v>
      </c>
      <c r="T369" s="8">
        <v>46298</v>
      </c>
    </row>
    <row r="370" spans="1:20" ht="24" customHeight="1" x14ac:dyDescent="0.35">
      <c r="A370" s="1" t="s">
        <v>1546</v>
      </c>
      <c r="B370" s="1" t="s">
        <v>1547</v>
      </c>
      <c r="C370" s="1" t="s">
        <v>106</v>
      </c>
      <c r="D370" s="1" t="s">
        <v>469</v>
      </c>
      <c r="E370" s="10">
        <v>46217</v>
      </c>
      <c r="F370" s="1" t="s">
        <v>587</v>
      </c>
      <c r="G370" s="1" t="s">
        <v>588</v>
      </c>
      <c r="H370" s="23">
        <v>35000000</v>
      </c>
      <c r="I370" s="1" t="s">
        <v>589</v>
      </c>
      <c r="J370" s="1" t="s">
        <v>544</v>
      </c>
      <c r="K370" s="1" t="s">
        <v>544</v>
      </c>
      <c r="L370" s="1" t="s">
        <v>608</v>
      </c>
      <c r="M370" s="1" t="s">
        <v>581</v>
      </c>
      <c r="N370" s="1"/>
      <c r="O370" s="10"/>
      <c r="P370" s="23"/>
      <c r="Q370" s="1"/>
      <c r="R370" s="1" t="s">
        <v>557</v>
      </c>
      <c r="S370" s="1" t="s">
        <v>582</v>
      </c>
      <c r="T370" s="10">
        <v>46298</v>
      </c>
    </row>
    <row r="371" spans="1:20" ht="24" customHeight="1" x14ac:dyDescent="0.35">
      <c r="A371" s="5" t="s">
        <v>1548</v>
      </c>
      <c r="B371" s="5" t="s">
        <v>1549</v>
      </c>
      <c r="C371" s="5" t="s">
        <v>137</v>
      </c>
      <c r="D371" s="5" t="s">
        <v>850</v>
      </c>
      <c r="E371" s="8">
        <v>46218</v>
      </c>
      <c r="F371" s="5" t="s">
        <v>578</v>
      </c>
      <c r="G371" s="5" t="s">
        <v>579</v>
      </c>
      <c r="H371" s="22"/>
      <c r="I371" s="5" t="s">
        <v>580</v>
      </c>
      <c r="J371" s="5" t="s">
        <v>548</v>
      </c>
      <c r="K371" s="5" t="s">
        <v>544</v>
      </c>
      <c r="L371" s="5" t="s">
        <v>149</v>
      </c>
      <c r="M371" s="5" t="s">
        <v>581</v>
      </c>
      <c r="N371" s="5"/>
      <c r="O371" s="8"/>
      <c r="P371" s="22"/>
      <c r="Q371" s="5"/>
      <c r="R371" s="5" t="s">
        <v>557</v>
      </c>
      <c r="S371" s="5" t="s">
        <v>582</v>
      </c>
      <c r="T371" s="8">
        <v>46298</v>
      </c>
    </row>
    <row r="372" spans="1:20" ht="24" customHeight="1" x14ac:dyDescent="0.35">
      <c r="A372" s="1" t="s">
        <v>1550</v>
      </c>
      <c r="B372" s="1" t="s">
        <v>1551</v>
      </c>
      <c r="C372" s="1" t="s">
        <v>1220</v>
      </c>
      <c r="D372" s="1" t="s">
        <v>1031</v>
      </c>
      <c r="E372" s="10">
        <v>46218</v>
      </c>
      <c r="F372" s="1" t="s">
        <v>587</v>
      </c>
      <c r="G372" s="1" t="s">
        <v>588</v>
      </c>
      <c r="H372" s="23">
        <v>1700000</v>
      </c>
      <c r="I372" s="1" t="s">
        <v>589</v>
      </c>
      <c r="J372" s="1" t="s">
        <v>590</v>
      </c>
      <c r="K372" s="1" t="s">
        <v>548</v>
      </c>
      <c r="L372" s="1" t="s">
        <v>149</v>
      </c>
      <c r="M372" s="1" t="s">
        <v>581</v>
      </c>
      <c r="N372" s="1"/>
      <c r="O372" s="10"/>
      <c r="P372" s="23"/>
      <c r="Q372" s="1"/>
      <c r="R372" s="1" t="s">
        <v>557</v>
      </c>
      <c r="S372" s="1" t="s">
        <v>582</v>
      </c>
      <c r="T372" s="10">
        <v>46298</v>
      </c>
    </row>
    <row r="373" spans="1:20" ht="24" customHeight="1" x14ac:dyDescent="0.35">
      <c r="A373" s="5" t="s">
        <v>1552</v>
      </c>
      <c r="B373" s="5" t="s">
        <v>1553</v>
      </c>
      <c r="C373" s="5" t="s">
        <v>1554</v>
      </c>
      <c r="D373" s="5" t="s">
        <v>423</v>
      </c>
      <c r="E373" s="8">
        <v>46218</v>
      </c>
      <c r="F373" s="5" t="s">
        <v>587</v>
      </c>
      <c r="G373" s="5" t="s">
        <v>588</v>
      </c>
      <c r="H373" s="22">
        <v>5100000</v>
      </c>
      <c r="I373" s="5" t="s">
        <v>589</v>
      </c>
      <c r="J373" s="5" t="s">
        <v>590</v>
      </c>
      <c r="K373" s="5" t="s">
        <v>546</v>
      </c>
      <c r="L373" s="5" t="s">
        <v>608</v>
      </c>
      <c r="M373" s="5" t="s">
        <v>581</v>
      </c>
      <c r="N373" s="5"/>
      <c r="O373" s="8"/>
      <c r="P373" s="22"/>
      <c r="Q373" s="5"/>
      <c r="R373" s="5" t="s">
        <v>557</v>
      </c>
      <c r="S373" s="5" t="s">
        <v>582</v>
      </c>
      <c r="T373" s="8">
        <v>46298</v>
      </c>
    </row>
    <row r="374" spans="1:20" ht="24" customHeight="1" x14ac:dyDescent="0.35">
      <c r="A374" s="1" t="s">
        <v>1555</v>
      </c>
      <c r="B374" s="1" t="s">
        <v>1556</v>
      </c>
      <c r="C374" s="1" t="s">
        <v>1557</v>
      </c>
      <c r="D374" s="1" t="s">
        <v>123</v>
      </c>
      <c r="E374" s="10">
        <v>46218</v>
      </c>
      <c r="F374" s="1" t="s">
        <v>601</v>
      </c>
      <c r="G374" s="1" t="s">
        <v>602</v>
      </c>
      <c r="H374" s="23"/>
      <c r="I374" s="1" t="s">
        <v>603</v>
      </c>
      <c r="J374" s="1" t="s">
        <v>590</v>
      </c>
      <c r="K374" s="1" t="s">
        <v>546</v>
      </c>
      <c r="L374" s="1" t="s">
        <v>640</v>
      </c>
      <c r="M374" s="1" t="s">
        <v>581</v>
      </c>
      <c r="N374" s="1"/>
      <c r="O374" s="10"/>
      <c r="P374" s="23"/>
      <c r="Q374" s="1"/>
      <c r="R374" s="1" t="s">
        <v>557</v>
      </c>
      <c r="S374" s="1" t="s">
        <v>582</v>
      </c>
      <c r="T374" s="10">
        <v>46298</v>
      </c>
    </row>
    <row r="375" spans="1:20" ht="24" customHeight="1" x14ac:dyDescent="0.35">
      <c r="A375" s="5" t="s">
        <v>1558</v>
      </c>
      <c r="B375" s="5" t="s">
        <v>1559</v>
      </c>
      <c r="C375" s="5" t="s">
        <v>106</v>
      </c>
      <c r="D375" s="5" t="s">
        <v>162</v>
      </c>
      <c r="E375" s="8">
        <v>46218</v>
      </c>
      <c r="F375" s="5" t="s">
        <v>587</v>
      </c>
      <c r="G375" s="5" t="s">
        <v>588</v>
      </c>
      <c r="H375" s="22">
        <v>9000000</v>
      </c>
      <c r="I375" s="5" t="s">
        <v>589</v>
      </c>
      <c r="J375" s="5" t="s">
        <v>544</v>
      </c>
      <c r="K375" s="5" t="s">
        <v>590</v>
      </c>
      <c r="L375" s="5" t="s">
        <v>640</v>
      </c>
      <c r="M375" s="5" t="s">
        <v>581</v>
      </c>
      <c r="N375" s="5"/>
      <c r="O375" s="8"/>
      <c r="P375" s="22"/>
      <c r="Q375" s="5"/>
      <c r="R375" s="5" t="s">
        <v>557</v>
      </c>
      <c r="S375" s="5" t="s">
        <v>582</v>
      </c>
      <c r="T375" s="8">
        <v>46298</v>
      </c>
    </row>
    <row r="376" spans="1:20" ht="24" customHeight="1" x14ac:dyDescent="0.35">
      <c r="A376" s="1" t="s">
        <v>1560</v>
      </c>
      <c r="B376" s="1" t="s">
        <v>1561</v>
      </c>
      <c r="C376" s="1" t="s">
        <v>611</v>
      </c>
      <c r="D376" s="1" t="s">
        <v>661</v>
      </c>
      <c r="E376" s="10">
        <v>46218</v>
      </c>
      <c r="F376" s="1" t="s">
        <v>601</v>
      </c>
      <c r="G376" s="1" t="s">
        <v>602</v>
      </c>
      <c r="H376" s="23"/>
      <c r="I376" s="1" t="s">
        <v>603</v>
      </c>
      <c r="J376" s="1" t="s">
        <v>590</v>
      </c>
      <c r="K376" s="1" t="s">
        <v>546</v>
      </c>
      <c r="L376" s="1" t="s">
        <v>608</v>
      </c>
      <c r="M376" s="1" t="s">
        <v>581</v>
      </c>
      <c r="N376" s="1"/>
      <c r="O376" s="10"/>
      <c r="P376" s="23"/>
      <c r="Q376" s="1"/>
      <c r="R376" s="1" t="s">
        <v>557</v>
      </c>
      <c r="S376" s="1" t="s">
        <v>582</v>
      </c>
      <c r="T376" s="10">
        <v>46298</v>
      </c>
    </row>
    <row r="377" spans="1:20" ht="24" customHeight="1" x14ac:dyDescent="0.35">
      <c r="A377" s="5" t="s">
        <v>1562</v>
      </c>
      <c r="B377" s="5" t="s">
        <v>357</v>
      </c>
      <c r="C377" s="5" t="s">
        <v>1563</v>
      </c>
      <c r="D377" s="5" t="s">
        <v>1213</v>
      </c>
      <c r="E377" s="8">
        <v>46218</v>
      </c>
      <c r="F377" s="5" t="s">
        <v>587</v>
      </c>
      <c r="G377" s="5" t="s">
        <v>588</v>
      </c>
      <c r="H377" s="22">
        <v>33000000</v>
      </c>
      <c r="I377" s="5" t="s">
        <v>589</v>
      </c>
      <c r="J377" s="5" t="s">
        <v>548</v>
      </c>
      <c r="K377" s="5" t="s">
        <v>590</v>
      </c>
      <c r="L377" s="5" t="s">
        <v>640</v>
      </c>
      <c r="M377" s="5" t="s">
        <v>581</v>
      </c>
      <c r="N377" s="5"/>
      <c r="O377" s="8"/>
      <c r="P377" s="22"/>
      <c r="Q377" s="5"/>
      <c r="R377" s="5" t="s">
        <v>557</v>
      </c>
      <c r="S377" s="5" t="s">
        <v>582</v>
      </c>
      <c r="T377" s="8">
        <v>46298</v>
      </c>
    </row>
    <row r="378" spans="1:20" ht="24" customHeight="1" x14ac:dyDescent="0.35">
      <c r="A378" s="1" t="s">
        <v>1564</v>
      </c>
      <c r="B378" s="1" t="s">
        <v>1565</v>
      </c>
      <c r="C378" s="1" t="s">
        <v>706</v>
      </c>
      <c r="D378" s="1" t="s">
        <v>1566</v>
      </c>
      <c r="E378" s="10">
        <v>46217</v>
      </c>
      <c r="F378" s="1" t="s">
        <v>771</v>
      </c>
      <c r="G378" s="1" t="s">
        <v>772</v>
      </c>
      <c r="H378" s="23"/>
      <c r="I378" s="1" t="s">
        <v>603</v>
      </c>
      <c r="J378" s="1" t="s">
        <v>545</v>
      </c>
      <c r="K378" s="1" t="s">
        <v>590</v>
      </c>
      <c r="L378" s="1" t="s">
        <v>149</v>
      </c>
      <c r="M378" s="1" t="s">
        <v>581</v>
      </c>
      <c r="N378" s="1"/>
      <c r="O378" s="10"/>
      <c r="P378" s="23"/>
      <c r="Q378" s="1" t="s">
        <v>773</v>
      </c>
      <c r="R378" s="1" t="s">
        <v>557</v>
      </c>
      <c r="S378" s="1" t="s">
        <v>582</v>
      </c>
      <c r="T378" s="10">
        <v>46298</v>
      </c>
    </row>
    <row r="379" spans="1:20" ht="24" customHeight="1" x14ac:dyDescent="0.35">
      <c r="A379" s="5" t="s">
        <v>1567</v>
      </c>
      <c r="B379" s="5" t="s">
        <v>1568</v>
      </c>
      <c r="C379" s="5" t="s">
        <v>1004</v>
      </c>
      <c r="D379" s="5" t="s">
        <v>1569</v>
      </c>
      <c r="E379" s="8">
        <v>46217</v>
      </c>
      <c r="F379" s="5" t="s">
        <v>771</v>
      </c>
      <c r="G379" s="5" t="s">
        <v>772</v>
      </c>
      <c r="H379" s="22"/>
      <c r="I379" s="5" t="s">
        <v>603</v>
      </c>
      <c r="J379" s="5" t="s">
        <v>545</v>
      </c>
      <c r="K379" s="5" t="s">
        <v>590</v>
      </c>
      <c r="L379" s="5" t="s">
        <v>172</v>
      </c>
      <c r="M379" s="5" t="s">
        <v>581</v>
      </c>
      <c r="N379" s="5"/>
      <c r="O379" s="8"/>
      <c r="P379" s="22"/>
      <c r="Q379" s="5" t="s">
        <v>773</v>
      </c>
      <c r="R379" s="5" t="s">
        <v>557</v>
      </c>
      <c r="S379" s="5" t="s">
        <v>582</v>
      </c>
      <c r="T379" s="8">
        <v>46298</v>
      </c>
    </row>
    <row r="380" spans="1:20" ht="24" customHeight="1" x14ac:dyDescent="0.35">
      <c r="A380" s="1" t="s">
        <v>1570</v>
      </c>
      <c r="B380" s="1" t="s">
        <v>1571</v>
      </c>
      <c r="C380" s="1" t="s">
        <v>996</v>
      </c>
      <c r="D380" s="1" t="s">
        <v>585</v>
      </c>
      <c r="E380" s="10">
        <v>46217</v>
      </c>
      <c r="F380" s="1" t="s">
        <v>587</v>
      </c>
      <c r="G380" s="1" t="s">
        <v>588</v>
      </c>
      <c r="H380" s="23">
        <v>5100000</v>
      </c>
      <c r="I380" s="1" t="s">
        <v>589</v>
      </c>
      <c r="J380" s="1" t="s">
        <v>590</v>
      </c>
      <c r="K380" s="1" t="s">
        <v>548</v>
      </c>
      <c r="L380" s="1" t="s">
        <v>591</v>
      </c>
      <c r="M380" s="1" t="s">
        <v>581</v>
      </c>
      <c r="N380" s="1"/>
      <c r="O380" s="10"/>
      <c r="P380" s="23"/>
      <c r="Q380" s="1"/>
      <c r="R380" s="1" t="s">
        <v>557</v>
      </c>
      <c r="S380" s="1" t="s">
        <v>582</v>
      </c>
      <c r="T380" s="10">
        <v>46298</v>
      </c>
    </row>
    <row r="381" spans="1:20" ht="24" customHeight="1" x14ac:dyDescent="0.35">
      <c r="A381" s="5" t="s">
        <v>1572</v>
      </c>
      <c r="B381" s="5" t="s">
        <v>1573</v>
      </c>
      <c r="C381" s="5" t="s">
        <v>157</v>
      </c>
      <c r="D381" s="5" t="s">
        <v>646</v>
      </c>
      <c r="E381" s="8">
        <v>46217</v>
      </c>
      <c r="F381" s="5" t="s">
        <v>587</v>
      </c>
      <c r="G381" s="5" t="s">
        <v>588</v>
      </c>
      <c r="H381" s="22">
        <v>1700000</v>
      </c>
      <c r="I381" s="5" t="s">
        <v>589</v>
      </c>
      <c r="J381" s="5" t="s">
        <v>546</v>
      </c>
      <c r="K381" s="5" t="s">
        <v>590</v>
      </c>
      <c r="L381" s="5" t="s">
        <v>608</v>
      </c>
      <c r="M381" s="5" t="s">
        <v>581</v>
      </c>
      <c r="N381" s="5"/>
      <c r="O381" s="8"/>
      <c r="P381" s="22"/>
      <c r="Q381" s="5"/>
      <c r="R381" s="5" t="s">
        <v>557</v>
      </c>
      <c r="S381" s="5" t="s">
        <v>582</v>
      </c>
      <c r="T381" s="8">
        <v>46298</v>
      </c>
    </row>
    <row r="382" spans="1:20" ht="24" customHeight="1" x14ac:dyDescent="0.35">
      <c r="A382" s="1" t="s">
        <v>1574</v>
      </c>
      <c r="B382" s="1" t="s">
        <v>1575</v>
      </c>
      <c r="C382" s="1" t="s">
        <v>157</v>
      </c>
      <c r="D382" s="1" t="s">
        <v>818</v>
      </c>
      <c r="E382" s="10">
        <v>46217</v>
      </c>
      <c r="F382" s="1" t="s">
        <v>771</v>
      </c>
      <c r="G382" s="1" t="s">
        <v>772</v>
      </c>
      <c r="H382" s="23"/>
      <c r="I382" s="1" t="s">
        <v>603</v>
      </c>
      <c r="J382" s="1" t="s">
        <v>546</v>
      </c>
      <c r="K382" s="1" t="s">
        <v>590</v>
      </c>
      <c r="L382" s="1" t="s">
        <v>640</v>
      </c>
      <c r="M382" s="1" t="s">
        <v>581</v>
      </c>
      <c r="N382" s="1"/>
      <c r="O382" s="10"/>
      <c r="P382" s="23"/>
      <c r="Q382" s="1" t="s">
        <v>1008</v>
      </c>
      <c r="R382" s="1" t="s">
        <v>557</v>
      </c>
      <c r="S382" s="1" t="s">
        <v>582</v>
      </c>
      <c r="T382" s="10">
        <v>46298</v>
      </c>
    </row>
    <row r="383" spans="1:20" ht="24" customHeight="1" x14ac:dyDescent="0.35">
      <c r="A383" s="5" t="s">
        <v>1576</v>
      </c>
      <c r="B383" s="5" t="s">
        <v>1577</v>
      </c>
      <c r="C383" s="5" t="s">
        <v>130</v>
      </c>
      <c r="D383" s="5" t="s">
        <v>878</v>
      </c>
      <c r="E383" s="8">
        <v>46217</v>
      </c>
      <c r="F383" s="5" t="s">
        <v>587</v>
      </c>
      <c r="G383" s="5" t="s">
        <v>588</v>
      </c>
      <c r="H383" s="22">
        <v>400000</v>
      </c>
      <c r="I383" s="5" t="s">
        <v>589</v>
      </c>
      <c r="J383" s="5" t="s">
        <v>546</v>
      </c>
      <c r="K383" s="5" t="s">
        <v>590</v>
      </c>
      <c r="L383" s="5" t="s">
        <v>608</v>
      </c>
      <c r="M383" s="5" t="s">
        <v>581</v>
      </c>
      <c r="N383" s="5"/>
      <c r="O383" s="8"/>
      <c r="P383" s="22"/>
      <c r="Q383" s="5"/>
      <c r="R383" s="5" t="s">
        <v>557</v>
      </c>
      <c r="S383" s="5" t="s">
        <v>582</v>
      </c>
      <c r="T383" s="8">
        <v>46298</v>
      </c>
    </row>
    <row r="384" spans="1:20" ht="24" customHeight="1" x14ac:dyDescent="0.35">
      <c r="A384" s="1" t="s">
        <v>1578</v>
      </c>
      <c r="B384" s="1" t="s">
        <v>1579</v>
      </c>
      <c r="C384" s="1" t="s">
        <v>126</v>
      </c>
      <c r="D384" s="1" t="s">
        <v>1152</v>
      </c>
      <c r="E384" s="10">
        <v>46218</v>
      </c>
      <c r="F384" s="1" t="s">
        <v>587</v>
      </c>
      <c r="G384" s="1" t="s">
        <v>588</v>
      </c>
      <c r="H384" s="23">
        <v>15300000</v>
      </c>
      <c r="I384" s="1" t="s">
        <v>589</v>
      </c>
      <c r="J384" s="1" t="s">
        <v>544</v>
      </c>
      <c r="K384" s="1" t="s">
        <v>590</v>
      </c>
      <c r="L384" s="1" t="s">
        <v>640</v>
      </c>
      <c r="M384" s="1" t="s">
        <v>581</v>
      </c>
      <c r="N384" s="1"/>
      <c r="O384" s="10"/>
      <c r="P384" s="23"/>
      <c r="Q384" s="1"/>
      <c r="R384" s="1" t="s">
        <v>557</v>
      </c>
      <c r="S384" s="1" t="s">
        <v>582</v>
      </c>
      <c r="T384" s="10">
        <v>46298</v>
      </c>
    </row>
    <row r="385" spans="1:20" ht="24" customHeight="1" x14ac:dyDescent="0.35">
      <c r="A385" s="5" t="s">
        <v>1580</v>
      </c>
      <c r="B385" s="5" t="s">
        <v>1581</v>
      </c>
      <c r="C385" s="5" t="s">
        <v>599</v>
      </c>
      <c r="D385" s="5" t="s">
        <v>1582</v>
      </c>
      <c r="E385" s="8">
        <v>46218</v>
      </c>
      <c r="F385" s="5" t="s">
        <v>601</v>
      </c>
      <c r="G385" s="5" t="s">
        <v>602</v>
      </c>
      <c r="H385" s="22"/>
      <c r="I385" s="5" t="s">
        <v>603</v>
      </c>
      <c r="J385" s="5" t="s">
        <v>544</v>
      </c>
      <c r="K385" s="5" t="s">
        <v>590</v>
      </c>
      <c r="L385" s="5" t="s">
        <v>149</v>
      </c>
      <c r="M385" s="5" t="s">
        <v>581</v>
      </c>
      <c r="N385" s="5"/>
      <c r="O385" s="8"/>
      <c r="P385" s="22"/>
      <c r="Q385" s="5"/>
      <c r="R385" s="5" t="s">
        <v>557</v>
      </c>
      <c r="S385" s="5" t="s">
        <v>582</v>
      </c>
      <c r="T385" s="8">
        <v>46298</v>
      </c>
    </row>
    <row r="386" spans="1:20" ht="24" customHeight="1" x14ac:dyDescent="0.35">
      <c r="A386" s="1" t="s">
        <v>1583</v>
      </c>
      <c r="B386" s="1" t="s">
        <v>1584</v>
      </c>
      <c r="C386" s="1" t="s">
        <v>106</v>
      </c>
      <c r="D386" s="1" t="s">
        <v>927</v>
      </c>
      <c r="E386" s="10">
        <v>46218</v>
      </c>
      <c r="F386" s="1" t="s">
        <v>771</v>
      </c>
      <c r="G386" s="1" t="s">
        <v>772</v>
      </c>
      <c r="H386" s="23"/>
      <c r="I386" s="1" t="s">
        <v>603</v>
      </c>
      <c r="J386" s="1" t="s">
        <v>544</v>
      </c>
      <c r="K386" s="1" t="s">
        <v>590</v>
      </c>
      <c r="L386" s="1" t="s">
        <v>172</v>
      </c>
      <c r="M386" s="1" t="s">
        <v>581</v>
      </c>
      <c r="N386" s="1"/>
      <c r="O386" s="10"/>
      <c r="P386" s="23"/>
      <c r="Q386" s="1" t="s">
        <v>773</v>
      </c>
      <c r="R386" s="1" t="s">
        <v>557</v>
      </c>
      <c r="S386" s="1" t="s">
        <v>582</v>
      </c>
      <c r="T386" s="10">
        <v>46298</v>
      </c>
    </row>
    <row r="387" spans="1:20" ht="24" customHeight="1" x14ac:dyDescent="0.35">
      <c r="A387" s="5" t="s">
        <v>1585</v>
      </c>
      <c r="B387" s="5" t="s">
        <v>1586</v>
      </c>
      <c r="C387" s="5" t="s">
        <v>137</v>
      </c>
      <c r="D387" s="5" t="s">
        <v>1364</v>
      </c>
      <c r="E387" s="8">
        <v>46218</v>
      </c>
      <c r="F387" s="5" t="s">
        <v>601</v>
      </c>
      <c r="G387" s="5" t="s">
        <v>602</v>
      </c>
      <c r="H387" s="22"/>
      <c r="I387" s="5" t="s">
        <v>603</v>
      </c>
      <c r="J387" s="5" t="s">
        <v>548</v>
      </c>
      <c r="K387" s="5" t="s">
        <v>590</v>
      </c>
      <c r="L387" s="5" t="s">
        <v>149</v>
      </c>
      <c r="M387" s="5" t="s">
        <v>581</v>
      </c>
      <c r="N387" s="5"/>
      <c r="O387" s="8"/>
      <c r="P387" s="22"/>
      <c r="Q387" s="5"/>
      <c r="R387" s="5" t="s">
        <v>557</v>
      </c>
      <c r="S387" s="5" t="s">
        <v>582</v>
      </c>
      <c r="T387" s="8">
        <v>46298</v>
      </c>
    </row>
    <row r="388" spans="1:20" ht="24" customHeight="1" x14ac:dyDescent="0.35">
      <c r="A388" s="1" t="s">
        <v>1587</v>
      </c>
      <c r="B388" s="1" t="s">
        <v>1588</v>
      </c>
      <c r="C388" s="1" t="s">
        <v>137</v>
      </c>
      <c r="D388" s="1" t="s">
        <v>743</v>
      </c>
      <c r="E388" s="10">
        <v>46219</v>
      </c>
      <c r="F388" s="1" t="s">
        <v>578</v>
      </c>
      <c r="G388" s="1" t="s">
        <v>579</v>
      </c>
      <c r="H388" s="23"/>
      <c r="I388" s="1" t="s">
        <v>580</v>
      </c>
      <c r="J388" s="1" t="s">
        <v>548</v>
      </c>
      <c r="K388" s="1" t="s">
        <v>545</v>
      </c>
      <c r="L388" s="1" t="s">
        <v>149</v>
      </c>
      <c r="M388" s="1" t="s">
        <v>581</v>
      </c>
      <c r="N388" s="1"/>
      <c r="O388" s="10"/>
      <c r="P388" s="23"/>
      <c r="Q388" s="1"/>
      <c r="R388" s="1" t="s">
        <v>557</v>
      </c>
      <c r="S388" s="1" t="s">
        <v>582</v>
      </c>
      <c r="T388" s="10">
        <v>46298</v>
      </c>
    </row>
    <row r="389" spans="1:20" ht="24" customHeight="1" x14ac:dyDescent="0.35">
      <c r="A389" s="5" t="s">
        <v>1589</v>
      </c>
      <c r="B389" s="5" t="s">
        <v>1590</v>
      </c>
      <c r="C389" s="5" t="s">
        <v>425</v>
      </c>
      <c r="D389" s="5" t="s">
        <v>1187</v>
      </c>
      <c r="E389" s="8">
        <v>46219</v>
      </c>
      <c r="F389" s="5" t="s">
        <v>587</v>
      </c>
      <c r="G389" s="5" t="s">
        <v>588</v>
      </c>
      <c r="H389" s="22">
        <v>1100000</v>
      </c>
      <c r="I389" s="5" t="s">
        <v>589</v>
      </c>
      <c r="J389" s="5" t="s">
        <v>544</v>
      </c>
      <c r="K389" s="5" t="s">
        <v>590</v>
      </c>
      <c r="L389" s="5" t="s">
        <v>149</v>
      </c>
      <c r="M389" s="5" t="s">
        <v>581</v>
      </c>
      <c r="N389" s="5"/>
      <c r="O389" s="8"/>
      <c r="P389" s="22"/>
      <c r="Q389" s="5"/>
      <c r="R389" s="5" t="s">
        <v>557</v>
      </c>
      <c r="S389" s="5" t="s">
        <v>582</v>
      </c>
      <c r="T389" s="8">
        <v>46298</v>
      </c>
    </row>
    <row r="390" spans="1:20" ht="24" customHeight="1" x14ac:dyDescent="0.35">
      <c r="A390" s="1" t="s">
        <v>1591</v>
      </c>
      <c r="B390" s="1" t="s">
        <v>1592</v>
      </c>
      <c r="C390" s="1" t="s">
        <v>128</v>
      </c>
      <c r="D390" s="1" t="s">
        <v>681</v>
      </c>
      <c r="E390" s="10">
        <v>46219</v>
      </c>
      <c r="F390" s="1" t="s">
        <v>587</v>
      </c>
      <c r="G390" s="1" t="s">
        <v>588</v>
      </c>
      <c r="H390" s="23">
        <v>15300000</v>
      </c>
      <c r="I390" s="1" t="s">
        <v>589</v>
      </c>
      <c r="J390" s="1" t="s">
        <v>544</v>
      </c>
      <c r="K390" s="1" t="s">
        <v>548</v>
      </c>
      <c r="L390" s="1" t="s">
        <v>149</v>
      </c>
      <c r="M390" s="1" t="s">
        <v>581</v>
      </c>
      <c r="N390" s="1"/>
      <c r="O390" s="10"/>
      <c r="P390" s="23"/>
      <c r="Q390" s="1"/>
      <c r="R390" s="1" t="s">
        <v>557</v>
      </c>
      <c r="S390" s="1" t="s">
        <v>582</v>
      </c>
      <c r="T390" s="10">
        <v>46298</v>
      </c>
    </row>
    <row r="391" spans="1:20" ht="24" customHeight="1" x14ac:dyDescent="0.35">
      <c r="A391" s="5" t="s">
        <v>1593</v>
      </c>
      <c r="B391" s="5" t="s">
        <v>1594</v>
      </c>
      <c r="C391" s="5" t="s">
        <v>106</v>
      </c>
      <c r="D391" s="5" t="s">
        <v>733</v>
      </c>
      <c r="E391" s="8">
        <v>46219</v>
      </c>
      <c r="F391" s="5" t="s">
        <v>771</v>
      </c>
      <c r="G391" s="5" t="s">
        <v>772</v>
      </c>
      <c r="H391" s="22"/>
      <c r="I391" s="5" t="s">
        <v>603</v>
      </c>
      <c r="J391" s="5" t="s">
        <v>544</v>
      </c>
      <c r="K391" s="5" t="s">
        <v>545</v>
      </c>
      <c r="L391" s="5" t="s">
        <v>149</v>
      </c>
      <c r="M391" s="5" t="s">
        <v>581</v>
      </c>
      <c r="N391" s="5"/>
      <c r="O391" s="8"/>
      <c r="P391" s="22"/>
      <c r="Q391" s="5" t="s">
        <v>773</v>
      </c>
      <c r="R391" s="5" t="s">
        <v>557</v>
      </c>
      <c r="S391" s="5" t="s">
        <v>582</v>
      </c>
      <c r="T391" s="8">
        <v>46298</v>
      </c>
    </row>
    <row r="392" spans="1:20" ht="24" customHeight="1" x14ac:dyDescent="0.35">
      <c r="A392" s="1" t="s">
        <v>1595</v>
      </c>
      <c r="B392" s="1" t="s">
        <v>1596</v>
      </c>
      <c r="C392" s="1" t="s">
        <v>850</v>
      </c>
      <c r="D392" s="1" t="s">
        <v>791</v>
      </c>
      <c r="E392" s="10">
        <v>46219</v>
      </c>
      <c r="F392" s="1" t="s">
        <v>771</v>
      </c>
      <c r="G392" s="1" t="s">
        <v>772</v>
      </c>
      <c r="H392" s="23"/>
      <c r="I392" s="1" t="s">
        <v>603</v>
      </c>
      <c r="J392" s="1" t="s">
        <v>544</v>
      </c>
      <c r="K392" s="1" t="s">
        <v>548</v>
      </c>
      <c r="L392" s="1" t="s">
        <v>149</v>
      </c>
      <c r="M392" s="1" t="s">
        <v>581</v>
      </c>
      <c r="N392" s="1"/>
      <c r="O392" s="10"/>
      <c r="P392" s="23"/>
      <c r="Q392" s="1" t="s">
        <v>773</v>
      </c>
      <c r="R392" s="1" t="s">
        <v>557</v>
      </c>
      <c r="S392" s="1" t="s">
        <v>582</v>
      </c>
      <c r="T392" s="10">
        <v>46298</v>
      </c>
    </row>
    <row r="393" spans="1:20" ht="24" customHeight="1" x14ac:dyDescent="0.35">
      <c r="A393" s="5" t="s">
        <v>1597</v>
      </c>
      <c r="B393" s="5" t="s">
        <v>1598</v>
      </c>
      <c r="C393" s="5" t="s">
        <v>142</v>
      </c>
      <c r="D393" s="5" t="s">
        <v>1599</v>
      </c>
      <c r="E393" s="8">
        <v>46219</v>
      </c>
      <c r="F393" s="5" t="s">
        <v>601</v>
      </c>
      <c r="G393" s="5" t="s">
        <v>602</v>
      </c>
      <c r="H393" s="22"/>
      <c r="I393" s="5" t="s">
        <v>603</v>
      </c>
      <c r="J393" s="5" t="s">
        <v>547</v>
      </c>
      <c r="K393" s="5" t="s">
        <v>590</v>
      </c>
      <c r="L393" s="5" t="s">
        <v>608</v>
      </c>
      <c r="M393" s="5" t="s">
        <v>581</v>
      </c>
      <c r="N393" s="5"/>
      <c r="O393" s="8"/>
      <c r="P393" s="22"/>
      <c r="Q393" s="5"/>
      <c r="R393" s="5" t="s">
        <v>557</v>
      </c>
      <c r="S393" s="5" t="s">
        <v>582</v>
      </c>
      <c r="T393" s="8">
        <v>46298</v>
      </c>
    </row>
    <row r="394" spans="1:20" ht="24" customHeight="1" x14ac:dyDescent="0.35">
      <c r="A394" s="1" t="s">
        <v>1600</v>
      </c>
      <c r="B394" s="1" t="s">
        <v>1601</v>
      </c>
      <c r="C394" s="1" t="s">
        <v>585</v>
      </c>
      <c r="D394" s="1" t="s">
        <v>1402</v>
      </c>
      <c r="E394" s="10">
        <v>46219</v>
      </c>
      <c r="F394" s="1" t="s">
        <v>771</v>
      </c>
      <c r="G394" s="1" t="s">
        <v>772</v>
      </c>
      <c r="H394" s="23"/>
      <c r="I394" s="1" t="s">
        <v>603</v>
      </c>
      <c r="J394" s="1" t="s">
        <v>548</v>
      </c>
      <c r="K394" s="1" t="s">
        <v>590</v>
      </c>
      <c r="L394" s="1" t="s">
        <v>640</v>
      </c>
      <c r="M394" s="1" t="s">
        <v>581</v>
      </c>
      <c r="N394" s="1"/>
      <c r="O394" s="10"/>
      <c r="P394" s="23"/>
      <c r="Q394" s="1" t="s">
        <v>773</v>
      </c>
      <c r="R394" s="1" t="s">
        <v>557</v>
      </c>
      <c r="S394" s="1" t="s">
        <v>582</v>
      </c>
      <c r="T394" s="10">
        <v>46298</v>
      </c>
    </row>
    <row r="395" spans="1:20" ht="24" customHeight="1" x14ac:dyDescent="0.35">
      <c r="A395" s="5" t="s">
        <v>1602</v>
      </c>
      <c r="B395" s="5" t="s">
        <v>1603</v>
      </c>
      <c r="C395" s="5" t="s">
        <v>1604</v>
      </c>
      <c r="D395" s="5" t="s">
        <v>953</v>
      </c>
      <c r="E395" s="8">
        <v>46219</v>
      </c>
      <c r="F395" s="5" t="s">
        <v>578</v>
      </c>
      <c r="G395" s="5" t="s">
        <v>579</v>
      </c>
      <c r="H395" s="22"/>
      <c r="I395" s="5" t="s">
        <v>580</v>
      </c>
      <c r="J395" s="5" t="s">
        <v>590</v>
      </c>
      <c r="K395" s="5" t="s">
        <v>548</v>
      </c>
      <c r="L395" s="5" t="s">
        <v>608</v>
      </c>
      <c r="M395" s="5" t="s">
        <v>581</v>
      </c>
      <c r="N395" s="5"/>
      <c r="O395" s="8"/>
      <c r="P395" s="22"/>
      <c r="Q395" s="5"/>
      <c r="R395" s="5" t="s">
        <v>557</v>
      </c>
      <c r="S395" s="5" t="s">
        <v>582</v>
      </c>
      <c r="T395" s="8">
        <v>46298</v>
      </c>
    </row>
    <row r="396" spans="1:20" ht="24" customHeight="1" x14ac:dyDescent="0.35">
      <c r="A396" s="1" t="s">
        <v>1605</v>
      </c>
      <c r="B396" s="1" t="s">
        <v>1606</v>
      </c>
      <c r="C396" s="1" t="s">
        <v>692</v>
      </c>
      <c r="D396" s="1" t="s">
        <v>912</v>
      </c>
      <c r="E396" s="10">
        <v>46219</v>
      </c>
      <c r="F396" s="1" t="s">
        <v>587</v>
      </c>
      <c r="G396" s="1" t="s">
        <v>588</v>
      </c>
      <c r="H396" s="23">
        <v>900000</v>
      </c>
      <c r="I396" s="1" t="s">
        <v>589</v>
      </c>
      <c r="J396" s="1" t="s">
        <v>547</v>
      </c>
      <c r="K396" s="1" t="s">
        <v>590</v>
      </c>
      <c r="L396" s="1" t="s">
        <v>591</v>
      </c>
      <c r="M396" s="1" t="s">
        <v>581</v>
      </c>
      <c r="N396" s="1"/>
      <c r="O396" s="10"/>
      <c r="P396" s="23"/>
      <c r="Q396" s="1"/>
      <c r="R396" s="1" t="s">
        <v>557</v>
      </c>
      <c r="S396" s="1" t="s">
        <v>582</v>
      </c>
      <c r="T396" s="10">
        <v>46298</v>
      </c>
    </row>
    <row r="397" spans="1:20" ht="24" customHeight="1" x14ac:dyDescent="0.35">
      <c r="A397" s="5" t="s">
        <v>1607</v>
      </c>
      <c r="B397" s="5" t="s">
        <v>1608</v>
      </c>
      <c r="C397" s="5" t="s">
        <v>717</v>
      </c>
      <c r="D397" s="5" t="s">
        <v>1609</v>
      </c>
      <c r="E397" s="8">
        <v>46219</v>
      </c>
      <c r="F397" s="5" t="s">
        <v>578</v>
      </c>
      <c r="G397" s="5" t="s">
        <v>579</v>
      </c>
      <c r="H397" s="22"/>
      <c r="I397" s="5" t="s">
        <v>580</v>
      </c>
      <c r="J397" s="5" t="s">
        <v>547</v>
      </c>
      <c r="K397" s="5" t="s">
        <v>590</v>
      </c>
      <c r="L397" s="5" t="s">
        <v>608</v>
      </c>
      <c r="M397" s="5" t="s">
        <v>581</v>
      </c>
      <c r="N397" s="5"/>
      <c r="O397" s="8"/>
      <c r="P397" s="22"/>
      <c r="Q397" s="5"/>
      <c r="R397" s="5" t="s">
        <v>557</v>
      </c>
      <c r="S397" s="5" t="s">
        <v>582</v>
      </c>
      <c r="T397" s="8">
        <v>46298</v>
      </c>
    </row>
    <row r="398" spans="1:20" ht="24" customHeight="1" x14ac:dyDescent="0.35">
      <c r="A398" s="1" t="s">
        <v>1610</v>
      </c>
      <c r="B398" s="1" t="s">
        <v>1611</v>
      </c>
      <c r="C398" s="1" t="s">
        <v>856</v>
      </c>
      <c r="D398" s="1" t="s">
        <v>1414</v>
      </c>
      <c r="E398" s="10">
        <v>46219</v>
      </c>
      <c r="F398" s="1" t="s">
        <v>771</v>
      </c>
      <c r="G398" s="1" t="s">
        <v>772</v>
      </c>
      <c r="H398" s="23"/>
      <c r="I398" s="1" t="s">
        <v>603</v>
      </c>
      <c r="J398" s="1" t="s">
        <v>546</v>
      </c>
      <c r="K398" s="1" t="s">
        <v>590</v>
      </c>
      <c r="L398" s="1" t="s">
        <v>608</v>
      </c>
      <c r="M398" s="1" t="s">
        <v>581</v>
      </c>
      <c r="N398" s="1"/>
      <c r="O398" s="10"/>
      <c r="P398" s="23"/>
      <c r="Q398" s="1" t="s">
        <v>773</v>
      </c>
      <c r="R398" s="1" t="s">
        <v>557</v>
      </c>
      <c r="S398" s="1" t="s">
        <v>582</v>
      </c>
      <c r="T398" s="10">
        <v>46298</v>
      </c>
    </row>
    <row r="399" spans="1:20" ht="24" customHeight="1" x14ac:dyDescent="0.35">
      <c r="A399" s="5" t="s">
        <v>1612</v>
      </c>
      <c r="B399" s="5" t="s">
        <v>1613</v>
      </c>
      <c r="C399" s="5" t="s">
        <v>391</v>
      </c>
      <c r="D399" s="5" t="s">
        <v>1614</v>
      </c>
      <c r="E399" s="8">
        <v>46219</v>
      </c>
      <c r="F399" s="5" t="s">
        <v>578</v>
      </c>
      <c r="G399" s="5" t="s">
        <v>579</v>
      </c>
      <c r="H399" s="22"/>
      <c r="I399" s="5" t="s">
        <v>580</v>
      </c>
      <c r="J399" s="5" t="s">
        <v>544</v>
      </c>
      <c r="K399" s="5" t="s">
        <v>590</v>
      </c>
      <c r="L399" s="5" t="s">
        <v>608</v>
      </c>
      <c r="M399" s="5" t="s">
        <v>581</v>
      </c>
      <c r="N399" s="5"/>
      <c r="O399" s="8"/>
      <c r="P399" s="22"/>
      <c r="Q399" s="5"/>
      <c r="R399" s="5" t="s">
        <v>557</v>
      </c>
      <c r="S399" s="5" t="s">
        <v>582</v>
      </c>
      <c r="T399" s="8">
        <v>46298</v>
      </c>
    </row>
    <row r="400" spans="1:20" ht="24" customHeight="1" x14ac:dyDescent="0.35">
      <c r="A400" s="1" t="s">
        <v>1615</v>
      </c>
      <c r="B400" s="1" t="s">
        <v>1616</v>
      </c>
      <c r="C400" s="1" t="s">
        <v>749</v>
      </c>
      <c r="D400" s="1" t="s">
        <v>1617</v>
      </c>
      <c r="E400" s="10">
        <v>46219</v>
      </c>
      <c r="F400" s="1" t="s">
        <v>771</v>
      </c>
      <c r="G400" s="1" t="s">
        <v>772</v>
      </c>
      <c r="H400" s="23"/>
      <c r="I400" s="1" t="s">
        <v>603</v>
      </c>
      <c r="J400" s="1" t="s">
        <v>547</v>
      </c>
      <c r="K400" s="1" t="s">
        <v>590</v>
      </c>
      <c r="L400" s="1" t="s">
        <v>591</v>
      </c>
      <c r="M400" s="1" t="s">
        <v>581</v>
      </c>
      <c r="N400" s="1"/>
      <c r="O400" s="10"/>
      <c r="P400" s="23"/>
      <c r="Q400" s="1" t="s">
        <v>773</v>
      </c>
      <c r="R400" s="1" t="s">
        <v>557</v>
      </c>
      <c r="S400" s="1" t="s">
        <v>582</v>
      </c>
      <c r="T400" s="10">
        <v>46298</v>
      </c>
    </row>
    <row r="401" spans="1:20" ht="24" customHeight="1" x14ac:dyDescent="0.35">
      <c r="A401" s="5" t="s">
        <v>1618</v>
      </c>
      <c r="B401" s="5" t="s">
        <v>1619</v>
      </c>
      <c r="C401" s="5" t="s">
        <v>178</v>
      </c>
      <c r="D401" s="5" t="s">
        <v>706</v>
      </c>
      <c r="E401" s="8">
        <v>46219</v>
      </c>
      <c r="F401" s="5" t="s">
        <v>587</v>
      </c>
      <c r="G401" s="5" t="s">
        <v>588</v>
      </c>
      <c r="H401" s="22">
        <v>1700000</v>
      </c>
      <c r="I401" s="5" t="s">
        <v>589</v>
      </c>
      <c r="J401" s="5" t="s">
        <v>545</v>
      </c>
      <c r="K401" s="5" t="s">
        <v>545</v>
      </c>
      <c r="L401" s="5" t="s">
        <v>608</v>
      </c>
      <c r="M401" s="5" t="s">
        <v>581</v>
      </c>
      <c r="N401" s="5"/>
      <c r="O401" s="8"/>
      <c r="P401" s="22"/>
      <c r="Q401" s="5"/>
      <c r="R401" s="5" t="s">
        <v>557</v>
      </c>
      <c r="S401" s="5" t="s">
        <v>582</v>
      </c>
      <c r="T401" s="8">
        <v>46298</v>
      </c>
    </row>
    <row r="402" spans="1:20" ht="24" customHeight="1" x14ac:dyDescent="0.35">
      <c r="A402" s="1" t="s">
        <v>1620</v>
      </c>
      <c r="B402" s="1" t="s">
        <v>1621</v>
      </c>
      <c r="C402" s="1" t="s">
        <v>174</v>
      </c>
      <c r="D402" s="1" t="s">
        <v>1622</v>
      </c>
      <c r="E402" s="10">
        <v>46219</v>
      </c>
      <c r="F402" s="1" t="s">
        <v>771</v>
      </c>
      <c r="G402" s="1" t="s">
        <v>772</v>
      </c>
      <c r="H402" s="23"/>
      <c r="I402" s="1" t="s">
        <v>603</v>
      </c>
      <c r="J402" s="1" t="s">
        <v>546</v>
      </c>
      <c r="K402" s="1" t="s">
        <v>590</v>
      </c>
      <c r="L402" s="1" t="s">
        <v>172</v>
      </c>
      <c r="M402" s="1" t="s">
        <v>581</v>
      </c>
      <c r="N402" s="1"/>
      <c r="O402" s="10"/>
      <c r="P402" s="23"/>
      <c r="Q402" s="1" t="s">
        <v>773</v>
      </c>
      <c r="R402" s="1" t="s">
        <v>557</v>
      </c>
      <c r="S402" s="1" t="s">
        <v>582</v>
      </c>
      <c r="T402" s="10">
        <v>46298</v>
      </c>
    </row>
    <row r="403" spans="1:20" ht="24" customHeight="1" x14ac:dyDescent="0.35">
      <c r="A403" s="5" t="s">
        <v>1623</v>
      </c>
      <c r="B403" s="5" t="s">
        <v>1624</v>
      </c>
      <c r="C403" s="5" t="s">
        <v>599</v>
      </c>
      <c r="D403" s="5" t="s">
        <v>611</v>
      </c>
      <c r="E403" s="8">
        <v>46219</v>
      </c>
      <c r="F403" s="5" t="s">
        <v>578</v>
      </c>
      <c r="G403" s="5" t="s">
        <v>579</v>
      </c>
      <c r="H403" s="22"/>
      <c r="I403" s="5" t="s">
        <v>580</v>
      </c>
      <c r="J403" s="5" t="s">
        <v>544</v>
      </c>
      <c r="K403" s="5" t="s">
        <v>590</v>
      </c>
      <c r="L403" s="5" t="s">
        <v>640</v>
      </c>
      <c r="M403" s="5" t="s">
        <v>581</v>
      </c>
      <c r="N403" s="5"/>
      <c r="O403" s="8"/>
      <c r="P403" s="22"/>
      <c r="Q403" s="5"/>
      <c r="R403" s="5" t="s">
        <v>557</v>
      </c>
      <c r="S403" s="5" t="s">
        <v>582</v>
      </c>
      <c r="T403" s="8">
        <v>46298</v>
      </c>
    </row>
    <row r="404" spans="1:20" ht="24" customHeight="1" x14ac:dyDescent="0.35">
      <c r="A404" s="1" t="s">
        <v>1625</v>
      </c>
      <c r="B404" s="1" t="s">
        <v>1626</v>
      </c>
      <c r="C404" s="1" t="s">
        <v>448</v>
      </c>
      <c r="D404" s="1" t="s">
        <v>999</v>
      </c>
      <c r="E404" s="10">
        <v>46219</v>
      </c>
      <c r="F404" s="1" t="s">
        <v>587</v>
      </c>
      <c r="G404" s="1" t="s">
        <v>588</v>
      </c>
      <c r="H404" s="23">
        <v>15400000</v>
      </c>
      <c r="I404" s="1" t="s">
        <v>589</v>
      </c>
      <c r="J404" s="1" t="s">
        <v>547</v>
      </c>
      <c r="K404" s="1" t="s">
        <v>544</v>
      </c>
      <c r="L404" s="1" t="s">
        <v>149</v>
      </c>
      <c r="M404" s="1" t="s">
        <v>581</v>
      </c>
      <c r="N404" s="1"/>
      <c r="O404" s="10"/>
      <c r="P404" s="23"/>
      <c r="Q404" s="1"/>
      <c r="R404" s="1" t="s">
        <v>557</v>
      </c>
      <c r="S404" s="1" t="s">
        <v>582</v>
      </c>
      <c r="T404" s="10">
        <v>46298</v>
      </c>
    </row>
    <row r="405" spans="1:20" ht="24" customHeight="1" x14ac:dyDescent="0.35">
      <c r="A405" s="5" t="s">
        <v>1627</v>
      </c>
      <c r="B405" s="5" t="s">
        <v>1628</v>
      </c>
      <c r="C405" s="5" t="s">
        <v>425</v>
      </c>
      <c r="D405" s="5" t="s">
        <v>469</v>
      </c>
      <c r="E405" s="8">
        <v>46217</v>
      </c>
      <c r="F405" s="5" t="s">
        <v>578</v>
      </c>
      <c r="G405" s="5" t="s">
        <v>579</v>
      </c>
      <c r="H405" s="22"/>
      <c r="I405" s="5" t="s">
        <v>580</v>
      </c>
      <c r="J405" s="5" t="s">
        <v>544</v>
      </c>
      <c r="K405" s="5" t="s">
        <v>544</v>
      </c>
      <c r="L405" s="5" t="s">
        <v>172</v>
      </c>
      <c r="M405" s="5" t="s">
        <v>581</v>
      </c>
      <c r="N405" s="5"/>
      <c r="O405" s="8"/>
      <c r="P405" s="22"/>
      <c r="Q405" s="5"/>
      <c r="R405" s="5" t="s">
        <v>557</v>
      </c>
      <c r="S405" s="5" t="s">
        <v>582</v>
      </c>
      <c r="T405" s="8">
        <v>46298</v>
      </c>
    </row>
    <row r="406" spans="1:20" ht="24" customHeight="1" x14ac:dyDescent="0.35">
      <c r="A406" s="1" t="s">
        <v>1629</v>
      </c>
      <c r="B406" s="1" t="s">
        <v>1630</v>
      </c>
      <c r="C406" s="1" t="s">
        <v>788</v>
      </c>
      <c r="D406" s="1" t="s">
        <v>1248</v>
      </c>
      <c r="E406" s="10">
        <v>46219</v>
      </c>
      <c r="F406" s="1" t="s">
        <v>601</v>
      </c>
      <c r="G406" s="1" t="s">
        <v>602</v>
      </c>
      <c r="H406" s="23"/>
      <c r="I406" s="1" t="s">
        <v>603</v>
      </c>
      <c r="J406" s="1" t="s">
        <v>546</v>
      </c>
      <c r="K406" s="1" t="s">
        <v>590</v>
      </c>
      <c r="L406" s="1" t="s">
        <v>149</v>
      </c>
      <c r="M406" s="1" t="s">
        <v>581</v>
      </c>
      <c r="N406" s="1"/>
      <c r="O406" s="10"/>
      <c r="P406" s="23"/>
      <c r="Q406" s="1"/>
      <c r="R406" s="1" t="s">
        <v>557</v>
      </c>
      <c r="S406" s="1" t="s">
        <v>582</v>
      </c>
      <c r="T406" s="10">
        <v>46298</v>
      </c>
    </row>
    <row r="407" spans="1:20" ht="24" customHeight="1" x14ac:dyDescent="0.35">
      <c r="A407" s="5" t="s">
        <v>1631</v>
      </c>
      <c r="B407" s="5" t="s">
        <v>1632</v>
      </c>
      <c r="C407" s="5" t="s">
        <v>1509</v>
      </c>
      <c r="D407" s="5" t="s">
        <v>299</v>
      </c>
      <c r="E407" s="8">
        <v>46219</v>
      </c>
      <c r="F407" s="5" t="s">
        <v>587</v>
      </c>
      <c r="G407" s="5" t="s">
        <v>588</v>
      </c>
      <c r="H407" s="22">
        <v>1700000</v>
      </c>
      <c r="I407" s="5" t="s">
        <v>589</v>
      </c>
      <c r="J407" s="5" t="s">
        <v>590</v>
      </c>
      <c r="K407" s="5" t="s">
        <v>546</v>
      </c>
      <c r="L407" s="5" t="s">
        <v>172</v>
      </c>
      <c r="M407" s="5" t="s">
        <v>581</v>
      </c>
      <c r="N407" s="5"/>
      <c r="O407" s="8"/>
      <c r="P407" s="22"/>
      <c r="Q407" s="5"/>
      <c r="R407" s="5" t="s">
        <v>557</v>
      </c>
      <c r="S407" s="5" t="s">
        <v>582</v>
      </c>
      <c r="T407" s="8">
        <v>46298</v>
      </c>
    </row>
    <row r="408" spans="1:20" ht="24" customHeight="1" x14ac:dyDescent="0.35">
      <c r="A408" s="1" t="s">
        <v>1633</v>
      </c>
      <c r="B408" s="1" t="s">
        <v>1634</v>
      </c>
      <c r="C408" s="1" t="s">
        <v>596</v>
      </c>
      <c r="D408" s="1" t="s">
        <v>1635</v>
      </c>
      <c r="E408" s="10">
        <v>46219</v>
      </c>
      <c r="F408" s="1" t="s">
        <v>578</v>
      </c>
      <c r="G408" s="1" t="s">
        <v>579</v>
      </c>
      <c r="H408" s="23"/>
      <c r="I408" s="1" t="s">
        <v>580</v>
      </c>
      <c r="J408" s="1" t="s">
        <v>548</v>
      </c>
      <c r="K408" s="1" t="s">
        <v>590</v>
      </c>
      <c r="L408" s="1" t="s">
        <v>149</v>
      </c>
      <c r="M408" s="1" t="s">
        <v>581</v>
      </c>
      <c r="N408" s="1"/>
      <c r="O408" s="10"/>
      <c r="P408" s="23"/>
      <c r="Q408" s="1"/>
      <c r="R408" s="1" t="s">
        <v>557</v>
      </c>
      <c r="S408" s="1" t="s">
        <v>582</v>
      </c>
      <c r="T408" s="10">
        <v>46298</v>
      </c>
    </row>
    <row r="409" spans="1:20" ht="24" customHeight="1" x14ac:dyDescent="0.35">
      <c r="A409" s="5" t="s">
        <v>1636</v>
      </c>
      <c r="B409" s="5" t="s">
        <v>1637</v>
      </c>
      <c r="C409" s="5" t="s">
        <v>198</v>
      </c>
      <c r="D409" s="5" t="s">
        <v>123</v>
      </c>
      <c r="E409" s="8">
        <v>46219</v>
      </c>
      <c r="F409" s="5" t="s">
        <v>578</v>
      </c>
      <c r="G409" s="5" t="s">
        <v>579</v>
      </c>
      <c r="H409" s="22"/>
      <c r="I409" s="5" t="s">
        <v>580</v>
      </c>
      <c r="J409" s="5" t="s">
        <v>546</v>
      </c>
      <c r="K409" s="5" t="s">
        <v>546</v>
      </c>
      <c r="L409" s="5" t="s">
        <v>149</v>
      </c>
      <c r="M409" s="5" t="s">
        <v>581</v>
      </c>
      <c r="N409" s="5"/>
      <c r="O409" s="8"/>
      <c r="P409" s="22"/>
      <c r="Q409" s="5"/>
      <c r="R409" s="5" t="s">
        <v>557</v>
      </c>
      <c r="S409" s="5" t="s">
        <v>582</v>
      </c>
      <c r="T409" s="8">
        <v>46298</v>
      </c>
    </row>
    <row r="410" spans="1:20" ht="24" customHeight="1" x14ac:dyDescent="0.35">
      <c r="A410" s="1" t="s">
        <v>1638</v>
      </c>
      <c r="B410" s="1" t="s">
        <v>1639</v>
      </c>
      <c r="C410" s="1" t="s">
        <v>919</v>
      </c>
      <c r="D410" s="1" t="s">
        <v>119</v>
      </c>
      <c r="E410" s="10">
        <v>46220</v>
      </c>
      <c r="F410" s="1" t="s">
        <v>587</v>
      </c>
      <c r="G410" s="1" t="s">
        <v>588</v>
      </c>
      <c r="H410" s="23">
        <v>27300000</v>
      </c>
      <c r="I410" s="1" t="s">
        <v>589</v>
      </c>
      <c r="J410" s="1" t="s">
        <v>590</v>
      </c>
      <c r="K410" s="1" t="s">
        <v>547</v>
      </c>
      <c r="L410" s="1" t="s">
        <v>149</v>
      </c>
      <c r="M410" s="1" t="s">
        <v>581</v>
      </c>
      <c r="N410" s="1"/>
      <c r="O410" s="10"/>
      <c r="P410" s="23"/>
      <c r="Q410" s="1"/>
      <c r="R410" s="1" t="s">
        <v>557</v>
      </c>
      <c r="S410" s="1" t="s">
        <v>582</v>
      </c>
      <c r="T410" s="10">
        <v>46298</v>
      </c>
    </row>
    <row r="411" spans="1:20" ht="24" customHeight="1" x14ac:dyDescent="0.35">
      <c r="A411" s="5" t="s">
        <v>1640</v>
      </c>
      <c r="B411" s="5" t="s">
        <v>1641</v>
      </c>
      <c r="C411" s="5" t="s">
        <v>1642</v>
      </c>
      <c r="D411" s="5" t="s">
        <v>692</v>
      </c>
      <c r="E411" s="8">
        <v>46220</v>
      </c>
      <c r="F411" s="5" t="s">
        <v>601</v>
      </c>
      <c r="G411" s="5" t="s">
        <v>602</v>
      </c>
      <c r="H411" s="22"/>
      <c r="I411" s="5" t="s">
        <v>603</v>
      </c>
      <c r="J411" s="5" t="s">
        <v>590</v>
      </c>
      <c r="K411" s="5" t="s">
        <v>547</v>
      </c>
      <c r="L411" s="5" t="s">
        <v>172</v>
      </c>
      <c r="M411" s="5" t="s">
        <v>581</v>
      </c>
      <c r="N411" s="5"/>
      <c r="O411" s="8"/>
      <c r="P411" s="22"/>
      <c r="Q411" s="5"/>
      <c r="R411" s="5" t="s">
        <v>557</v>
      </c>
      <c r="S411" s="5" t="s">
        <v>582</v>
      </c>
      <c r="T411" s="8">
        <v>46298</v>
      </c>
    </row>
    <row r="412" spans="1:20" ht="24" customHeight="1" x14ac:dyDescent="0.35">
      <c r="A412" s="1" t="s">
        <v>1643</v>
      </c>
      <c r="B412" s="1" t="s">
        <v>1644</v>
      </c>
      <c r="C412" s="1" t="s">
        <v>868</v>
      </c>
      <c r="D412" s="1" t="s">
        <v>1645</v>
      </c>
      <c r="E412" s="10">
        <v>46220</v>
      </c>
      <c r="F412" s="1" t="s">
        <v>578</v>
      </c>
      <c r="G412" s="1" t="s">
        <v>579</v>
      </c>
      <c r="H412" s="23"/>
      <c r="I412" s="1" t="s">
        <v>580</v>
      </c>
      <c r="J412" s="1" t="s">
        <v>545</v>
      </c>
      <c r="K412" s="1" t="s">
        <v>590</v>
      </c>
      <c r="L412" s="1" t="s">
        <v>172</v>
      </c>
      <c r="M412" s="1" t="s">
        <v>581</v>
      </c>
      <c r="N412" s="1"/>
      <c r="O412" s="10"/>
      <c r="P412" s="23"/>
      <c r="Q412" s="1"/>
      <c r="R412" s="1" t="s">
        <v>557</v>
      </c>
      <c r="S412" s="1" t="s">
        <v>582</v>
      </c>
      <c r="T412" s="10">
        <v>46298</v>
      </c>
    </row>
    <row r="413" spans="1:20" ht="24" customHeight="1" x14ac:dyDescent="0.35">
      <c r="A413" s="5" t="s">
        <v>1646</v>
      </c>
      <c r="B413" s="5" t="s">
        <v>1647</v>
      </c>
      <c r="C413" s="5" t="s">
        <v>614</v>
      </c>
      <c r="D413" s="5" t="s">
        <v>425</v>
      </c>
      <c r="E413" s="8">
        <v>46220</v>
      </c>
      <c r="F413" s="5" t="s">
        <v>587</v>
      </c>
      <c r="G413" s="5" t="s">
        <v>588</v>
      </c>
      <c r="H413" s="22">
        <v>34100000</v>
      </c>
      <c r="I413" s="5" t="s">
        <v>589</v>
      </c>
      <c r="J413" s="5" t="s">
        <v>546</v>
      </c>
      <c r="K413" s="5" t="s">
        <v>544</v>
      </c>
      <c r="L413" s="5" t="s">
        <v>149</v>
      </c>
      <c r="M413" s="5" t="s">
        <v>581</v>
      </c>
      <c r="N413" s="5"/>
      <c r="O413" s="8"/>
      <c r="P413" s="22"/>
      <c r="Q413" s="5"/>
      <c r="R413" s="5" t="s">
        <v>557</v>
      </c>
      <c r="S413" s="5" t="s">
        <v>582</v>
      </c>
      <c r="T413" s="8">
        <v>46298</v>
      </c>
    </row>
    <row r="414" spans="1:20" ht="24" customHeight="1" x14ac:dyDescent="0.35">
      <c r="A414" s="1" t="s">
        <v>1648</v>
      </c>
      <c r="B414" s="1" t="s">
        <v>1649</v>
      </c>
      <c r="C414" s="1" t="s">
        <v>157</v>
      </c>
      <c r="D414" s="1" t="s">
        <v>721</v>
      </c>
      <c r="E414" s="10">
        <v>46220</v>
      </c>
      <c r="F414" s="1" t="s">
        <v>771</v>
      </c>
      <c r="G414" s="1" t="s">
        <v>772</v>
      </c>
      <c r="H414" s="23"/>
      <c r="I414" s="1" t="s">
        <v>603</v>
      </c>
      <c r="J414" s="1" t="s">
        <v>546</v>
      </c>
      <c r="K414" s="1" t="s">
        <v>547</v>
      </c>
      <c r="L414" s="1" t="s">
        <v>149</v>
      </c>
      <c r="M414" s="1" t="s">
        <v>581</v>
      </c>
      <c r="N414" s="1"/>
      <c r="O414" s="10"/>
      <c r="P414" s="23"/>
      <c r="Q414" s="1" t="s">
        <v>773</v>
      </c>
      <c r="R414" s="1" t="s">
        <v>557</v>
      </c>
      <c r="S414" s="1" t="s">
        <v>582</v>
      </c>
      <c r="T414" s="10">
        <v>46298</v>
      </c>
    </row>
    <row r="415" spans="1:20" ht="24" customHeight="1" x14ac:dyDescent="0.35">
      <c r="A415" s="5" t="s">
        <v>1650</v>
      </c>
      <c r="B415" s="5" t="s">
        <v>1651</v>
      </c>
      <c r="C415" s="5" t="s">
        <v>1563</v>
      </c>
      <c r="D415" s="5" t="s">
        <v>1034</v>
      </c>
      <c r="E415" s="8">
        <v>46220</v>
      </c>
      <c r="F415" s="5" t="s">
        <v>771</v>
      </c>
      <c r="G415" s="5" t="s">
        <v>772</v>
      </c>
      <c r="H415" s="22"/>
      <c r="I415" s="5" t="s">
        <v>603</v>
      </c>
      <c r="J415" s="5" t="s">
        <v>548</v>
      </c>
      <c r="K415" s="5" t="s">
        <v>546</v>
      </c>
      <c r="L415" s="5" t="s">
        <v>591</v>
      </c>
      <c r="M415" s="5" t="s">
        <v>581</v>
      </c>
      <c r="N415" s="5"/>
      <c r="O415" s="8"/>
      <c r="P415" s="22"/>
      <c r="Q415" s="5" t="s">
        <v>1008</v>
      </c>
      <c r="R415" s="5" t="s">
        <v>557</v>
      </c>
      <c r="S415" s="5" t="s">
        <v>582</v>
      </c>
      <c r="T415" s="8">
        <v>46298</v>
      </c>
    </row>
    <row r="416" spans="1:20" ht="24" customHeight="1" x14ac:dyDescent="0.35">
      <c r="A416" s="1" t="s">
        <v>1652</v>
      </c>
      <c r="B416" s="1" t="s">
        <v>1653</v>
      </c>
      <c r="C416" s="1" t="s">
        <v>91</v>
      </c>
      <c r="D416" s="1" t="s">
        <v>423</v>
      </c>
      <c r="E416" s="10">
        <v>46220</v>
      </c>
      <c r="F416" s="1" t="s">
        <v>587</v>
      </c>
      <c r="G416" s="1" t="s">
        <v>588</v>
      </c>
      <c r="H416" s="23">
        <v>400000</v>
      </c>
      <c r="I416" s="1" t="s">
        <v>589</v>
      </c>
      <c r="J416" s="1" t="s">
        <v>545</v>
      </c>
      <c r="K416" s="1" t="s">
        <v>546</v>
      </c>
      <c r="L416" s="1" t="s">
        <v>149</v>
      </c>
      <c r="M416" s="1" t="s">
        <v>581</v>
      </c>
      <c r="N416" s="1"/>
      <c r="O416" s="10"/>
      <c r="P416" s="23"/>
      <c r="Q416" s="1"/>
      <c r="R416" s="1" t="s">
        <v>557</v>
      </c>
      <c r="S416" s="1" t="s">
        <v>582</v>
      </c>
      <c r="T416" s="10">
        <v>46298</v>
      </c>
    </row>
    <row r="417" spans="1:20" ht="24" customHeight="1" x14ac:dyDescent="0.35">
      <c r="A417" s="5" t="s">
        <v>1654</v>
      </c>
      <c r="B417" s="5" t="s">
        <v>1655</v>
      </c>
      <c r="C417" s="5" t="s">
        <v>103</v>
      </c>
      <c r="D417" s="5" t="s">
        <v>1656</v>
      </c>
      <c r="E417" s="8">
        <v>46220</v>
      </c>
      <c r="F417" s="5" t="s">
        <v>771</v>
      </c>
      <c r="G417" s="5" t="s">
        <v>772</v>
      </c>
      <c r="H417" s="22"/>
      <c r="I417" s="5" t="s">
        <v>603</v>
      </c>
      <c r="J417" s="5" t="s">
        <v>544</v>
      </c>
      <c r="K417" s="5" t="s">
        <v>590</v>
      </c>
      <c r="L417" s="5" t="s">
        <v>149</v>
      </c>
      <c r="M417" s="5" t="s">
        <v>581</v>
      </c>
      <c r="N417" s="5"/>
      <c r="O417" s="8"/>
      <c r="P417" s="22"/>
      <c r="Q417" s="5" t="s">
        <v>773</v>
      </c>
      <c r="R417" s="5" t="s">
        <v>557</v>
      </c>
      <c r="S417" s="5" t="s">
        <v>582</v>
      </c>
      <c r="T417" s="8">
        <v>46298</v>
      </c>
    </row>
    <row r="418" spans="1:20" ht="24" customHeight="1" x14ac:dyDescent="0.35">
      <c r="A418" s="1" t="s">
        <v>1657</v>
      </c>
      <c r="B418" s="1" t="s">
        <v>1658</v>
      </c>
      <c r="C418" s="1" t="s">
        <v>1157</v>
      </c>
      <c r="D418" s="1" t="s">
        <v>681</v>
      </c>
      <c r="E418" s="10">
        <v>46220</v>
      </c>
      <c r="F418" s="1" t="s">
        <v>587</v>
      </c>
      <c r="G418" s="1" t="s">
        <v>588</v>
      </c>
      <c r="H418" s="23">
        <v>12800000</v>
      </c>
      <c r="I418" s="1" t="s">
        <v>589</v>
      </c>
      <c r="J418" s="1" t="s">
        <v>548</v>
      </c>
      <c r="K418" s="1" t="s">
        <v>548</v>
      </c>
      <c r="L418" s="1" t="s">
        <v>591</v>
      </c>
      <c r="M418" s="1" t="s">
        <v>581</v>
      </c>
      <c r="N418" s="1"/>
      <c r="O418" s="10"/>
      <c r="P418" s="23"/>
      <c r="Q418" s="1"/>
      <c r="R418" s="1" t="s">
        <v>557</v>
      </c>
      <c r="S418" s="1" t="s">
        <v>582</v>
      </c>
      <c r="T418" s="10">
        <v>46298</v>
      </c>
    </row>
    <row r="419" spans="1:20" ht="24" customHeight="1" x14ac:dyDescent="0.35">
      <c r="A419" s="5" t="s">
        <v>1659</v>
      </c>
      <c r="B419" s="5" t="s">
        <v>1660</v>
      </c>
      <c r="C419" s="5" t="s">
        <v>692</v>
      </c>
      <c r="D419" s="5" t="s">
        <v>1661</v>
      </c>
      <c r="E419" s="8">
        <v>46220</v>
      </c>
      <c r="F419" s="5" t="s">
        <v>771</v>
      </c>
      <c r="G419" s="5" t="s">
        <v>772</v>
      </c>
      <c r="H419" s="22"/>
      <c r="I419" s="5" t="s">
        <v>603</v>
      </c>
      <c r="J419" s="5" t="s">
        <v>547</v>
      </c>
      <c r="K419" s="5" t="s">
        <v>590</v>
      </c>
      <c r="L419" s="5" t="s">
        <v>640</v>
      </c>
      <c r="M419" s="5" t="s">
        <v>581</v>
      </c>
      <c r="N419" s="5"/>
      <c r="O419" s="8"/>
      <c r="P419" s="22"/>
      <c r="Q419" s="5" t="s">
        <v>773</v>
      </c>
      <c r="R419" s="5" t="s">
        <v>557</v>
      </c>
      <c r="S419" s="5" t="s">
        <v>582</v>
      </c>
      <c r="T419" s="8">
        <v>46298</v>
      </c>
    </row>
    <row r="420" spans="1:20" ht="24" customHeight="1" x14ac:dyDescent="0.35">
      <c r="A420" s="1" t="s">
        <v>1662</v>
      </c>
      <c r="B420" s="1" t="s">
        <v>1663</v>
      </c>
      <c r="C420" s="1" t="s">
        <v>374</v>
      </c>
      <c r="D420" s="1" t="s">
        <v>1664</v>
      </c>
      <c r="E420" s="10">
        <v>46220</v>
      </c>
      <c r="F420" s="1" t="s">
        <v>578</v>
      </c>
      <c r="G420" s="1" t="s">
        <v>579</v>
      </c>
      <c r="H420" s="23"/>
      <c r="I420" s="1" t="s">
        <v>580</v>
      </c>
      <c r="J420" s="1" t="s">
        <v>544</v>
      </c>
      <c r="K420" s="1" t="s">
        <v>590</v>
      </c>
      <c r="L420" s="1" t="s">
        <v>591</v>
      </c>
      <c r="M420" s="1" t="s">
        <v>581</v>
      </c>
      <c r="N420" s="1"/>
      <c r="O420" s="10"/>
      <c r="P420" s="23"/>
      <c r="Q420" s="1"/>
      <c r="R420" s="1" t="s">
        <v>557</v>
      </c>
      <c r="S420" s="1" t="s">
        <v>582</v>
      </c>
      <c r="T420" s="10">
        <v>46298</v>
      </c>
    </row>
    <row r="421" spans="1:20" ht="24" customHeight="1" x14ac:dyDescent="0.35">
      <c r="A421" s="5" t="s">
        <v>1665</v>
      </c>
      <c r="B421" s="5" t="s">
        <v>1666</v>
      </c>
      <c r="C421" s="5" t="s">
        <v>355</v>
      </c>
      <c r="D421" s="5" t="s">
        <v>630</v>
      </c>
      <c r="E421" s="8">
        <v>46220</v>
      </c>
      <c r="F421" s="5" t="s">
        <v>587</v>
      </c>
      <c r="G421" s="5" t="s">
        <v>588</v>
      </c>
      <c r="H421" s="22">
        <v>2000000</v>
      </c>
      <c r="I421" s="5" t="s">
        <v>589</v>
      </c>
      <c r="J421" s="5" t="s">
        <v>544</v>
      </c>
      <c r="K421" s="5" t="s">
        <v>547</v>
      </c>
      <c r="L421" s="5" t="s">
        <v>640</v>
      </c>
      <c r="M421" s="5" t="s">
        <v>581</v>
      </c>
      <c r="N421" s="5"/>
      <c r="O421" s="8"/>
      <c r="P421" s="22"/>
      <c r="Q421" s="5" t="s">
        <v>1005</v>
      </c>
      <c r="R421" s="5" t="s">
        <v>557</v>
      </c>
      <c r="S421" s="5" t="s">
        <v>582</v>
      </c>
      <c r="T421" s="8">
        <v>46298</v>
      </c>
    </row>
    <row r="422" spans="1:20" ht="24" customHeight="1" x14ac:dyDescent="0.35">
      <c r="A422" s="1" t="s">
        <v>1667</v>
      </c>
      <c r="B422" s="1" t="s">
        <v>1668</v>
      </c>
      <c r="C422" s="1" t="s">
        <v>142</v>
      </c>
      <c r="D422" s="1" t="s">
        <v>1314</v>
      </c>
      <c r="E422" s="10">
        <v>46220</v>
      </c>
      <c r="F422" s="1" t="s">
        <v>771</v>
      </c>
      <c r="G422" s="1" t="s">
        <v>772</v>
      </c>
      <c r="H422" s="23"/>
      <c r="I422" s="1" t="s">
        <v>603</v>
      </c>
      <c r="J422" s="1" t="s">
        <v>547</v>
      </c>
      <c r="K422" s="1" t="s">
        <v>590</v>
      </c>
      <c r="L422" s="1" t="s">
        <v>149</v>
      </c>
      <c r="M422" s="1" t="s">
        <v>581</v>
      </c>
      <c r="N422" s="1"/>
      <c r="O422" s="10"/>
      <c r="P422" s="23"/>
      <c r="Q422" s="1" t="s">
        <v>773</v>
      </c>
      <c r="R422" s="1" t="s">
        <v>557</v>
      </c>
      <c r="S422" s="1" t="s">
        <v>582</v>
      </c>
      <c r="T422" s="10">
        <v>46298</v>
      </c>
    </row>
    <row r="423" spans="1:20" ht="24" customHeight="1" x14ac:dyDescent="0.35">
      <c r="A423" s="5" t="s">
        <v>1669</v>
      </c>
      <c r="B423" s="5" t="s">
        <v>1670</v>
      </c>
      <c r="C423" s="5" t="s">
        <v>529</v>
      </c>
      <c r="D423" s="5" t="s">
        <v>1671</v>
      </c>
      <c r="E423" s="8">
        <v>46220</v>
      </c>
      <c r="F423" s="5" t="s">
        <v>601</v>
      </c>
      <c r="G423" s="5" t="s">
        <v>602</v>
      </c>
      <c r="H423" s="22"/>
      <c r="I423" s="5" t="s">
        <v>603</v>
      </c>
      <c r="J423" s="5" t="s">
        <v>547</v>
      </c>
      <c r="K423" s="5" t="s">
        <v>590</v>
      </c>
      <c r="L423" s="5" t="s">
        <v>640</v>
      </c>
      <c r="M423" s="5" t="s">
        <v>581</v>
      </c>
      <c r="N423" s="5"/>
      <c r="O423" s="8"/>
      <c r="P423" s="22"/>
      <c r="Q423" s="5"/>
      <c r="R423" s="5" t="s">
        <v>557</v>
      </c>
      <c r="S423" s="5" t="s">
        <v>582</v>
      </c>
      <c r="T423" s="8">
        <v>46298</v>
      </c>
    </row>
    <row r="424" spans="1:20" ht="24" customHeight="1" x14ac:dyDescent="0.35">
      <c r="A424" s="1" t="s">
        <v>1672</v>
      </c>
      <c r="B424" s="1" t="s">
        <v>1673</v>
      </c>
      <c r="C424" s="1" t="s">
        <v>95</v>
      </c>
      <c r="D424" s="1" t="s">
        <v>1674</v>
      </c>
      <c r="E424" s="10">
        <v>46220</v>
      </c>
      <c r="F424" s="1" t="s">
        <v>771</v>
      </c>
      <c r="G424" s="1" t="s">
        <v>772</v>
      </c>
      <c r="H424" s="23"/>
      <c r="I424" s="1" t="s">
        <v>603</v>
      </c>
      <c r="J424" s="1" t="s">
        <v>548</v>
      </c>
      <c r="K424" s="1" t="s">
        <v>590</v>
      </c>
      <c r="L424" s="1" t="s">
        <v>172</v>
      </c>
      <c r="M424" s="1" t="s">
        <v>581</v>
      </c>
      <c r="N424" s="1"/>
      <c r="O424" s="10"/>
      <c r="P424" s="23"/>
      <c r="Q424" s="1" t="s">
        <v>773</v>
      </c>
      <c r="R424" s="1" t="s">
        <v>557</v>
      </c>
      <c r="S424" s="1" t="s">
        <v>582</v>
      </c>
      <c r="T424" s="10">
        <v>46298</v>
      </c>
    </row>
    <row r="425" spans="1:20" ht="24" customHeight="1" x14ac:dyDescent="0.35">
      <c r="A425" s="5" t="s">
        <v>1675</v>
      </c>
      <c r="B425" s="5" t="s">
        <v>367</v>
      </c>
      <c r="C425" s="5" t="s">
        <v>677</v>
      </c>
      <c r="D425" s="5" t="s">
        <v>106</v>
      </c>
      <c r="E425" s="8">
        <v>46220</v>
      </c>
      <c r="F425" s="5" t="s">
        <v>587</v>
      </c>
      <c r="G425" s="5" t="s">
        <v>588</v>
      </c>
      <c r="H425" s="22">
        <v>51000000</v>
      </c>
      <c r="I425" s="5" t="s">
        <v>1676</v>
      </c>
      <c r="J425" s="5" t="s">
        <v>547</v>
      </c>
      <c r="K425" s="5" t="s">
        <v>544</v>
      </c>
      <c r="L425" s="5" t="s">
        <v>608</v>
      </c>
      <c r="M425" s="5" t="s">
        <v>581</v>
      </c>
      <c r="N425" s="5"/>
      <c r="O425" s="8"/>
      <c r="P425" s="22"/>
      <c r="Q425" s="5" t="s">
        <v>1005</v>
      </c>
      <c r="R425" s="5" t="s">
        <v>557</v>
      </c>
      <c r="S425" s="5" t="s">
        <v>582</v>
      </c>
      <c r="T425" s="8">
        <v>46298</v>
      </c>
    </row>
    <row r="426" spans="1:20" ht="24" customHeight="1" x14ac:dyDescent="0.35">
      <c r="A426" s="1" t="s">
        <v>1677</v>
      </c>
      <c r="B426" s="1" t="s">
        <v>228</v>
      </c>
      <c r="C426" s="1" t="s">
        <v>1563</v>
      </c>
      <c r="D426" s="1" t="s">
        <v>1210</v>
      </c>
      <c r="E426" s="10">
        <v>46219</v>
      </c>
      <c r="F426" s="1" t="s">
        <v>587</v>
      </c>
      <c r="G426" s="1" t="s">
        <v>588</v>
      </c>
      <c r="H426" s="23">
        <v>1300000</v>
      </c>
      <c r="I426" s="1" t="s">
        <v>589</v>
      </c>
      <c r="J426" s="1" t="s">
        <v>548</v>
      </c>
      <c r="K426" s="1" t="s">
        <v>545</v>
      </c>
      <c r="L426" s="1" t="s">
        <v>640</v>
      </c>
      <c r="M426" s="1" t="s">
        <v>581</v>
      </c>
      <c r="N426" s="1"/>
      <c r="O426" s="10"/>
      <c r="P426" s="23"/>
      <c r="Q426" s="1"/>
      <c r="R426" s="1" t="s">
        <v>557</v>
      </c>
      <c r="S426" s="1" t="s">
        <v>582</v>
      </c>
      <c r="T426" s="10">
        <v>46298</v>
      </c>
    </row>
    <row r="427" spans="1:20" ht="24" customHeight="1" x14ac:dyDescent="0.35">
      <c r="A427" s="5" t="s">
        <v>1678</v>
      </c>
      <c r="B427" s="5" t="s">
        <v>1679</v>
      </c>
      <c r="C427" s="5" t="s">
        <v>1680</v>
      </c>
      <c r="D427" s="5" t="s">
        <v>585</v>
      </c>
      <c r="E427" s="8">
        <v>46220</v>
      </c>
      <c r="F427" s="5" t="s">
        <v>587</v>
      </c>
      <c r="G427" s="5" t="s">
        <v>588</v>
      </c>
      <c r="H427" s="22">
        <v>2100000</v>
      </c>
      <c r="I427" s="5" t="s">
        <v>589</v>
      </c>
      <c r="J427" s="5" t="s">
        <v>590</v>
      </c>
      <c r="K427" s="5" t="s">
        <v>548</v>
      </c>
      <c r="L427" s="5" t="s">
        <v>149</v>
      </c>
      <c r="M427" s="5" t="s">
        <v>581</v>
      </c>
      <c r="N427" s="5"/>
      <c r="O427" s="8"/>
      <c r="P427" s="22"/>
      <c r="Q427" s="5"/>
      <c r="R427" s="5" t="s">
        <v>557</v>
      </c>
      <c r="S427" s="5" t="s">
        <v>582</v>
      </c>
      <c r="T427" s="8">
        <v>46298</v>
      </c>
    </row>
    <row r="428" spans="1:20" ht="24" customHeight="1" x14ac:dyDescent="0.35">
      <c r="A428" s="1" t="s">
        <v>1681</v>
      </c>
      <c r="B428" s="1" t="s">
        <v>1682</v>
      </c>
      <c r="C428" s="1" t="s">
        <v>128</v>
      </c>
      <c r="D428" s="1" t="s">
        <v>1683</v>
      </c>
      <c r="E428" s="10">
        <v>46220</v>
      </c>
      <c r="F428" s="1" t="s">
        <v>771</v>
      </c>
      <c r="G428" s="1" t="s">
        <v>772</v>
      </c>
      <c r="H428" s="23"/>
      <c r="I428" s="1" t="s">
        <v>603</v>
      </c>
      <c r="J428" s="1" t="s">
        <v>544</v>
      </c>
      <c r="K428" s="1" t="s">
        <v>590</v>
      </c>
      <c r="L428" s="1" t="s">
        <v>172</v>
      </c>
      <c r="M428" s="1" t="s">
        <v>581</v>
      </c>
      <c r="N428" s="1"/>
      <c r="O428" s="10"/>
      <c r="P428" s="23"/>
      <c r="Q428" s="1" t="s">
        <v>773</v>
      </c>
      <c r="R428" s="1" t="s">
        <v>557</v>
      </c>
      <c r="S428" s="1" t="s">
        <v>582</v>
      </c>
      <c r="T428" s="10">
        <v>46298</v>
      </c>
    </row>
    <row r="429" spans="1:20" ht="24" customHeight="1" x14ac:dyDescent="0.35">
      <c r="A429" s="5" t="s">
        <v>1684</v>
      </c>
      <c r="B429" s="5" t="s">
        <v>1685</v>
      </c>
      <c r="C429" s="5" t="s">
        <v>423</v>
      </c>
      <c r="D429" s="5" t="s">
        <v>677</v>
      </c>
      <c r="E429" s="8">
        <v>46221</v>
      </c>
      <c r="F429" s="5" t="s">
        <v>587</v>
      </c>
      <c r="G429" s="5" t="s">
        <v>588</v>
      </c>
      <c r="H429" s="22">
        <v>6000000</v>
      </c>
      <c r="I429" s="5" t="s">
        <v>589</v>
      </c>
      <c r="J429" s="5" t="s">
        <v>546</v>
      </c>
      <c r="K429" s="5" t="s">
        <v>547</v>
      </c>
      <c r="L429" s="5" t="s">
        <v>608</v>
      </c>
      <c r="M429" s="5" t="s">
        <v>581</v>
      </c>
      <c r="N429" s="5"/>
      <c r="O429" s="8"/>
      <c r="P429" s="22"/>
      <c r="Q429" s="5"/>
      <c r="R429" s="5" t="s">
        <v>557</v>
      </c>
      <c r="S429" s="5" t="s">
        <v>582</v>
      </c>
      <c r="T429" s="8">
        <v>46298</v>
      </c>
    </row>
    <row r="430" spans="1:20" ht="24" customHeight="1" x14ac:dyDescent="0.35">
      <c r="A430" s="1" t="s">
        <v>1686</v>
      </c>
      <c r="B430" s="1" t="s">
        <v>1687</v>
      </c>
      <c r="C430" s="1" t="s">
        <v>606</v>
      </c>
      <c r="D430" s="1" t="s">
        <v>1688</v>
      </c>
      <c r="E430" s="10">
        <v>46221</v>
      </c>
      <c r="F430" s="1" t="s">
        <v>771</v>
      </c>
      <c r="G430" s="1" t="s">
        <v>772</v>
      </c>
      <c r="H430" s="23"/>
      <c r="I430" s="1" t="s">
        <v>603</v>
      </c>
      <c r="J430" s="1" t="s">
        <v>547</v>
      </c>
      <c r="K430" s="1" t="s">
        <v>590</v>
      </c>
      <c r="L430" s="1" t="s">
        <v>640</v>
      </c>
      <c r="M430" s="1" t="s">
        <v>581</v>
      </c>
      <c r="N430" s="1"/>
      <c r="O430" s="10"/>
      <c r="P430" s="23"/>
      <c r="Q430" s="1" t="s">
        <v>773</v>
      </c>
      <c r="R430" s="1" t="s">
        <v>557</v>
      </c>
      <c r="S430" s="1" t="s">
        <v>582</v>
      </c>
      <c r="T430" s="10">
        <v>46298</v>
      </c>
    </row>
    <row r="431" spans="1:20" ht="24" customHeight="1" x14ac:dyDescent="0.35">
      <c r="A431" s="5" t="s">
        <v>1689</v>
      </c>
      <c r="B431" s="5" t="s">
        <v>1690</v>
      </c>
      <c r="C431" s="5" t="s">
        <v>1099</v>
      </c>
      <c r="D431" s="5" t="s">
        <v>1691</v>
      </c>
      <c r="E431" s="8">
        <v>46221</v>
      </c>
      <c r="F431" s="5" t="s">
        <v>587</v>
      </c>
      <c r="G431" s="5" t="s">
        <v>588</v>
      </c>
      <c r="H431" s="22">
        <v>1500000</v>
      </c>
      <c r="I431" s="5" t="s">
        <v>589</v>
      </c>
      <c r="J431" s="5" t="s">
        <v>545</v>
      </c>
      <c r="K431" s="5" t="s">
        <v>590</v>
      </c>
      <c r="L431" s="5" t="s">
        <v>149</v>
      </c>
      <c r="M431" s="5" t="s">
        <v>581</v>
      </c>
      <c r="N431" s="5"/>
      <c r="O431" s="8"/>
      <c r="P431" s="22"/>
      <c r="Q431" s="5"/>
      <c r="R431" s="5" t="s">
        <v>557</v>
      </c>
      <c r="S431" s="5" t="s">
        <v>582</v>
      </c>
      <c r="T431" s="8">
        <v>46298</v>
      </c>
    </row>
    <row r="432" spans="1:20" ht="24" customHeight="1" x14ac:dyDescent="0.35">
      <c r="A432" s="1" t="s">
        <v>1692</v>
      </c>
      <c r="B432" s="1" t="s">
        <v>1693</v>
      </c>
      <c r="C432" s="1" t="s">
        <v>1311</v>
      </c>
      <c r="D432" s="1" t="s">
        <v>798</v>
      </c>
      <c r="E432" s="10">
        <v>46221</v>
      </c>
      <c r="F432" s="1" t="s">
        <v>771</v>
      </c>
      <c r="G432" s="1" t="s">
        <v>772</v>
      </c>
      <c r="H432" s="23"/>
      <c r="I432" s="1" t="s">
        <v>603</v>
      </c>
      <c r="J432" s="1" t="s">
        <v>546</v>
      </c>
      <c r="K432" s="1" t="s">
        <v>590</v>
      </c>
      <c r="L432" s="1" t="s">
        <v>149</v>
      </c>
      <c r="M432" s="1" t="s">
        <v>581</v>
      </c>
      <c r="N432" s="1"/>
      <c r="O432" s="10"/>
      <c r="P432" s="23"/>
      <c r="Q432" s="1" t="s">
        <v>773</v>
      </c>
      <c r="R432" s="1" t="s">
        <v>557</v>
      </c>
      <c r="S432" s="1" t="s">
        <v>582</v>
      </c>
      <c r="T432" s="10">
        <v>46298</v>
      </c>
    </row>
    <row r="433" spans="1:20" ht="24" customHeight="1" x14ac:dyDescent="0.35">
      <c r="A433" s="5" t="s">
        <v>1694</v>
      </c>
      <c r="B433" s="5" t="s">
        <v>1695</v>
      </c>
      <c r="C433" s="5" t="s">
        <v>749</v>
      </c>
      <c r="D433" s="5" t="s">
        <v>1084</v>
      </c>
      <c r="E433" s="8">
        <v>46210</v>
      </c>
      <c r="F433" s="5" t="s">
        <v>771</v>
      </c>
      <c r="G433" s="5" t="s">
        <v>772</v>
      </c>
      <c r="H433" s="22"/>
      <c r="I433" s="5" t="s">
        <v>603</v>
      </c>
      <c r="J433" s="5" t="s">
        <v>547</v>
      </c>
      <c r="K433" s="5" t="s">
        <v>590</v>
      </c>
      <c r="L433" s="5" t="s">
        <v>591</v>
      </c>
      <c r="M433" s="5" t="s">
        <v>581</v>
      </c>
      <c r="N433" s="5"/>
      <c r="O433" s="8"/>
      <c r="P433" s="22"/>
      <c r="Q433" s="5" t="s">
        <v>773</v>
      </c>
      <c r="R433" s="5" t="s">
        <v>557</v>
      </c>
      <c r="S433" s="5" t="s">
        <v>582</v>
      </c>
      <c r="T433" s="8">
        <v>46298</v>
      </c>
    </row>
    <row r="434" spans="1:20" ht="24" customHeight="1" x14ac:dyDescent="0.35">
      <c r="A434" s="1" t="s">
        <v>1696</v>
      </c>
      <c r="B434" s="1" t="s">
        <v>1697</v>
      </c>
      <c r="C434" s="1" t="s">
        <v>749</v>
      </c>
      <c r="D434" s="1" t="s">
        <v>184</v>
      </c>
      <c r="E434" s="10">
        <v>46134</v>
      </c>
      <c r="F434" s="1" t="s">
        <v>578</v>
      </c>
      <c r="G434" s="1" t="s">
        <v>579</v>
      </c>
      <c r="H434" s="23"/>
      <c r="I434" s="1" t="s">
        <v>580</v>
      </c>
      <c r="J434" s="1" t="s">
        <v>547</v>
      </c>
      <c r="K434" s="1" t="s">
        <v>590</v>
      </c>
      <c r="L434" s="1" t="s">
        <v>608</v>
      </c>
      <c r="M434" s="1" t="s">
        <v>581</v>
      </c>
      <c r="N434" s="1"/>
      <c r="O434" s="10"/>
      <c r="P434" s="23"/>
      <c r="Q434" s="1" t="s">
        <v>592</v>
      </c>
      <c r="R434" s="1" t="s">
        <v>557</v>
      </c>
      <c r="S434" s="1" t="s">
        <v>582</v>
      </c>
      <c r="T434" s="10">
        <v>46298</v>
      </c>
    </row>
    <row r="435" spans="1:20" ht="24" customHeight="1" x14ac:dyDescent="0.35">
      <c r="A435" s="5" t="s">
        <v>1698</v>
      </c>
      <c r="B435" s="5" t="s">
        <v>1699</v>
      </c>
      <c r="C435" s="5" t="s">
        <v>1700</v>
      </c>
      <c r="D435" s="5" t="s">
        <v>685</v>
      </c>
      <c r="E435" s="8">
        <v>46066</v>
      </c>
      <c r="F435" s="5" t="s">
        <v>601</v>
      </c>
      <c r="G435" s="5" t="s">
        <v>602</v>
      </c>
      <c r="H435" s="22"/>
      <c r="I435" s="5" t="s">
        <v>603</v>
      </c>
      <c r="J435" s="5" t="s">
        <v>590</v>
      </c>
      <c r="K435" s="5" t="s">
        <v>547</v>
      </c>
      <c r="L435" s="5" t="s">
        <v>640</v>
      </c>
      <c r="M435" s="5" t="s">
        <v>581</v>
      </c>
      <c r="N435" s="5"/>
      <c r="O435" s="8"/>
      <c r="P435" s="22"/>
      <c r="Q435" s="5" t="s">
        <v>592</v>
      </c>
      <c r="R435" s="5" t="s">
        <v>557</v>
      </c>
      <c r="S435" s="5" t="s">
        <v>582</v>
      </c>
      <c r="T435" s="8">
        <v>46298</v>
      </c>
    </row>
    <row r="436" spans="1:20" ht="24" customHeight="1" x14ac:dyDescent="0.35">
      <c r="A436" s="1" t="s">
        <v>1701</v>
      </c>
      <c r="B436" s="1" t="s">
        <v>1702</v>
      </c>
      <c r="C436" s="1" t="s">
        <v>685</v>
      </c>
      <c r="D436" s="1" t="s">
        <v>1025</v>
      </c>
      <c r="E436" s="10">
        <v>46204</v>
      </c>
      <c r="F436" s="1" t="s">
        <v>587</v>
      </c>
      <c r="G436" s="1" t="s">
        <v>588</v>
      </c>
      <c r="H436" s="23">
        <v>4250000</v>
      </c>
      <c r="I436" s="1" t="s">
        <v>589</v>
      </c>
      <c r="J436" s="1" t="s">
        <v>547</v>
      </c>
      <c r="K436" s="1" t="s">
        <v>590</v>
      </c>
      <c r="L436" s="1" t="s">
        <v>172</v>
      </c>
      <c r="M436" s="1" t="s">
        <v>581</v>
      </c>
      <c r="N436" s="1"/>
      <c r="O436" s="10"/>
      <c r="P436" s="23"/>
      <c r="Q436" s="1"/>
      <c r="R436" s="1" t="s">
        <v>557</v>
      </c>
      <c r="S436" s="1" t="s">
        <v>582</v>
      </c>
      <c r="T436" s="10">
        <v>46298</v>
      </c>
    </row>
    <row r="437" spans="1:20" ht="24" customHeight="1" x14ac:dyDescent="0.35">
      <c r="A437" s="5" t="s">
        <v>1703</v>
      </c>
      <c r="B437" s="5" t="s">
        <v>1704</v>
      </c>
      <c r="C437" s="5" t="s">
        <v>685</v>
      </c>
      <c r="D437" s="5" t="s">
        <v>1705</v>
      </c>
      <c r="E437" s="8">
        <v>46209</v>
      </c>
      <c r="F437" s="5" t="s">
        <v>771</v>
      </c>
      <c r="G437" s="5" t="s">
        <v>772</v>
      </c>
      <c r="H437" s="22"/>
      <c r="I437" s="5" t="s">
        <v>603</v>
      </c>
      <c r="J437" s="5" t="s">
        <v>547</v>
      </c>
      <c r="K437" s="5" t="s">
        <v>590</v>
      </c>
      <c r="L437" s="5" t="s">
        <v>149</v>
      </c>
      <c r="M437" s="5" t="s">
        <v>581</v>
      </c>
      <c r="N437" s="5"/>
      <c r="O437" s="8"/>
      <c r="P437" s="22"/>
      <c r="Q437" s="5" t="s">
        <v>773</v>
      </c>
      <c r="R437" s="5" t="s">
        <v>557</v>
      </c>
      <c r="S437" s="5" t="s">
        <v>582</v>
      </c>
      <c r="T437" s="8">
        <v>46298</v>
      </c>
    </row>
    <row r="438" spans="1:20" ht="24" customHeight="1" x14ac:dyDescent="0.35">
      <c r="A438" s="1" t="s">
        <v>1706</v>
      </c>
      <c r="B438" s="1" t="s">
        <v>1707</v>
      </c>
      <c r="C438" s="1" t="s">
        <v>142</v>
      </c>
      <c r="D438" s="1" t="s">
        <v>448</v>
      </c>
      <c r="E438" s="10">
        <v>46221</v>
      </c>
      <c r="F438" s="1" t="s">
        <v>587</v>
      </c>
      <c r="G438" s="1" t="s">
        <v>588</v>
      </c>
      <c r="H438" s="23">
        <v>10630000</v>
      </c>
      <c r="I438" s="1" t="s">
        <v>589</v>
      </c>
      <c r="J438" s="1" t="s">
        <v>547</v>
      </c>
      <c r="K438" s="1" t="s">
        <v>547</v>
      </c>
      <c r="L438" s="1" t="s">
        <v>608</v>
      </c>
      <c r="M438" s="1" t="s">
        <v>581</v>
      </c>
      <c r="N438" s="1"/>
      <c r="O438" s="10"/>
      <c r="P438" s="23"/>
      <c r="Q438" s="1"/>
      <c r="R438" s="1" t="s">
        <v>557</v>
      </c>
      <c r="S438" s="1" t="s">
        <v>582</v>
      </c>
      <c r="T438" s="10">
        <v>46298</v>
      </c>
    </row>
    <row r="439" spans="1:20" ht="24" customHeight="1" x14ac:dyDescent="0.35">
      <c r="A439" s="5" t="s">
        <v>1708</v>
      </c>
      <c r="B439" s="5" t="s">
        <v>1709</v>
      </c>
      <c r="C439" s="5" t="s">
        <v>423</v>
      </c>
      <c r="D439" s="5" t="s">
        <v>788</v>
      </c>
      <c r="E439" s="8">
        <v>46221</v>
      </c>
      <c r="F439" s="5" t="s">
        <v>587</v>
      </c>
      <c r="G439" s="5" t="s">
        <v>588</v>
      </c>
      <c r="H439" s="22">
        <v>1300000</v>
      </c>
      <c r="I439" s="5" t="s">
        <v>589</v>
      </c>
      <c r="J439" s="5" t="s">
        <v>546</v>
      </c>
      <c r="K439" s="5" t="s">
        <v>546</v>
      </c>
      <c r="L439" s="5" t="s">
        <v>149</v>
      </c>
      <c r="M439" s="5" t="s">
        <v>581</v>
      </c>
      <c r="N439" s="5"/>
      <c r="O439" s="8"/>
      <c r="P439" s="22"/>
      <c r="Q439" s="5"/>
      <c r="R439" s="5" t="s">
        <v>557</v>
      </c>
      <c r="S439" s="5" t="s">
        <v>582</v>
      </c>
      <c r="T439" s="8">
        <v>46298</v>
      </c>
    </row>
    <row r="440" spans="1:20" ht="24" customHeight="1" x14ac:dyDescent="0.35">
      <c r="A440" s="1" t="s">
        <v>1710</v>
      </c>
      <c r="B440" s="1" t="s">
        <v>1711</v>
      </c>
      <c r="C440" s="1" t="s">
        <v>802</v>
      </c>
      <c r="D440" s="1" t="s">
        <v>1364</v>
      </c>
      <c r="E440" s="10">
        <v>46221</v>
      </c>
      <c r="F440" s="1" t="s">
        <v>771</v>
      </c>
      <c r="G440" s="1" t="s">
        <v>772</v>
      </c>
      <c r="H440" s="23"/>
      <c r="I440" s="1" t="s">
        <v>603</v>
      </c>
      <c r="J440" s="1" t="s">
        <v>546</v>
      </c>
      <c r="K440" s="1" t="s">
        <v>590</v>
      </c>
      <c r="L440" s="1" t="s">
        <v>640</v>
      </c>
      <c r="M440" s="1" t="s">
        <v>581</v>
      </c>
      <c r="N440" s="1"/>
      <c r="O440" s="10"/>
      <c r="P440" s="23"/>
      <c r="Q440" s="1" t="s">
        <v>773</v>
      </c>
      <c r="R440" s="1" t="s">
        <v>557</v>
      </c>
      <c r="S440" s="1" t="s">
        <v>582</v>
      </c>
      <c r="T440" s="10">
        <v>46298</v>
      </c>
    </row>
    <row r="441" spans="1:20" ht="24" customHeight="1" x14ac:dyDescent="0.35">
      <c r="A441" s="5" t="s">
        <v>1712</v>
      </c>
      <c r="B441" s="5" t="s">
        <v>1713</v>
      </c>
      <c r="C441" s="5" t="s">
        <v>157</v>
      </c>
      <c r="D441" s="5" t="s">
        <v>791</v>
      </c>
      <c r="E441" s="8">
        <v>46221</v>
      </c>
      <c r="F441" s="5" t="s">
        <v>771</v>
      </c>
      <c r="G441" s="5" t="s">
        <v>772</v>
      </c>
      <c r="H441" s="22"/>
      <c r="I441" s="5" t="s">
        <v>603</v>
      </c>
      <c r="J441" s="5" t="s">
        <v>546</v>
      </c>
      <c r="K441" s="5" t="s">
        <v>548</v>
      </c>
      <c r="L441" s="5" t="s">
        <v>608</v>
      </c>
      <c r="M441" s="5" t="s">
        <v>581</v>
      </c>
      <c r="N441" s="5"/>
      <c r="O441" s="8"/>
      <c r="P441" s="22"/>
      <c r="Q441" s="5" t="s">
        <v>773</v>
      </c>
      <c r="R441" s="5" t="s">
        <v>557</v>
      </c>
      <c r="S441" s="5" t="s">
        <v>582</v>
      </c>
      <c r="T441" s="8">
        <v>46298</v>
      </c>
    </row>
    <row r="442" spans="1:20" ht="24" customHeight="1" x14ac:dyDescent="0.35">
      <c r="A442" s="1" t="s">
        <v>1714</v>
      </c>
      <c r="B442" s="1" t="s">
        <v>1715</v>
      </c>
      <c r="C442" s="1" t="s">
        <v>585</v>
      </c>
      <c r="D442" s="1" t="s">
        <v>1226</v>
      </c>
      <c r="E442" s="10">
        <v>46221</v>
      </c>
      <c r="F442" s="1" t="s">
        <v>771</v>
      </c>
      <c r="G442" s="1" t="s">
        <v>772</v>
      </c>
      <c r="H442" s="23"/>
      <c r="I442" s="1" t="s">
        <v>603</v>
      </c>
      <c r="J442" s="1" t="s">
        <v>548</v>
      </c>
      <c r="K442" s="1" t="s">
        <v>590</v>
      </c>
      <c r="L442" s="1" t="s">
        <v>172</v>
      </c>
      <c r="M442" s="1" t="s">
        <v>581</v>
      </c>
      <c r="N442" s="1"/>
      <c r="O442" s="10"/>
      <c r="P442" s="23"/>
      <c r="Q442" s="1" t="s">
        <v>1008</v>
      </c>
      <c r="R442" s="1" t="s">
        <v>557</v>
      </c>
      <c r="S442" s="1" t="s">
        <v>582</v>
      </c>
      <c r="T442" s="10">
        <v>46298</v>
      </c>
    </row>
    <row r="443" spans="1:20" ht="24" customHeight="1" x14ac:dyDescent="0.35">
      <c r="A443" s="5" t="s">
        <v>1716</v>
      </c>
      <c r="B443" s="5" t="s">
        <v>1717</v>
      </c>
      <c r="C443" s="5" t="s">
        <v>1226</v>
      </c>
      <c r="D443" s="5" t="s">
        <v>819</v>
      </c>
      <c r="E443" s="8">
        <v>46221</v>
      </c>
      <c r="F443" s="5" t="s">
        <v>771</v>
      </c>
      <c r="G443" s="5" t="s">
        <v>772</v>
      </c>
      <c r="H443" s="22"/>
      <c r="I443" s="5" t="s">
        <v>603</v>
      </c>
      <c r="J443" s="5" t="s">
        <v>590</v>
      </c>
      <c r="K443" s="5" t="s">
        <v>546</v>
      </c>
      <c r="L443" s="5" t="s">
        <v>172</v>
      </c>
      <c r="M443" s="5" t="s">
        <v>581</v>
      </c>
      <c r="N443" s="5"/>
      <c r="O443" s="8"/>
      <c r="P443" s="22"/>
      <c r="Q443" s="5" t="s">
        <v>773</v>
      </c>
      <c r="R443" s="5" t="s">
        <v>557</v>
      </c>
      <c r="S443" s="5" t="s">
        <v>582</v>
      </c>
      <c r="T443" s="8">
        <v>46298</v>
      </c>
    </row>
    <row r="444" spans="1:20" ht="24" customHeight="1" x14ac:dyDescent="0.35">
      <c r="A444" s="1" t="s">
        <v>1718</v>
      </c>
      <c r="B444" s="1" t="s">
        <v>1719</v>
      </c>
      <c r="C444" s="1" t="s">
        <v>707</v>
      </c>
      <c r="D444" s="1" t="s">
        <v>137</v>
      </c>
      <c r="E444" s="10">
        <v>46221</v>
      </c>
      <c r="F444" s="1" t="s">
        <v>578</v>
      </c>
      <c r="G444" s="1" t="s">
        <v>579</v>
      </c>
      <c r="H444" s="23"/>
      <c r="I444" s="1" t="s">
        <v>580</v>
      </c>
      <c r="J444" s="1" t="s">
        <v>545</v>
      </c>
      <c r="K444" s="1" t="s">
        <v>548</v>
      </c>
      <c r="L444" s="1" t="s">
        <v>149</v>
      </c>
      <c r="M444" s="1" t="s">
        <v>581</v>
      </c>
      <c r="N444" s="1"/>
      <c r="O444" s="10"/>
      <c r="P444" s="23"/>
      <c r="Q444" s="1"/>
      <c r="R444" s="1" t="s">
        <v>557</v>
      </c>
      <c r="S444" s="1" t="s">
        <v>582</v>
      </c>
      <c r="T444" s="10">
        <v>46298</v>
      </c>
    </row>
    <row r="445" spans="1:20" ht="24" customHeight="1" x14ac:dyDescent="0.35">
      <c r="A445" s="5" t="s">
        <v>1720</v>
      </c>
      <c r="B445" s="5" t="s">
        <v>1721</v>
      </c>
      <c r="C445" s="5" t="s">
        <v>1722</v>
      </c>
      <c r="D445" s="5" t="s">
        <v>953</v>
      </c>
      <c r="E445" s="8">
        <v>46222</v>
      </c>
      <c r="F445" s="5" t="s">
        <v>601</v>
      </c>
      <c r="G445" s="5" t="s">
        <v>602</v>
      </c>
      <c r="H445" s="22"/>
      <c r="I445" s="5" t="s">
        <v>603</v>
      </c>
      <c r="J445" s="5" t="s">
        <v>590</v>
      </c>
      <c r="K445" s="5" t="s">
        <v>548</v>
      </c>
      <c r="L445" s="5" t="s">
        <v>172</v>
      </c>
      <c r="M445" s="5" t="s">
        <v>581</v>
      </c>
      <c r="N445" s="5"/>
      <c r="O445" s="8"/>
      <c r="P445" s="22"/>
      <c r="Q445" s="5"/>
      <c r="R445" s="5" t="s">
        <v>557</v>
      </c>
      <c r="S445" s="5" t="s">
        <v>582</v>
      </c>
      <c r="T445" s="8">
        <v>46298</v>
      </c>
    </row>
    <row r="446" spans="1:20" ht="24" customHeight="1" x14ac:dyDescent="0.35">
      <c r="A446" s="1" t="s">
        <v>1723</v>
      </c>
      <c r="B446" s="1" t="s">
        <v>1724</v>
      </c>
      <c r="C446" s="1" t="s">
        <v>681</v>
      </c>
      <c r="D446" s="1" t="s">
        <v>778</v>
      </c>
      <c r="E446" s="10">
        <v>46221</v>
      </c>
      <c r="F446" s="1" t="s">
        <v>601</v>
      </c>
      <c r="G446" s="1" t="s">
        <v>602</v>
      </c>
      <c r="H446" s="23"/>
      <c r="I446" s="1" t="s">
        <v>603</v>
      </c>
      <c r="J446" s="1" t="s">
        <v>548</v>
      </c>
      <c r="K446" s="1" t="s">
        <v>590</v>
      </c>
      <c r="L446" s="1" t="s">
        <v>591</v>
      </c>
      <c r="M446" s="1" t="s">
        <v>581</v>
      </c>
      <c r="N446" s="1"/>
      <c r="O446" s="10"/>
      <c r="P446" s="23"/>
      <c r="Q446" s="1"/>
      <c r="R446" s="1" t="s">
        <v>557</v>
      </c>
      <c r="S446" s="1" t="s">
        <v>582</v>
      </c>
      <c r="T446" s="10">
        <v>46298</v>
      </c>
    </row>
    <row r="447" spans="1:20" ht="24" customHeight="1" x14ac:dyDescent="0.35">
      <c r="A447" s="5" t="s">
        <v>1725</v>
      </c>
      <c r="B447" s="5" t="s">
        <v>1726</v>
      </c>
      <c r="C447" s="5" t="s">
        <v>1459</v>
      </c>
      <c r="D447" s="5" t="s">
        <v>1727</v>
      </c>
      <c r="E447" s="8">
        <v>46222</v>
      </c>
      <c r="F447" s="5" t="s">
        <v>771</v>
      </c>
      <c r="G447" s="5" t="s">
        <v>772</v>
      </c>
      <c r="H447" s="22"/>
      <c r="I447" s="5" t="s">
        <v>603</v>
      </c>
      <c r="J447" s="5" t="s">
        <v>590</v>
      </c>
      <c r="K447" s="5" t="s">
        <v>545</v>
      </c>
      <c r="L447" s="5" t="s">
        <v>591</v>
      </c>
      <c r="M447" s="5" t="s">
        <v>581</v>
      </c>
      <c r="N447" s="5"/>
      <c r="O447" s="8"/>
      <c r="P447" s="22"/>
      <c r="Q447" s="5" t="s">
        <v>773</v>
      </c>
      <c r="R447" s="5" t="s">
        <v>557</v>
      </c>
      <c r="S447" s="5" t="s">
        <v>582</v>
      </c>
      <c r="T447" s="8">
        <v>46298</v>
      </c>
    </row>
    <row r="448" spans="1:20" ht="24" customHeight="1" x14ac:dyDescent="0.35">
      <c r="A448" s="1" t="s">
        <v>1728</v>
      </c>
      <c r="B448" s="1" t="s">
        <v>1729</v>
      </c>
      <c r="C448" s="1" t="s">
        <v>1691</v>
      </c>
      <c r="D448" s="1" t="s">
        <v>157</v>
      </c>
      <c r="E448" s="10">
        <v>46222</v>
      </c>
      <c r="F448" s="1" t="s">
        <v>587</v>
      </c>
      <c r="G448" s="1" t="s">
        <v>588</v>
      </c>
      <c r="H448" s="23">
        <v>22100000</v>
      </c>
      <c r="I448" s="1" t="s">
        <v>589</v>
      </c>
      <c r="J448" s="1" t="s">
        <v>590</v>
      </c>
      <c r="K448" s="1" t="s">
        <v>546</v>
      </c>
      <c r="L448" s="1" t="s">
        <v>608</v>
      </c>
      <c r="M448" s="1" t="s">
        <v>581</v>
      </c>
      <c r="N448" s="1"/>
      <c r="O448" s="10"/>
      <c r="P448" s="23"/>
      <c r="Q448" s="1" t="s">
        <v>1347</v>
      </c>
      <c r="R448" s="1" t="s">
        <v>557</v>
      </c>
      <c r="S448" s="1" t="s">
        <v>582</v>
      </c>
      <c r="T448" s="10">
        <v>46298</v>
      </c>
    </row>
    <row r="449" spans="1:20" ht="24" customHeight="1" x14ac:dyDescent="0.35">
      <c r="A449" s="5" t="s">
        <v>1730</v>
      </c>
      <c r="B449" s="5" t="s">
        <v>1731</v>
      </c>
      <c r="C449" s="5" t="s">
        <v>142</v>
      </c>
      <c r="D449" s="5" t="s">
        <v>739</v>
      </c>
      <c r="E449" s="8">
        <v>46209</v>
      </c>
      <c r="F449" s="5" t="s">
        <v>771</v>
      </c>
      <c r="G449" s="5" t="s">
        <v>772</v>
      </c>
      <c r="H449" s="22"/>
      <c r="I449" s="5" t="s">
        <v>603</v>
      </c>
      <c r="J449" s="5" t="s">
        <v>547</v>
      </c>
      <c r="K449" s="5" t="s">
        <v>590</v>
      </c>
      <c r="L449" s="5" t="s">
        <v>149</v>
      </c>
      <c r="M449" s="5" t="s">
        <v>581</v>
      </c>
      <c r="N449" s="5"/>
      <c r="O449" s="8"/>
      <c r="P449" s="22"/>
      <c r="Q449" s="5" t="s">
        <v>773</v>
      </c>
      <c r="R449" s="5" t="s">
        <v>557</v>
      </c>
      <c r="S449" s="5" t="s">
        <v>582</v>
      </c>
      <c r="T449" s="8">
        <v>46298</v>
      </c>
    </row>
    <row r="450" spans="1:20" ht="24" customHeight="1" x14ac:dyDescent="0.35">
      <c r="A450" s="1" t="s">
        <v>1732</v>
      </c>
      <c r="B450" s="1" t="s">
        <v>475</v>
      </c>
      <c r="C450" s="1" t="s">
        <v>476</v>
      </c>
      <c r="D450" s="1" t="s">
        <v>106</v>
      </c>
      <c r="E450" s="10">
        <v>46223</v>
      </c>
      <c r="F450" s="1" t="s">
        <v>587</v>
      </c>
      <c r="G450" s="1" t="s">
        <v>588</v>
      </c>
      <c r="H450" s="23">
        <v>34000000</v>
      </c>
      <c r="I450" s="1" t="s">
        <v>589</v>
      </c>
      <c r="J450" s="1" t="s">
        <v>590</v>
      </c>
      <c r="K450" s="1" t="s">
        <v>544</v>
      </c>
      <c r="L450" s="1" t="s">
        <v>608</v>
      </c>
      <c r="M450" s="1" t="s">
        <v>581</v>
      </c>
      <c r="N450" s="1"/>
      <c r="O450" s="10"/>
      <c r="P450" s="23"/>
      <c r="Q450" s="1"/>
      <c r="R450" s="1" t="s">
        <v>557</v>
      </c>
      <c r="S450" s="1" t="s">
        <v>582</v>
      </c>
      <c r="T450" s="10">
        <v>46298</v>
      </c>
    </row>
    <row r="451" spans="1:20" ht="24" customHeight="1" x14ac:dyDescent="0.35">
      <c r="A451" s="5" t="s">
        <v>1733</v>
      </c>
      <c r="B451" s="5" t="s">
        <v>1734</v>
      </c>
      <c r="C451" s="5" t="s">
        <v>157</v>
      </c>
      <c r="D451" s="5" t="s">
        <v>1735</v>
      </c>
      <c r="E451" s="8">
        <v>46224</v>
      </c>
      <c r="F451" s="5" t="s">
        <v>578</v>
      </c>
      <c r="G451" s="5" t="s">
        <v>579</v>
      </c>
      <c r="H451" s="22"/>
      <c r="I451" s="5" t="s">
        <v>580</v>
      </c>
      <c r="J451" s="5" t="s">
        <v>546</v>
      </c>
      <c r="K451" s="5" t="s">
        <v>590</v>
      </c>
      <c r="L451" s="5" t="s">
        <v>149</v>
      </c>
      <c r="M451" s="5" t="s">
        <v>581</v>
      </c>
      <c r="N451" s="5"/>
      <c r="O451" s="8"/>
      <c r="P451" s="22"/>
      <c r="Q451" s="5"/>
      <c r="R451" s="5" t="s">
        <v>557</v>
      </c>
      <c r="S451" s="5" t="s">
        <v>582</v>
      </c>
      <c r="T451" s="8">
        <v>46298</v>
      </c>
    </row>
    <row r="452" spans="1:20" ht="24" customHeight="1" x14ac:dyDescent="0.35">
      <c r="A452" s="1" t="s">
        <v>1736</v>
      </c>
      <c r="B452" s="1" t="s">
        <v>1737</v>
      </c>
      <c r="C452" s="1" t="s">
        <v>355</v>
      </c>
      <c r="D452" s="1" t="s">
        <v>1738</v>
      </c>
      <c r="E452" s="10">
        <v>46224</v>
      </c>
      <c r="F452" s="1" t="s">
        <v>601</v>
      </c>
      <c r="G452" s="1" t="s">
        <v>602</v>
      </c>
      <c r="H452" s="23"/>
      <c r="I452" s="1" t="s">
        <v>603</v>
      </c>
      <c r="J452" s="1" t="s">
        <v>544</v>
      </c>
      <c r="K452" s="1" t="s">
        <v>590</v>
      </c>
      <c r="L452" s="1" t="s">
        <v>640</v>
      </c>
      <c r="M452" s="1" t="s">
        <v>581</v>
      </c>
      <c r="N452" s="1"/>
      <c r="O452" s="10"/>
      <c r="P452" s="23"/>
      <c r="Q452" s="1"/>
      <c r="R452" s="1" t="s">
        <v>557</v>
      </c>
      <c r="S452" s="1" t="s">
        <v>582</v>
      </c>
      <c r="T452" s="10">
        <v>46298</v>
      </c>
    </row>
    <row r="453" spans="1:20" ht="24" customHeight="1" x14ac:dyDescent="0.35">
      <c r="A453" s="5" t="s">
        <v>1739</v>
      </c>
      <c r="B453" s="5" t="s">
        <v>1740</v>
      </c>
      <c r="C453" s="5" t="s">
        <v>1031</v>
      </c>
      <c r="D453" s="5" t="s">
        <v>681</v>
      </c>
      <c r="E453" s="8">
        <v>46224</v>
      </c>
      <c r="F453" s="5" t="s">
        <v>587</v>
      </c>
      <c r="G453" s="5" t="s">
        <v>588</v>
      </c>
      <c r="H453" s="22">
        <v>6820000</v>
      </c>
      <c r="I453" s="5" t="s">
        <v>589</v>
      </c>
      <c r="J453" s="5" t="s">
        <v>548</v>
      </c>
      <c r="K453" s="5" t="s">
        <v>548</v>
      </c>
      <c r="L453" s="5" t="s">
        <v>640</v>
      </c>
      <c r="M453" s="5" t="s">
        <v>581</v>
      </c>
      <c r="N453" s="5"/>
      <c r="O453" s="8"/>
      <c r="P453" s="22"/>
      <c r="Q453" s="5"/>
      <c r="R453" s="5" t="s">
        <v>557</v>
      </c>
      <c r="S453" s="5" t="s">
        <v>582</v>
      </c>
      <c r="T453" s="8">
        <v>46298</v>
      </c>
    </row>
    <row r="454" spans="1:20" ht="24" customHeight="1" x14ac:dyDescent="0.35">
      <c r="A454" s="1" t="s">
        <v>1741</v>
      </c>
      <c r="B454" s="1" t="s">
        <v>1742</v>
      </c>
      <c r="C454" s="1" t="s">
        <v>685</v>
      </c>
      <c r="D454" s="1" t="s">
        <v>1743</v>
      </c>
      <c r="E454" s="10">
        <v>46224</v>
      </c>
      <c r="F454" s="1" t="s">
        <v>601</v>
      </c>
      <c r="G454" s="1" t="s">
        <v>602</v>
      </c>
      <c r="H454" s="23"/>
      <c r="I454" s="1" t="s">
        <v>603</v>
      </c>
      <c r="J454" s="1" t="s">
        <v>547</v>
      </c>
      <c r="K454" s="1" t="s">
        <v>590</v>
      </c>
      <c r="L454" s="1" t="s">
        <v>640</v>
      </c>
      <c r="M454" s="1" t="s">
        <v>581</v>
      </c>
      <c r="N454" s="1"/>
      <c r="O454" s="10"/>
      <c r="P454" s="23"/>
      <c r="Q454" s="1"/>
      <c r="R454" s="1" t="s">
        <v>557</v>
      </c>
      <c r="S454" s="1" t="s">
        <v>582</v>
      </c>
      <c r="T454" s="10">
        <v>46298</v>
      </c>
    </row>
    <row r="455" spans="1:20" ht="24" customHeight="1" x14ac:dyDescent="0.35">
      <c r="A455" s="5" t="s">
        <v>1744</v>
      </c>
      <c r="B455" s="5" t="s">
        <v>1745</v>
      </c>
      <c r="C455" s="5" t="s">
        <v>606</v>
      </c>
      <c r="D455" s="5" t="s">
        <v>1746</v>
      </c>
      <c r="E455" s="8">
        <v>46224</v>
      </c>
      <c r="F455" s="5" t="s">
        <v>771</v>
      </c>
      <c r="G455" s="5" t="s">
        <v>772</v>
      </c>
      <c r="H455" s="22"/>
      <c r="I455" s="5" t="s">
        <v>603</v>
      </c>
      <c r="J455" s="5" t="s">
        <v>547</v>
      </c>
      <c r="K455" s="5" t="s">
        <v>590</v>
      </c>
      <c r="L455" s="5" t="s">
        <v>640</v>
      </c>
      <c r="M455" s="5" t="s">
        <v>581</v>
      </c>
      <c r="N455" s="5"/>
      <c r="O455" s="8"/>
      <c r="P455" s="22"/>
      <c r="Q455" s="5" t="s">
        <v>773</v>
      </c>
      <c r="R455" s="5" t="s">
        <v>557</v>
      </c>
      <c r="S455" s="5" t="s">
        <v>582</v>
      </c>
      <c r="T455" s="8">
        <v>46298</v>
      </c>
    </row>
    <row r="456" spans="1:20" ht="24" customHeight="1" x14ac:dyDescent="0.35">
      <c r="A456" s="1" t="s">
        <v>1747</v>
      </c>
      <c r="B456" s="1" t="s">
        <v>1748</v>
      </c>
      <c r="C456" s="1" t="s">
        <v>1749</v>
      </c>
      <c r="D456" s="1" t="s">
        <v>599</v>
      </c>
      <c r="E456" s="10">
        <v>46224</v>
      </c>
      <c r="F456" s="1" t="s">
        <v>587</v>
      </c>
      <c r="G456" s="1" t="s">
        <v>588</v>
      </c>
      <c r="H456" s="23">
        <v>3410000</v>
      </c>
      <c r="I456" s="1" t="s">
        <v>589</v>
      </c>
      <c r="J456" s="1" t="s">
        <v>590</v>
      </c>
      <c r="K456" s="1" t="s">
        <v>544</v>
      </c>
      <c r="L456" s="1" t="s">
        <v>172</v>
      </c>
      <c r="M456" s="1" t="s">
        <v>581</v>
      </c>
      <c r="N456" s="1"/>
      <c r="O456" s="10"/>
      <c r="P456" s="23"/>
      <c r="Q456" s="1"/>
      <c r="R456" s="1" t="s">
        <v>557</v>
      </c>
      <c r="S456" s="1" t="s">
        <v>582</v>
      </c>
      <c r="T456" s="10">
        <v>46298</v>
      </c>
    </row>
    <row r="457" spans="1:20" ht="24" customHeight="1" x14ac:dyDescent="0.35">
      <c r="A457" s="5" t="s">
        <v>1750</v>
      </c>
      <c r="B457" s="5" t="s">
        <v>1751</v>
      </c>
      <c r="C457" s="5" t="s">
        <v>157</v>
      </c>
      <c r="D457" s="5" t="s">
        <v>1752</v>
      </c>
      <c r="E457" s="8">
        <v>46222</v>
      </c>
      <c r="F457" s="5" t="s">
        <v>771</v>
      </c>
      <c r="G457" s="5" t="s">
        <v>772</v>
      </c>
      <c r="H457" s="22"/>
      <c r="I457" s="5" t="s">
        <v>603</v>
      </c>
      <c r="J457" s="5" t="s">
        <v>546</v>
      </c>
      <c r="K457" s="5" t="s">
        <v>590</v>
      </c>
      <c r="L457" s="5" t="s">
        <v>149</v>
      </c>
      <c r="M457" s="5" t="s">
        <v>581</v>
      </c>
      <c r="N457" s="5"/>
      <c r="O457" s="8"/>
      <c r="P457" s="22"/>
      <c r="Q457" s="5" t="s">
        <v>773</v>
      </c>
      <c r="R457" s="5" t="s">
        <v>557</v>
      </c>
      <c r="S457" s="5" t="s">
        <v>582</v>
      </c>
      <c r="T457" s="8">
        <v>46298</v>
      </c>
    </row>
    <row r="458" spans="1:20" ht="24" customHeight="1" x14ac:dyDescent="0.35">
      <c r="A458" s="1" t="s">
        <v>1753</v>
      </c>
      <c r="B458" s="1" t="s">
        <v>1754</v>
      </c>
      <c r="C458" s="1" t="s">
        <v>712</v>
      </c>
      <c r="D458" s="1" t="s">
        <v>779</v>
      </c>
      <c r="E458" s="10">
        <v>46223</v>
      </c>
      <c r="F458" s="1" t="s">
        <v>771</v>
      </c>
      <c r="G458" s="1" t="s">
        <v>772</v>
      </c>
      <c r="H458" s="23"/>
      <c r="I458" s="1" t="s">
        <v>603</v>
      </c>
      <c r="J458" s="1" t="s">
        <v>590</v>
      </c>
      <c r="K458" s="1" t="s">
        <v>548</v>
      </c>
      <c r="L458" s="1" t="s">
        <v>640</v>
      </c>
      <c r="M458" s="1" t="s">
        <v>581</v>
      </c>
      <c r="N458" s="1"/>
      <c r="O458" s="10"/>
      <c r="P458" s="23"/>
      <c r="Q458" s="1" t="s">
        <v>773</v>
      </c>
      <c r="R458" s="1" t="s">
        <v>557</v>
      </c>
      <c r="S458" s="1" t="s">
        <v>582</v>
      </c>
      <c r="T458" s="10">
        <v>46298</v>
      </c>
    </row>
    <row r="459" spans="1:20" ht="24" customHeight="1" x14ac:dyDescent="0.35">
      <c r="A459" s="5" t="s">
        <v>1755</v>
      </c>
      <c r="B459" s="5" t="s">
        <v>1756</v>
      </c>
      <c r="C459" s="5" t="s">
        <v>1183</v>
      </c>
      <c r="D459" s="5" t="s">
        <v>868</v>
      </c>
      <c r="E459" s="8">
        <v>46223</v>
      </c>
      <c r="F459" s="5" t="s">
        <v>771</v>
      </c>
      <c r="G459" s="5" t="s">
        <v>772</v>
      </c>
      <c r="H459" s="22"/>
      <c r="I459" s="5" t="s">
        <v>603</v>
      </c>
      <c r="J459" s="5" t="s">
        <v>545</v>
      </c>
      <c r="K459" s="5" t="s">
        <v>545</v>
      </c>
      <c r="L459" s="5" t="s">
        <v>172</v>
      </c>
      <c r="M459" s="5" t="s">
        <v>581</v>
      </c>
      <c r="N459" s="5"/>
      <c r="O459" s="8"/>
      <c r="P459" s="22"/>
      <c r="Q459" s="5" t="s">
        <v>1008</v>
      </c>
      <c r="R459" s="5" t="s">
        <v>557</v>
      </c>
      <c r="S459" s="5" t="s">
        <v>582</v>
      </c>
      <c r="T459" s="8">
        <v>46298</v>
      </c>
    </row>
    <row r="460" spans="1:20" ht="24" customHeight="1" x14ac:dyDescent="0.35">
      <c r="A460" s="1" t="s">
        <v>1757</v>
      </c>
      <c r="B460" s="1" t="s">
        <v>1758</v>
      </c>
      <c r="C460" s="1" t="s">
        <v>664</v>
      </c>
      <c r="D460" s="1" t="s">
        <v>698</v>
      </c>
      <c r="E460" s="10">
        <v>46223</v>
      </c>
      <c r="F460" s="1" t="s">
        <v>578</v>
      </c>
      <c r="G460" s="1" t="s">
        <v>579</v>
      </c>
      <c r="H460" s="23"/>
      <c r="I460" s="1" t="s">
        <v>580</v>
      </c>
      <c r="J460" s="1" t="s">
        <v>547</v>
      </c>
      <c r="K460" s="1" t="s">
        <v>590</v>
      </c>
      <c r="L460" s="1" t="s">
        <v>608</v>
      </c>
      <c r="M460" s="1" t="s">
        <v>581</v>
      </c>
      <c r="N460" s="1"/>
      <c r="O460" s="10"/>
      <c r="P460" s="23"/>
      <c r="Q460" s="1"/>
      <c r="R460" s="1" t="s">
        <v>557</v>
      </c>
      <c r="S460" s="1" t="s">
        <v>582</v>
      </c>
      <c r="T460" s="10">
        <v>46298</v>
      </c>
    </row>
    <row r="461" spans="1:20" ht="24" customHeight="1" x14ac:dyDescent="0.35">
      <c r="A461" s="5" t="s">
        <v>1759</v>
      </c>
      <c r="B461" s="5" t="s">
        <v>1760</v>
      </c>
      <c r="C461" s="5" t="s">
        <v>1031</v>
      </c>
      <c r="D461" s="5" t="s">
        <v>1761</v>
      </c>
      <c r="E461" s="8">
        <v>46223</v>
      </c>
      <c r="F461" s="5" t="s">
        <v>771</v>
      </c>
      <c r="G461" s="5" t="s">
        <v>772</v>
      </c>
      <c r="H461" s="22"/>
      <c r="I461" s="5" t="s">
        <v>603</v>
      </c>
      <c r="J461" s="5" t="s">
        <v>548</v>
      </c>
      <c r="K461" s="5" t="s">
        <v>590</v>
      </c>
      <c r="L461" s="5" t="s">
        <v>172</v>
      </c>
      <c r="M461" s="5" t="s">
        <v>581</v>
      </c>
      <c r="N461" s="5"/>
      <c r="O461" s="8"/>
      <c r="P461" s="22"/>
      <c r="Q461" s="5" t="s">
        <v>773</v>
      </c>
      <c r="R461" s="5" t="s">
        <v>557</v>
      </c>
      <c r="S461" s="5" t="s">
        <v>582</v>
      </c>
      <c r="T461" s="8">
        <v>46298</v>
      </c>
    </row>
    <row r="462" spans="1:20" ht="24" customHeight="1" x14ac:dyDescent="0.35">
      <c r="A462" s="1" t="s">
        <v>1762</v>
      </c>
      <c r="B462" s="1" t="s">
        <v>1763</v>
      </c>
      <c r="C462" s="1" t="s">
        <v>868</v>
      </c>
      <c r="D462" s="1" t="s">
        <v>1124</v>
      </c>
      <c r="E462" s="10">
        <v>46223</v>
      </c>
      <c r="F462" s="1" t="s">
        <v>601</v>
      </c>
      <c r="G462" s="1" t="s">
        <v>602</v>
      </c>
      <c r="H462" s="23"/>
      <c r="I462" s="1" t="s">
        <v>603</v>
      </c>
      <c r="J462" s="1" t="s">
        <v>545</v>
      </c>
      <c r="K462" s="1" t="s">
        <v>590</v>
      </c>
      <c r="L462" s="1" t="s">
        <v>172</v>
      </c>
      <c r="M462" s="1" t="s">
        <v>581</v>
      </c>
      <c r="N462" s="1"/>
      <c r="O462" s="10"/>
      <c r="P462" s="23"/>
      <c r="Q462" s="1"/>
      <c r="R462" s="1" t="s">
        <v>557</v>
      </c>
      <c r="S462" s="1" t="s">
        <v>582</v>
      </c>
      <c r="T462" s="10">
        <v>46298</v>
      </c>
    </row>
    <row r="463" spans="1:20" ht="24" customHeight="1" x14ac:dyDescent="0.35">
      <c r="A463" s="5" t="s">
        <v>1764</v>
      </c>
      <c r="B463" s="5" t="s">
        <v>1765</v>
      </c>
      <c r="C463" s="5" t="s">
        <v>1688</v>
      </c>
      <c r="D463" s="5" t="s">
        <v>664</v>
      </c>
      <c r="E463" s="8">
        <v>46224</v>
      </c>
      <c r="F463" s="5" t="s">
        <v>578</v>
      </c>
      <c r="G463" s="5" t="s">
        <v>579</v>
      </c>
      <c r="H463" s="22"/>
      <c r="I463" s="5" t="s">
        <v>580</v>
      </c>
      <c r="J463" s="5" t="s">
        <v>590</v>
      </c>
      <c r="K463" s="5" t="s">
        <v>547</v>
      </c>
      <c r="L463" s="5" t="s">
        <v>149</v>
      </c>
      <c r="M463" s="5" t="s">
        <v>581</v>
      </c>
      <c r="N463" s="5"/>
      <c r="O463" s="8"/>
      <c r="P463" s="22"/>
      <c r="Q463" s="5"/>
      <c r="R463" s="5" t="s">
        <v>557</v>
      </c>
      <c r="S463" s="5" t="s">
        <v>582</v>
      </c>
      <c r="T463" s="8">
        <v>46298</v>
      </c>
    </row>
    <row r="464" spans="1:20" ht="24" customHeight="1" x14ac:dyDescent="0.35">
      <c r="A464" s="1" t="s">
        <v>1766</v>
      </c>
      <c r="B464" s="1" t="s">
        <v>1767</v>
      </c>
      <c r="C464" s="1" t="s">
        <v>448</v>
      </c>
      <c r="D464" s="1" t="s">
        <v>1768</v>
      </c>
      <c r="E464" s="10">
        <v>46224</v>
      </c>
      <c r="F464" s="1" t="s">
        <v>601</v>
      </c>
      <c r="G464" s="1" t="s">
        <v>602</v>
      </c>
      <c r="H464" s="23"/>
      <c r="I464" s="1" t="s">
        <v>603</v>
      </c>
      <c r="J464" s="1" t="s">
        <v>547</v>
      </c>
      <c r="K464" s="1" t="s">
        <v>590</v>
      </c>
      <c r="L464" s="1" t="s">
        <v>172</v>
      </c>
      <c r="M464" s="1" t="s">
        <v>581</v>
      </c>
      <c r="N464" s="1"/>
      <c r="O464" s="10"/>
      <c r="P464" s="23"/>
      <c r="Q464" s="1"/>
      <c r="R464" s="1" t="s">
        <v>557</v>
      </c>
      <c r="S464" s="1" t="s">
        <v>582</v>
      </c>
      <c r="T464" s="10">
        <v>46298</v>
      </c>
    </row>
    <row r="465" spans="1:20" ht="24" customHeight="1" x14ac:dyDescent="0.35">
      <c r="A465" s="5" t="s">
        <v>1769</v>
      </c>
      <c r="B465" s="5" t="s">
        <v>1770</v>
      </c>
      <c r="C465" s="5" t="s">
        <v>585</v>
      </c>
      <c r="D465" s="5" t="s">
        <v>1255</v>
      </c>
      <c r="E465" s="8">
        <v>46224</v>
      </c>
      <c r="F465" s="5" t="s">
        <v>771</v>
      </c>
      <c r="G465" s="5" t="s">
        <v>772</v>
      </c>
      <c r="H465" s="22"/>
      <c r="I465" s="5" t="s">
        <v>603</v>
      </c>
      <c r="J465" s="5" t="s">
        <v>548</v>
      </c>
      <c r="K465" s="5" t="s">
        <v>590</v>
      </c>
      <c r="L465" s="5" t="s">
        <v>591</v>
      </c>
      <c r="M465" s="5" t="s">
        <v>581</v>
      </c>
      <c r="N465" s="5"/>
      <c r="O465" s="8"/>
      <c r="P465" s="22"/>
      <c r="Q465" s="5" t="s">
        <v>773</v>
      </c>
      <c r="R465" s="5" t="s">
        <v>557</v>
      </c>
      <c r="S465" s="5" t="s">
        <v>582</v>
      </c>
      <c r="T465" s="8">
        <v>46298</v>
      </c>
    </row>
    <row r="466" spans="1:20" ht="24" customHeight="1" x14ac:dyDescent="0.35">
      <c r="A466" s="1" t="s">
        <v>1771</v>
      </c>
      <c r="B466" s="1" t="s">
        <v>1772</v>
      </c>
      <c r="C466" s="1" t="s">
        <v>611</v>
      </c>
      <c r="D466" s="1" t="s">
        <v>599</v>
      </c>
      <c r="E466" s="10">
        <v>46224</v>
      </c>
      <c r="F466" s="1" t="s">
        <v>587</v>
      </c>
      <c r="G466" s="1" t="s">
        <v>588</v>
      </c>
      <c r="H466" s="23">
        <v>20000000</v>
      </c>
      <c r="I466" s="1" t="s">
        <v>589</v>
      </c>
      <c r="J466" s="1" t="s">
        <v>590</v>
      </c>
      <c r="K466" s="1" t="s">
        <v>544</v>
      </c>
      <c r="L466" s="1" t="s">
        <v>591</v>
      </c>
      <c r="M466" s="1" t="s">
        <v>581</v>
      </c>
      <c r="N466" s="1"/>
      <c r="O466" s="10"/>
      <c r="P466" s="23"/>
      <c r="Q466" s="1"/>
      <c r="R466" s="1" t="s">
        <v>557</v>
      </c>
      <c r="S466" s="1" t="s">
        <v>582</v>
      </c>
      <c r="T466" s="10">
        <v>46298</v>
      </c>
    </row>
    <row r="467" spans="1:20" ht="24" customHeight="1" x14ac:dyDescent="0.35">
      <c r="A467" s="5" t="s">
        <v>1773</v>
      </c>
      <c r="B467" s="5" t="s">
        <v>1774</v>
      </c>
      <c r="C467" s="5" t="s">
        <v>1379</v>
      </c>
      <c r="D467" s="5" t="s">
        <v>856</v>
      </c>
      <c r="E467" s="8">
        <v>46223</v>
      </c>
      <c r="F467" s="5" t="s">
        <v>587</v>
      </c>
      <c r="G467" s="5" t="s">
        <v>588</v>
      </c>
      <c r="H467" s="22">
        <v>3410000</v>
      </c>
      <c r="I467" s="5" t="s">
        <v>589</v>
      </c>
      <c r="J467" s="5" t="s">
        <v>590</v>
      </c>
      <c r="K467" s="5" t="s">
        <v>546</v>
      </c>
      <c r="L467" s="5" t="s">
        <v>149</v>
      </c>
      <c r="M467" s="5" t="s">
        <v>581</v>
      </c>
      <c r="N467" s="5"/>
      <c r="O467" s="8"/>
      <c r="P467" s="22"/>
      <c r="Q467" s="5"/>
      <c r="R467" s="5" t="s">
        <v>557</v>
      </c>
      <c r="S467" s="5" t="s">
        <v>582</v>
      </c>
      <c r="T467" s="8">
        <v>46298</v>
      </c>
    </row>
    <row r="468" spans="1:20" ht="24" customHeight="1" x14ac:dyDescent="0.35">
      <c r="A468" s="1" t="s">
        <v>1775</v>
      </c>
      <c r="B468" s="1" t="s">
        <v>1776</v>
      </c>
      <c r="C468" s="1" t="s">
        <v>292</v>
      </c>
      <c r="D468" s="1" t="s">
        <v>977</v>
      </c>
      <c r="E468" s="10">
        <v>46223</v>
      </c>
      <c r="F468" s="1" t="s">
        <v>771</v>
      </c>
      <c r="G468" s="1" t="s">
        <v>772</v>
      </c>
      <c r="H468" s="23"/>
      <c r="I468" s="1" t="s">
        <v>603</v>
      </c>
      <c r="J468" s="1" t="s">
        <v>544</v>
      </c>
      <c r="K468" s="1" t="s">
        <v>590</v>
      </c>
      <c r="L468" s="1" t="s">
        <v>172</v>
      </c>
      <c r="M468" s="1" t="s">
        <v>581</v>
      </c>
      <c r="N468" s="1"/>
      <c r="O468" s="10"/>
      <c r="P468" s="23"/>
      <c r="Q468" s="1" t="s">
        <v>773</v>
      </c>
      <c r="R468" s="1" t="s">
        <v>557</v>
      </c>
      <c r="S468" s="1" t="s">
        <v>582</v>
      </c>
      <c r="T468" s="10">
        <v>46298</v>
      </c>
    </row>
    <row r="469" spans="1:20" ht="24" customHeight="1" x14ac:dyDescent="0.35">
      <c r="A469" s="5" t="s">
        <v>1777</v>
      </c>
      <c r="B469" s="5" t="s">
        <v>1778</v>
      </c>
      <c r="C469" s="5" t="s">
        <v>1014</v>
      </c>
      <c r="D469" s="5" t="s">
        <v>743</v>
      </c>
      <c r="E469" s="8">
        <v>46223</v>
      </c>
      <c r="F469" s="5" t="s">
        <v>771</v>
      </c>
      <c r="G469" s="5" t="s">
        <v>772</v>
      </c>
      <c r="H469" s="22"/>
      <c r="I469" s="5" t="s">
        <v>603</v>
      </c>
      <c r="J469" s="5" t="s">
        <v>545</v>
      </c>
      <c r="K469" s="5" t="s">
        <v>545</v>
      </c>
      <c r="L469" s="5" t="s">
        <v>608</v>
      </c>
      <c r="M469" s="5" t="s">
        <v>581</v>
      </c>
      <c r="N469" s="5"/>
      <c r="O469" s="8"/>
      <c r="P469" s="22"/>
      <c r="Q469" s="5" t="s">
        <v>773</v>
      </c>
      <c r="R469" s="5" t="s">
        <v>557</v>
      </c>
      <c r="S469" s="5" t="s">
        <v>582</v>
      </c>
      <c r="T469" s="8">
        <v>46298</v>
      </c>
    </row>
    <row r="470" spans="1:20" ht="24" customHeight="1" x14ac:dyDescent="0.35">
      <c r="A470" s="1" t="s">
        <v>1779</v>
      </c>
      <c r="B470" s="1" t="s">
        <v>521</v>
      </c>
      <c r="C470" s="1" t="s">
        <v>1210</v>
      </c>
      <c r="D470" s="1" t="s">
        <v>1780</v>
      </c>
      <c r="E470" s="10">
        <v>46223</v>
      </c>
      <c r="F470" s="1" t="s">
        <v>771</v>
      </c>
      <c r="G470" s="1" t="s">
        <v>772</v>
      </c>
      <c r="H470" s="23"/>
      <c r="I470" s="1" t="s">
        <v>603</v>
      </c>
      <c r="J470" s="1" t="s">
        <v>545</v>
      </c>
      <c r="K470" s="1" t="s">
        <v>590</v>
      </c>
      <c r="L470" s="1" t="s">
        <v>591</v>
      </c>
      <c r="M470" s="1" t="s">
        <v>581</v>
      </c>
      <c r="N470" s="1"/>
      <c r="O470" s="10"/>
      <c r="P470" s="23"/>
      <c r="Q470" s="1" t="s">
        <v>773</v>
      </c>
      <c r="R470" s="1" t="s">
        <v>557</v>
      </c>
      <c r="S470" s="1" t="s">
        <v>582</v>
      </c>
      <c r="T470" s="10">
        <v>46298</v>
      </c>
    </row>
    <row r="471" spans="1:20" ht="24" customHeight="1" x14ac:dyDescent="0.35">
      <c r="A471" s="5" t="s">
        <v>1781</v>
      </c>
      <c r="B471" s="5" t="s">
        <v>1782</v>
      </c>
      <c r="C471" s="5" t="s">
        <v>157</v>
      </c>
      <c r="D471" s="5" t="s">
        <v>1134</v>
      </c>
      <c r="E471" s="8">
        <v>46224</v>
      </c>
      <c r="F471" s="5" t="s">
        <v>601</v>
      </c>
      <c r="G471" s="5" t="s">
        <v>602</v>
      </c>
      <c r="H471" s="22"/>
      <c r="I471" s="5" t="s">
        <v>603</v>
      </c>
      <c r="J471" s="5" t="s">
        <v>546</v>
      </c>
      <c r="K471" s="5" t="s">
        <v>590</v>
      </c>
      <c r="L471" s="5" t="s">
        <v>608</v>
      </c>
      <c r="M471" s="5" t="s">
        <v>581</v>
      </c>
      <c r="N471" s="5"/>
      <c r="O471" s="8"/>
      <c r="P471" s="22"/>
      <c r="Q471" s="5"/>
      <c r="R471" s="5" t="s">
        <v>557</v>
      </c>
      <c r="S471" s="5" t="s">
        <v>582</v>
      </c>
      <c r="T471" s="8">
        <v>46298</v>
      </c>
    </row>
    <row r="472" spans="1:20" ht="24" customHeight="1" x14ac:dyDescent="0.35">
      <c r="A472" s="1" t="s">
        <v>1783</v>
      </c>
      <c r="B472" s="1" t="s">
        <v>1784</v>
      </c>
      <c r="C472" s="1" t="s">
        <v>620</v>
      </c>
      <c r="D472" s="1" t="s">
        <v>878</v>
      </c>
      <c r="E472" s="10">
        <v>46224</v>
      </c>
      <c r="F472" s="1" t="s">
        <v>771</v>
      </c>
      <c r="G472" s="1" t="s">
        <v>772</v>
      </c>
      <c r="H472" s="23"/>
      <c r="I472" s="1" t="s">
        <v>603</v>
      </c>
      <c r="J472" s="1" t="s">
        <v>546</v>
      </c>
      <c r="K472" s="1" t="s">
        <v>590</v>
      </c>
      <c r="L472" s="1" t="s">
        <v>640</v>
      </c>
      <c r="M472" s="1" t="s">
        <v>581</v>
      </c>
      <c r="N472" s="1"/>
      <c r="O472" s="10"/>
      <c r="P472" s="23"/>
      <c r="Q472" s="1" t="s">
        <v>773</v>
      </c>
      <c r="R472" s="1" t="s">
        <v>557</v>
      </c>
      <c r="S472" s="1" t="s">
        <v>582</v>
      </c>
      <c r="T472" s="10">
        <v>46298</v>
      </c>
    </row>
    <row r="473" spans="1:20" ht="24" customHeight="1" x14ac:dyDescent="0.35">
      <c r="A473" s="5" t="s">
        <v>1785</v>
      </c>
      <c r="B473" s="5" t="s">
        <v>1786</v>
      </c>
      <c r="C473" s="5" t="s">
        <v>157</v>
      </c>
      <c r="D473" s="5" t="s">
        <v>1557</v>
      </c>
      <c r="E473" s="8">
        <v>46224</v>
      </c>
      <c r="F473" s="5" t="s">
        <v>601</v>
      </c>
      <c r="G473" s="5" t="s">
        <v>602</v>
      </c>
      <c r="H473" s="22"/>
      <c r="I473" s="5" t="s">
        <v>603</v>
      </c>
      <c r="J473" s="5" t="s">
        <v>546</v>
      </c>
      <c r="K473" s="5" t="s">
        <v>590</v>
      </c>
      <c r="L473" s="5" t="s">
        <v>640</v>
      </c>
      <c r="M473" s="5" t="s">
        <v>581</v>
      </c>
      <c r="N473" s="5"/>
      <c r="O473" s="8"/>
      <c r="P473" s="22"/>
      <c r="Q473" s="5"/>
      <c r="R473" s="5" t="s">
        <v>557</v>
      </c>
      <c r="S473" s="5" t="s">
        <v>582</v>
      </c>
      <c r="T473" s="8">
        <v>46298</v>
      </c>
    </row>
    <row r="474" spans="1:20" ht="24" customHeight="1" x14ac:dyDescent="0.35">
      <c r="A474" s="1" t="s">
        <v>1787</v>
      </c>
      <c r="B474" s="1" t="s">
        <v>1788</v>
      </c>
      <c r="C474" s="1" t="s">
        <v>355</v>
      </c>
      <c r="D474" s="1" t="s">
        <v>1789</v>
      </c>
      <c r="E474" s="10">
        <v>46224</v>
      </c>
      <c r="F474" s="1" t="s">
        <v>771</v>
      </c>
      <c r="G474" s="1" t="s">
        <v>772</v>
      </c>
      <c r="H474" s="23"/>
      <c r="I474" s="1" t="s">
        <v>603</v>
      </c>
      <c r="J474" s="1" t="s">
        <v>544</v>
      </c>
      <c r="K474" s="1" t="s">
        <v>590</v>
      </c>
      <c r="L474" s="1" t="s">
        <v>172</v>
      </c>
      <c r="M474" s="1" t="s">
        <v>581</v>
      </c>
      <c r="N474" s="1"/>
      <c r="O474" s="10"/>
      <c r="P474" s="23"/>
      <c r="Q474" s="1" t="s">
        <v>773</v>
      </c>
      <c r="R474" s="1" t="s">
        <v>557</v>
      </c>
      <c r="S474" s="1" t="s">
        <v>582</v>
      </c>
      <c r="T474" s="10">
        <v>46298</v>
      </c>
    </row>
    <row r="475" spans="1:20" ht="24" customHeight="1" x14ac:dyDescent="0.35">
      <c r="A475" s="5" t="s">
        <v>1790</v>
      </c>
      <c r="B475" s="5" t="s">
        <v>1791</v>
      </c>
      <c r="C475" s="5" t="s">
        <v>365</v>
      </c>
      <c r="D475" s="5" t="s">
        <v>681</v>
      </c>
      <c r="E475" s="8">
        <v>46219</v>
      </c>
      <c r="F475" s="5" t="s">
        <v>578</v>
      </c>
      <c r="G475" s="5" t="s">
        <v>579</v>
      </c>
      <c r="H475" s="22"/>
      <c r="I475" s="5" t="s">
        <v>580</v>
      </c>
      <c r="J475" s="5" t="s">
        <v>548</v>
      </c>
      <c r="K475" s="5" t="s">
        <v>548</v>
      </c>
      <c r="L475" s="5" t="s">
        <v>149</v>
      </c>
      <c r="M475" s="5" t="s">
        <v>581</v>
      </c>
      <c r="N475" s="5"/>
      <c r="O475" s="8"/>
      <c r="P475" s="22"/>
      <c r="Q475" s="5"/>
      <c r="R475" s="5" t="s">
        <v>557</v>
      </c>
      <c r="S475" s="5" t="s">
        <v>582</v>
      </c>
      <c r="T475" s="8">
        <v>46298</v>
      </c>
    </row>
    <row r="476" spans="1:20" ht="24" customHeight="1" x14ac:dyDescent="0.35">
      <c r="A476" s="1" t="s">
        <v>1792</v>
      </c>
      <c r="B476" s="1" t="s">
        <v>1793</v>
      </c>
      <c r="C476" s="1" t="s">
        <v>1794</v>
      </c>
      <c r="D476" s="1" t="s">
        <v>1083</v>
      </c>
      <c r="E476" s="10">
        <v>46224</v>
      </c>
      <c r="F476" s="1" t="s">
        <v>601</v>
      </c>
      <c r="G476" s="1" t="s">
        <v>602</v>
      </c>
      <c r="H476" s="23"/>
      <c r="I476" s="1" t="s">
        <v>603</v>
      </c>
      <c r="J476" s="1" t="s">
        <v>590</v>
      </c>
      <c r="K476" s="1" t="s">
        <v>544</v>
      </c>
      <c r="L476" s="1" t="s">
        <v>608</v>
      </c>
      <c r="M476" s="1" t="s">
        <v>581</v>
      </c>
      <c r="N476" s="1"/>
      <c r="O476" s="10"/>
      <c r="P476" s="23"/>
      <c r="Q476" s="1"/>
      <c r="R476" s="1" t="s">
        <v>557</v>
      </c>
      <c r="S476" s="1" t="s">
        <v>582</v>
      </c>
      <c r="T476" s="10">
        <v>46298</v>
      </c>
    </row>
    <row r="477" spans="1:20" ht="24" customHeight="1" x14ac:dyDescent="0.35">
      <c r="A477" s="5" t="s">
        <v>1795</v>
      </c>
      <c r="B477" s="5" t="s">
        <v>1796</v>
      </c>
      <c r="C477" s="5" t="s">
        <v>611</v>
      </c>
      <c r="D477" s="5" t="s">
        <v>652</v>
      </c>
      <c r="E477" s="8">
        <v>46225</v>
      </c>
      <c r="F477" s="5" t="s">
        <v>578</v>
      </c>
      <c r="G477" s="5" t="s">
        <v>579</v>
      </c>
      <c r="H477" s="22"/>
      <c r="I477" s="5" t="s">
        <v>580</v>
      </c>
      <c r="J477" s="5" t="s">
        <v>590</v>
      </c>
      <c r="K477" s="5" t="s">
        <v>547</v>
      </c>
      <c r="L477" s="5" t="s">
        <v>640</v>
      </c>
      <c r="M477" s="5" t="s">
        <v>581</v>
      </c>
      <c r="N477" s="5"/>
      <c r="O477" s="8"/>
      <c r="P477" s="22"/>
      <c r="Q477" s="5"/>
      <c r="R477" s="5" t="s">
        <v>557</v>
      </c>
      <c r="S477" s="5" t="s">
        <v>582</v>
      </c>
      <c r="T477" s="8">
        <v>46298</v>
      </c>
    </row>
    <row r="478" spans="1:20" ht="24" customHeight="1" x14ac:dyDescent="0.35">
      <c r="A478" s="1" t="s">
        <v>1797</v>
      </c>
      <c r="B478" s="1" t="s">
        <v>1798</v>
      </c>
      <c r="C478" s="1" t="s">
        <v>585</v>
      </c>
      <c r="D478" s="1" t="s">
        <v>1799</v>
      </c>
      <c r="E478" s="10">
        <v>46224</v>
      </c>
      <c r="F478" s="1" t="s">
        <v>578</v>
      </c>
      <c r="G478" s="1" t="s">
        <v>579</v>
      </c>
      <c r="H478" s="23"/>
      <c r="I478" s="1" t="s">
        <v>580</v>
      </c>
      <c r="J478" s="1" t="s">
        <v>548</v>
      </c>
      <c r="K478" s="1" t="s">
        <v>590</v>
      </c>
      <c r="L478" s="1" t="s">
        <v>149</v>
      </c>
      <c r="M478" s="1" t="s">
        <v>581</v>
      </c>
      <c r="N478" s="1"/>
      <c r="O478" s="10"/>
      <c r="P478" s="23"/>
      <c r="Q478" s="1"/>
      <c r="R478" s="1" t="s">
        <v>557</v>
      </c>
      <c r="S478" s="1" t="s">
        <v>582</v>
      </c>
      <c r="T478" s="10">
        <v>46298</v>
      </c>
    </row>
    <row r="479" spans="1:20" ht="24" customHeight="1" x14ac:dyDescent="0.35">
      <c r="A479" s="5" t="s">
        <v>1800</v>
      </c>
      <c r="B479" s="5" t="s">
        <v>1801</v>
      </c>
      <c r="C479" s="5" t="s">
        <v>733</v>
      </c>
      <c r="D479" s="5" t="s">
        <v>1802</v>
      </c>
      <c r="E479" s="8">
        <v>46212</v>
      </c>
      <c r="F479" s="5" t="s">
        <v>587</v>
      </c>
      <c r="G479" s="5" t="s">
        <v>588</v>
      </c>
      <c r="H479" s="22">
        <v>1700000</v>
      </c>
      <c r="I479" s="5" t="s">
        <v>589</v>
      </c>
      <c r="J479" s="5" t="s">
        <v>545</v>
      </c>
      <c r="K479" s="5" t="s">
        <v>590</v>
      </c>
      <c r="L479" s="5" t="s">
        <v>591</v>
      </c>
      <c r="M479" s="5" t="s">
        <v>581</v>
      </c>
      <c r="N479" s="5"/>
      <c r="O479" s="8"/>
      <c r="P479" s="22"/>
      <c r="Q479" s="5"/>
      <c r="R479" s="5" t="s">
        <v>557</v>
      </c>
      <c r="S479" s="5" t="s">
        <v>582</v>
      </c>
      <c r="T479" s="8">
        <v>46298</v>
      </c>
    </row>
    <row r="480" spans="1:20" ht="24" customHeight="1" x14ac:dyDescent="0.35">
      <c r="A480" s="1" t="s">
        <v>1803</v>
      </c>
      <c r="B480" s="1" t="s">
        <v>1804</v>
      </c>
      <c r="C480" s="1" t="s">
        <v>585</v>
      </c>
      <c r="D480" s="1" t="s">
        <v>1805</v>
      </c>
      <c r="E480" s="10">
        <v>46212</v>
      </c>
      <c r="F480" s="1" t="s">
        <v>578</v>
      </c>
      <c r="G480" s="1" t="s">
        <v>579</v>
      </c>
      <c r="H480" s="23"/>
      <c r="I480" s="1" t="s">
        <v>580</v>
      </c>
      <c r="J480" s="1" t="s">
        <v>548</v>
      </c>
      <c r="K480" s="1" t="s">
        <v>590</v>
      </c>
      <c r="L480" s="1" t="s">
        <v>608</v>
      </c>
      <c r="M480" s="1" t="s">
        <v>581</v>
      </c>
      <c r="N480" s="1"/>
      <c r="O480" s="10"/>
      <c r="P480" s="23"/>
      <c r="Q480" s="1"/>
      <c r="R480" s="1" t="s">
        <v>557</v>
      </c>
      <c r="S480" s="1" t="s">
        <v>582</v>
      </c>
      <c r="T480" s="10">
        <v>46298</v>
      </c>
    </row>
    <row r="481" spans="1:20" ht="24" customHeight="1" x14ac:dyDescent="0.35">
      <c r="A481" s="5" t="s">
        <v>1806</v>
      </c>
      <c r="B481" s="5" t="s">
        <v>1807</v>
      </c>
      <c r="C481" s="5" t="s">
        <v>802</v>
      </c>
      <c r="D481" s="5" t="s">
        <v>1209</v>
      </c>
      <c r="E481" s="8">
        <v>46225</v>
      </c>
      <c r="F481" s="5" t="s">
        <v>771</v>
      </c>
      <c r="G481" s="5" t="s">
        <v>772</v>
      </c>
      <c r="H481" s="22"/>
      <c r="I481" s="5" t="s">
        <v>603</v>
      </c>
      <c r="J481" s="5" t="s">
        <v>546</v>
      </c>
      <c r="K481" s="5" t="s">
        <v>590</v>
      </c>
      <c r="L481" s="5" t="s">
        <v>608</v>
      </c>
      <c r="M481" s="5" t="s">
        <v>581</v>
      </c>
      <c r="N481" s="5"/>
      <c r="O481" s="8"/>
      <c r="P481" s="22"/>
      <c r="Q481" s="5" t="s">
        <v>773</v>
      </c>
      <c r="R481" s="5" t="s">
        <v>557</v>
      </c>
      <c r="S481" s="5" t="s">
        <v>582</v>
      </c>
      <c r="T481" s="8">
        <v>46298</v>
      </c>
    </row>
    <row r="482" spans="1:20" ht="24" customHeight="1" x14ac:dyDescent="0.35">
      <c r="A482" s="1" t="s">
        <v>1808</v>
      </c>
      <c r="B482" s="1" t="s">
        <v>1809</v>
      </c>
      <c r="C482" s="1" t="s">
        <v>643</v>
      </c>
      <c r="D482" s="1" t="s">
        <v>1094</v>
      </c>
      <c r="E482" s="10">
        <v>46225</v>
      </c>
      <c r="F482" s="1" t="s">
        <v>587</v>
      </c>
      <c r="G482" s="1" t="s">
        <v>588</v>
      </c>
      <c r="H482" s="23">
        <v>20000000</v>
      </c>
      <c r="I482" s="1" t="s">
        <v>1676</v>
      </c>
      <c r="J482" s="1" t="s">
        <v>544</v>
      </c>
      <c r="K482" s="1" t="s">
        <v>590</v>
      </c>
      <c r="L482" s="1" t="s">
        <v>640</v>
      </c>
      <c r="M482" s="1" t="s">
        <v>581</v>
      </c>
      <c r="N482" s="1"/>
      <c r="O482" s="10"/>
      <c r="P482" s="23"/>
      <c r="Q482" s="1" t="s">
        <v>1005</v>
      </c>
      <c r="R482" s="1" t="s">
        <v>557</v>
      </c>
      <c r="S482" s="1" t="s">
        <v>582</v>
      </c>
      <c r="T482" s="10">
        <v>46298</v>
      </c>
    </row>
    <row r="483" spans="1:20" ht="24" customHeight="1" x14ac:dyDescent="0.35">
      <c r="A483" s="5" t="s">
        <v>1810</v>
      </c>
      <c r="B483" s="5" t="s">
        <v>1811</v>
      </c>
      <c r="C483" s="5" t="s">
        <v>292</v>
      </c>
      <c r="D483" s="5" t="s">
        <v>599</v>
      </c>
      <c r="E483" s="8">
        <v>46225</v>
      </c>
      <c r="F483" s="5" t="s">
        <v>587</v>
      </c>
      <c r="G483" s="5" t="s">
        <v>588</v>
      </c>
      <c r="H483" s="22">
        <v>8500000</v>
      </c>
      <c r="I483" s="5" t="s">
        <v>589</v>
      </c>
      <c r="J483" s="5" t="s">
        <v>544</v>
      </c>
      <c r="K483" s="5" t="s">
        <v>544</v>
      </c>
      <c r="L483" s="5" t="s">
        <v>149</v>
      </c>
      <c r="M483" s="5" t="s">
        <v>581</v>
      </c>
      <c r="N483" s="5"/>
      <c r="O483" s="8"/>
      <c r="P483" s="22"/>
      <c r="Q483" s="5"/>
      <c r="R483" s="5" t="s">
        <v>557</v>
      </c>
      <c r="S483" s="5" t="s">
        <v>582</v>
      </c>
      <c r="T483" s="8">
        <v>46298</v>
      </c>
    </row>
    <row r="484" spans="1:20" ht="24" customHeight="1" x14ac:dyDescent="0.35">
      <c r="A484" s="1" t="s">
        <v>1812</v>
      </c>
      <c r="B484" s="1" t="s">
        <v>1813</v>
      </c>
      <c r="C484" s="1" t="s">
        <v>157</v>
      </c>
      <c r="D484" s="1" t="s">
        <v>1814</v>
      </c>
      <c r="E484" s="10">
        <v>46225</v>
      </c>
      <c r="F484" s="1" t="s">
        <v>601</v>
      </c>
      <c r="G484" s="1" t="s">
        <v>602</v>
      </c>
      <c r="H484" s="23"/>
      <c r="I484" s="1" t="s">
        <v>603</v>
      </c>
      <c r="J484" s="1" t="s">
        <v>546</v>
      </c>
      <c r="K484" s="1" t="s">
        <v>590</v>
      </c>
      <c r="L484" s="1" t="s">
        <v>608</v>
      </c>
      <c r="M484" s="1" t="s">
        <v>581</v>
      </c>
      <c r="N484" s="1"/>
      <c r="O484" s="10"/>
      <c r="P484" s="23"/>
      <c r="Q484" s="1"/>
      <c r="R484" s="1" t="s">
        <v>557</v>
      </c>
      <c r="S484" s="1" t="s">
        <v>582</v>
      </c>
      <c r="T484" s="10">
        <v>46298</v>
      </c>
    </row>
    <row r="485" spans="1:20" ht="24" customHeight="1" x14ac:dyDescent="0.35">
      <c r="A485" s="5" t="s">
        <v>1815</v>
      </c>
      <c r="B485" s="5" t="s">
        <v>1816</v>
      </c>
      <c r="C485" s="5" t="s">
        <v>176</v>
      </c>
      <c r="D485" s="5" t="s">
        <v>1817</v>
      </c>
      <c r="E485" s="8">
        <v>46225</v>
      </c>
      <c r="F485" s="5" t="s">
        <v>771</v>
      </c>
      <c r="G485" s="5" t="s">
        <v>772</v>
      </c>
      <c r="H485" s="22"/>
      <c r="I485" s="5" t="s">
        <v>603</v>
      </c>
      <c r="J485" s="5" t="s">
        <v>546</v>
      </c>
      <c r="K485" s="5" t="s">
        <v>590</v>
      </c>
      <c r="L485" s="5" t="s">
        <v>608</v>
      </c>
      <c r="M485" s="5" t="s">
        <v>581</v>
      </c>
      <c r="N485" s="5"/>
      <c r="O485" s="8"/>
      <c r="P485" s="22"/>
      <c r="Q485" s="5" t="s">
        <v>773</v>
      </c>
      <c r="R485" s="5" t="s">
        <v>557</v>
      </c>
      <c r="S485" s="5" t="s">
        <v>582</v>
      </c>
      <c r="T485" s="8">
        <v>46298</v>
      </c>
    </row>
    <row r="486" spans="1:20" ht="24" customHeight="1" x14ac:dyDescent="0.35">
      <c r="A486" s="1" t="s">
        <v>1818</v>
      </c>
      <c r="B486" s="1" t="s">
        <v>1819</v>
      </c>
      <c r="C486" s="1" t="s">
        <v>1820</v>
      </c>
      <c r="D486" s="1" t="s">
        <v>856</v>
      </c>
      <c r="E486" s="10">
        <v>46204</v>
      </c>
      <c r="F486" s="1" t="s">
        <v>587</v>
      </c>
      <c r="G486" s="1" t="s">
        <v>588</v>
      </c>
      <c r="H486" s="23">
        <v>300000</v>
      </c>
      <c r="I486" s="1" t="s">
        <v>589</v>
      </c>
      <c r="J486" s="1" t="s">
        <v>590</v>
      </c>
      <c r="K486" s="1" t="s">
        <v>546</v>
      </c>
      <c r="L486" s="1" t="s">
        <v>640</v>
      </c>
      <c r="M486" s="1" t="s">
        <v>581</v>
      </c>
      <c r="N486" s="1"/>
      <c r="O486" s="10"/>
      <c r="P486" s="23"/>
      <c r="Q486" s="1"/>
      <c r="R486" s="1" t="s">
        <v>557</v>
      </c>
      <c r="S486" s="1" t="s">
        <v>582</v>
      </c>
      <c r="T486" s="10">
        <v>46298</v>
      </c>
    </row>
    <row r="487" spans="1:20" ht="24" customHeight="1" x14ac:dyDescent="0.35">
      <c r="A487" s="5" t="s">
        <v>1821</v>
      </c>
      <c r="B487" s="5" t="s">
        <v>1819</v>
      </c>
      <c r="C487" s="5" t="s">
        <v>856</v>
      </c>
      <c r="D487" s="5" t="s">
        <v>1822</v>
      </c>
      <c r="E487" s="8">
        <v>46221</v>
      </c>
      <c r="F487" s="5" t="s">
        <v>771</v>
      </c>
      <c r="G487" s="5" t="s">
        <v>772</v>
      </c>
      <c r="H487" s="22"/>
      <c r="I487" s="5" t="s">
        <v>603</v>
      </c>
      <c r="J487" s="5" t="s">
        <v>546</v>
      </c>
      <c r="K487" s="5" t="s">
        <v>590</v>
      </c>
      <c r="L487" s="5" t="s">
        <v>640</v>
      </c>
      <c r="M487" s="5" t="s">
        <v>581</v>
      </c>
      <c r="N487" s="5"/>
      <c r="O487" s="8"/>
      <c r="P487" s="22"/>
      <c r="Q487" s="5" t="s">
        <v>1008</v>
      </c>
      <c r="R487" s="5" t="s">
        <v>557</v>
      </c>
      <c r="S487" s="5" t="s">
        <v>582</v>
      </c>
      <c r="T487" s="8">
        <v>46298</v>
      </c>
    </row>
    <row r="488" spans="1:20" ht="24" customHeight="1" x14ac:dyDescent="0.35">
      <c r="A488" s="1" t="s">
        <v>1823</v>
      </c>
      <c r="B488" s="1" t="s">
        <v>1824</v>
      </c>
      <c r="C488" s="1" t="s">
        <v>160</v>
      </c>
      <c r="D488" s="1" t="s">
        <v>661</v>
      </c>
      <c r="E488" s="10">
        <v>46207</v>
      </c>
      <c r="F488" s="1" t="s">
        <v>578</v>
      </c>
      <c r="G488" s="1" t="s">
        <v>579</v>
      </c>
      <c r="H488" s="23"/>
      <c r="I488" s="1" t="s">
        <v>580</v>
      </c>
      <c r="J488" s="1" t="s">
        <v>544</v>
      </c>
      <c r="K488" s="1" t="s">
        <v>546</v>
      </c>
      <c r="L488" s="1" t="s">
        <v>608</v>
      </c>
      <c r="M488" s="1" t="s">
        <v>581</v>
      </c>
      <c r="N488" s="1"/>
      <c r="O488" s="10"/>
      <c r="P488" s="23"/>
      <c r="Q488" s="1"/>
      <c r="R488" s="1" t="s">
        <v>557</v>
      </c>
      <c r="S488" s="1" t="s">
        <v>582</v>
      </c>
      <c r="T488" s="10">
        <v>46298</v>
      </c>
    </row>
    <row r="489" spans="1:20" ht="24" customHeight="1" x14ac:dyDescent="0.35">
      <c r="A489" s="5" t="s">
        <v>1825</v>
      </c>
      <c r="B489" s="5" t="s">
        <v>1826</v>
      </c>
      <c r="C489" s="5" t="s">
        <v>423</v>
      </c>
      <c r="D489" s="5" t="s">
        <v>1827</v>
      </c>
      <c r="E489" s="8">
        <v>46211</v>
      </c>
      <c r="F489" s="5" t="s">
        <v>601</v>
      </c>
      <c r="G489" s="5" t="s">
        <v>602</v>
      </c>
      <c r="H489" s="22"/>
      <c r="I489" s="5" t="s">
        <v>603</v>
      </c>
      <c r="J489" s="5" t="s">
        <v>546</v>
      </c>
      <c r="K489" s="5" t="s">
        <v>590</v>
      </c>
      <c r="L489" s="5" t="s">
        <v>608</v>
      </c>
      <c r="M489" s="5" t="s">
        <v>581</v>
      </c>
      <c r="N489" s="5"/>
      <c r="O489" s="8"/>
      <c r="P489" s="22"/>
      <c r="Q489" s="5"/>
      <c r="R489" s="5" t="s">
        <v>557</v>
      </c>
      <c r="S489" s="5" t="s">
        <v>582</v>
      </c>
      <c r="T489" s="8">
        <v>46298</v>
      </c>
    </row>
    <row r="490" spans="1:20" ht="24" customHeight="1" x14ac:dyDescent="0.35">
      <c r="A490" s="1" t="s">
        <v>1828</v>
      </c>
      <c r="B490" s="1" t="s">
        <v>1829</v>
      </c>
      <c r="C490" s="1" t="s">
        <v>200</v>
      </c>
      <c r="D490" s="1" t="s">
        <v>157</v>
      </c>
      <c r="E490" s="10">
        <v>46219</v>
      </c>
      <c r="F490" s="1" t="s">
        <v>771</v>
      </c>
      <c r="G490" s="1" t="s">
        <v>772</v>
      </c>
      <c r="H490" s="23"/>
      <c r="I490" s="1" t="s">
        <v>603</v>
      </c>
      <c r="J490" s="1" t="s">
        <v>544</v>
      </c>
      <c r="K490" s="1" t="s">
        <v>546</v>
      </c>
      <c r="L490" s="1" t="s">
        <v>149</v>
      </c>
      <c r="M490" s="1" t="s">
        <v>581</v>
      </c>
      <c r="N490" s="1"/>
      <c r="O490" s="10"/>
      <c r="P490" s="23"/>
      <c r="Q490" s="1" t="s">
        <v>1008</v>
      </c>
      <c r="R490" s="1" t="s">
        <v>557</v>
      </c>
      <c r="S490" s="1" t="s">
        <v>582</v>
      </c>
      <c r="T490" s="10">
        <v>46298</v>
      </c>
    </row>
    <row r="491" spans="1:20" ht="24" customHeight="1" x14ac:dyDescent="0.35">
      <c r="A491" s="5" t="s">
        <v>1830</v>
      </c>
      <c r="B491" s="5" t="s">
        <v>1831</v>
      </c>
      <c r="C491" s="5" t="s">
        <v>157</v>
      </c>
      <c r="D491" s="5" t="s">
        <v>1210</v>
      </c>
      <c r="E491" s="8">
        <v>46212</v>
      </c>
      <c r="F491" s="5" t="s">
        <v>587</v>
      </c>
      <c r="G491" s="5" t="s">
        <v>588</v>
      </c>
      <c r="H491" s="22">
        <v>2100000</v>
      </c>
      <c r="I491" s="5" t="s">
        <v>589</v>
      </c>
      <c r="J491" s="5" t="s">
        <v>546</v>
      </c>
      <c r="K491" s="5" t="s">
        <v>545</v>
      </c>
      <c r="L491" s="5" t="s">
        <v>608</v>
      </c>
      <c r="M491" s="5" t="s">
        <v>581</v>
      </c>
      <c r="N491" s="5"/>
      <c r="O491" s="8"/>
      <c r="P491" s="22"/>
      <c r="Q491" s="5"/>
      <c r="R491" s="5" t="s">
        <v>557</v>
      </c>
      <c r="S491" s="5" t="s">
        <v>582</v>
      </c>
      <c r="T491" s="8">
        <v>46298</v>
      </c>
    </row>
    <row r="492" spans="1:20" ht="24" customHeight="1" x14ac:dyDescent="0.35">
      <c r="A492" s="1" t="s">
        <v>1832</v>
      </c>
      <c r="B492" s="1" t="s">
        <v>1833</v>
      </c>
      <c r="C492" s="1" t="s">
        <v>856</v>
      </c>
      <c r="D492" s="1" t="s">
        <v>819</v>
      </c>
      <c r="E492" s="10">
        <v>46210</v>
      </c>
      <c r="F492" s="1" t="s">
        <v>771</v>
      </c>
      <c r="G492" s="1" t="s">
        <v>772</v>
      </c>
      <c r="H492" s="23"/>
      <c r="I492" s="1" t="s">
        <v>603</v>
      </c>
      <c r="J492" s="1" t="s">
        <v>546</v>
      </c>
      <c r="K492" s="1" t="s">
        <v>546</v>
      </c>
      <c r="L492" s="1" t="s">
        <v>149</v>
      </c>
      <c r="M492" s="1" t="s">
        <v>581</v>
      </c>
      <c r="N492" s="1"/>
      <c r="O492" s="10"/>
      <c r="P492" s="23"/>
      <c r="Q492" s="1" t="s">
        <v>773</v>
      </c>
      <c r="R492" s="1" t="s">
        <v>557</v>
      </c>
      <c r="S492" s="1" t="s">
        <v>582</v>
      </c>
      <c r="T492" s="10">
        <v>46298</v>
      </c>
    </row>
    <row r="493" spans="1:20" ht="24" customHeight="1" x14ac:dyDescent="0.35">
      <c r="A493" s="5" t="s">
        <v>1834</v>
      </c>
      <c r="B493" s="5" t="s">
        <v>1835</v>
      </c>
      <c r="C493" s="5" t="s">
        <v>819</v>
      </c>
      <c r="D493" s="5" t="s">
        <v>857</v>
      </c>
      <c r="E493" s="8">
        <v>46211</v>
      </c>
      <c r="F493" s="5" t="s">
        <v>578</v>
      </c>
      <c r="G493" s="5" t="s">
        <v>579</v>
      </c>
      <c r="H493" s="22"/>
      <c r="I493" s="5" t="s">
        <v>580</v>
      </c>
      <c r="J493" s="5" t="s">
        <v>546</v>
      </c>
      <c r="K493" s="5" t="s">
        <v>590</v>
      </c>
      <c r="L493" s="5" t="s">
        <v>149</v>
      </c>
      <c r="M493" s="5" t="s">
        <v>581</v>
      </c>
      <c r="N493" s="5"/>
      <c r="O493" s="8"/>
      <c r="P493" s="22"/>
      <c r="Q493" s="5"/>
      <c r="R493" s="5" t="s">
        <v>557</v>
      </c>
      <c r="S493" s="5" t="s">
        <v>582</v>
      </c>
      <c r="T493" s="8">
        <v>46298</v>
      </c>
    </row>
    <row r="494" spans="1:20" ht="24" customHeight="1" x14ac:dyDescent="0.35">
      <c r="A494" s="1" t="s">
        <v>1836</v>
      </c>
      <c r="B494" s="1" t="s">
        <v>1837</v>
      </c>
      <c r="C494" s="1" t="s">
        <v>819</v>
      </c>
      <c r="D494" s="1" t="s">
        <v>1509</v>
      </c>
      <c r="E494" s="10">
        <v>46215</v>
      </c>
      <c r="F494" s="1" t="s">
        <v>601</v>
      </c>
      <c r="G494" s="1" t="s">
        <v>602</v>
      </c>
      <c r="H494" s="23"/>
      <c r="I494" s="1" t="s">
        <v>603</v>
      </c>
      <c r="J494" s="1" t="s">
        <v>546</v>
      </c>
      <c r="K494" s="1" t="s">
        <v>590</v>
      </c>
      <c r="L494" s="1" t="s">
        <v>608</v>
      </c>
      <c r="M494" s="1" t="s">
        <v>581</v>
      </c>
      <c r="N494" s="1"/>
      <c r="O494" s="10"/>
      <c r="P494" s="23"/>
      <c r="Q494" s="1"/>
      <c r="R494" s="1" t="s">
        <v>557</v>
      </c>
      <c r="S494" s="1" t="s">
        <v>582</v>
      </c>
      <c r="T494" s="10">
        <v>46298</v>
      </c>
    </row>
    <row r="495" spans="1:20" ht="24" customHeight="1" x14ac:dyDescent="0.35">
      <c r="A495" s="5" t="s">
        <v>1838</v>
      </c>
      <c r="B495" s="5" t="s">
        <v>1839</v>
      </c>
      <c r="C495" s="5" t="s">
        <v>620</v>
      </c>
      <c r="D495" s="5" t="s">
        <v>1509</v>
      </c>
      <c r="E495" s="8">
        <v>46216</v>
      </c>
      <c r="F495" s="5" t="s">
        <v>771</v>
      </c>
      <c r="G495" s="5" t="s">
        <v>772</v>
      </c>
      <c r="H495" s="22"/>
      <c r="I495" s="5" t="s">
        <v>603</v>
      </c>
      <c r="J495" s="5" t="s">
        <v>546</v>
      </c>
      <c r="K495" s="5" t="s">
        <v>590</v>
      </c>
      <c r="L495" s="5" t="s">
        <v>640</v>
      </c>
      <c r="M495" s="5" t="s">
        <v>581</v>
      </c>
      <c r="N495" s="5"/>
      <c r="O495" s="8"/>
      <c r="P495" s="22"/>
      <c r="Q495" s="5" t="s">
        <v>1008</v>
      </c>
      <c r="R495" s="5" t="s">
        <v>557</v>
      </c>
      <c r="S495" s="5" t="s">
        <v>582</v>
      </c>
      <c r="T495" s="8">
        <v>46298</v>
      </c>
    </row>
    <row r="496" spans="1:20" ht="24" customHeight="1" x14ac:dyDescent="0.35">
      <c r="A496" s="1" t="s">
        <v>1840</v>
      </c>
      <c r="B496" s="1" t="s">
        <v>1841</v>
      </c>
      <c r="C496" s="1" t="s">
        <v>1311</v>
      </c>
      <c r="D496" s="1" t="s">
        <v>1509</v>
      </c>
      <c r="E496" s="10">
        <v>46217</v>
      </c>
      <c r="F496" s="1" t="s">
        <v>771</v>
      </c>
      <c r="G496" s="1" t="s">
        <v>772</v>
      </c>
      <c r="H496" s="23"/>
      <c r="I496" s="1" t="s">
        <v>603</v>
      </c>
      <c r="J496" s="1" t="s">
        <v>546</v>
      </c>
      <c r="K496" s="1" t="s">
        <v>590</v>
      </c>
      <c r="L496" s="1" t="s">
        <v>149</v>
      </c>
      <c r="M496" s="1" t="s">
        <v>581</v>
      </c>
      <c r="N496" s="1"/>
      <c r="O496" s="10"/>
      <c r="P496" s="23"/>
      <c r="Q496" s="1" t="s">
        <v>773</v>
      </c>
      <c r="R496" s="1" t="s">
        <v>557</v>
      </c>
      <c r="S496" s="1" t="s">
        <v>582</v>
      </c>
      <c r="T496" s="10">
        <v>46298</v>
      </c>
    </row>
    <row r="497" spans="1:20" ht="24" customHeight="1" x14ac:dyDescent="0.35">
      <c r="A497" s="5" t="s">
        <v>1842</v>
      </c>
      <c r="B497" s="5" t="s">
        <v>1843</v>
      </c>
      <c r="C497" s="5" t="s">
        <v>620</v>
      </c>
      <c r="D497" s="5" t="s">
        <v>1844</v>
      </c>
      <c r="E497" s="8">
        <v>46224</v>
      </c>
      <c r="F497" s="5" t="s">
        <v>601</v>
      </c>
      <c r="G497" s="5" t="s">
        <v>602</v>
      </c>
      <c r="H497" s="22"/>
      <c r="I497" s="5" t="s">
        <v>603</v>
      </c>
      <c r="J497" s="5" t="s">
        <v>546</v>
      </c>
      <c r="K497" s="5" t="s">
        <v>590</v>
      </c>
      <c r="L497" s="5" t="s">
        <v>149</v>
      </c>
      <c r="M497" s="5" t="s">
        <v>581</v>
      </c>
      <c r="N497" s="5"/>
      <c r="O497" s="8"/>
      <c r="P497" s="22"/>
      <c r="Q497" s="5"/>
      <c r="R497" s="5" t="s">
        <v>557</v>
      </c>
      <c r="S497" s="5" t="s">
        <v>582</v>
      </c>
      <c r="T497" s="8">
        <v>46298</v>
      </c>
    </row>
    <row r="498" spans="1:20" ht="24" customHeight="1" x14ac:dyDescent="0.35">
      <c r="A498" s="1" t="s">
        <v>1845</v>
      </c>
      <c r="B498" s="1" t="s">
        <v>1846</v>
      </c>
      <c r="C498" s="1" t="s">
        <v>802</v>
      </c>
      <c r="D498" s="1" t="s">
        <v>1844</v>
      </c>
      <c r="E498" s="10">
        <v>46224</v>
      </c>
      <c r="F498" s="1" t="s">
        <v>771</v>
      </c>
      <c r="G498" s="1" t="s">
        <v>772</v>
      </c>
      <c r="H498" s="23"/>
      <c r="I498" s="1" t="s">
        <v>603</v>
      </c>
      <c r="J498" s="1" t="s">
        <v>546</v>
      </c>
      <c r="K498" s="1" t="s">
        <v>590</v>
      </c>
      <c r="L498" s="1" t="s">
        <v>591</v>
      </c>
      <c r="M498" s="1" t="s">
        <v>581</v>
      </c>
      <c r="N498" s="1"/>
      <c r="O498" s="10"/>
      <c r="P498" s="23"/>
      <c r="Q498" s="1" t="s">
        <v>773</v>
      </c>
      <c r="R498" s="1" t="s">
        <v>557</v>
      </c>
      <c r="S498" s="1" t="s">
        <v>582</v>
      </c>
      <c r="T498" s="10">
        <v>46298</v>
      </c>
    </row>
    <row r="499" spans="1:20" ht="24" customHeight="1" x14ac:dyDescent="0.35">
      <c r="A499" s="5" t="s">
        <v>1847</v>
      </c>
      <c r="B499" s="5" t="s">
        <v>1848</v>
      </c>
      <c r="C499" s="5" t="s">
        <v>819</v>
      </c>
      <c r="D499" s="5" t="s">
        <v>1844</v>
      </c>
      <c r="E499" s="8">
        <v>46208</v>
      </c>
      <c r="F499" s="5" t="s">
        <v>601</v>
      </c>
      <c r="G499" s="5" t="s">
        <v>602</v>
      </c>
      <c r="H499" s="22"/>
      <c r="I499" s="5" t="s">
        <v>603</v>
      </c>
      <c r="J499" s="5" t="s">
        <v>546</v>
      </c>
      <c r="K499" s="5" t="s">
        <v>590</v>
      </c>
      <c r="L499" s="5" t="s">
        <v>640</v>
      </c>
      <c r="M499" s="5" t="s">
        <v>581</v>
      </c>
      <c r="N499" s="5"/>
      <c r="O499" s="8"/>
      <c r="P499" s="22"/>
      <c r="Q499" s="5"/>
      <c r="R499" s="5" t="s">
        <v>557</v>
      </c>
      <c r="S499" s="5" t="s">
        <v>582</v>
      </c>
      <c r="T499" s="8">
        <v>46298</v>
      </c>
    </row>
    <row r="500" spans="1:20" ht="24" customHeight="1" x14ac:dyDescent="0.35">
      <c r="A500" s="1" t="s">
        <v>1849</v>
      </c>
      <c r="B500" s="1" t="s">
        <v>1850</v>
      </c>
      <c r="C500" s="1" t="s">
        <v>819</v>
      </c>
      <c r="D500" s="1" t="s">
        <v>1851</v>
      </c>
      <c r="E500" s="10">
        <v>46217</v>
      </c>
      <c r="F500" s="1" t="s">
        <v>771</v>
      </c>
      <c r="G500" s="1" t="s">
        <v>772</v>
      </c>
      <c r="H500" s="23"/>
      <c r="I500" s="1" t="s">
        <v>603</v>
      </c>
      <c r="J500" s="1" t="s">
        <v>546</v>
      </c>
      <c r="K500" s="1" t="s">
        <v>590</v>
      </c>
      <c r="L500" s="1" t="s">
        <v>640</v>
      </c>
      <c r="M500" s="1" t="s">
        <v>581</v>
      </c>
      <c r="N500" s="1"/>
      <c r="O500" s="10"/>
      <c r="P500" s="23"/>
      <c r="Q500" s="1" t="s">
        <v>773</v>
      </c>
      <c r="R500" s="1" t="s">
        <v>557</v>
      </c>
      <c r="S500" s="1" t="s">
        <v>582</v>
      </c>
      <c r="T500" s="10">
        <v>46298</v>
      </c>
    </row>
    <row r="501" spans="1:20" ht="24" customHeight="1" x14ac:dyDescent="0.35">
      <c r="A501" s="5" t="s">
        <v>1852</v>
      </c>
      <c r="B501" s="5" t="s">
        <v>203</v>
      </c>
      <c r="C501" s="5" t="s">
        <v>469</v>
      </c>
      <c r="D501" s="5" t="s">
        <v>990</v>
      </c>
      <c r="E501" s="8">
        <v>46225</v>
      </c>
      <c r="F501" s="5" t="s">
        <v>578</v>
      </c>
      <c r="G501" s="5" t="s">
        <v>579</v>
      </c>
      <c r="H501" s="22"/>
      <c r="I501" s="5" t="s">
        <v>580</v>
      </c>
      <c r="J501" s="5" t="s">
        <v>544</v>
      </c>
      <c r="K501" s="5" t="s">
        <v>590</v>
      </c>
      <c r="L501" s="5" t="s">
        <v>608</v>
      </c>
      <c r="M501" s="5" t="s">
        <v>581</v>
      </c>
      <c r="N501" s="5"/>
      <c r="O501" s="8"/>
      <c r="P501" s="22"/>
      <c r="Q501" s="5"/>
      <c r="R501" s="5" t="s">
        <v>557</v>
      </c>
      <c r="S501" s="5" t="s">
        <v>582</v>
      </c>
      <c r="T501" s="8">
        <v>46298</v>
      </c>
    </row>
    <row r="502" spans="1:20" ht="24" customHeight="1" x14ac:dyDescent="0.35">
      <c r="A502" s="1" t="s">
        <v>1853</v>
      </c>
      <c r="B502" s="1" t="s">
        <v>1854</v>
      </c>
      <c r="C502" s="1" t="s">
        <v>607</v>
      </c>
      <c r="D502" s="1" t="s">
        <v>1855</v>
      </c>
      <c r="E502" s="10">
        <v>46225</v>
      </c>
      <c r="F502" s="1" t="s">
        <v>578</v>
      </c>
      <c r="G502" s="1" t="s">
        <v>579</v>
      </c>
      <c r="H502" s="23"/>
      <c r="I502" s="1" t="s">
        <v>580</v>
      </c>
      <c r="J502" s="1" t="s">
        <v>547</v>
      </c>
      <c r="K502" s="1" t="s">
        <v>590</v>
      </c>
      <c r="L502" s="1" t="s">
        <v>608</v>
      </c>
      <c r="M502" s="1" t="s">
        <v>581</v>
      </c>
      <c r="N502" s="1"/>
      <c r="O502" s="10"/>
      <c r="P502" s="23"/>
      <c r="Q502" s="1"/>
      <c r="R502" s="1" t="s">
        <v>557</v>
      </c>
      <c r="S502" s="1" t="s">
        <v>582</v>
      </c>
      <c r="T502" s="10">
        <v>46298</v>
      </c>
    </row>
    <row r="503" spans="1:20" ht="24" customHeight="1" x14ac:dyDescent="0.35">
      <c r="A503" s="5" t="s">
        <v>1856</v>
      </c>
      <c r="B503" s="5" t="s">
        <v>1857</v>
      </c>
      <c r="C503" s="5" t="s">
        <v>596</v>
      </c>
      <c r="D503" s="5" t="s">
        <v>1858</v>
      </c>
      <c r="E503" s="8">
        <v>46225</v>
      </c>
      <c r="F503" s="5" t="s">
        <v>601</v>
      </c>
      <c r="G503" s="5" t="s">
        <v>602</v>
      </c>
      <c r="H503" s="22"/>
      <c r="I503" s="5" t="s">
        <v>603</v>
      </c>
      <c r="J503" s="5" t="s">
        <v>548</v>
      </c>
      <c r="K503" s="5" t="s">
        <v>590</v>
      </c>
      <c r="L503" s="5" t="s">
        <v>640</v>
      </c>
      <c r="M503" s="5" t="s">
        <v>581</v>
      </c>
      <c r="N503" s="5"/>
      <c r="O503" s="8"/>
      <c r="P503" s="22"/>
      <c r="Q503" s="5"/>
      <c r="R503" s="5" t="s">
        <v>557</v>
      </c>
      <c r="S503" s="5" t="s">
        <v>582</v>
      </c>
      <c r="T503" s="8">
        <v>46298</v>
      </c>
    </row>
    <row r="504" spans="1:20" ht="24" customHeight="1" x14ac:dyDescent="0.35">
      <c r="A504" s="1" t="s">
        <v>1859</v>
      </c>
      <c r="B504" s="1" t="s">
        <v>1860</v>
      </c>
      <c r="C504" s="1" t="s">
        <v>797</v>
      </c>
      <c r="D504" s="1" t="s">
        <v>1861</v>
      </c>
      <c r="E504" s="10">
        <v>46225</v>
      </c>
      <c r="F504" s="1" t="s">
        <v>601</v>
      </c>
      <c r="G504" s="1" t="s">
        <v>602</v>
      </c>
      <c r="H504" s="23"/>
      <c r="I504" s="1" t="s">
        <v>603</v>
      </c>
      <c r="J504" s="1" t="s">
        <v>546</v>
      </c>
      <c r="K504" s="1" t="s">
        <v>590</v>
      </c>
      <c r="L504" s="1" t="s">
        <v>149</v>
      </c>
      <c r="M504" s="1" t="s">
        <v>581</v>
      </c>
      <c r="N504" s="1"/>
      <c r="O504" s="10"/>
      <c r="P504" s="23"/>
      <c r="Q504" s="1"/>
      <c r="R504" s="1" t="s">
        <v>557</v>
      </c>
      <c r="S504" s="1" t="s">
        <v>582</v>
      </c>
      <c r="T504" s="10">
        <v>46298</v>
      </c>
    </row>
    <row r="505" spans="1:20" ht="24" customHeight="1" x14ac:dyDescent="0.35">
      <c r="A505" s="5" t="s">
        <v>1862</v>
      </c>
      <c r="B505" s="5" t="s">
        <v>1863</v>
      </c>
      <c r="C505" s="5" t="s">
        <v>130</v>
      </c>
      <c r="D505" s="5" t="s">
        <v>1864</v>
      </c>
      <c r="E505" s="8">
        <v>46225</v>
      </c>
      <c r="F505" s="5" t="s">
        <v>771</v>
      </c>
      <c r="G505" s="5" t="s">
        <v>772</v>
      </c>
      <c r="H505" s="22"/>
      <c r="I505" s="5" t="s">
        <v>603</v>
      </c>
      <c r="J505" s="5" t="s">
        <v>546</v>
      </c>
      <c r="K505" s="5" t="s">
        <v>590</v>
      </c>
      <c r="L505" s="5" t="s">
        <v>149</v>
      </c>
      <c r="M505" s="5" t="s">
        <v>581</v>
      </c>
      <c r="N505" s="5"/>
      <c r="O505" s="8"/>
      <c r="P505" s="22"/>
      <c r="Q505" s="5" t="s">
        <v>1008</v>
      </c>
      <c r="R505" s="5" t="s">
        <v>557</v>
      </c>
      <c r="S505" s="5" t="s">
        <v>582</v>
      </c>
      <c r="T505" s="8">
        <v>46298</v>
      </c>
    </row>
    <row r="506" spans="1:20" ht="24" customHeight="1" x14ac:dyDescent="0.35">
      <c r="A506" s="1" t="s">
        <v>1865</v>
      </c>
      <c r="B506" s="1" t="s">
        <v>1866</v>
      </c>
      <c r="C506" s="1" t="s">
        <v>707</v>
      </c>
      <c r="D506" s="1" t="s">
        <v>620</v>
      </c>
      <c r="E506" s="10">
        <v>46225</v>
      </c>
      <c r="F506" s="1" t="s">
        <v>587</v>
      </c>
      <c r="G506" s="1" t="s">
        <v>588</v>
      </c>
      <c r="H506" s="23">
        <v>14500000</v>
      </c>
      <c r="I506" s="1" t="s">
        <v>589</v>
      </c>
      <c r="J506" s="1" t="s">
        <v>545</v>
      </c>
      <c r="K506" s="1" t="s">
        <v>546</v>
      </c>
      <c r="L506" s="1" t="s">
        <v>640</v>
      </c>
      <c r="M506" s="1" t="s">
        <v>581</v>
      </c>
      <c r="N506" s="1"/>
      <c r="O506" s="10"/>
      <c r="P506" s="23"/>
      <c r="Q506" s="1"/>
      <c r="R506" s="1" t="s">
        <v>557</v>
      </c>
      <c r="S506" s="1" t="s">
        <v>582</v>
      </c>
      <c r="T506" s="10">
        <v>46298</v>
      </c>
    </row>
    <row r="507" spans="1:20" ht="24" customHeight="1" x14ac:dyDescent="0.35">
      <c r="A507" s="5" t="s">
        <v>1867</v>
      </c>
      <c r="B507" s="5" t="s">
        <v>1868</v>
      </c>
      <c r="C507" s="5" t="s">
        <v>1735</v>
      </c>
      <c r="D507" s="5" t="s">
        <v>1031</v>
      </c>
      <c r="E507" s="8">
        <v>46225</v>
      </c>
      <c r="F507" s="5" t="s">
        <v>578</v>
      </c>
      <c r="G507" s="5" t="s">
        <v>579</v>
      </c>
      <c r="H507" s="22"/>
      <c r="I507" s="5" t="s">
        <v>580</v>
      </c>
      <c r="J507" s="5" t="s">
        <v>590</v>
      </c>
      <c r="K507" s="5" t="s">
        <v>548</v>
      </c>
      <c r="L507" s="5" t="s">
        <v>172</v>
      </c>
      <c r="M507" s="5" t="s">
        <v>581</v>
      </c>
      <c r="N507" s="5"/>
      <c r="O507" s="8"/>
      <c r="P507" s="22"/>
      <c r="Q507" s="5"/>
      <c r="R507" s="5" t="s">
        <v>557</v>
      </c>
      <c r="S507" s="5" t="s">
        <v>582</v>
      </c>
      <c r="T507" s="8">
        <v>46298</v>
      </c>
    </row>
    <row r="508" spans="1:20" ht="24" customHeight="1" x14ac:dyDescent="0.35">
      <c r="A508" s="1" t="s">
        <v>1869</v>
      </c>
      <c r="B508" s="1" t="s">
        <v>1870</v>
      </c>
      <c r="C508" s="1" t="s">
        <v>1871</v>
      </c>
      <c r="D508" s="1" t="s">
        <v>1034</v>
      </c>
      <c r="E508" s="10">
        <v>46186</v>
      </c>
      <c r="F508" s="1" t="s">
        <v>601</v>
      </c>
      <c r="G508" s="1" t="s">
        <v>602</v>
      </c>
      <c r="H508" s="23"/>
      <c r="I508" s="1" t="s">
        <v>603</v>
      </c>
      <c r="J508" s="1" t="s">
        <v>590</v>
      </c>
      <c r="K508" s="1" t="s">
        <v>546</v>
      </c>
      <c r="L508" s="1" t="s">
        <v>149</v>
      </c>
      <c r="M508" s="1" t="s">
        <v>581</v>
      </c>
      <c r="N508" s="1"/>
      <c r="O508" s="10"/>
      <c r="P508" s="23"/>
      <c r="Q508" s="1"/>
      <c r="R508" s="1" t="s">
        <v>557</v>
      </c>
      <c r="S508" s="1" t="s">
        <v>582</v>
      </c>
      <c r="T508" s="10">
        <v>46298</v>
      </c>
    </row>
    <row r="509" spans="1:20" ht="24" customHeight="1" x14ac:dyDescent="0.35">
      <c r="A509" s="5" t="s">
        <v>1872</v>
      </c>
      <c r="B509" s="5" t="s">
        <v>1873</v>
      </c>
      <c r="C509" s="5" t="s">
        <v>391</v>
      </c>
      <c r="D509" s="5" t="s">
        <v>1083</v>
      </c>
      <c r="E509" s="8">
        <v>46226</v>
      </c>
      <c r="F509" s="5" t="s">
        <v>578</v>
      </c>
      <c r="G509" s="5" t="s">
        <v>579</v>
      </c>
      <c r="H509" s="22"/>
      <c r="I509" s="5" t="s">
        <v>580</v>
      </c>
      <c r="J509" s="5" t="s">
        <v>544</v>
      </c>
      <c r="K509" s="5" t="s">
        <v>544</v>
      </c>
      <c r="L509" s="5" t="s">
        <v>149</v>
      </c>
      <c r="M509" s="5" t="s">
        <v>581</v>
      </c>
      <c r="N509" s="5"/>
      <c r="O509" s="8"/>
      <c r="P509" s="22"/>
      <c r="Q509" s="5"/>
      <c r="R509" s="5" t="s">
        <v>557</v>
      </c>
      <c r="S509" s="5" t="s">
        <v>582</v>
      </c>
      <c r="T509" s="8">
        <v>46298</v>
      </c>
    </row>
    <row r="510" spans="1:20" ht="24" customHeight="1" x14ac:dyDescent="0.35">
      <c r="A510" s="1" t="s">
        <v>1874</v>
      </c>
      <c r="B510" s="1" t="s">
        <v>1875</v>
      </c>
      <c r="C510" s="1" t="s">
        <v>651</v>
      </c>
      <c r="D510" s="1" t="s">
        <v>756</v>
      </c>
      <c r="E510" s="10">
        <v>46226</v>
      </c>
      <c r="F510" s="1" t="s">
        <v>771</v>
      </c>
      <c r="G510" s="1" t="s">
        <v>772</v>
      </c>
      <c r="H510" s="23"/>
      <c r="I510" s="1" t="s">
        <v>603</v>
      </c>
      <c r="J510" s="1" t="s">
        <v>548</v>
      </c>
      <c r="K510" s="1" t="s">
        <v>590</v>
      </c>
      <c r="L510" s="1" t="s">
        <v>149</v>
      </c>
      <c r="M510" s="1" t="s">
        <v>581</v>
      </c>
      <c r="N510" s="1"/>
      <c r="O510" s="10"/>
      <c r="P510" s="23"/>
      <c r="Q510" s="1" t="s">
        <v>773</v>
      </c>
      <c r="R510" s="1" t="s">
        <v>557</v>
      </c>
      <c r="S510" s="1" t="s">
        <v>582</v>
      </c>
      <c r="T510" s="10">
        <v>46298</v>
      </c>
    </row>
    <row r="511" spans="1:20" ht="24" customHeight="1" x14ac:dyDescent="0.35">
      <c r="A511" s="5" t="s">
        <v>1876</v>
      </c>
      <c r="B511" s="5" t="s">
        <v>1877</v>
      </c>
      <c r="C511" s="5" t="s">
        <v>999</v>
      </c>
      <c r="D511" s="5" t="s">
        <v>1030</v>
      </c>
      <c r="E511" s="8">
        <v>46225</v>
      </c>
      <c r="F511" s="5" t="s">
        <v>771</v>
      </c>
      <c r="G511" s="5" t="s">
        <v>772</v>
      </c>
      <c r="H511" s="22"/>
      <c r="I511" s="5" t="s">
        <v>603</v>
      </c>
      <c r="J511" s="5" t="s">
        <v>544</v>
      </c>
      <c r="K511" s="5" t="s">
        <v>590</v>
      </c>
      <c r="L511" s="5" t="s">
        <v>640</v>
      </c>
      <c r="M511" s="5" t="s">
        <v>581</v>
      </c>
      <c r="N511" s="5"/>
      <c r="O511" s="8"/>
      <c r="P511" s="22"/>
      <c r="Q511" s="5" t="s">
        <v>1008</v>
      </c>
      <c r="R511" s="5" t="s">
        <v>557</v>
      </c>
      <c r="S511" s="5" t="s">
        <v>582</v>
      </c>
      <c r="T511" s="8">
        <v>46298</v>
      </c>
    </row>
    <row r="512" spans="1:20" ht="24" customHeight="1" x14ac:dyDescent="0.35">
      <c r="A512" s="1" t="s">
        <v>1878</v>
      </c>
      <c r="B512" s="1" t="s">
        <v>400</v>
      </c>
      <c r="C512" s="1" t="s">
        <v>401</v>
      </c>
      <c r="D512" s="1" t="s">
        <v>91</v>
      </c>
      <c r="E512" s="10">
        <v>46226</v>
      </c>
      <c r="F512" s="1" t="s">
        <v>587</v>
      </c>
      <c r="G512" s="1" t="s">
        <v>588</v>
      </c>
      <c r="H512" s="23">
        <v>18800000</v>
      </c>
      <c r="I512" s="1" t="s">
        <v>589</v>
      </c>
      <c r="J512" s="1" t="s">
        <v>547</v>
      </c>
      <c r="K512" s="1" t="s">
        <v>545</v>
      </c>
      <c r="L512" s="1" t="s">
        <v>591</v>
      </c>
      <c r="M512" s="1" t="s">
        <v>581</v>
      </c>
      <c r="N512" s="1"/>
      <c r="O512" s="10"/>
      <c r="P512" s="23"/>
      <c r="Q512" s="1"/>
      <c r="R512" s="1" t="s">
        <v>557</v>
      </c>
      <c r="S512" s="1" t="s">
        <v>582</v>
      </c>
      <c r="T512" s="10">
        <v>46298</v>
      </c>
    </row>
    <row r="513" spans="1:20" ht="24" customHeight="1" x14ac:dyDescent="0.35">
      <c r="A513" s="5" t="s">
        <v>1879</v>
      </c>
      <c r="B513" s="5" t="s">
        <v>1880</v>
      </c>
      <c r="C513" s="5" t="s">
        <v>91</v>
      </c>
      <c r="D513" s="5" t="s">
        <v>1004</v>
      </c>
      <c r="E513" s="8">
        <v>46226</v>
      </c>
      <c r="F513" s="5" t="s">
        <v>578</v>
      </c>
      <c r="G513" s="5" t="s">
        <v>579</v>
      </c>
      <c r="H513" s="22"/>
      <c r="I513" s="5" t="s">
        <v>580</v>
      </c>
      <c r="J513" s="5" t="s">
        <v>545</v>
      </c>
      <c r="K513" s="5" t="s">
        <v>545</v>
      </c>
      <c r="L513" s="5" t="s">
        <v>172</v>
      </c>
      <c r="M513" s="5" t="s">
        <v>581</v>
      </c>
      <c r="N513" s="5"/>
      <c r="O513" s="8"/>
      <c r="P513" s="22"/>
      <c r="Q513" s="5"/>
      <c r="R513" s="5" t="s">
        <v>557</v>
      </c>
      <c r="S513" s="5" t="s">
        <v>582</v>
      </c>
      <c r="T513" s="8">
        <v>46298</v>
      </c>
    </row>
    <row r="514" spans="1:20" ht="24" customHeight="1" x14ac:dyDescent="0.35">
      <c r="A514" s="1" t="s">
        <v>1881</v>
      </c>
      <c r="B514" s="1" t="s">
        <v>1882</v>
      </c>
      <c r="C514" s="1" t="s">
        <v>101</v>
      </c>
      <c r="D514" s="1" t="s">
        <v>1392</v>
      </c>
      <c r="E514" s="10">
        <v>46226</v>
      </c>
      <c r="F514" s="1" t="s">
        <v>771</v>
      </c>
      <c r="G514" s="1" t="s">
        <v>772</v>
      </c>
      <c r="H514" s="23"/>
      <c r="I514" s="1" t="s">
        <v>603</v>
      </c>
      <c r="J514" s="1" t="s">
        <v>544</v>
      </c>
      <c r="K514" s="1" t="s">
        <v>590</v>
      </c>
      <c r="L514" s="1" t="s">
        <v>172</v>
      </c>
      <c r="M514" s="1" t="s">
        <v>581</v>
      </c>
      <c r="N514" s="1"/>
      <c r="O514" s="10"/>
      <c r="P514" s="23"/>
      <c r="Q514" s="1" t="s">
        <v>773</v>
      </c>
      <c r="R514" s="1" t="s">
        <v>557</v>
      </c>
      <c r="S514" s="1" t="s">
        <v>582</v>
      </c>
      <c r="T514" s="10">
        <v>46298</v>
      </c>
    </row>
    <row r="515" spans="1:20" ht="24" customHeight="1" x14ac:dyDescent="0.35">
      <c r="A515" s="5" t="s">
        <v>1883</v>
      </c>
      <c r="B515" s="5" t="s">
        <v>1884</v>
      </c>
      <c r="C515" s="5" t="s">
        <v>797</v>
      </c>
      <c r="D515" s="5" t="s">
        <v>1885</v>
      </c>
      <c r="E515" s="8">
        <v>46226</v>
      </c>
      <c r="F515" s="5" t="s">
        <v>771</v>
      </c>
      <c r="G515" s="5" t="s">
        <v>772</v>
      </c>
      <c r="H515" s="22"/>
      <c r="I515" s="5" t="s">
        <v>603</v>
      </c>
      <c r="J515" s="5" t="s">
        <v>546</v>
      </c>
      <c r="K515" s="5" t="s">
        <v>590</v>
      </c>
      <c r="L515" s="5" t="s">
        <v>172</v>
      </c>
      <c r="M515" s="5" t="s">
        <v>581</v>
      </c>
      <c r="N515" s="5"/>
      <c r="O515" s="8"/>
      <c r="P515" s="22"/>
      <c r="Q515" s="5" t="s">
        <v>773</v>
      </c>
      <c r="R515" s="5" t="s">
        <v>557</v>
      </c>
      <c r="S515" s="5" t="s">
        <v>582</v>
      </c>
      <c r="T515" s="8">
        <v>46298</v>
      </c>
    </row>
    <row r="516" spans="1:20" ht="24" customHeight="1" x14ac:dyDescent="0.35">
      <c r="A516" s="1" t="s">
        <v>1886</v>
      </c>
      <c r="B516" s="1" t="s">
        <v>1887</v>
      </c>
      <c r="C516" s="1" t="s">
        <v>655</v>
      </c>
      <c r="D516" s="1" t="s">
        <v>126</v>
      </c>
      <c r="E516" s="10">
        <v>46226</v>
      </c>
      <c r="F516" s="1" t="s">
        <v>587</v>
      </c>
      <c r="G516" s="1" t="s">
        <v>588</v>
      </c>
      <c r="H516" s="23">
        <v>34000000</v>
      </c>
      <c r="I516" s="1" t="s">
        <v>589</v>
      </c>
      <c r="J516" s="1" t="s">
        <v>590</v>
      </c>
      <c r="K516" s="1" t="s">
        <v>544</v>
      </c>
      <c r="L516" s="1" t="s">
        <v>591</v>
      </c>
      <c r="M516" s="1" t="s">
        <v>581</v>
      </c>
      <c r="N516" s="1"/>
      <c r="O516" s="10"/>
      <c r="P516" s="23"/>
      <c r="Q516" s="1"/>
      <c r="R516" s="1" t="s">
        <v>557</v>
      </c>
      <c r="S516" s="1" t="s">
        <v>582</v>
      </c>
      <c r="T516" s="10">
        <v>46298</v>
      </c>
    </row>
    <row r="517" spans="1:20" ht="24" customHeight="1" x14ac:dyDescent="0.35">
      <c r="A517" s="5" t="s">
        <v>1888</v>
      </c>
      <c r="B517" s="5" t="s">
        <v>1889</v>
      </c>
      <c r="C517" s="5" t="s">
        <v>119</v>
      </c>
      <c r="D517" s="5" t="s">
        <v>374</v>
      </c>
      <c r="E517" s="8">
        <v>46226</v>
      </c>
      <c r="F517" s="5" t="s">
        <v>578</v>
      </c>
      <c r="G517" s="5" t="s">
        <v>579</v>
      </c>
      <c r="H517" s="22"/>
      <c r="I517" s="5" t="s">
        <v>580</v>
      </c>
      <c r="J517" s="5" t="s">
        <v>547</v>
      </c>
      <c r="K517" s="5" t="s">
        <v>544</v>
      </c>
      <c r="L517" s="5" t="s">
        <v>608</v>
      </c>
      <c r="M517" s="5" t="s">
        <v>581</v>
      </c>
      <c r="N517" s="5"/>
      <c r="O517" s="8"/>
      <c r="P517" s="22"/>
      <c r="Q517" s="5"/>
      <c r="R517" s="5" t="s">
        <v>557</v>
      </c>
      <c r="S517" s="5" t="s">
        <v>582</v>
      </c>
      <c r="T517" s="8">
        <v>46298</v>
      </c>
    </row>
    <row r="518" spans="1:20" ht="24" customHeight="1" x14ac:dyDescent="0.35">
      <c r="A518" s="1" t="s">
        <v>1890</v>
      </c>
      <c r="B518" s="1" t="s">
        <v>334</v>
      </c>
      <c r="C518" s="1" t="s">
        <v>103</v>
      </c>
      <c r="D518" s="1" t="s">
        <v>106</v>
      </c>
      <c r="E518" s="10">
        <v>46226</v>
      </c>
      <c r="F518" s="1" t="s">
        <v>771</v>
      </c>
      <c r="G518" s="1" t="s">
        <v>772</v>
      </c>
      <c r="H518" s="23"/>
      <c r="I518" s="1" t="s">
        <v>603</v>
      </c>
      <c r="J518" s="1" t="s">
        <v>544</v>
      </c>
      <c r="K518" s="1" t="s">
        <v>544</v>
      </c>
      <c r="L518" s="1" t="s">
        <v>591</v>
      </c>
      <c r="M518" s="1" t="s">
        <v>581</v>
      </c>
      <c r="N518" s="1"/>
      <c r="O518" s="10"/>
      <c r="P518" s="23"/>
      <c r="Q518" s="1" t="s">
        <v>1008</v>
      </c>
      <c r="R518" s="1" t="s">
        <v>557</v>
      </c>
      <c r="S518" s="1" t="s">
        <v>582</v>
      </c>
      <c r="T518" s="10">
        <v>46298</v>
      </c>
    </row>
    <row r="519" spans="1:20" ht="24" customHeight="1" x14ac:dyDescent="0.35">
      <c r="A519" s="5" t="s">
        <v>1891</v>
      </c>
      <c r="B519" s="5" t="s">
        <v>1892</v>
      </c>
      <c r="C519" s="5" t="s">
        <v>1223</v>
      </c>
      <c r="D519" s="5" t="s">
        <v>103</v>
      </c>
      <c r="E519" s="8">
        <v>46226</v>
      </c>
      <c r="F519" s="5" t="s">
        <v>601</v>
      </c>
      <c r="G519" s="5" t="s">
        <v>602</v>
      </c>
      <c r="H519" s="22"/>
      <c r="I519" s="5" t="s">
        <v>603</v>
      </c>
      <c r="J519" s="5" t="s">
        <v>590</v>
      </c>
      <c r="K519" s="5" t="s">
        <v>544</v>
      </c>
      <c r="L519" s="5" t="s">
        <v>608</v>
      </c>
      <c r="M519" s="5" t="s">
        <v>581</v>
      </c>
      <c r="N519" s="5"/>
      <c r="O519" s="8"/>
      <c r="P519" s="22"/>
      <c r="Q519" s="5"/>
      <c r="R519" s="5" t="s">
        <v>557</v>
      </c>
      <c r="S519" s="5" t="s">
        <v>582</v>
      </c>
      <c r="T519" s="8">
        <v>46298</v>
      </c>
    </row>
    <row r="520" spans="1:20" ht="24" customHeight="1" x14ac:dyDescent="0.35">
      <c r="A520" s="1" t="s">
        <v>1893</v>
      </c>
      <c r="B520" s="1" t="s">
        <v>1894</v>
      </c>
      <c r="C520" s="1" t="s">
        <v>606</v>
      </c>
      <c r="D520" s="1" t="s">
        <v>184</v>
      </c>
      <c r="E520" s="10">
        <v>46226</v>
      </c>
      <c r="F520" s="1" t="s">
        <v>587</v>
      </c>
      <c r="G520" s="1" t="s">
        <v>588</v>
      </c>
      <c r="H520" s="23">
        <v>4300000</v>
      </c>
      <c r="I520" s="1" t="s">
        <v>589</v>
      </c>
      <c r="J520" s="1" t="s">
        <v>547</v>
      </c>
      <c r="K520" s="1" t="s">
        <v>590</v>
      </c>
      <c r="L520" s="1" t="s">
        <v>608</v>
      </c>
      <c r="M520" s="1" t="s">
        <v>581</v>
      </c>
      <c r="N520" s="1"/>
      <c r="O520" s="10"/>
      <c r="P520" s="23"/>
      <c r="Q520" s="1"/>
      <c r="R520" s="1" t="s">
        <v>557</v>
      </c>
      <c r="S520" s="1" t="s">
        <v>582</v>
      </c>
      <c r="T520" s="10">
        <v>46298</v>
      </c>
    </row>
    <row r="521" spans="1:20" ht="24" customHeight="1" x14ac:dyDescent="0.35">
      <c r="A521" s="5" t="s">
        <v>1895</v>
      </c>
      <c r="B521" s="5" t="s">
        <v>1896</v>
      </c>
      <c r="C521" s="5" t="s">
        <v>1897</v>
      </c>
      <c r="D521" s="5" t="s">
        <v>630</v>
      </c>
      <c r="E521" s="8">
        <v>46226</v>
      </c>
      <c r="F521" s="5" t="s">
        <v>587</v>
      </c>
      <c r="G521" s="5" t="s">
        <v>588</v>
      </c>
      <c r="H521" s="22">
        <v>900000</v>
      </c>
      <c r="I521" s="5" t="s">
        <v>589</v>
      </c>
      <c r="J521" s="5" t="s">
        <v>590</v>
      </c>
      <c r="K521" s="5" t="s">
        <v>547</v>
      </c>
      <c r="L521" s="5" t="s">
        <v>608</v>
      </c>
      <c r="M521" s="5" t="s">
        <v>581</v>
      </c>
      <c r="N521" s="5"/>
      <c r="O521" s="8"/>
      <c r="P521" s="22"/>
      <c r="Q521" s="5"/>
      <c r="R521" s="5" t="s">
        <v>557</v>
      </c>
      <c r="S521" s="5" t="s">
        <v>582</v>
      </c>
      <c r="T521" s="8">
        <v>46298</v>
      </c>
    </row>
    <row r="522" spans="1:20" ht="24" customHeight="1" x14ac:dyDescent="0.35">
      <c r="A522" s="1" t="s">
        <v>1898</v>
      </c>
      <c r="B522" s="1" t="s">
        <v>1899</v>
      </c>
      <c r="C522" s="1" t="s">
        <v>643</v>
      </c>
      <c r="D522" s="1" t="s">
        <v>126</v>
      </c>
      <c r="E522" s="10">
        <v>46224</v>
      </c>
      <c r="F522" s="1" t="s">
        <v>578</v>
      </c>
      <c r="G522" s="1" t="s">
        <v>579</v>
      </c>
      <c r="H522" s="23"/>
      <c r="I522" s="1" t="s">
        <v>580</v>
      </c>
      <c r="J522" s="1" t="s">
        <v>544</v>
      </c>
      <c r="K522" s="1" t="s">
        <v>544</v>
      </c>
      <c r="L522" s="1" t="s">
        <v>149</v>
      </c>
      <c r="M522" s="1" t="s">
        <v>581</v>
      </c>
      <c r="N522" s="1"/>
      <c r="O522" s="10"/>
      <c r="P522" s="23"/>
      <c r="Q522" s="1"/>
      <c r="R522" s="1" t="s">
        <v>557</v>
      </c>
      <c r="S522" s="1" t="s">
        <v>582</v>
      </c>
      <c r="T522" s="10">
        <v>46298</v>
      </c>
    </row>
    <row r="523" spans="1:20" ht="24" customHeight="1" x14ac:dyDescent="0.35">
      <c r="A523" s="5" t="s">
        <v>1900</v>
      </c>
      <c r="B523" s="5" t="s">
        <v>1901</v>
      </c>
      <c r="C523" s="5" t="s">
        <v>106</v>
      </c>
      <c r="D523" s="5" t="s">
        <v>927</v>
      </c>
      <c r="E523" s="8">
        <v>46219</v>
      </c>
      <c r="F523" s="5" t="s">
        <v>601</v>
      </c>
      <c r="G523" s="5" t="s">
        <v>602</v>
      </c>
      <c r="H523" s="22"/>
      <c r="I523" s="5" t="s">
        <v>603</v>
      </c>
      <c r="J523" s="5" t="s">
        <v>544</v>
      </c>
      <c r="K523" s="5" t="s">
        <v>590</v>
      </c>
      <c r="L523" s="5" t="s">
        <v>149</v>
      </c>
      <c r="M523" s="5" t="s">
        <v>581</v>
      </c>
      <c r="N523" s="5"/>
      <c r="O523" s="8"/>
      <c r="P523" s="22"/>
      <c r="Q523" s="5"/>
      <c r="R523" s="5" t="s">
        <v>557</v>
      </c>
      <c r="S523" s="5" t="s">
        <v>582</v>
      </c>
      <c r="T523" s="8">
        <v>46298</v>
      </c>
    </row>
    <row r="524" spans="1:20" ht="24" customHeight="1" x14ac:dyDescent="0.35">
      <c r="A524" s="1" t="s">
        <v>1902</v>
      </c>
      <c r="B524" s="1" t="s">
        <v>1903</v>
      </c>
      <c r="C524" s="1" t="s">
        <v>106</v>
      </c>
      <c r="D524" s="1" t="s">
        <v>1904</v>
      </c>
      <c r="E524" s="10">
        <v>46211</v>
      </c>
      <c r="F524" s="1" t="s">
        <v>771</v>
      </c>
      <c r="G524" s="1" t="s">
        <v>772</v>
      </c>
      <c r="H524" s="23"/>
      <c r="I524" s="1" t="s">
        <v>603</v>
      </c>
      <c r="J524" s="1" t="s">
        <v>544</v>
      </c>
      <c r="K524" s="1" t="s">
        <v>590</v>
      </c>
      <c r="L524" s="1" t="s">
        <v>591</v>
      </c>
      <c r="M524" s="1" t="s">
        <v>581</v>
      </c>
      <c r="N524" s="1"/>
      <c r="O524" s="10"/>
      <c r="P524" s="23"/>
      <c r="Q524" s="1" t="s">
        <v>773</v>
      </c>
      <c r="R524" s="1" t="s">
        <v>557</v>
      </c>
      <c r="S524" s="1" t="s">
        <v>582</v>
      </c>
      <c r="T524" s="10">
        <v>46298</v>
      </c>
    </row>
    <row r="525" spans="1:20" ht="24" customHeight="1" x14ac:dyDescent="0.35">
      <c r="A525" s="5" t="s">
        <v>1905</v>
      </c>
      <c r="B525" s="5" t="s">
        <v>1906</v>
      </c>
      <c r="C525" s="5" t="s">
        <v>106</v>
      </c>
      <c r="D525" s="5" t="s">
        <v>1904</v>
      </c>
      <c r="E525" s="8">
        <v>46210</v>
      </c>
      <c r="F525" s="5" t="s">
        <v>771</v>
      </c>
      <c r="G525" s="5" t="s">
        <v>772</v>
      </c>
      <c r="H525" s="22"/>
      <c r="I525" s="5" t="s">
        <v>603</v>
      </c>
      <c r="J525" s="5" t="s">
        <v>544</v>
      </c>
      <c r="K525" s="5" t="s">
        <v>590</v>
      </c>
      <c r="L525" s="5" t="s">
        <v>640</v>
      </c>
      <c r="M525" s="5" t="s">
        <v>581</v>
      </c>
      <c r="N525" s="5"/>
      <c r="O525" s="8"/>
      <c r="P525" s="22"/>
      <c r="Q525" s="5" t="s">
        <v>773</v>
      </c>
      <c r="R525" s="5" t="s">
        <v>557</v>
      </c>
      <c r="S525" s="5" t="s">
        <v>582</v>
      </c>
      <c r="T525" s="8">
        <v>46298</v>
      </c>
    </row>
    <row r="526" spans="1:20" ht="24" customHeight="1" x14ac:dyDescent="0.35">
      <c r="A526" s="1" t="s">
        <v>1907</v>
      </c>
      <c r="B526" s="1" t="s">
        <v>1908</v>
      </c>
      <c r="C526" s="1" t="s">
        <v>106</v>
      </c>
      <c r="D526" s="1" t="s">
        <v>1909</v>
      </c>
      <c r="E526" s="10">
        <v>46220</v>
      </c>
      <c r="F526" s="1" t="s">
        <v>771</v>
      </c>
      <c r="G526" s="1" t="s">
        <v>772</v>
      </c>
      <c r="H526" s="23"/>
      <c r="I526" s="1" t="s">
        <v>603</v>
      </c>
      <c r="J526" s="1" t="s">
        <v>544</v>
      </c>
      <c r="K526" s="1" t="s">
        <v>590</v>
      </c>
      <c r="L526" s="1" t="s">
        <v>172</v>
      </c>
      <c r="M526" s="1" t="s">
        <v>581</v>
      </c>
      <c r="N526" s="1"/>
      <c r="O526" s="10"/>
      <c r="P526" s="23"/>
      <c r="Q526" s="1" t="s">
        <v>773</v>
      </c>
      <c r="R526" s="1" t="s">
        <v>557</v>
      </c>
      <c r="S526" s="1" t="s">
        <v>582</v>
      </c>
      <c r="T526" s="10">
        <v>46298</v>
      </c>
    </row>
    <row r="527" spans="1:20" ht="24" customHeight="1" x14ac:dyDescent="0.35">
      <c r="A527" s="5" t="s">
        <v>1910</v>
      </c>
      <c r="B527" s="5" t="s">
        <v>1911</v>
      </c>
      <c r="C527" s="5" t="s">
        <v>190</v>
      </c>
      <c r="D527" s="5" t="s">
        <v>1912</v>
      </c>
      <c r="E527" s="8">
        <v>46203</v>
      </c>
      <c r="F527" s="5" t="s">
        <v>771</v>
      </c>
      <c r="G527" s="5" t="s">
        <v>772</v>
      </c>
      <c r="H527" s="22"/>
      <c r="I527" s="5" t="s">
        <v>603</v>
      </c>
      <c r="J527" s="5" t="s">
        <v>544</v>
      </c>
      <c r="K527" s="5" t="s">
        <v>590</v>
      </c>
      <c r="L527" s="5" t="s">
        <v>591</v>
      </c>
      <c r="M527" s="5" t="s">
        <v>581</v>
      </c>
      <c r="N527" s="5"/>
      <c r="O527" s="8"/>
      <c r="P527" s="22"/>
      <c r="Q527" s="5" t="s">
        <v>773</v>
      </c>
      <c r="R527" s="5" t="s">
        <v>557</v>
      </c>
      <c r="S527" s="5" t="s">
        <v>582</v>
      </c>
      <c r="T527" s="8">
        <v>46298</v>
      </c>
    </row>
    <row r="528" spans="1:20" ht="24" customHeight="1" x14ac:dyDescent="0.35">
      <c r="A528" s="1" t="s">
        <v>1913</v>
      </c>
      <c r="B528" s="1" t="s">
        <v>1914</v>
      </c>
      <c r="C528" s="1" t="s">
        <v>200</v>
      </c>
      <c r="D528" s="1" t="s">
        <v>1031</v>
      </c>
      <c r="E528" s="10">
        <v>46206</v>
      </c>
      <c r="F528" s="1" t="s">
        <v>1477</v>
      </c>
      <c r="G528" s="1" t="s">
        <v>772</v>
      </c>
      <c r="H528" s="23"/>
      <c r="I528" s="1" t="s">
        <v>603</v>
      </c>
      <c r="J528" s="1" t="s">
        <v>544</v>
      </c>
      <c r="K528" s="1" t="s">
        <v>548</v>
      </c>
      <c r="L528" s="1" t="s">
        <v>608</v>
      </c>
      <c r="M528" s="1" t="s">
        <v>581</v>
      </c>
      <c r="N528" s="1"/>
      <c r="O528" s="10"/>
      <c r="P528" s="23"/>
      <c r="Q528" s="1"/>
      <c r="R528" s="1" t="s">
        <v>557</v>
      </c>
      <c r="S528" s="1" t="s">
        <v>582</v>
      </c>
      <c r="T528" s="10">
        <v>46298</v>
      </c>
    </row>
    <row r="529" spans="1:20" ht="24" customHeight="1" x14ac:dyDescent="0.35">
      <c r="A529" s="5" t="s">
        <v>1915</v>
      </c>
      <c r="B529" s="5" t="s">
        <v>1916</v>
      </c>
      <c r="C529" s="5" t="s">
        <v>200</v>
      </c>
      <c r="D529" s="5" t="s">
        <v>1917</v>
      </c>
      <c r="E529" s="8">
        <v>46213</v>
      </c>
      <c r="F529" s="5" t="s">
        <v>578</v>
      </c>
      <c r="G529" s="5" t="s">
        <v>579</v>
      </c>
      <c r="H529" s="22"/>
      <c r="I529" s="5" t="s">
        <v>580</v>
      </c>
      <c r="J529" s="5" t="s">
        <v>544</v>
      </c>
      <c r="K529" s="5" t="s">
        <v>590</v>
      </c>
      <c r="L529" s="5" t="s">
        <v>149</v>
      </c>
      <c r="M529" s="5" t="s">
        <v>581</v>
      </c>
      <c r="N529" s="5"/>
      <c r="O529" s="8"/>
      <c r="P529" s="22"/>
      <c r="Q529" s="5"/>
      <c r="R529" s="5" t="s">
        <v>557</v>
      </c>
      <c r="S529" s="5" t="s">
        <v>582</v>
      </c>
      <c r="T529" s="8">
        <v>46298</v>
      </c>
    </row>
    <row r="530" spans="1:20" ht="24" customHeight="1" x14ac:dyDescent="0.35">
      <c r="A530" s="1" t="s">
        <v>1918</v>
      </c>
      <c r="B530" s="1" t="s">
        <v>1919</v>
      </c>
      <c r="C530" s="1" t="s">
        <v>128</v>
      </c>
      <c r="D530" s="1" t="s">
        <v>1094</v>
      </c>
      <c r="E530" s="10">
        <v>46198</v>
      </c>
      <c r="F530" s="1" t="s">
        <v>587</v>
      </c>
      <c r="G530" s="1" t="s">
        <v>588</v>
      </c>
      <c r="H530" s="23">
        <v>3400000</v>
      </c>
      <c r="I530" s="1" t="s">
        <v>589</v>
      </c>
      <c r="J530" s="1" t="s">
        <v>544</v>
      </c>
      <c r="K530" s="1" t="s">
        <v>590</v>
      </c>
      <c r="L530" s="1" t="s">
        <v>591</v>
      </c>
      <c r="M530" s="1" t="s">
        <v>581</v>
      </c>
      <c r="N530" s="1"/>
      <c r="O530" s="10"/>
      <c r="P530" s="23"/>
      <c r="Q530" s="1" t="s">
        <v>631</v>
      </c>
      <c r="R530" s="1" t="s">
        <v>557</v>
      </c>
      <c r="S530" s="1" t="s">
        <v>582</v>
      </c>
      <c r="T530" s="10">
        <v>46298</v>
      </c>
    </row>
    <row r="531" spans="1:20" ht="24" customHeight="1" x14ac:dyDescent="0.35">
      <c r="A531" s="5" t="s">
        <v>1920</v>
      </c>
      <c r="B531" s="5" t="s">
        <v>1921</v>
      </c>
      <c r="C531" s="5" t="s">
        <v>128</v>
      </c>
      <c r="D531" s="5" t="s">
        <v>125</v>
      </c>
      <c r="E531" s="8">
        <v>46240</v>
      </c>
      <c r="F531" s="5" t="s">
        <v>578</v>
      </c>
      <c r="G531" s="5" t="s">
        <v>579</v>
      </c>
      <c r="H531" s="22"/>
      <c r="I531" s="5" t="s">
        <v>580</v>
      </c>
      <c r="J531" s="5" t="s">
        <v>544</v>
      </c>
      <c r="K531" s="5" t="s">
        <v>590</v>
      </c>
      <c r="L531" s="5" t="s">
        <v>149</v>
      </c>
      <c r="M531" s="5" t="s">
        <v>581</v>
      </c>
      <c r="N531" s="5"/>
      <c r="O531" s="8"/>
      <c r="P531" s="22"/>
      <c r="Q531" s="5"/>
      <c r="R531" s="5" t="s">
        <v>557</v>
      </c>
      <c r="S531" s="5" t="s">
        <v>582</v>
      </c>
      <c r="T531" s="8">
        <v>46298</v>
      </c>
    </row>
    <row r="532" spans="1:20" ht="24" customHeight="1" x14ac:dyDescent="0.35">
      <c r="A532" s="1" t="s">
        <v>1922</v>
      </c>
      <c r="B532" s="1" t="s">
        <v>1923</v>
      </c>
      <c r="C532" s="1" t="s">
        <v>103</v>
      </c>
      <c r="D532" s="1" t="s">
        <v>599</v>
      </c>
      <c r="E532" s="10">
        <v>46220</v>
      </c>
      <c r="F532" s="1" t="s">
        <v>601</v>
      </c>
      <c r="G532" s="1" t="s">
        <v>602</v>
      </c>
      <c r="H532" s="23"/>
      <c r="I532" s="1" t="s">
        <v>603</v>
      </c>
      <c r="J532" s="1" t="s">
        <v>544</v>
      </c>
      <c r="K532" s="1" t="s">
        <v>544</v>
      </c>
      <c r="L532" s="1" t="s">
        <v>591</v>
      </c>
      <c r="M532" s="1" t="s">
        <v>581</v>
      </c>
      <c r="N532" s="1"/>
      <c r="O532" s="10"/>
      <c r="P532" s="23"/>
      <c r="Q532" s="1"/>
      <c r="R532" s="1" t="s">
        <v>557</v>
      </c>
      <c r="S532" s="1" t="s">
        <v>582</v>
      </c>
      <c r="T532" s="10">
        <v>46298</v>
      </c>
    </row>
    <row r="533" spans="1:20" ht="24" customHeight="1" x14ac:dyDescent="0.35">
      <c r="A533" s="5" t="s">
        <v>1924</v>
      </c>
      <c r="B533" s="5" t="s">
        <v>1925</v>
      </c>
      <c r="C533" s="5" t="s">
        <v>999</v>
      </c>
      <c r="D533" s="5" t="s">
        <v>807</v>
      </c>
      <c r="E533" s="8">
        <v>46224</v>
      </c>
      <c r="F533" s="5" t="s">
        <v>771</v>
      </c>
      <c r="G533" s="5" t="s">
        <v>772</v>
      </c>
      <c r="H533" s="22"/>
      <c r="I533" s="5" t="s">
        <v>603</v>
      </c>
      <c r="J533" s="5" t="s">
        <v>544</v>
      </c>
      <c r="K533" s="5" t="s">
        <v>590</v>
      </c>
      <c r="L533" s="5" t="s">
        <v>149</v>
      </c>
      <c r="M533" s="5" t="s">
        <v>581</v>
      </c>
      <c r="N533" s="5"/>
      <c r="O533" s="8"/>
      <c r="P533" s="22"/>
      <c r="Q533" s="5" t="s">
        <v>773</v>
      </c>
      <c r="R533" s="5" t="s">
        <v>557</v>
      </c>
      <c r="S533" s="5" t="s">
        <v>582</v>
      </c>
      <c r="T533" s="8">
        <v>46298</v>
      </c>
    </row>
    <row r="534" spans="1:20" ht="24" customHeight="1" x14ac:dyDescent="0.35">
      <c r="A534" s="1" t="s">
        <v>1926</v>
      </c>
      <c r="B534" s="1" t="s">
        <v>1927</v>
      </c>
      <c r="C534" s="1" t="s">
        <v>999</v>
      </c>
      <c r="D534" s="1" t="s">
        <v>1928</v>
      </c>
      <c r="E534" s="10">
        <v>46210</v>
      </c>
      <c r="F534" s="1" t="s">
        <v>771</v>
      </c>
      <c r="G534" s="1" t="s">
        <v>772</v>
      </c>
      <c r="H534" s="23"/>
      <c r="I534" s="1" t="s">
        <v>603</v>
      </c>
      <c r="J534" s="1" t="s">
        <v>544</v>
      </c>
      <c r="K534" s="1" t="s">
        <v>590</v>
      </c>
      <c r="L534" s="1" t="s">
        <v>608</v>
      </c>
      <c r="M534" s="1" t="s">
        <v>581</v>
      </c>
      <c r="N534" s="1"/>
      <c r="O534" s="10"/>
      <c r="P534" s="23"/>
      <c r="Q534" s="1" t="s">
        <v>773</v>
      </c>
      <c r="R534" s="1" t="s">
        <v>557</v>
      </c>
      <c r="S534" s="1" t="s">
        <v>582</v>
      </c>
      <c r="T534" s="10">
        <v>46298</v>
      </c>
    </row>
    <row r="535" spans="1:20" ht="24" customHeight="1" x14ac:dyDescent="0.35">
      <c r="A535" s="5" t="s">
        <v>1929</v>
      </c>
      <c r="B535" s="5" t="s">
        <v>1930</v>
      </c>
      <c r="C535" s="5" t="s">
        <v>614</v>
      </c>
      <c r="D535" s="5" t="s">
        <v>1931</v>
      </c>
      <c r="E535" s="8">
        <v>46226</v>
      </c>
      <c r="F535" s="5" t="s">
        <v>771</v>
      </c>
      <c r="G535" s="5" t="s">
        <v>772</v>
      </c>
      <c r="H535" s="22"/>
      <c r="I535" s="5" t="s">
        <v>603</v>
      </c>
      <c r="J535" s="5" t="s">
        <v>546</v>
      </c>
      <c r="K535" s="5" t="s">
        <v>590</v>
      </c>
      <c r="L535" s="5" t="s">
        <v>608</v>
      </c>
      <c r="M535" s="5" t="s">
        <v>581</v>
      </c>
      <c r="N535" s="5"/>
      <c r="O535" s="8"/>
      <c r="P535" s="22"/>
      <c r="Q535" s="5" t="s">
        <v>773</v>
      </c>
      <c r="R535" s="5" t="s">
        <v>557</v>
      </c>
      <c r="S535" s="5" t="s">
        <v>582</v>
      </c>
      <c r="T535" s="8">
        <v>46298</v>
      </c>
    </row>
    <row r="536" spans="1:20" ht="24" customHeight="1" x14ac:dyDescent="0.35">
      <c r="A536" s="1" t="s">
        <v>1932</v>
      </c>
      <c r="B536" s="1" t="s">
        <v>1933</v>
      </c>
      <c r="C536" s="1" t="s">
        <v>1934</v>
      </c>
      <c r="D536" s="1" t="s">
        <v>791</v>
      </c>
      <c r="E536" s="10">
        <v>46221</v>
      </c>
      <c r="F536" s="1" t="s">
        <v>771</v>
      </c>
      <c r="G536" s="1" t="s">
        <v>772</v>
      </c>
      <c r="H536" s="23"/>
      <c r="I536" s="1" t="s">
        <v>603</v>
      </c>
      <c r="J536" s="1" t="s">
        <v>590</v>
      </c>
      <c r="K536" s="1" t="s">
        <v>548</v>
      </c>
      <c r="L536" s="1" t="s">
        <v>640</v>
      </c>
      <c r="M536" s="1" t="s">
        <v>581</v>
      </c>
      <c r="N536" s="1"/>
      <c r="O536" s="10"/>
      <c r="P536" s="23"/>
      <c r="Q536" s="1" t="s">
        <v>773</v>
      </c>
      <c r="R536" s="1" t="s">
        <v>557</v>
      </c>
      <c r="S536" s="1" t="s">
        <v>582</v>
      </c>
      <c r="T536" s="10">
        <v>46298</v>
      </c>
    </row>
    <row r="537" spans="1:20" ht="24" customHeight="1" x14ac:dyDescent="0.35">
      <c r="A537" s="5" t="s">
        <v>1935</v>
      </c>
      <c r="B537" s="5" t="s">
        <v>1936</v>
      </c>
      <c r="C537" s="5" t="s">
        <v>95</v>
      </c>
      <c r="D537" s="5" t="s">
        <v>391</v>
      </c>
      <c r="E537" s="8">
        <v>46227</v>
      </c>
      <c r="F537" s="5" t="s">
        <v>587</v>
      </c>
      <c r="G537" s="5" t="s">
        <v>588</v>
      </c>
      <c r="H537" s="22">
        <v>30000000</v>
      </c>
      <c r="I537" s="5" t="s">
        <v>589</v>
      </c>
      <c r="J537" s="5" t="s">
        <v>548</v>
      </c>
      <c r="K537" s="5" t="s">
        <v>544</v>
      </c>
      <c r="L537" s="5" t="s">
        <v>608</v>
      </c>
      <c r="M537" s="5" t="s">
        <v>581</v>
      </c>
      <c r="N537" s="5"/>
      <c r="O537" s="8"/>
      <c r="P537" s="22"/>
      <c r="Q537" s="5" t="s">
        <v>1005</v>
      </c>
      <c r="R537" s="5" t="s">
        <v>557</v>
      </c>
      <c r="S537" s="5" t="s">
        <v>582</v>
      </c>
      <c r="T537" s="8">
        <v>46298</v>
      </c>
    </row>
    <row r="538" spans="1:20" ht="24" customHeight="1" x14ac:dyDescent="0.35">
      <c r="A538" s="1" t="s">
        <v>1937</v>
      </c>
      <c r="B538" s="1" t="s">
        <v>1938</v>
      </c>
      <c r="C538" s="1" t="s">
        <v>1129</v>
      </c>
      <c r="D538" s="1" t="s">
        <v>1209</v>
      </c>
      <c r="E538" s="10">
        <v>46227</v>
      </c>
      <c r="F538" s="1" t="s">
        <v>771</v>
      </c>
      <c r="G538" s="1" t="s">
        <v>772</v>
      </c>
      <c r="H538" s="23"/>
      <c r="I538" s="1" t="s">
        <v>603</v>
      </c>
      <c r="J538" s="1" t="s">
        <v>545</v>
      </c>
      <c r="K538" s="1" t="s">
        <v>590</v>
      </c>
      <c r="L538" s="1" t="s">
        <v>591</v>
      </c>
      <c r="M538" s="1" t="s">
        <v>581</v>
      </c>
      <c r="N538" s="1"/>
      <c r="O538" s="10"/>
      <c r="P538" s="23"/>
      <c r="Q538" s="1" t="s">
        <v>1008</v>
      </c>
      <c r="R538" s="1" t="s">
        <v>557</v>
      </c>
      <c r="S538" s="1" t="s">
        <v>582</v>
      </c>
      <c r="T538" s="10">
        <v>46298</v>
      </c>
    </row>
    <row r="539" spans="1:20" ht="24" customHeight="1" x14ac:dyDescent="0.35">
      <c r="A539" s="5" t="s">
        <v>1939</v>
      </c>
      <c r="B539" s="5" t="s">
        <v>1940</v>
      </c>
      <c r="C539" s="5" t="s">
        <v>215</v>
      </c>
      <c r="D539" s="5" t="s">
        <v>1311</v>
      </c>
      <c r="E539" s="8">
        <v>46227</v>
      </c>
      <c r="F539" s="5" t="s">
        <v>771</v>
      </c>
      <c r="G539" s="5" t="s">
        <v>772</v>
      </c>
      <c r="H539" s="22"/>
      <c r="I539" s="5" t="s">
        <v>603</v>
      </c>
      <c r="J539" s="5" t="s">
        <v>590</v>
      </c>
      <c r="K539" s="5" t="s">
        <v>546</v>
      </c>
      <c r="L539" s="5" t="s">
        <v>149</v>
      </c>
      <c r="M539" s="5" t="s">
        <v>581</v>
      </c>
      <c r="N539" s="5"/>
      <c r="O539" s="8"/>
      <c r="P539" s="22"/>
      <c r="Q539" s="5" t="s">
        <v>773</v>
      </c>
      <c r="R539" s="5" t="s">
        <v>557</v>
      </c>
      <c r="S539" s="5" t="s">
        <v>582</v>
      </c>
      <c r="T539" s="8">
        <v>46298</v>
      </c>
    </row>
    <row r="540" spans="1:20" ht="24" customHeight="1" x14ac:dyDescent="0.35">
      <c r="A540" s="1" t="s">
        <v>1941</v>
      </c>
      <c r="B540" s="1" t="s">
        <v>1942</v>
      </c>
      <c r="C540" s="1" t="s">
        <v>788</v>
      </c>
      <c r="D540" s="1" t="s">
        <v>1248</v>
      </c>
      <c r="E540" s="10">
        <v>46227</v>
      </c>
      <c r="F540" s="1" t="s">
        <v>601</v>
      </c>
      <c r="G540" s="1" t="s">
        <v>602</v>
      </c>
      <c r="H540" s="23"/>
      <c r="I540" s="1" t="s">
        <v>603</v>
      </c>
      <c r="J540" s="1" t="s">
        <v>546</v>
      </c>
      <c r="K540" s="1" t="s">
        <v>590</v>
      </c>
      <c r="L540" s="1" t="s">
        <v>640</v>
      </c>
      <c r="M540" s="1" t="s">
        <v>581</v>
      </c>
      <c r="N540" s="1"/>
      <c r="O540" s="10"/>
      <c r="P540" s="23"/>
      <c r="Q540" s="1"/>
      <c r="R540" s="1" t="s">
        <v>557</v>
      </c>
      <c r="S540" s="1" t="s">
        <v>582</v>
      </c>
      <c r="T540" s="10">
        <v>46298</v>
      </c>
    </row>
    <row r="541" spans="1:20" ht="24" customHeight="1" x14ac:dyDescent="0.35">
      <c r="A541" s="5" t="s">
        <v>1943</v>
      </c>
      <c r="B541" s="5" t="s">
        <v>1944</v>
      </c>
      <c r="C541" s="5" t="s">
        <v>160</v>
      </c>
      <c r="D541" s="5" t="s">
        <v>1945</v>
      </c>
      <c r="E541" s="8">
        <v>46243</v>
      </c>
      <c r="F541" s="5" t="s">
        <v>578</v>
      </c>
      <c r="G541" s="5" t="s">
        <v>579</v>
      </c>
      <c r="H541" s="22"/>
      <c r="I541" s="5" t="s">
        <v>580</v>
      </c>
      <c r="J541" s="5" t="s">
        <v>544</v>
      </c>
      <c r="K541" s="5" t="s">
        <v>590</v>
      </c>
      <c r="L541" s="5" t="s">
        <v>608</v>
      </c>
      <c r="M541" s="5" t="s">
        <v>581</v>
      </c>
      <c r="N541" s="5"/>
      <c r="O541" s="8"/>
      <c r="P541" s="22"/>
      <c r="Q541" s="5"/>
      <c r="R541" s="5" t="s">
        <v>557</v>
      </c>
      <c r="S541" s="5" t="s">
        <v>582</v>
      </c>
      <c r="T541" s="8">
        <v>46298</v>
      </c>
    </row>
    <row r="542" spans="1:20" ht="24" customHeight="1" x14ac:dyDescent="0.35">
      <c r="A542" s="1" t="s">
        <v>1946</v>
      </c>
      <c r="B542" s="1" t="s">
        <v>800</v>
      </c>
      <c r="C542" s="1" t="s">
        <v>802</v>
      </c>
      <c r="D542" s="1" t="s">
        <v>801</v>
      </c>
      <c r="E542" s="10">
        <v>46204</v>
      </c>
      <c r="F542" s="1" t="s">
        <v>587</v>
      </c>
      <c r="G542" s="1" t="s">
        <v>588</v>
      </c>
      <c r="H542" s="23">
        <v>3400000</v>
      </c>
      <c r="I542" s="1" t="s">
        <v>589</v>
      </c>
      <c r="J542" s="1" t="s">
        <v>546</v>
      </c>
      <c r="K542" s="1" t="s">
        <v>546</v>
      </c>
      <c r="L542" s="1" t="s">
        <v>640</v>
      </c>
      <c r="M542" s="1" t="s">
        <v>581</v>
      </c>
      <c r="N542" s="1"/>
      <c r="O542" s="10"/>
      <c r="P542" s="23"/>
      <c r="Q542" s="1"/>
      <c r="R542" s="1" t="s">
        <v>557</v>
      </c>
      <c r="S542" s="1" t="s">
        <v>582</v>
      </c>
      <c r="T542" s="10">
        <v>46298</v>
      </c>
    </row>
    <row r="543" spans="1:20" ht="24" customHeight="1" x14ac:dyDescent="0.35">
      <c r="A543" s="5" t="s">
        <v>1947</v>
      </c>
      <c r="B543" s="5" t="s">
        <v>1948</v>
      </c>
      <c r="C543" s="5" t="s">
        <v>801</v>
      </c>
      <c r="D543" s="5" t="s">
        <v>1949</v>
      </c>
      <c r="E543" s="8">
        <v>46221</v>
      </c>
      <c r="F543" s="5" t="s">
        <v>601</v>
      </c>
      <c r="G543" s="5" t="s">
        <v>602</v>
      </c>
      <c r="H543" s="22"/>
      <c r="I543" s="5" t="s">
        <v>603</v>
      </c>
      <c r="J543" s="5" t="s">
        <v>546</v>
      </c>
      <c r="K543" s="5" t="s">
        <v>590</v>
      </c>
      <c r="L543" s="5" t="s">
        <v>608</v>
      </c>
      <c r="M543" s="5" t="s">
        <v>581</v>
      </c>
      <c r="N543" s="5"/>
      <c r="O543" s="8"/>
      <c r="P543" s="22"/>
      <c r="Q543" s="5"/>
      <c r="R543" s="5" t="s">
        <v>557</v>
      </c>
      <c r="S543" s="5" t="s">
        <v>582</v>
      </c>
      <c r="T543" s="8">
        <v>46298</v>
      </c>
    </row>
    <row r="544" spans="1:20" ht="24" customHeight="1" x14ac:dyDescent="0.35">
      <c r="A544" s="1" t="s">
        <v>1950</v>
      </c>
      <c r="B544" s="1" t="s">
        <v>1951</v>
      </c>
      <c r="C544" s="1" t="s">
        <v>174</v>
      </c>
      <c r="D544" s="1" t="s">
        <v>819</v>
      </c>
      <c r="E544" s="10">
        <v>46227</v>
      </c>
      <c r="F544" s="1" t="s">
        <v>587</v>
      </c>
      <c r="G544" s="1" t="s">
        <v>588</v>
      </c>
      <c r="H544" s="23">
        <v>4200000</v>
      </c>
      <c r="I544" s="1" t="s">
        <v>589</v>
      </c>
      <c r="J544" s="1" t="s">
        <v>546</v>
      </c>
      <c r="K544" s="1" t="s">
        <v>546</v>
      </c>
      <c r="L544" s="1" t="s">
        <v>591</v>
      </c>
      <c r="M544" s="1" t="s">
        <v>581</v>
      </c>
      <c r="N544" s="1"/>
      <c r="O544" s="10"/>
      <c r="P544" s="23"/>
      <c r="Q544" s="1"/>
      <c r="R544" s="1" t="s">
        <v>557</v>
      </c>
      <c r="S544" s="1" t="s">
        <v>582</v>
      </c>
      <c r="T544" s="10">
        <v>46298</v>
      </c>
    </row>
    <row r="545" spans="1:20" ht="24" customHeight="1" x14ac:dyDescent="0.35">
      <c r="A545" s="5" t="s">
        <v>1952</v>
      </c>
      <c r="B545" s="5" t="s">
        <v>1953</v>
      </c>
      <c r="C545" s="5" t="s">
        <v>299</v>
      </c>
      <c r="D545" s="5" t="s">
        <v>1954</v>
      </c>
      <c r="E545" s="8">
        <v>46227</v>
      </c>
      <c r="F545" s="5" t="s">
        <v>601</v>
      </c>
      <c r="G545" s="5" t="s">
        <v>602</v>
      </c>
      <c r="H545" s="22"/>
      <c r="I545" s="5" t="s">
        <v>603</v>
      </c>
      <c r="J545" s="5" t="s">
        <v>546</v>
      </c>
      <c r="K545" s="5" t="s">
        <v>590</v>
      </c>
      <c r="L545" s="5" t="s">
        <v>149</v>
      </c>
      <c r="M545" s="5" t="s">
        <v>581</v>
      </c>
      <c r="N545" s="5"/>
      <c r="O545" s="8"/>
      <c r="P545" s="22"/>
      <c r="Q545" s="5"/>
      <c r="R545" s="5" t="s">
        <v>557</v>
      </c>
      <c r="S545" s="5" t="s">
        <v>582</v>
      </c>
      <c r="T545" s="8">
        <v>46298</v>
      </c>
    </row>
    <row r="546" spans="1:20" ht="24" customHeight="1" x14ac:dyDescent="0.35">
      <c r="A546" s="1" t="s">
        <v>1955</v>
      </c>
      <c r="B546" s="1" t="s">
        <v>1956</v>
      </c>
      <c r="C546" s="1" t="s">
        <v>721</v>
      </c>
      <c r="D546" s="1" t="s">
        <v>794</v>
      </c>
      <c r="E546" s="10">
        <v>46227</v>
      </c>
      <c r="F546" s="1" t="s">
        <v>771</v>
      </c>
      <c r="G546" s="1" t="s">
        <v>772</v>
      </c>
      <c r="H546" s="23"/>
      <c r="I546" s="1" t="s">
        <v>603</v>
      </c>
      <c r="J546" s="1" t="s">
        <v>547</v>
      </c>
      <c r="K546" s="1" t="s">
        <v>590</v>
      </c>
      <c r="L546" s="1" t="s">
        <v>608</v>
      </c>
      <c r="M546" s="1" t="s">
        <v>581</v>
      </c>
      <c r="N546" s="1"/>
      <c r="O546" s="10"/>
      <c r="P546" s="23"/>
      <c r="Q546" s="1" t="s">
        <v>773</v>
      </c>
      <c r="R546" s="1" t="s">
        <v>557</v>
      </c>
      <c r="S546" s="1" t="s">
        <v>582</v>
      </c>
      <c r="T546" s="10">
        <v>46298</v>
      </c>
    </row>
    <row r="547" spans="1:20" ht="24" customHeight="1" x14ac:dyDescent="0.35">
      <c r="A547" s="5" t="s">
        <v>1957</v>
      </c>
      <c r="B547" s="5" t="s">
        <v>1958</v>
      </c>
      <c r="C547" s="5" t="s">
        <v>215</v>
      </c>
      <c r="D547" s="5" t="s">
        <v>1083</v>
      </c>
      <c r="E547" s="8">
        <v>46227</v>
      </c>
      <c r="F547" s="5" t="s">
        <v>578</v>
      </c>
      <c r="G547" s="5" t="s">
        <v>579</v>
      </c>
      <c r="H547" s="22"/>
      <c r="I547" s="5" t="s">
        <v>580</v>
      </c>
      <c r="J547" s="5" t="s">
        <v>590</v>
      </c>
      <c r="K547" s="5" t="s">
        <v>544</v>
      </c>
      <c r="L547" s="5" t="s">
        <v>608</v>
      </c>
      <c r="M547" s="5" t="s">
        <v>581</v>
      </c>
      <c r="N547" s="5"/>
      <c r="O547" s="8"/>
      <c r="P547" s="22"/>
      <c r="Q547" s="5"/>
      <c r="R547" s="5" t="s">
        <v>557</v>
      </c>
      <c r="S547" s="5" t="s">
        <v>582</v>
      </c>
      <c r="T547" s="8">
        <v>46298</v>
      </c>
    </row>
    <row r="548" spans="1:20" ht="24" customHeight="1" x14ac:dyDescent="0.35">
      <c r="A548" s="1" t="s">
        <v>1959</v>
      </c>
      <c r="B548" s="1" t="s">
        <v>1960</v>
      </c>
      <c r="C548" s="1" t="s">
        <v>788</v>
      </c>
      <c r="D548" s="1" t="s">
        <v>1248</v>
      </c>
      <c r="E548" s="10">
        <v>46227</v>
      </c>
      <c r="F548" s="1" t="s">
        <v>601</v>
      </c>
      <c r="G548" s="1" t="s">
        <v>602</v>
      </c>
      <c r="H548" s="23"/>
      <c r="I548" s="1" t="s">
        <v>603</v>
      </c>
      <c r="J548" s="1" t="s">
        <v>546</v>
      </c>
      <c r="K548" s="1" t="s">
        <v>590</v>
      </c>
      <c r="L548" s="1" t="s">
        <v>640</v>
      </c>
      <c r="M548" s="1" t="s">
        <v>581</v>
      </c>
      <c r="N548" s="1"/>
      <c r="O548" s="10"/>
      <c r="P548" s="23"/>
      <c r="Q548" s="1"/>
      <c r="R548" s="1" t="s">
        <v>557</v>
      </c>
      <c r="S548" s="1" t="s">
        <v>582</v>
      </c>
      <c r="T548" s="10">
        <v>46298</v>
      </c>
    </row>
    <row r="549" spans="1:20" ht="24" customHeight="1" x14ac:dyDescent="0.35">
      <c r="A549" s="5" t="s">
        <v>1961</v>
      </c>
      <c r="B549" s="5" t="s">
        <v>1962</v>
      </c>
      <c r="C549" s="5" t="s">
        <v>174</v>
      </c>
      <c r="D549" s="5" t="s">
        <v>819</v>
      </c>
      <c r="E549" s="8">
        <v>46227</v>
      </c>
      <c r="F549" s="5" t="s">
        <v>587</v>
      </c>
      <c r="G549" s="5" t="s">
        <v>588</v>
      </c>
      <c r="H549" s="22">
        <v>3800000</v>
      </c>
      <c r="I549" s="5" t="s">
        <v>589</v>
      </c>
      <c r="J549" s="5" t="s">
        <v>546</v>
      </c>
      <c r="K549" s="5" t="s">
        <v>546</v>
      </c>
      <c r="L549" s="5" t="s">
        <v>608</v>
      </c>
      <c r="M549" s="5" t="s">
        <v>581</v>
      </c>
      <c r="N549" s="5"/>
      <c r="O549" s="8"/>
      <c r="P549" s="22"/>
      <c r="Q549" s="5"/>
      <c r="R549" s="5" t="s">
        <v>557</v>
      </c>
      <c r="S549" s="5" t="s">
        <v>582</v>
      </c>
      <c r="T549" s="8">
        <v>46298</v>
      </c>
    </row>
    <row r="550" spans="1:20" ht="24" customHeight="1" x14ac:dyDescent="0.35">
      <c r="A550" s="1" t="s">
        <v>1963</v>
      </c>
      <c r="B550" s="1" t="s">
        <v>1964</v>
      </c>
      <c r="C550" s="1" t="s">
        <v>123</v>
      </c>
      <c r="D550" s="1" t="s">
        <v>1827</v>
      </c>
      <c r="E550" s="10">
        <v>46227</v>
      </c>
      <c r="F550" s="1" t="s">
        <v>771</v>
      </c>
      <c r="G550" s="1" t="s">
        <v>772</v>
      </c>
      <c r="H550" s="23"/>
      <c r="I550" s="1" t="s">
        <v>603</v>
      </c>
      <c r="J550" s="1" t="s">
        <v>546</v>
      </c>
      <c r="K550" s="1" t="s">
        <v>590</v>
      </c>
      <c r="L550" s="1" t="s">
        <v>640</v>
      </c>
      <c r="M550" s="1" t="s">
        <v>581</v>
      </c>
      <c r="N550" s="1"/>
      <c r="O550" s="10"/>
      <c r="P550" s="23"/>
      <c r="Q550" s="1" t="s">
        <v>773</v>
      </c>
      <c r="R550" s="1" t="s">
        <v>557</v>
      </c>
      <c r="S550" s="1" t="s">
        <v>582</v>
      </c>
      <c r="T550" s="10">
        <v>46298</v>
      </c>
    </row>
    <row r="551" spans="1:20" ht="24" customHeight="1" x14ac:dyDescent="0.35">
      <c r="A551" s="5" t="s">
        <v>1965</v>
      </c>
      <c r="B551" s="5" t="s">
        <v>1966</v>
      </c>
      <c r="C551" s="5" t="s">
        <v>101</v>
      </c>
      <c r="D551" s="5" t="s">
        <v>1967</v>
      </c>
      <c r="E551" s="8">
        <v>46227</v>
      </c>
      <c r="F551" s="5" t="s">
        <v>771</v>
      </c>
      <c r="G551" s="5" t="s">
        <v>772</v>
      </c>
      <c r="H551" s="22"/>
      <c r="I551" s="5" t="s">
        <v>603</v>
      </c>
      <c r="J551" s="5" t="s">
        <v>544</v>
      </c>
      <c r="K551" s="5" t="s">
        <v>590</v>
      </c>
      <c r="L551" s="5" t="s">
        <v>149</v>
      </c>
      <c r="M551" s="5" t="s">
        <v>581</v>
      </c>
      <c r="N551" s="5"/>
      <c r="O551" s="8"/>
      <c r="P551" s="22"/>
      <c r="Q551" s="5" t="s">
        <v>773</v>
      </c>
      <c r="R551" s="5" t="s">
        <v>557</v>
      </c>
      <c r="S551" s="5" t="s">
        <v>582</v>
      </c>
      <c r="T551" s="8">
        <v>46298</v>
      </c>
    </row>
    <row r="552" spans="1:20" ht="24" customHeight="1" x14ac:dyDescent="0.35">
      <c r="A552" s="1" t="s">
        <v>1968</v>
      </c>
      <c r="B552" s="1" t="s">
        <v>1969</v>
      </c>
      <c r="C552" s="1" t="s">
        <v>1378</v>
      </c>
      <c r="D552" s="1" t="s">
        <v>623</v>
      </c>
      <c r="E552" s="10">
        <v>46227</v>
      </c>
      <c r="F552" s="1" t="s">
        <v>601</v>
      </c>
      <c r="G552" s="1" t="s">
        <v>602</v>
      </c>
      <c r="H552" s="23"/>
      <c r="I552" s="1" t="s">
        <v>603</v>
      </c>
      <c r="J552" s="1" t="s">
        <v>545</v>
      </c>
      <c r="K552" s="1" t="s">
        <v>590</v>
      </c>
      <c r="L552" s="1" t="s">
        <v>591</v>
      </c>
      <c r="M552" s="1" t="s">
        <v>581</v>
      </c>
      <c r="N552" s="1"/>
      <c r="O552" s="10"/>
      <c r="P552" s="23"/>
      <c r="Q552" s="1"/>
      <c r="R552" s="1" t="s">
        <v>557</v>
      </c>
      <c r="S552" s="1" t="s">
        <v>582</v>
      </c>
      <c r="T552" s="10">
        <v>46298</v>
      </c>
    </row>
    <row r="553" spans="1:20" ht="24" customHeight="1" x14ac:dyDescent="0.35">
      <c r="A553" s="5" t="s">
        <v>1970</v>
      </c>
      <c r="B553" s="5" t="s">
        <v>1971</v>
      </c>
      <c r="C553" s="5" t="s">
        <v>1184</v>
      </c>
      <c r="D553" s="5" t="s">
        <v>130</v>
      </c>
      <c r="E553" s="8">
        <v>46227</v>
      </c>
      <c r="F553" s="5" t="s">
        <v>601</v>
      </c>
      <c r="G553" s="5" t="s">
        <v>602</v>
      </c>
      <c r="H553" s="22"/>
      <c r="I553" s="5" t="s">
        <v>603</v>
      </c>
      <c r="J553" s="5" t="s">
        <v>546</v>
      </c>
      <c r="K553" s="5" t="s">
        <v>546</v>
      </c>
      <c r="L553" s="5" t="s">
        <v>149</v>
      </c>
      <c r="M553" s="5" t="s">
        <v>581</v>
      </c>
      <c r="N553" s="5"/>
      <c r="O553" s="8"/>
      <c r="P553" s="22"/>
      <c r="Q553" s="5"/>
      <c r="R553" s="5" t="s">
        <v>557</v>
      </c>
      <c r="S553" s="5" t="s">
        <v>582</v>
      </c>
      <c r="T553" s="8">
        <v>46298</v>
      </c>
    </row>
    <row r="554" spans="1:20" ht="24" customHeight="1" x14ac:dyDescent="0.35">
      <c r="A554" s="1" t="s">
        <v>1972</v>
      </c>
      <c r="B554" s="1" t="s">
        <v>1973</v>
      </c>
      <c r="C554" s="1" t="s">
        <v>1034</v>
      </c>
      <c r="D554" s="1" t="s">
        <v>1317</v>
      </c>
      <c r="E554" s="10">
        <v>46227</v>
      </c>
      <c r="F554" s="1" t="s">
        <v>771</v>
      </c>
      <c r="G554" s="1" t="s">
        <v>772</v>
      </c>
      <c r="H554" s="23"/>
      <c r="I554" s="1" t="s">
        <v>603</v>
      </c>
      <c r="J554" s="1" t="s">
        <v>546</v>
      </c>
      <c r="K554" s="1" t="s">
        <v>590</v>
      </c>
      <c r="L554" s="1" t="s">
        <v>608</v>
      </c>
      <c r="M554" s="1" t="s">
        <v>581</v>
      </c>
      <c r="N554" s="1"/>
      <c r="O554" s="10"/>
      <c r="P554" s="23"/>
      <c r="Q554" s="1" t="s">
        <v>773</v>
      </c>
      <c r="R554" s="1" t="s">
        <v>557</v>
      </c>
      <c r="S554" s="1" t="s">
        <v>582</v>
      </c>
      <c r="T554" s="10">
        <v>46298</v>
      </c>
    </row>
    <row r="555" spans="1:20" ht="24" customHeight="1" x14ac:dyDescent="0.35">
      <c r="A555" s="5" t="s">
        <v>1974</v>
      </c>
      <c r="B555" s="5" t="s">
        <v>1975</v>
      </c>
      <c r="C555" s="5" t="s">
        <v>365</v>
      </c>
      <c r="D555" s="5" t="s">
        <v>1004</v>
      </c>
      <c r="E555" s="8">
        <v>46228</v>
      </c>
      <c r="F555" s="5" t="s">
        <v>587</v>
      </c>
      <c r="G555" s="5" t="s">
        <v>588</v>
      </c>
      <c r="H555" s="22">
        <v>34000000</v>
      </c>
      <c r="I555" s="5" t="s">
        <v>589</v>
      </c>
      <c r="J555" s="5" t="s">
        <v>548</v>
      </c>
      <c r="K555" s="5" t="s">
        <v>545</v>
      </c>
      <c r="L555" s="5" t="s">
        <v>608</v>
      </c>
      <c r="M555" s="5" t="s">
        <v>581</v>
      </c>
      <c r="N555" s="5"/>
      <c r="O555" s="8"/>
      <c r="P555" s="22"/>
      <c r="Q555" s="5"/>
      <c r="R555" s="5" t="s">
        <v>557</v>
      </c>
      <c r="S555" s="5" t="s">
        <v>582</v>
      </c>
      <c r="T555" s="8">
        <v>46298</v>
      </c>
    </row>
    <row r="556" spans="1:20" ht="24" customHeight="1" x14ac:dyDescent="0.35">
      <c r="A556" s="1" t="s">
        <v>1976</v>
      </c>
      <c r="B556" s="1" t="s">
        <v>1977</v>
      </c>
      <c r="C556" s="1" t="s">
        <v>1680</v>
      </c>
      <c r="D556" s="1" t="s">
        <v>599</v>
      </c>
      <c r="E556" s="10">
        <v>46228</v>
      </c>
      <c r="F556" s="1" t="s">
        <v>587</v>
      </c>
      <c r="G556" s="1" t="s">
        <v>588</v>
      </c>
      <c r="H556" s="23">
        <v>10000000</v>
      </c>
      <c r="I556" s="1" t="s">
        <v>589</v>
      </c>
      <c r="J556" s="1" t="s">
        <v>590</v>
      </c>
      <c r="K556" s="1" t="s">
        <v>544</v>
      </c>
      <c r="L556" s="1" t="s">
        <v>640</v>
      </c>
      <c r="M556" s="1" t="s">
        <v>581</v>
      </c>
      <c r="N556" s="1"/>
      <c r="O556" s="10"/>
      <c r="P556" s="23"/>
      <c r="Q556" s="1"/>
      <c r="R556" s="1" t="s">
        <v>557</v>
      </c>
      <c r="S556" s="1" t="s">
        <v>582</v>
      </c>
      <c r="T556" s="10">
        <v>46298</v>
      </c>
    </row>
    <row r="557" spans="1:20" ht="24" customHeight="1" x14ac:dyDescent="0.35">
      <c r="A557" s="5" t="s">
        <v>1978</v>
      </c>
      <c r="B557" s="5" t="s">
        <v>1979</v>
      </c>
      <c r="C557" s="5" t="s">
        <v>1563</v>
      </c>
      <c r="D557" s="5" t="s">
        <v>652</v>
      </c>
      <c r="E557" s="8">
        <v>46227</v>
      </c>
      <c r="F557" s="5" t="s">
        <v>578</v>
      </c>
      <c r="G557" s="5" t="s">
        <v>579</v>
      </c>
      <c r="H557" s="22"/>
      <c r="I557" s="5" t="s">
        <v>580</v>
      </c>
      <c r="J557" s="5" t="s">
        <v>548</v>
      </c>
      <c r="K557" s="5" t="s">
        <v>547</v>
      </c>
      <c r="L557" s="5" t="s">
        <v>608</v>
      </c>
      <c r="M557" s="5" t="s">
        <v>581</v>
      </c>
      <c r="N557" s="5"/>
      <c r="O557" s="8"/>
      <c r="P557" s="22"/>
      <c r="Q557" s="5"/>
      <c r="R557" s="5" t="s">
        <v>557</v>
      </c>
      <c r="S557" s="5" t="s">
        <v>582</v>
      </c>
      <c r="T557" s="8">
        <v>46298</v>
      </c>
    </row>
    <row r="558" spans="1:20" ht="24" customHeight="1" x14ac:dyDescent="0.35">
      <c r="A558" s="1" t="s">
        <v>1980</v>
      </c>
      <c r="B558" s="1" t="s">
        <v>1726</v>
      </c>
      <c r="C558" s="1" t="s">
        <v>847</v>
      </c>
      <c r="D558" s="1" t="s">
        <v>1379</v>
      </c>
      <c r="E558" s="10">
        <v>46227</v>
      </c>
      <c r="F558" s="1" t="s">
        <v>578</v>
      </c>
      <c r="G558" s="1" t="s">
        <v>579</v>
      </c>
      <c r="H558" s="23"/>
      <c r="I558" s="1" t="s">
        <v>580</v>
      </c>
      <c r="J558" s="1" t="s">
        <v>545</v>
      </c>
      <c r="K558" s="1" t="s">
        <v>590</v>
      </c>
      <c r="L558" s="1" t="s">
        <v>149</v>
      </c>
      <c r="M558" s="1" t="s">
        <v>581</v>
      </c>
      <c r="N558" s="1"/>
      <c r="O558" s="10"/>
      <c r="P558" s="23"/>
      <c r="Q558" s="1"/>
      <c r="R558" s="1" t="s">
        <v>557</v>
      </c>
      <c r="S558" s="1" t="s">
        <v>582</v>
      </c>
      <c r="T558" s="10">
        <v>46298</v>
      </c>
    </row>
    <row r="559" spans="1:20" ht="24" customHeight="1" x14ac:dyDescent="0.35">
      <c r="A559" s="5" t="s">
        <v>1981</v>
      </c>
      <c r="B559" s="5" t="s">
        <v>1982</v>
      </c>
      <c r="C559" s="5" t="s">
        <v>178</v>
      </c>
      <c r="D559" s="5" t="s">
        <v>1379</v>
      </c>
      <c r="E559" s="8">
        <v>46228</v>
      </c>
      <c r="F559" s="5" t="s">
        <v>601</v>
      </c>
      <c r="G559" s="5" t="s">
        <v>602</v>
      </c>
      <c r="H559" s="22"/>
      <c r="I559" s="5" t="s">
        <v>603</v>
      </c>
      <c r="J559" s="5" t="s">
        <v>545</v>
      </c>
      <c r="K559" s="5" t="s">
        <v>590</v>
      </c>
      <c r="L559" s="5" t="s">
        <v>640</v>
      </c>
      <c r="M559" s="5" t="s">
        <v>581</v>
      </c>
      <c r="N559" s="5"/>
      <c r="O559" s="8"/>
      <c r="P559" s="22"/>
      <c r="Q559" s="5"/>
      <c r="R559" s="5" t="s">
        <v>557</v>
      </c>
      <c r="S559" s="5" t="s">
        <v>582</v>
      </c>
      <c r="T559" s="8">
        <v>46298</v>
      </c>
    </row>
    <row r="560" spans="1:20" ht="24" customHeight="1" x14ac:dyDescent="0.35">
      <c r="A560" s="1" t="s">
        <v>1983</v>
      </c>
      <c r="B560" s="1" t="s">
        <v>1984</v>
      </c>
      <c r="C560" s="1" t="s">
        <v>425</v>
      </c>
      <c r="D560" s="1" t="s">
        <v>721</v>
      </c>
      <c r="E560" s="10">
        <v>46225</v>
      </c>
      <c r="F560" s="1" t="s">
        <v>578</v>
      </c>
      <c r="G560" s="1" t="s">
        <v>579</v>
      </c>
      <c r="H560" s="23"/>
      <c r="I560" s="1" t="s">
        <v>580</v>
      </c>
      <c r="J560" s="1" t="s">
        <v>544</v>
      </c>
      <c r="K560" s="1" t="s">
        <v>547</v>
      </c>
      <c r="L560" s="1" t="s">
        <v>149</v>
      </c>
      <c r="M560" s="1" t="s">
        <v>581</v>
      </c>
      <c r="N560" s="1"/>
      <c r="O560" s="10"/>
      <c r="P560" s="23"/>
      <c r="Q560" s="1"/>
      <c r="R560" s="1" t="s">
        <v>557</v>
      </c>
      <c r="S560" s="1" t="s">
        <v>582</v>
      </c>
      <c r="T560" s="10">
        <v>46298</v>
      </c>
    </row>
    <row r="561" spans="1:20" ht="24" customHeight="1" x14ac:dyDescent="0.35">
      <c r="A561" s="5" t="s">
        <v>1985</v>
      </c>
      <c r="B561" s="5" t="s">
        <v>1986</v>
      </c>
      <c r="C561" s="5" t="s">
        <v>176</v>
      </c>
      <c r="D561" s="5" t="s">
        <v>1987</v>
      </c>
      <c r="E561" s="8">
        <v>46224</v>
      </c>
      <c r="F561" s="5" t="s">
        <v>601</v>
      </c>
      <c r="G561" s="5" t="s">
        <v>602</v>
      </c>
      <c r="H561" s="22"/>
      <c r="I561" s="5" t="s">
        <v>603</v>
      </c>
      <c r="J561" s="5" t="s">
        <v>546</v>
      </c>
      <c r="K561" s="5" t="s">
        <v>590</v>
      </c>
      <c r="L561" s="5" t="s">
        <v>608</v>
      </c>
      <c r="M561" s="5" t="s">
        <v>581</v>
      </c>
      <c r="N561" s="5"/>
      <c r="O561" s="8"/>
      <c r="P561" s="22"/>
      <c r="Q561" s="5"/>
      <c r="R561" s="5" t="s">
        <v>557</v>
      </c>
      <c r="S561" s="5" t="s">
        <v>582</v>
      </c>
      <c r="T561" s="8">
        <v>46298</v>
      </c>
    </row>
    <row r="562" spans="1:20" ht="24" customHeight="1" x14ac:dyDescent="0.35">
      <c r="A562" s="1" t="s">
        <v>1988</v>
      </c>
      <c r="B562" s="1" t="s">
        <v>1989</v>
      </c>
      <c r="C562" s="1" t="s">
        <v>606</v>
      </c>
      <c r="D562" s="1" t="s">
        <v>685</v>
      </c>
      <c r="E562" s="10">
        <v>46228</v>
      </c>
      <c r="F562" s="1" t="s">
        <v>587</v>
      </c>
      <c r="G562" s="1" t="s">
        <v>588</v>
      </c>
      <c r="H562" s="23">
        <v>1700000</v>
      </c>
      <c r="I562" s="1" t="s">
        <v>589</v>
      </c>
      <c r="J562" s="1" t="s">
        <v>547</v>
      </c>
      <c r="K562" s="1" t="s">
        <v>547</v>
      </c>
      <c r="L562" s="1" t="s">
        <v>149</v>
      </c>
      <c r="M562" s="1" t="s">
        <v>581</v>
      </c>
      <c r="N562" s="1"/>
      <c r="O562" s="10"/>
      <c r="P562" s="23"/>
      <c r="Q562" s="1"/>
      <c r="R562" s="1" t="s">
        <v>557</v>
      </c>
      <c r="S562" s="1" t="s">
        <v>582</v>
      </c>
      <c r="T562" s="10">
        <v>46298</v>
      </c>
    </row>
    <row r="563" spans="1:20" ht="24" customHeight="1" x14ac:dyDescent="0.35">
      <c r="A563" s="5" t="s">
        <v>1990</v>
      </c>
      <c r="B563" s="5" t="s">
        <v>1991</v>
      </c>
      <c r="C563" s="5" t="s">
        <v>1183</v>
      </c>
      <c r="D563" s="5" t="s">
        <v>1209</v>
      </c>
      <c r="E563" s="8">
        <v>46228</v>
      </c>
      <c r="F563" s="5" t="s">
        <v>771</v>
      </c>
      <c r="G563" s="5" t="s">
        <v>772</v>
      </c>
      <c r="H563" s="22"/>
      <c r="I563" s="5" t="s">
        <v>603</v>
      </c>
      <c r="J563" s="5" t="s">
        <v>545</v>
      </c>
      <c r="K563" s="5" t="s">
        <v>590</v>
      </c>
      <c r="L563" s="5" t="s">
        <v>172</v>
      </c>
      <c r="M563" s="5" t="s">
        <v>581</v>
      </c>
      <c r="N563" s="5"/>
      <c r="O563" s="8"/>
      <c r="P563" s="22"/>
      <c r="Q563" s="5" t="s">
        <v>773</v>
      </c>
      <c r="R563" s="5" t="s">
        <v>557</v>
      </c>
      <c r="S563" s="5" t="s">
        <v>582</v>
      </c>
      <c r="T563" s="8">
        <v>46298</v>
      </c>
    </row>
    <row r="564" spans="1:20" ht="24" customHeight="1" x14ac:dyDescent="0.35">
      <c r="A564" s="1" t="s">
        <v>1992</v>
      </c>
      <c r="B564" s="1" t="s">
        <v>1993</v>
      </c>
      <c r="C564" s="1" t="s">
        <v>210</v>
      </c>
      <c r="D564" s="1" t="s">
        <v>875</v>
      </c>
      <c r="E564" s="10">
        <v>46228</v>
      </c>
      <c r="F564" s="1" t="s">
        <v>578</v>
      </c>
      <c r="G564" s="1" t="s">
        <v>579</v>
      </c>
      <c r="H564" s="23"/>
      <c r="I564" s="1" t="s">
        <v>580</v>
      </c>
      <c r="J564" s="1" t="s">
        <v>544</v>
      </c>
      <c r="K564" s="1" t="s">
        <v>590</v>
      </c>
      <c r="L564" s="1" t="s">
        <v>172</v>
      </c>
      <c r="M564" s="1" t="s">
        <v>581</v>
      </c>
      <c r="N564" s="1"/>
      <c r="O564" s="10"/>
      <c r="P564" s="23"/>
      <c r="Q564" s="1"/>
      <c r="R564" s="1" t="s">
        <v>557</v>
      </c>
      <c r="S564" s="1" t="s">
        <v>582</v>
      </c>
      <c r="T564" s="10">
        <v>46298</v>
      </c>
    </row>
    <row r="565" spans="1:20" ht="24" customHeight="1" x14ac:dyDescent="0.35">
      <c r="A565" s="5" t="s">
        <v>1994</v>
      </c>
      <c r="B565" s="5" t="s">
        <v>1995</v>
      </c>
      <c r="C565" s="5" t="s">
        <v>190</v>
      </c>
      <c r="D565" s="5" t="s">
        <v>695</v>
      </c>
      <c r="E565" s="8">
        <v>46228</v>
      </c>
      <c r="F565" s="5" t="s">
        <v>771</v>
      </c>
      <c r="G565" s="5" t="s">
        <v>772</v>
      </c>
      <c r="H565" s="22"/>
      <c r="I565" s="5" t="s">
        <v>603</v>
      </c>
      <c r="J565" s="5" t="s">
        <v>544</v>
      </c>
      <c r="K565" s="5" t="s">
        <v>590</v>
      </c>
      <c r="L565" s="5" t="s">
        <v>172</v>
      </c>
      <c r="M565" s="5" t="s">
        <v>581</v>
      </c>
      <c r="N565" s="5"/>
      <c r="O565" s="8"/>
      <c r="P565" s="22"/>
      <c r="Q565" s="5" t="s">
        <v>773</v>
      </c>
      <c r="R565" s="5" t="s">
        <v>557</v>
      </c>
      <c r="S565" s="5" t="s">
        <v>582</v>
      </c>
      <c r="T565" s="8">
        <v>46298</v>
      </c>
    </row>
    <row r="566" spans="1:20" ht="24" customHeight="1" x14ac:dyDescent="0.35">
      <c r="A566" s="1" t="s">
        <v>1996</v>
      </c>
      <c r="B566" s="1" t="s">
        <v>1997</v>
      </c>
      <c r="C566" s="1" t="s">
        <v>599</v>
      </c>
      <c r="D566" s="1" t="s">
        <v>887</v>
      </c>
      <c r="E566" s="10">
        <v>46227</v>
      </c>
      <c r="F566" s="1" t="s">
        <v>578</v>
      </c>
      <c r="G566" s="1" t="s">
        <v>579</v>
      </c>
      <c r="H566" s="23"/>
      <c r="I566" s="1" t="s">
        <v>580</v>
      </c>
      <c r="J566" s="1" t="s">
        <v>544</v>
      </c>
      <c r="K566" s="1" t="s">
        <v>590</v>
      </c>
      <c r="L566" s="1" t="s">
        <v>149</v>
      </c>
      <c r="M566" s="1" t="s">
        <v>581</v>
      </c>
      <c r="N566" s="1"/>
      <c r="O566" s="10"/>
      <c r="P566" s="23"/>
      <c r="Q566" s="1"/>
      <c r="R566" s="1" t="s">
        <v>557</v>
      </c>
      <c r="S566" s="1" t="s">
        <v>582</v>
      </c>
      <c r="T566" s="10">
        <v>46298</v>
      </c>
    </row>
    <row r="567" spans="1:20" ht="24" customHeight="1" x14ac:dyDescent="0.35">
      <c r="A567" s="5" t="s">
        <v>1998</v>
      </c>
      <c r="B567" s="5" t="s">
        <v>1999</v>
      </c>
      <c r="C567" s="5" t="s">
        <v>210</v>
      </c>
      <c r="D567" s="5" t="s">
        <v>1917</v>
      </c>
      <c r="E567" s="8">
        <v>46228</v>
      </c>
      <c r="F567" s="5" t="s">
        <v>771</v>
      </c>
      <c r="G567" s="5" t="s">
        <v>772</v>
      </c>
      <c r="H567" s="22"/>
      <c r="I567" s="5" t="s">
        <v>603</v>
      </c>
      <c r="J567" s="5" t="s">
        <v>544</v>
      </c>
      <c r="K567" s="5" t="s">
        <v>590</v>
      </c>
      <c r="L567" s="5" t="s">
        <v>172</v>
      </c>
      <c r="M567" s="5" t="s">
        <v>581</v>
      </c>
      <c r="N567" s="5"/>
      <c r="O567" s="8"/>
      <c r="P567" s="22"/>
      <c r="Q567" s="5" t="s">
        <v>773</v>
      </c>
      <c r="R567" s="5" t="s">
        <v>557</v>
      </c>
      <c r="S567" s="5" t="s">
        <v>582</v>
      </c>
      <c r="T567" s="8">
        <v>46298</v>
      </c>
    </row>
    <row r="568" spans="1:20" ht="24" customHeight="1" x14ac:dyDescent="0.35">
      <c r="A568" s="1" t="s">
        <v>2000</v>
      </c>
      <c r="B568" s="1" t="s">
        <v>2001</v>
      </c>
      <c r="C568" s="1" t="s">
        <v>614</v>
      </c>
      <c r="D568" s="1" t="s">
        <v>2002</v>
      </c>
      <c r="E568" s="10">
        <v>46224</v>
      </c>
      <c r="F568" s="1" t="s">
        <v>601</v>
      </c>
      <c r="G568" s="1" t="s">
        <v>602</v>
      </c>
      <c r="H568" s="23"/>
      <c r="I568" s="1" t="s">
        <v>603</v>
      </c>
      <c r="J568" s="1" t="s">
        <v>546</v>
      </c>
      <c r="K568" s="1" t="s">
        <v>590</v>
      </c>
      <c r="L568" s="1" t="s">
        <v>608</v>
      </c>
      <c r="M568" s="1" t="s">
        <v>581</v>
      </c>
      <c r="N568" s="1"/>
      <c r="O568" s="10"/>
      <c r="P568" s="23"/>
      <c r="Q568" s="1"/>
      <c r="R568" s="1" t="s">
        <v>557</v>
      </c>
      <c r="S568" s="1" t="s">
        <v>582</v>
      </c>
      <c r="T568" s="10">
        <v>46298</v>
      </c>
    </row>
    <row r="569" spans="1:20" ht="24" customHeight="1" x14ac:dyDescent="0.35">
      <c r="A569" s="5" t="s">
        <v>2003</v>
      </c>
      <c r="B569" s="5" t="s">
        <v>2004</v>
      </c>
      <c r="C569" s="5" t="s">
        <v>868</v>
      </c>
      <c r="D569" s="5" t="s">
        <v>1163</v>
      </c>
      <c r="E569" s="8">
        <v>46185</v>
      </c>
      <c r="F569" s="5" t="s">
        <v>587</v>
      </c>
      <c r="G569" s="5" t="s">
        <v>588</v>
      </c>
      <c r="H569" s="22">
        <v>2000000</v>
      </c>
      <c r="I569" s="5" t="s">
        <v>589</v>
      </c>
      <c r="J569" s="5" t="s">
        <v>545</v>
      </c>
      <c r="K569" s="5" t="s">
        <v>545</v>
      </c>
      <c r="L569" s="5" t="s">
        <v>149</v>
      </c>
      <c r="M569" s="5" t="s">
        <v>581</v>
      </c>
      <c r="N569" s="5"/>
      <c r="O569" s="8"/>
      <c r="P569" s="22"/>
      <c r="Q569" s="5"/>
      <c r="R569" s="5" t="s">
        <v>557</v>
      </c>
      <c r="S569" s="5" t="s">
        <v>582</v>
      </c>
      <c r="T569" s="8">
        <v>46298</v>
      </c>
    </row>
    <row r="570" spans="1:20" ht="24" customHeight="1" x14ac:dyDescent="0.35">
      <c r="A570" s="1" t="s">
        <v>2005</v>
      </c>
      <c r="B570" s="1" t="s">
        <v>2006</v>
      </c>
      <c r="C570" s="1" t="s">
        <v>2007</v>
      </c>
      <c r="D570" s="1" t="s">
        <v>1099</v>
      </c>
      <c r="E570" s="10">
        <v>46204</v>
      </c>
      <c r="F570" s="1" t="s">
        <v>578</v>
      </c>
      <c r="G570" s="1" t="s">
        <v>579</v>
      </c>
      <c r="H570" s="23"/>
      <c r="I570" s="1" t="s">
        <v>580</v>
      </c>
      <c r="J570" s="1" t="s">
        <v>590</v>
      </c>
      <c r="K570" s="1" t="s">
        <v>545</v>
      </c>
      <c r="L570" s="1" t="s">
        <v>149</v>
      </c>
      <c r="M570" s="1" t="s">
        <v>581</v>
      </c>
      <c r="N570" s="1"/>
      <c r="O570" s="10"/>
      <c r="P570" s="23"/>
      <c r="Q570" s="1"/>
      <c r="R570" s="1" t="s">
        <v>557</v>
      </c>
      <c r="S570" s="1" t="s">
        <v>582</v>
      </c>
      <c r="T570" s="10">
        <v>46298</v>
      </c>
    </row>
    <row r="571" spans="1:20" ht="24" customHeight="1" x14ac:dyDescent="0.35">
      <c r="A571" s="5" t="s">
        <v>2008</v>
      </c>
      <c r="B571" s="5" t="s">
        <v>2009</v>
      </c>
      <c r="C571" s="5" t="s">
        <v>1014</v>
      </c>
      <c r="D571" s="5" t="s">
        <v>2010</v>
      </c>
      <c r="E571" s="8">
        <v>46190</v>
      </c>
      <c r="F571" s="5" t="s">
        <v>578</v>
      </c>
      <c r="G571" s="5" t="s">
        <v>579</v>
      </c>
      <c r="H571" s="22"/>
      <c r="I571" s="5" t="s">
        <v>580</v>
      </c>
      <c r="J571" s="5" t="s">
        <v>545</v>
      </c>
      <c r="K571" s="5" t="s">
        <v>590</v>
      </c>
      <c r="L571" s="5" t="s">
        <v>591</v>
      </c>
      <c r="M571" s="5" t="s">
        <v>581</v>
      </c>
      <c r="N571" s="5"/>
      <c r="O571" s="8"/>
      <c r="P571" s="22"/>
      <c r="Q571" s="5"/>
      <c r="R571" s="5" t="s">
        <v>557</v>
      </c>
      <c r="S571" s="5" t="s">
        <v>582</v>
      </c>
      <c r="T571" s="8">
        <v>46298</v>
      </c>
    </row>
    <row r="572" spans="1:20" ht="24" customHeight="1" x14ac:dyDescent="0.35">
      <c r="A572" s="1" t="s">
        <v>2011</v>
      </c>
      <c r="B572" s="1" t="s">
        <v>2012</v>
      </c>
      <c r="C572" s="1" t="s">
        <v>706</v>
      </c>
      <c r="D572" s="1" t="s">
        <v>1124</v>
      </c>
      <c r="E572" s="10">
        <v>46192</v>
      </c>
      <c r="F572" s="1" t="s">
        <v>771</v>
      </c>
      <c r="G572" s="1" t="s">
        <v>772</v>
      </c>
      <c r="H572" s="23"/>
      <c r="I572" s="1" t="s">
        <v>603</v>
      </c>
      <c r="J572" s="1" t="s">
        <v>545</v>
      </c>
      <c r="K572" s="1" t="s">
        <v>590</v>
      </c>
      <c r="L572" s="1" t="s">
        <v>149</v>
      </c>
      <c r="M572" s="1" t="s">
        <v>581</v>
      </c>
      <c r="N572" s="1"/>
      <c r="O572" s="10"/>
      <c r="P572" s="23"/>
      <c r="Q572" s="1" t="s">
        <v>773</v>
      </c>
      <c r="R572" s="1" t="s">
        <v>557</v>
      </c>
      <c r="S572" s="1" t="s">
        <v>582</v>
      </c>
      <c r="T572" s="10">
        <v>46298</v>
      </c>
    </row>
    <row r="573" spans="1:20" ht="24" customHeight="1" x14ac:dyDescent="0.35">
      <c r="A573" s="5" t="s">
        <v>2013</v>
      </c>
      <c r="B573" s="5" t="s">
        <v>2014</v>
      </c>
      <c r="C573" s="5" t="s">
        <v>847</v>
      </c>
      <c r="D573" s="5" t="s">
        <v>2015</v>
      </c>
      <c r="E573" s="8">
        <v>46192</v>
      </c>
      <c r="F573" s="5" t="s">
        <v>578</v>
      </c>
      <c r="G573" s="5" t="s">
        <v>579</v>
      </c>
      <c r="H573" s="22"/>
      <c r="I573" s="5" t="s">
        <v>580</v>
      </c>
      <c r="J573" s="5" t="s">
        <v>545</v>
      </c>
      <c r="K573" s="5" t="s">
        <v>590</v>
      </c>
      <c r="L573" s="5" t="s">
        <v>608</v>
      </c>
      <c r="M573" s="5" t="s">
        <v>581</v>
      </c>
      <c r="N573" s="5"/>
      <c r="O573" s="8"/>
      <c r="P573" s="22"/>
      <c r="Q573" s="5"/>
      <c r="R573" s="5" t="s">
        <v>557</v>
      </c>
      <c r="S573" s="5" t="s">
        <v>582</v>
      </c>
      <c r="T573" s="8">
        <v>46298</v>
      </c>
    </row>
    <row r="574" spans="1:20" ht="24" customHeight="1" x14ac:dyDescent="0.35">
      <c r="A574" s="1" t="s">
        <v>2016</v>
      </c>
      <c r="B574" s="1" t="s">
        <v>2017</v>
      </c>
      <c r="C574" s="1" t="s">
        <v>743</v>
      </c>
      <c r="D574" s="1" t="s">
        <v>1099</v>
      </c>
      <c r="E574" s="10">
        <v>46197</v>
      </c>
      <c r="F574" s="1" t="s">
        <v>587</v>
      </c>
      <c r="G574" s="1" t="s">
        <v>588</v>
      </c>
      <c r="H574" s="23">
        <v>100000</v>
      </c>
      <c r="I574" s="1" t="s">
        <v>589</v>
      </c>
      <c r="J574" s="1" t="s">
        <v>545</v>
      </c>
      <c r="K574" s="1" t="s">
        <v>545</v>
      </c>
      <c r="L574" s="1" t="s">
        <v>608</v>
      </c>
      <c r="M574" s="1" t="s">
        <v>581</v>
      </c>
      <c r="N574" s="1"/>
      <c r="O574" s="10"/>
      <c r="P574" s="23"/>
      <c r="Q574" s="1"/>
      <c r="R574" s="1" t="s">
        <v>557</v>
      </c>
      <c r="S574" s="1" t="s">
        <v>582</v>
      </c>
      <c r="T574" s="10">
        <v>46298</v>
      </c>
    </row>
    <row r="575" spans="1:20" ht="24" customHeight="1" x14ac:dyDescent="0.35">
      <c r="A575" s="5" t="s">
        <v>2018</v>
      </c>
      <c r="B575" s="5" t="s">
        <v>2019</v>
      </c>
      <c r="C575" s="5" t="s">
        <v>1099</v>
      </c>
      <c r="D575" s="5" t="s">
        <v>2020</v>
      </c>
      <c r="E575" s="8">
        <v>46202</v>
      </c>
      <c r="F575" s="5" t="s">
        <v>578</v>
      </c>
      <c r="G575" s="5" t="s">
        <v>579</v>
      </c>
      <c r="H575" s="22"/>
      <c r="I575" s="5" t="s">
        <v>580</v>
      </c>
      <c r="J575" s="5" t="s">
        <v>545</v>
      </c>
      <c r="K575" s="5" t="s">
        <v>590</v>
      </c>
      <c r="L575" s="5" t="s">
        <v>149</v>
      </c>
      <c r="M575" s="5" t="s">
        <v>581</v>
      </c>
      <c r="N575" s="5"/>
      <c r="O575" s="8"/>
      <c r="P575" s="22"/>
      <c r="Q575" s="5"/>
      <c r="R575" s="5" t="s">
        <v>557</v>
      </c>
      <c r="S575" s="5" t="s">
        <v>582</v>
      </c>
      <c r="T575" s="8">
        <v>46298</v>
      </c>
    </row>
    <row r="576" spans="1:20" ht="24" customHeight="1" x14ac:dyDescent="0.35">
      <c r="A576" s="1" t="s">
        <v>2021</v>
      </c>
      <c r="B576" s="1" t="s">
        <v>2022</v>
      </c>
      <c r="C576" s="1" t="s">
        <v>585</v>
      </c>
      <c r="D576" s="1" t="s">
        <v>2023</v>
      </c>
      <c r="E576" s="10">
        <v>46222</v>
      </c>
      <c r="F576" s="1" t="s">
        <v>578</v>
      </c>
      <c r="G576" s="1" t="s">
        <v>579</v>
      </c>
      <c r="H576" s="23"/>
      <c r="I576" s="1" t="s">
        <v>580</v>
      </c>
      <c r="J576" s="1" t="s">
        <v>548</v>
      </c>
      <c r="K576" s="1" t="s">
        <v>590</v>
      </c>
      <c r="L576" s="1" t="s">
        <v>640</v>
      </c>
      <c r="M576" s="1" t="s">
        <v>581</v>
      </c>
      <c r="N576" s="1"/>
      <c r="O576" s="10"/>
      <c r="P576" s="23"/>
      <c r="Q576" s="1"/>
      <c r="R576" s="1" t="s">
        <v>557</v>
      </c>
      <c r="S576" s="1" t="s">
        <v>582</v>
      </c>
      <c r="T576" s="10">
        <v>46298</v>
      </c>
    </row>
    <row r="577" spans="1:20" ht="24" customHeight="1" x14ac:dyDescent="0.35">
      <c r="A577" s="5" t="s">
        <v>2024</v>
      </c>
      <c r="B577" s="5" t="s">
        <v>2025</v>
      </c>
      <c r="C577" s="5" t="s">
        <v>2026</v>
      </c>
      <c r="D577" s="5" t="s">
        <v>178</v>
      </c>
      <c r="E577" s="8">
        <v>46203</v>
      </c>
      <c r="F577" s="5" t="s">
        <v>587</v>
      </c>
      <c r="G577" s="5" t="s">
        <v>588</v>
      </c>
      <c r="H577" s="22">
        <v>1300000</v>
      </c>
      <c r="I577" s="5" t="s">
        <v>589</v>
      </c>
      <c r="J577" s="5" t="s">
        <v>590</v>
      </c>
      <c r="K577" s="5" t="s">
        <v>545</v>
      </c>
      <c r="L577" s="5" t="s">
        <v>149</v>
      </c>
      <c r="M577" s="5" t="s">
        <v>581</v>
      </c>
      <c r="N577" s="5"/>
      <c r="O577" s="8"/>
      <c r="P577" s="22"/>
      <c r="Q577" s="5"/>
      <c r="R577" s="5" t="s">
        <v>557</v>
      </c>
      <c r="S577" s="5" t="s">
        <v>582</v>
      </c>
      <c r="T577" s="8">
        <v>46298</v>
      </c>
    </row>
    <row r="578" spans="1:20" ht="24" customHeight="1" x14ac:dyDescent="0.35">
      <c r="A578" s="1" t="s">
        <v>2027</v>
      </c>
      <c r="B578" s="1" t="s">
        <v>2028</v>
      </c>
      <c r="C578" s="1" t="s">
        <v>1004</v>
      </c>
      <c r="D578" s="1" t="s">
        <v>144</v>
      </c>
      <c r="E578" s="10">
        <v>46203</v>
      </c>
      <c r="F578" s="1" t="s">
        <v>578</v>
      </c>
      <c r="G578" s="1" t="s">
        <v>579</v>
      </c>
      <c r="H578" s="23"/>
      <c r="I578" s="1" t="s">
        <v>580</v>
      </c>
      <c r="J578" s="1" t="s">
        <v>545</v>
      </c>
      <c r="K578" s="1" t="s">
        <v>590</v>
      </c>
      <c r="L578" s="1" t="s">
        <v>608</v>
      </c>
      <c r="M578" s="1" t="s">
        <v>581</v>
      </c>
      <c r="N578" s="1"/>
      <c r="O578" s="10"/>
      <c r="P578" s="23"/>
      <c r="Q578" s="1"/>
      <c r="R578" s="1" t="s">
        <v>557</v>
      </c>
      <c r="S578" s="1" t="s">
        <v>582</v>
      </c>
      <c r="T578" s="10">
        <v>46298</v>
      </c>
    </row>
    <row r="579" spans="1:20" ht="24" customHeight="1" x14ac:dyDescent="0.35">
      <c r="A579" s="5" t="s">
        <v>2029</v>
      </c>
      <c r="B579" s="5" t="s">
        <v>2030</v>
      </c>
      <c r="C579" s="5" t="s">
        <v>1129</v>
      </c>
      <c r="D579" s="5" t="s">
        <v>2031</v>
      </c>
      <c r="E579" s="8">
        <v>46228</v>
      </c>
      <c r="F579" s="5" t="s">
        <v>771</v>
      </c>
      <c r="G579" s="5" t="s">
        <v>772</v>
      </c>
      <c r="H579" s="22"/>
      <c r="I579" s="5" t="s">
        <v>603</v>
      </c>
      <c r="J579" s="5" t="s">
        <v>545</v>
      </c>
      <c r="K579" s="5" t="s">
        <v>590</v>
      </c>
      <c r="L579" s="5" t="s">
        <v>608</v>
      </c>
      <c r="M579" s="5" t="s">
        <v>581</v>
      </c>
      <c r="N579" s="5"/>
      <c r="O579" s="8"/>
      <c r="P579" s="22"/>
      <c r="Q579" s="5" t="s">
        <v>773</v>
      </c>
      <c r="R579" s="5" t="s">
        <v>557</v>
      </c>
      <c r="S579" s="5" t="s">
        <v>582</v>
      </c>
      <c r="T579" s="8">
        <v>46298</v>
      </c>
    </row>
    <row r="580" spans="1:20" ht="24" customHeight="1" x14ac:dyDescent="0.35">
      <c r="A580" s="1" t="s">
        <v>2032</v>
      </c>
      <c r="B580" s="1" t="s">
        <v>2033</v>
      </c>
      <c r="C580" s="1" t="s">
        <v>425</v>
      </c>
      <c r="D580" s="1" t="s">
        <v>2034</v>
      </c>
      <c r="E580" s="10">
        <v>46229</v>
      </c>
      <c r="F580" s="1" t="s">
        <v>601</v>
      </c>
      <c r="G580" s="1" t="s">
        <v>602</v>
      </c>
      <c r="H580" s="23"/>
      <c r="I580" s="1" t="s">
        <v>603</v>
      </c>
      <c r="J580" s="1" t="s">
        <v>544</v>
      </c>
      <c r="K580" s="1" t="s">
        <v>590</v>
      </c>
      <c r="L580" s="1" t="s">
        <v>591</v>
      </c>
      <c r="M580" s="1" t="s">
        <v>581</v>
      </c>
      <c r="N580" s="1"/>
      <c r="O580" s="10"/>
      <c r="P580" s="23"/>
      <c r="Q580" s="1"/>
      <c r="R580" s="1" t="s">
        <v>557</v>
      </c>
      <c r="S580" s="1" t="s">
        <v>582</v>
      </c>
      <c r="T580" s="10">
        <v>46298</v>
      </c>
    </row>
    <row r="581" spans="1:20" ht="24" customHeight="1" x14ac:dyDescent="0.35">
      <c r="A581" s="5" t="s">
        <v>2035</v>
      </c>
      <c r="B581" s="5" t="s">
        <v>2036</v>
      </c>
      <c r="C581" s="5" t="s">
        <v>630</v>
      </c>
      <c r="D581" s="5" t="s">
        <v>1399</v>
      </c>
      <c r="E581" s="8">
        <v>46229</v>
      </c>
      <c r="F581" s="5" t="s">
        <v>771</v>
      </c>
      <c r="G581" s="5" t="s">
        <v>772</v>
      </c>
      <c r="H581" s="22"/>
      <c r="I581" s="5" t="s">
        <v>603</v>
      </c>
      <c r="J581" s="5" t="s">
        <v>547</v>
      </c>
      <c r="K581" s="5" t="s">
        <v>590</v>
      </c>
      <c r="L581" s="5" t="s">
        <v>149</v>
      </c>
      <c r="M581" s="5" t="s">
        <v>581</v>
      </c>
      <c r="N581" s="5"/>
      <c r="O581" s="8"/>
      <c r="P581" s="22"/>
      <c r="Q581" s="5" t="s">
        <v>773</v>
      </c>
      <c r="R581" s="5" t="s">
        <v>557</v>
      </c>
      <c r="S581" s="5" t="s">
        <v>582</v>
      </c>
      <c r="T581" s="8">
        <v>46298</v>
      </c>
    </row>
    <row r="582" spans="1:20" ht="24" customHeight="1" x14ac:dyDescent="0.35">
      <c r="A582" s="1" t="s">
        <v>2037</v>
      </c>
      <c r="B582" s="1" t="s">
        <v>2038</v>
      </c>
      <c r="C582" s="1" t="s">
        <v>1129</v>
      </c>
      <c r="D582" s="1" t="s">
        <v>1727</v>
      </c>
      <c r="E582" s="10">
        <v>46230</v>
      </c>
      <c r="F582" s="1" t="s">
        <v>771</v>
      </c>
      <c r="G582" s="1" t="s">
        <v>772</v>
      </c>
      <c r="H582" s="23"/>
      <c r="I582" s="1" t="s">
        <v>603</v>
      </c>
      <c r="J582" s="1" t="s">
        <v>545</v>
      </c>
      <c r="K582" s="1" t="s">
        <v>545</v>
      </c>
      <c r="L582" s="1" t="s">
        <v>149</v>
      </c>
      <c r="M582" s="1" t="s">
        <v>581</v>
      </c>
      <c r="N582" s="1"/>
      <c r="O582" s="10"/>
      <c r="P582" s="23"/>
      <c r="Q582" s="1" t="s">
        <v>1008</v>
      </c>
      <c r="R582" s="1" t="s">
        <v>557</v>
      </c>
      <c r="S582" s="1" t="s">
        <v>582</v>
      </c>
      <c r="T582" s="10">
        <v>46298</v>
      </c>
    </row>
    <row r="583" spans="1:20" ht="24" customHeight="1" x14ac:dyDescent="0.35">
      <c r="A583" s="5" t="s">
        <v>2039</v>
      </c>
      <c r="B583" s="5" t="s">
        <v>2040</v>
      </c>
      <c r="C583" s="5" t="s">
        <v>606</v>
      </c>
      <c r="D583" s="5" t="s">
        <v>2041</v>
      </c>
      <c r="E583" s="8">
        <v>46230</v>
      </c>
      <c r="F583" s="5" t="s">
        <v>771</v>
      </c>
      <c r="G583" s="5" t="s">
        <v>772</v>
      </c>
      <c r="H583" s="22"/>
      <c r="I583" s="5" t="s">
        <v>603</v>
      </c>
      <c r="J583" s="5" t="s">
        <v>547</v>
      </c>
      <c r="K583" s="5" t="s">
        <v>590</v>
      </c>
      <c r="L583" s="5" t="s">
        <v>640</v>
      </c>
      <c r="M583" s="5" t="s">
        <v>581</v>
      </c>
      <c r="N583" s="5"/>
      <c r="O583" s="8"/>
      <c r="P583" s="22"/>
      <c r="Q583" s="5" t="s">
        <v>773</v>
      </c>
      <c r="R583" s="5" t="s">
        <v>557</v>
      </c>
      <c r="S583" s="5" t="s">
        <v>582</v>
      </c>
      <c r="T583" s="8">
        <v>46298</v>
      </c>
    </row>
    <row r="584" spans="1:20" ht="24" customHeight="1" x14ac:dyDescent="0.35">
      <c r="A584" s="1" t="s">
        <v>2042</v>
      </c>
      <c r="B584" s="1" t="s">
        <v>2043</v>
      </c>
      <c r="C584" s="1" t="s">
        <v>111</v>
      </c>
      <c r="D584" s="1" t="s">
        <v>1311</v>
      </c>
      <c r="E584" s="10">
        <v>46230</v>
      </c>
      <c r="F584" s="1" t="s">
        <v>587</v>
      </c>
      <c r="G584" s="1" t="s">
        <v>588</v>
      </c>
      <c r="H584" s="23">
        <v>1700000</v>
      </c>
      <c r="I584" s="1" t="s">
        <v>589</v>
      </c>
      <c r="J584" s="1" t="s">
        <v>590</v>
      </c>
      <c r="K584" s="1" t="s">
        <v>546</v>
      </c>
      <c r="L584" s="1" t="s">
        <v>640</v>
      </c>
      <c r="M584" s="1" t="s">
        <v>581</v>
      </c>
      <c r="N584" s="1"/>
      <c r="O584" s="10"/>
      <c r="P584" s="23"/>
      <c r="Q584" s="1"/>
      <c r="R584" s="1" t="s">
        <v>557</v>
      </c>
      <c r="S584" s="1" t="s">
        <v>582</v>
      </c>
      <c r="T584" s="10">
        <v>46298</v>
      </c>
    </row>
    <row r="585" spans="1:20" ht="24" customHeight="1" x14ac:dyDescent="0.35">
      <c r="A585" s="5" t="s">
        <v>2044</v>
      </c>
      <c r="B585" s="5" t="s">
        <v>2045</v>
      </c>
      <c r="C585" s="5" t="s">
        <v>779</v>
      </c>
      <c r="D585" s="5" t="s">
        <v>2046</v>
      </c>
      <c r="E585" s="8">
        <v>46230</v>
      </c>
      <c r="F585" s="5" t="s">
        <v>771</v>
      </c>
      <c r="G585" s="5" t="s">
        <v>772</v>
      </c>
      <c r="H585" s="22"/>
      <c r="I585" s="5" t="s">
        <v>603</v>
      </c>
      <c r="J585" s="5" t="s">
        <v>548</v>
      </c>
      <c r="K585" s="5" t="s">
        <v>590</v>
      </c>
      <c r="L585" s="5" t="s">
        <v>640</v>
      </c>
      <c r="M585" s="5" t="s">
        <v>581</v>
      </c>
      <c r="N585" s="5"/>
      <c r="O585" s="8"/>
      <c r="P585" s="22"/>
      <c r="Q585" s="5" t="s">
        <v>773</v>
      </c>
      <c r="R585" s="5" t="s">
        <v>557</v>
      </c>
      <c r="S585" s="5" t="s">
        <v>582</v>
      </c>
      <c r="T585" s="8">
        <v>46298</v>
      </c>
    </row>
    <row r="586" spans="1:20" ht="24" customHeight="1" x14ac:dyDescent="0.35">
      <c r="A586" s="1" t="s">
        <v>2047</v>
      </c>
      <c r="B586" s="1" t="s">
        <v>1989</v>
      </c>
      <c r="C586" s="1" t="s">
        <v>685</v>
      </c>
      <c r="D586" s="1" t="s">
        <v>736</v>
      </c>
      <c r="E586" s="10">
        <v>46230</v>
      </c>
      <c r="F586" s="1" t="s">
        <v>771</v>
      </c>
      <c r="G586" s="1" t="s">
        <v>772</v>
      </c>
      <c r="H586" s="23"/>
      <c r="I586" s="1" t="s">
        <v>603</v>
      </c>
      <c r="J586" s="1" t="s">
        <v>547</v>
      </c>
      <c r="K586" s="1" t="s">
        <v>590</v>
      </c>
      <c r="L586" s="1" t="s">
        <v>149</v>
      </c>
      <c r="M586" s="1" t="s">
        <v>581</v>
      </c>
      <c r="N586" s="1"/>
      <c r="O586" s="10"/>
      <c r="P586" s="23"/>
      <c r="Q586" s="1" t="s">
        <v>773</v>
      </c>
      <c r="R586" s="1" t="s">
        <v>557</v>
      </c>
      <c r="S586" s="1" t="s">
        <v>582</v>
      </c>
      <c r="T586" s="10">
        <v>46298</v>
      </c>
    </row>
    <row r="587" spans="1:20" ht="24" customHeight="1" x14ac:dyDescent="0.35">
      <c r="A587" s="5" t="s">
        <v>2048</v>
      </c>
      <c r="B587" s="5" t="s">
        <v>2049</v>
      </c>
      <c r="C587" s="5" t="s">
        <v>1743</v>
      </c>
      <c r="D587" s="5" t="s">
        <v>847</v>
      </c>
      <c r="E587" s="8">
        <v>46230</v>
      </c>
      <c r="F587" s="5" t="s">
        <v>587</v>
      </c>
      <c r="G587" s="5" t="s">
        <v>588</v>
      </c>
      <c r="H587" s="22">
        <v>3400000</v>
      </c>
      <c r="I587" s="5" t="s">
        <v>589</v>
      </c>
      <c r="J587" s="5" t="s">
        <v>590</v>
      </c>
      <c r="K587" s="5" t="s">
        <v>545</v>
      </c>
      <c r="L587" s="5" t="s">
        <v>591</v>
      </c>
      <c r="M587" s="5" t="s">
        <v>581</v>
      </c>
      <c r="N587" s="5"/>
      <c r="O587" s="8"/>
      <c r="P587" s="22"/>
      <c r="Q587" s="5"/>
      <c r="R587" s="5" t="s">
        <v>557</v>
      </c>
      <c r="S587" s="5" t="s">
        <v>582</v>
      </c>
      <c r="T587" s="8">
        <v>46298</v>
      </c>
    </row>
    <row r="588" spans="1:20" ht="24" customHeight="1" x14ac:dyDescent="0.35">
      <c r="A588" s="1" t="s">
        <v>2050</v>
      </c>
      <c r="B588" s="1" t="s">
        <v>2051</v>
      </c>
      <c r="C588" s="1" t="s">
        <v>157</v>
      </c>
      <c r="D588" s="1" t="s">
        <v>2052</v>
      </c>
      <c r="E588" s="10">
        <v>46230</v>
      </c>
      <c r="F588" s="1" t="s">
        <v>771</v>
      </c>
      <c r="G588" s="1" t="s">
        <v>772</v>
      </c>
      <c r="H588" s="23"/>
      <c r="I588" s="1" t="s">
        <v>603</v>
      </c>
      <c r="J588" s="1" t="s">
        <v>546</v>
      </c>
      <c r="K588" s="1" t="s">
        <v>590</v>
      </c>
      <c r="L588" s="1" t="s">
        <v>172</v>
      </c>
      <c r="M588" s="1" t="s">
        <v>581</v>
      </c>
      <c r="N588" s="1"/>
      <c r="O588" s="10"/>
      <c r="P588" s="23"/>
      <c r="Q588" s="1" t="s">
        <v>773</v>
      </c>
      <c r="R588" s="1" t="s">
        <v>557</v>
      </c>
      <c r="S588" s="1" t="s">
        <v>582</v>
      </c>
      <c r="T588" s="10">
        <v>46298</v>
      </c>
    </row>
    <row r="589" spans="1:20" ht="24" customHeight="1" x14ac:dyDescent="0.35">
      <c r="A589" s="5" t="s">
        <v>2053</v>
      </c>
      <c r="B589" s="5" t="s">
        <v>2054</v>
      </c>
      <c r="C589" s="5" t="s">
        <v>2055</v>
      </c>
      <c r="D589" s="5" t="s">
        <v>706</v>
      </c>
      <c r="E589" s="8">
        <v>46230</v>
      </c>
      <c r="F589" s="5" t="s">
        <v>587</v>
      </c>
      <c r="G589" s="5" t="s">
        <v>588</v>
      </c>
      <c r="H589" s="22">
        <v>2100000</v>
      </c>
      <c r="I589" s="5" t="s">
        <v>589</v>
      </c>
      <c r="J589" s="5" t="s">
        <v>590</v>
      </c>
      <c r="K589" s="5" t="s">
        <v>545</v>
      </c>
      <c r="L589" s="5" t="s">
        <v>591</v>
      </c>
      <c r="M589" s="5" t="s">
        <v>581</v>
      </c>
      <c r="N589" s="5"/>
      <c r="O589" s="8"/>
      <c r="P589" s="22"/>
      <c r="Q589" s="5"/>
      <c r="R589" s="5" t="s">
        <v>557</v>
      </c>
      <c r="S589" s="5" t="s">
        <v>582</v>
      </c>
      <c r="T589" s="8">
        <v>46298</v>
      </c>
    </row>
    <row r="590" spans="1:20" ht="24" customHeight="1" x14ac:dyDescent="0.35">
      <c r="A590" s="1" t="s">
        <v>2056</v>
      </c>
      <c r="B590" s="1" t="s">
        <v>2057</v>
      </c>
      <c r="C590" s="1" t="s">
        <v>2058</v>
      </c>
      <c r="D590" s="1" t="s">
        <v>599</v>
      </c>
      <c r="E590" s="10">
        <v>46231</v>
      </c>
      <c r="F590" s="1" t="s">
        <v>587</v>
      </c>
      <c r="G590" s="1" t="s">
        <v>588</v>
      </c>
      <c r="H590" s="23">
        <v>8600000</v>
      </c>
      <c r="I590" s="1" t="s">
        <v>589</v>
      </c>
      <c r="J590" s="1" t="s">
        <v>590</v>
      </c>
      <c r="K590" s="1" t="s">
        <v>544</v>
      </c>
      <c r="L590" s="1" t="s">
        <v>172</v>
      </c>
      <c r="M590" s="1" t="s">
        <v>581</v>
      </c>
      <c r="N590" s="1"/>
      <c r="O590" s="10"/>
      <c r="P590" s="23"/>
      <c r="Q590" s="1"/>
      <c r="R590" s="1" t="s">
        <v>557</v>
      </c>
      <c r="S590" s="1" t="s">
        <v>582</v>
      </c>
      <c r="T590" s="10">
        <v>46298</v>
      </c>
    </row>
    <row r="591" spans="1:20" ht="24" customHeight="1" x14ac:dyDescent="0.35">
      <c r="A591" s="5" t="s">
        <v>2059</v>
      </c>
      <c r="B591" s="5" t="s">
        <v>260</v>
      </c>
      <c r="C591" s="5" t="s">
        <v>1599</v>
      </c>
      <c r="D591" s="5" t="s">
        <v>448</v>
      </c>
      <c r="E591" s="8">
        <v>46231</v>
      </c>
      <c r="F591" s="5" t="s">
        <v>587</v>
      </c>
      <c r="G591" s="5" t="s">
        <v>588</v>
      </c>
      <c r="H591" s="22">
        <v>3850000</v>
      </c>
      <c r="I591" s="5" t="s">
        <v>589</v>
      </c>
      <c r="J591" s="5" t="s">
        <v>590</v>
      </c>
      <c r="K591" s="5" t="s">
        <v>547</v>
      </c>
      <c r="L591" s="5" t="s">
        <v>149</v>
      </c>
      <c r="M591" s="5" t="s">
        <v>581</v>
      </c>
      <c r="N591" s="5"/>
      <c r="O591" s="8"/>
      <c r="P591" s="22"/>
      <c r="Q591" s="5"/>
      <c r="R591" s="5" t="s">
        <v>557</v>
      </c>
      <c r="S591" s="5" t="s">
        <v>582</v>
      </c>
      <c r="T591" s="8">
        <v>46298</v>
      </c>
    </row>
    <row r="592" spans="1:20" ht="24" customHeight="1" x14ac:dyDescent="0.35">
      <c r="A592" s="1" t="s">
        <v>2060</v>
      </c>
      <c r="B592" s="1" t="s">
        <v>2061</v>
      </c>
      <c r="C592" s="1" t="s">
        <v>106</v>
      </c>
      <c r="D592" s="1" t="s">
        <v>2062</v>
      </c>
      <c r="E592" s="10">
        <v>46231</v>
      </c>
      <c r="F592" s="1" t="s">
        <v>771</v>
      </c>
      <c r="G592" s="1" t="s">
        <v>772</v>
      </c>
      <c r="H592" s="23"/>
      <c r="I592" s="1" t="s">
        <v>603</v>
      </c>
      <c r="J592" s="1" t="s">
        <v>544</v>
      </c>
      <c r="K592" s="1" t="s">
        <v>590</v>
      </c>
      <c r="L592" s="1" t="s">
        <v>172</v>
      </c>
      <c r="M592" s="1" t="s">
        <v>581</v>
      </c>
      <c r="N592" s="1"/>
      <c r="O592" s="10"/>
      <c r="P592" s="23"/>
      <c r="Q592" s="1" t="s">
        <v>773</v>
      </c>
      <c r="R592" s="1" t="s">
        <v>557</v>
      </c>
      <c r="S592" s="1" t="s">
        <v>582</v>
      </c>
      <c r="T592" s="10">
        <v>46298</v>
      </c>
    </row>
    <row r="593" spans="1:20" ht="24" customHeight="1" x14ac:dyDescent="0.35">
      <c r="A593" s="5" t="s">
        <v>2063</v>
      </c>
      <c r="B593" s="5" t="s">
        <v>2064</v>
      </c>
      <c r="C593" s="5" t="s">
        <v>630</v>
      </c>
      <c r="D593" s="5" t="s">
        <v>2065</v>
      </c>
      <c r="E593" s="8">
        <v>46231</v>
      </c>
      <c r="F593" s="5" t="s">
        <v>771</v>
      </c>
      <c r="G593" s="5" t="s">
        <v>772</v>
      </c>
      <c r="H593" s="22"/>
      <c r="I593" s="5" t="s">
        <v>603</v>
      </c>
      <c r="J593" s="5" t="s">
        <v>547</v>
      </c>
      <c r="K593" s="5" t="s">
        <v>590</v>
      </c>
      <c r="L593" s="5" t="s">
        <v>640</v>
      </c>
      <c r="M593" s="5" t="s">
        <v>581</v>
      </c>
      <c r="N593" s="5"/>
      <c r="O593" s="8"/>
      <c r="P593" s="22"/>
      <c r="Q593" s="5" t="s">
        <v>773</v>
      </c>
      <c r="R593" s="5" t="s">
        <v>557</v>
      </c>
      <c r="S593" s="5" t="s">
        <v>582</v>
      </c>
      <c r="T593" s="8">
        <v>46298</v>
      </c>
    </row>
    <row r="594" spans="1:20" ht="24" customHeight="1" x14ac:dyDescent="0.35">
      <c r="A594" s="1" t="s">
        <v>2066</v>
      </c>
      <c r="B594" s="1" t="s">
        <v>2067</v>
      </c>
      <c r="C594" s="1" t="s">
        <v>137</v>
      </c>
      <c r="D594" s="1" t="s">
        <v>919</v>
      </c>
      <c r="E594" s="10">
        <v>46231</v>
      </c>
      <c r="F594" s="1" t="s">
        <v>587</v>
      </c>
      <c r="G594" s="1" t="s">
        <v>588</v>
      </c>
      <c r="H594" s="23">
        <v>4300000</v>
      </c>
      <c r="I594" s="1" t="s">
        <v>589</v>
      </c>
      <c r="J594" s="1" t="s">
        <v>548</v>
      </c>
      <c r="K594" s="1" t="s">
        <v>590</v>
      </c>
      <c r="L594" s="1" t="s">
        <v>608</v>
      </c>
      <c r="M594" s="1" t="s">
        <v>581</v>
      </c>
      <c r="N594" s="1"/>
      <c r="O594" s="10"/>
      <c r="P594" s="23"/>
      <c r="Q594" s="1"/>
      <c r="R594" s="1" t="s">
        <v>557</v>
      </c>
      <c r="S594" s="1" t="s">
        <v>582</v>
      </c>
      <c r="T594" s="10">
        <v>46298</v>
      </c>
    </row>
    <row r="595" spans="1:20" ht="24" customHeight="1" x14ac:dyDescent="0.35">
      <c r="A595" s="5" t="s">
        <v>2068</v>
      </c>
      <c r="B595" s="5" t="s">
        <v>2069</v>
      </c>
      <c r="C595" s="5" t="s">
        <v>639</v>
      </c>
      <c r="D595" s="5" t="s">
        <v>2070</v>
      </c>
      <c r="E595" s="8">
        <v>46231</v>
      </c>
      <c r="F595" s="5" t="s">
        <v>601</v>
      </c>
      <c r="G595" s="5" t="s">
        <v>602</v>
      </c>
      <c r="H595" s="22"/>
      <c r="I595" s="5" t="s">
        <v>603</v>
      </c>
      <c r="J595" s="5" t="s">
        <v>548</v>
      </c>
      <c r="K595" s="5" t="s">
        <v>590</v>
      </c>
      <c r="L595" s="5" t="s">
        <v>591</v>
      </c>
      <c r="M595" s="5" t="s">
        <v>581</v>
      </c>
      <c r="N595" s="5"/>
      <c r="O595" s="8"/>
      <c r="P595" s="22"/>
      <c r="Q595" s="5"/>
      <c r="R595" s="5" t="s">
        <v>557</v>
      </c>
      <c r="S595" s="5" t="s">
        <v>582</v>
      </c>
      <c r="T595" s="8">
        <v>46298</v>
      </c>
    </row>
    <row r="596" spans="1:20" ht="24" customHeight="1" x14ac:dyDescent="0.35">
      <c r="A596" s="1" t="s">
        <v>2071</v>
      </c>
      <c r="B596" s="1" t="s">
        <v>2072</v>
      </c>
      <c r="C596" s="1" t="s">
        <v>123</v>
      </c>
      <c r="D596" s="1" t="s">
        <v>240</v>
      </c>
      <c r="E596" s="10">
        <v>46231</v>
      </c>
      <c r="F596" s="1" t="s">
        <v>771</v>
      </c>
      <c r="G596" s="1" t="s">
        <v>772</v>
      </c>
      <c r="H596" s="23"/>
      <c r="I596" s="1" t="s">
        <v>603</v>
      </c>
      <c r="J596" s="1" t="s">
        <v>546</v>
      </c>
      <c r="K596" s="1" t="s">
        <v>548</v>
      </c>
      <c r="L596" s="1" t="s">
        <v>640</v>
      </c>
      <c r="M596" s="1" t="s">
        <v>581</v>
      </c>
      <c r="N596" s="1"/>
      <c r="O596" s="10"/>
      <c r="P596" s="23"/>
      <c r="Q596" s="1" t="s">
        <v>1107</v>
      </c>
      <c r="R596" s="1" t="s">
        <v>557</v>
      </c>
      <c r="S596" s="1" t="s">
        <v>582</v>
      </c>
      <c r="T596" s="10">
        <v>46298</v>
      </c>
    </row>
    <row r="597" spans="1:20" ht="24" customHeight="1" x14ac:dyDescent="0.35">
      <c r="A597" s="5" t="s">
        <v>2073</v>
      </c>
      <c r="B597" s="5" t="s">
        <v>2074</v>
      </c>
      <c r="C597" s="5" t="s">
        <v>797</v>
      </c>
      <c r="D597" s="5" t="s">
        <v>2075</v>
      </c>
      <c r="E597" s="8">
        <v>46231</v>
      </c>
      <c r="F597" s="5" t="s">
        <v>587</v>
      </c>
      <c r="G597" s="5" t="s">
        <v>588</v>
      </c>
      <c r="H597" s="22">
        <v>3400000</v>
      </c>
      <c r="I597" s="5" t="s">
        <v>589</v>
      </c>
      <c r="J597" s="5" t="s">
        <v>546</v>
      </c>
      <c r="K597" s="5" t="s">
        <v>590</v>
      </c>
      <c r="L597" s="5" t="s">
        <v>640</v>
      </c>
      <c r="M597" s="5" t="s">
        <v>581</v>
      </c>
      <c r="N597" s="5"/>
      <c r="O597" s="8"/>
      <c r="P597" s="22"/>
      <c r="Q597" s="5"/>
      <c r="R597" s="5" t="s">
        <v>557</v>
      </c>
      <c r="S597" s="5" t="s">
        <v>582</v>
      </c>
      <c r="T597" s="8">
        <v>46298</v>
      </c>
    </row>
    <row r="598" spans="1:20" ht="24" customHeight="1" x14ac:dyDescent="0.35">
      <c r="A598" s="1" t="s">
        <v>2076</v>
      </c>
      <c r="B598" s="1" t="s">
        <v>2077</v>
      </c>
      <c r="C598" s="1" t="s">
        <v>123</v>
      </c>
      <c r="D598" s="1" t="s">
        <v>1078</v>
      </c>
      <c r="E598" s="10">
        <v>46230</v>
      </c>
      <c r="F598" s="1" t="s">
        <v>601</v>
      </c>
      <c r="G598" s="1" t="s">
        <v>602</v>
      </c>
      <c r="H598" s="23"/>
      <c r="I598" s="1" t="s">
        <v>603</v>
      </c>
      <c r="J598" s="1" t="s">
        <v>546</v>
      </c>
      <c r="K598" s="1" t="s">
        <v>590</v>
      </c>
      <c r="L598" s="1" t="s">
        <v>149</v>
      </c>
      <c r="M598" s="1" t="s">
        <v>581</v>
      </c>
      <c r="N598" s="1"/>
      <c r="O598" s="10"/>
      <c r="P598" s="23"/>
      <c r="Q598" s="1"/>
      <c r="R598" s="1" t="s">
        <v>557</v>
      </c>
      <c r="S598" s="1" t="s">
        <v>582</v>
      </c>
      <c r="T598" s="10">
        <v>46298</v>
      </c>
    </row>
    <row r="599" spans="1:20" ht="24" customHeight="1" x14ac:dyDescent="0.35">
      <c r="A599" s="5" t="s">
        <v>2078</v>
      </c>
      <c r="B599" s="5" t="s">
        <v>2079</v>
      </c>
      <c r="C599" s="5" t="s">
        <v>785</v>
      </c>
      <c r="D599" s="5" t="s">
        <v>1229</v>
      </c>
      <c r="E599" s="8">
        <v>46231</v>
      </c>
      <c r="F599" s="5" t="s">
        <v>601</v>
      </c>
      <c r="G599" s="5" t="s">
        <v>602</v>
      </c>
      <c r="H599" s="22"/>
      <c r="I599" s="5" t="s">
        <v>603</v>
      </c>
      <c r="J599" s="5" t="s">
        <v>548</v>
      </c>
      <c r="K599" s="5" t="s">
        <v>590</v>
      </c>
      <c r="L599" s="5" t="s">
        <v>608</v>
      </c>
      <c r="M599" s="5" t="s">
        <v>581</v>
      </c>
      <c r="N599" s="5"/>
      <c r="O599" s="8"/>
      <c r="P599" s="22"/>
      <c r="Q599" s="5"/>
      <c r="R599" s="5" t="s">
        <v>557</v>
      </c>
      <c r="S599" s="5" t="s">
        <v>582</v>
      </c>
      <c r="T599" s="8">
        <v>46298</v>
      </c>
    </row>
    <row r="600" spans="1:20" ht="24" customHeight="1" x14ac:dyDescent="0.35">
      <c r="A600" s="1" t="s">
        <v>2080</v>
      </c>
      <c r="B600" s="1" t="s">
        <v>2081</v>
      </c>
      <c r="C600" s="1" t="s">
        <v>1083</v>
      </c>
      <c r="D600" s="1" t="s">
        <v>2082</v>
      </c>
      <c r="E600" s="10">
        <v>46231</v>
      </c>
      <c r="F600" s="1" t="s">
        <v>771</v>
      </c>
      <c r="G600" s="1" t="s">
        <v>772</v>
      </c>
      <c r="H600" s="23"/>
      <c r="I600" s="1" t="s">
        <v>603</v>
      </c>
      <c r="J600" s="1" t="s">
        <v>544</v>
      </c>
      <c r="K600" s="1" t="s">
        <v>590</v>
      </c>
      <c r="L600" s="1" t="s">
        <v>172</v>
      </c>
      <c r="M600" s="1" t="s">
        <v>581</v>
      </c>
      <c r="N600" s="1"/>
      <c r="O600" s="10"/>
      <c r="P600" s="23"/>
      <c r="Q600" s="1" t="s">
        <v>773</v>
      </c>
      <c r="R600" s="1" t="s">
        <v>557</v>
      </c>
      <c r="S600" s="1" t="s">
        <v>582</v>
      </c>
      <c r="T600" s="10">
        <v>46298</v>
      </c>
    </row>
    <row r="601" spans="1:20" ht="24" customHeight="1" x14ac:dyDescent="0.35">
      <c r="A601" s="5" t="s">
        <v>2083</v>
      </c>
      <c r="B601" s="5" t="s">
        <v>2084</v>
      </c>
      <c r="C601" s="5" t="s">
        <v>1004</v>
      </c>
      <c r="D601" s="5" t="s">
        <v>707</v>
      </c>
      <c r="E601" s="8">
        <v>46231</v>
      </c>
      <c r="F601" s="5" t="s">
        <v>587</v>
      </c>
      <c r="G601" s="5" t="s">
        <v>588</v>
      </c>
      <c r="H601" s="22">
        <v>900000</v>
      </c>
      <c r="I601" s="5" t="s">
        <v>589</v>
      </c>
      <c r="J601" s="5" t="s">
        <v>545</v>
      </c>
      <c r="K601" s="5" t="s">
        <v>545</v>
      </c>
      <c r="L601" s="5" t="s">
        <v>149</v>
      </c>
      <c r="M601" s="5" t="s">
        <v>581</v>
      </c>
      <c r="N601" s="5"/>
      <c r="O601" s="8"/>
      <c r="P601" s="22"/>
      <c r="Q601" s="5"/>
      <c r="R601" s="5" t="s">
        <v>557</v>
      </c>
      <c r="S601" s="5" t="s">
        <v>582</v>
      </c>
      <c r="T601" s="8">
        <v>46298</v>
      </c>
    </row>
    <row r="602" spans="1:20" ht="24" customHeight="1" x14ac:dyDescent="0.35">
      <c r="A602" s="1" t="s">
        <v>2085</v>
      </c>
      <c r="B602" s="1" t="s">
        <v>2086</v>
      </c>
      <c r="C602" s="1" t="s">
        <v>585</v>
      </c>
      <c r="D602" s="1" t="s">
        <v>1031</v>
      </c>
      <c r="E602" s="10">
        <v>46230</v>
      </c>
      <c r="F602" s="1" t="s">
        <v>771</v>
      </c>
      <c r="G602" s="1" t="s">
        <v>772</v>
      </c>
      <c r="H602" s="23"/>
      <c r="I602" s="1" t="s">
        <v>603</v>
      </c>
      <c r="J602" s="1" t="s">
        <v>548</v>
      </c>
      <c r="K602" s="1" t="s">
        <v>548</v>
      </c>
      <c r="L602" s="1" t="s">
        <v>640</v>
      </c>
      <c r="M602" s="1" t="s">
        <v>581</v>
      </c>
      <c r="N602" s="1"/>
      <c r="O602" s="10"/>
      <c r="P602" s="23"/>
      <c r="Q602" s="1" t="s">
        <v>773</v>
      </c>
      <c r="R602" s="1" t="s">
        <v>557</v>
      </c>
      <c r="S602" s="1" t="s">
        <v>582</v>
      </c>
      <c r="T602" s="10">
        <v>46298</v>
      </c>
    </row>
    <row r="603" spans="1:20" ht="24" customHeight="1" x14ac:dyDescent="0.35">
      <c r="A603" s="5" t="s">
        <v>2087</v>
      </c>
      <c r="B603" s="5" t="s">
        <v>2088</v>
      </c>
      <c r="C603" s="5" t="s">
        <v>733</v>
      </c>
      <c r="D603" s="5" t="s">
        <v>1645</v>
      </c>
      <c r="E603" s="8">
        <v>46215</v>
      </c>
      <c r="F603" s="5" t="s">
        <v>578</v>
      </c>
      <c r="G603" s="5" t="s">
        <v>579</v>
      </c>
      <c r="H603" s="22"/>
      <c r="I603" s="5" t="s">
        <v>580</v>
      </c>
      <c r="J603" s="5" t="s">
        <v>545</v>
      </c>
      <c r="K603" s="5" t="s">
        <v>590</v>
      </c>
      <c r="L603" s="5" t="s">
        <v>608</v>
      </c>
      <c r="M603" s="5" t="s">
        <v>581</v>
      </c>
      <c r="N603" s="5"/>
      <c r="O603" s="8"/>
      <c r="P603" s="22"/>
      <c r="Q603" s="5"/>
      <c r="R603" s="5" t="s">
        <v>557</v>
      </c>
      <c r="S603" s="5" t="s">
        <v>582</v>
      </c>
      <c r="T603" s="8">
        <v>46298</v>
      </c>
    </row>
    <row r="604" spans="1:20" ht="24" customHeight="1" x14ac:dyDescent="0.35">
      <c r="A604" s="1" t="s">
        <v>2089</v>
      </c>
      <c r="B604" s="1" t="s">
        <v>2090</v>
      </c>
      <c r="C604" s="1" t="s">
        <v>868</v>
      </c>
      <c r="D604" s="1" t="s">
        <v>2046</v>
      </c>
      <c r="E604" s="10">
        <v>46193</v>
      </c>
      <c r="F604" s="1" t="s">
        <v>578</v>
      </c>
      <c r="G604" s="1" t="s">
        <v>579</v>
      </c>
      <c r="H604" s="23"/>
      <c r="I604" s="1" t="s">
        <v>580</v>
      </c>
      <c r="J604" s="1" t="s">
        <v>545</v>
      </c>
      <c r="K604" s="1" t="s">
        <v>590</v>
      </c>
      <c r="L604" s="1" t="s">
        <v>149</v>
      </c>
      <c r="M604" s="1" t="s">
        <v>581</v>
      </c>
      <c r="N604" s="1"/>
      <c r="O604" s="10"/>
      <c r="P604" s="23"/>
      <c r="Q604" s="1"/>
      <c r="R604" s="1" t="s">
        <v>557</v>
      </c>
      <c r="S604" s="1" t="s">
        <v>582</v>
      </c>
      <c r="T604" s="10">
        <v>46298</v>
      </c>
    </row>
    <row r="605" spans="1:20" ht="24" customHeight="1" x14ac:dyDescent="0.35">
      <c r="A605" s="5" t="s">
        <v>2091</v>
      </c>
      <c r="B605" s="5" t="s">
        <v>2092</v>
      </c>
      <c r="C605" s="5" t="s">
        <v>847</v>
      </c>
      <c r="D605" s="5" t="s">
        <v>2093</v>
      </c>
      <c r="E605" s="8">
        <v>46205</v>
      </c>
      <c r="F605" s="5" t="s">
        <v>578</v>
      </c>
      <c r="G605" s="5" t="s">
        <v>579</v>
      </c>
      <c r="H605" s="22"/>
      <c r="I605" s="5" t="s">
        <v>580</v>
      </c>
      <c r="J605" s="5" t="s">
        <v>545</v>
      </c>
      <c r="K605" s="5" t="s">
        <v>590</v>
      </c>
      <c r="L605" s="5" t="s">
        <v>591</v>
      </c>
      <c r="M605" s="5" t="s">
        <v>581</v>
      </c>
      <c r="N605" s="5"/>
      <c r="O605" s="8"/>
      <c r="P605" s="22"/>
      <c r="Q605" s="5"/>
      <c r="R605" s="5" t="s">
        <v>557</v>
      </c>
      <c r="S605" s="5" t="s">
        <v>582</v>
      </c>
      <c r="T605" s="8">
        <v>46298</v>
      </c>
    </row>
    <row r="606" spans="1:20" ht="24" customHeight="1" x14ac:dyDescent="0.35">
      <c r="A606" s="1" t="s">
        <v>2094</v>
      </c>
      <c r="B606" s="1" t="s">
        <v>2095</v>
      </c>
      <c r="C606" s="1" t="s">
        <v>171</v>
      </c>
      <c r="D606" s="1" t="s">
        <v>2096</v>
      </c>
      <c r="E606" s="10">
        <v>46207</v>
      </c>
      <c r="F606" s="1" t="s">
        <v>578</v>
      </c>
      <c r="G606" s="1" t="s">
        <v>579</v>
      </c>
      <c r="H606" s="23"/>
      <c r="I606" s="1" t="s">
        <v>580</v>
      </c>
      <c r="J606" s="1" t="s">
        <v>545</v>
      </c>
      <c r="K606" s="1" t="s">
        <v>590</v>
      </c>
      <c r="L606" s="1" t="s">
        <v>149</v>
      </c>
      <c r="M606" s="1" t="s">
        <v>581</v>
      </c>
      <c r="N606" s="1"/>
      <c r="O606" s="10"/>
      <c r="P606" s="23"/>
      <c r="Q606" s="1"/>
      <c r="R606" s="1" t="s">
        <v>557</v>
      </c>
      <c r="S606" s="1" t="s">
        <v>582</v>
      </c>
      <c r="T606" s="10">
        <v>46298</v>
      </c>
    </row>
    <row r="607" spans="1:20" ht="24" customHeight="1" x14ac:dyDescent="0.35">
      <c r="A607" s="5" t="s">
        <v>2097</v>
      </c>
      <c r="B607" s="5" t="s">
        <v>2098</v>
      </c>
      <c r="C607" s="5" t="s">
        <v>1378</v>
      </c>
      <c r="D607" s="5" t="s">
        <v>825</v>
      </c>
      <c r="E607" s="8">
        <v>46208</v>
      </c>
      <c r="F607" s="5" t="s">
        <v>771</v>
      </c>
      <c r="G607" s="5" t="s">
        <v>772</v>
      </c>
      <c r="H607" s="22"/>
      <c r="I607" s="5" t="s">
        <v>603</v>
      </c>
      <c r="J607" s="5" t="s">
        <v>545</v>
      </c>
      <c r="K607" s="5" t="s">
        <v>590</v>
      </c>
      <c r="L607" s="5" t="s">
        <v>172</v>
      </c>
      <c r="M607" s="5" t="s">
        <v>581</v>
      </c>
      <c r="N607" s="5"/>
      <c r="O607" s="8"/>
      <c r="P607" s="22"/>
      <c r="Q607" s="5" t="s">
        <v>773</v>
      </c>
      <c r="R607" s="5" t="s">
        <v>557</v>
      </c>
      <c r="S607" s="5" t="s">
        <v>582</v>
      </c>
      <c r="T607" s="8">
        <v>46298</v>
      </c>
    </row>
    <row r="608" spans="1:20" ht="24" customHeight="1" x14ac:dyDescent="0.35">
      <c r="A608" s="1" t="s">
        <v>2099</v>
      </c>
      <c r="B608" s="1" t="s">
        <v>2100</v>
      </c>
      <c r="C608" s="1" t="s">
        <v>733</v>
      </c>
      <c r="D608" s="1" t="s">
        <v>1124</v>
      </c>
      <c r="E608" s="10">
        <v>46208</v>
      </c>
      <c r="F608" s="1" t="s">
        <v>578</v>
      </c>
      <c r="G608" s="1" t="s">
        <v>579</v>
      </c>
      <c r="H608" s="23"/>
      <c r="I608" s="1" t="s">
        <v>580</v>
      </c>
      <c r="J608" s="1" t="s">
        <v>545</v>
      </c>
      <c r="K608" s="1" t="s">
        <v>590</v>
      </c>
      <c r="L608" s="1" t="s">
        <v>608</v>
      </c>
      <c r="M608" s="1" t="s">
        <v>581</v>
      </c>
      <c r="N608" s="1"/>
      <c r="O608" s="10"/>
      <c r="P608" s="23"/>
      <c r="Q608" s="1"/>
      <c r="R608" s="1" t="s">
        <v>557</v>
      </c>
      <c r="S608" s="1" t="s">
        <v>582</v>
      </c>
      <c r="T608" s="10">
        <v>46298</v>
      </c>
    </row>
    <row r="609" spans="1:20" ht="24" customHeight="1" x14ac:dyDescent="0.35">
      <c r="A609" s="5" t="s">
        <v>2101</v>
      </c>
      <c r="B609" s="5" t="s">
        <v>2102</v>
      </c>
      <c r="C609" s="5" t="s">
        <v>1378</v>
      </c>
      <c r="D609" s="5" t="s">
        <v>825</v>
      </c>
      <c r="E609" s="8">
        <v>46209</v>
      </c>
      <c r="F609" s="5" t="s">
        <v>578</v>
      </c>
      <c r="G609" s="5" t="s">
        <v>579</v>
      </c>
      <c r="H609" s="22"/>
      <c r="I609" s="5" t="s">
        <v>580</v>
      </c>
      <c r="J609" s="5" t="s">
        <v>545</v>
      </c>
      <c r="K609" s="5" t="s">
        <v>590</v>
      </c>
      <c r="L609" s="5" t="s">
        <v>149</v>
      </c>
      <c r="M609" s="5" t="s">
        <v>581</v>
      </c>
      <c r="N609" s="5"/>
      <c r="O609" s="8"/>
      <c r="P609" s="22"/>
      <c r="Q609" s="5"/>
      <c r="R609" s="5" t="s">
        <v>557</v>
      </c>
      <c r="S609" s="5" t="s">
        <v>582</v>
      </c>
      <c r="T609" s="8">
        <v>46298</v>
      </c>
    </row>
    <row r="610" spans="1:20" ht="24" customHeight="1" x14ac:dyDescent="0.35">
      <c r="A610" s="1" t="s">
        <v>2103</v>
      </c>
      <c r="B610" s="1" t="s">
        <v>2104</v>
      </c>
      <c r="C610" s="1" t="s">
        <v>1183</v>
      </c>
      <c r="D610" s="1" t="s">
        <v>733</v>
      </c>
      <c r="E610" s="10">
        <v>46210</v>
      </c>
      <c r="F610" s="1" t="s">
        <v>771</v>
      </c>
      <c r="G610" s="1" t="s">
        <v>772</v>
      </c>
      <c r="H610" s="23"/>
      <c r="I610" s="1" t="s">
        <v>603</v>
      </c>
      <c r="J610" s="1" t="s">
        <v>545</v>
      </c>
      <c r="K610" s="1" t="s">
        <v>545</v>
      </c>
      <c r="L610" s="1" t="s">
        <v>149</v>
      </c>
      <c r="M610" s="1" t="s">
        <v>581</v>
      </c>
      <c r="N610" s="1"/>
      <c r="O610" s="10"/>
      <c r="P610" s="23"/>
      <c r="Q610" s="1" t="s">
        <v>773</v>
      </c>
      <c r="R610" s="1" t="s">
        <v>557</v>
      </c>
      <c r="S610" s="1" t="s">
        <v>582</v>
      </c>
      <c r="T610" s="10">
        <v>46298</v>
      </c>
    </row>
    <row r="611" spans="1:20" ht="24" customHeight="1" x14ac:dyDescent="0.35">
      <c r="A611" s="5" t="s">
        <v>2105</v>
      </c>
      <c r="B611" s="5" t="s">
        <v>2106</v>
      </c>
      <c r="C611" s="5" t="s">
        <v>2107</v>
      </c>
      <c r="D611" s="5" t="s">
        <v>1099</v>
      </c>
      <c r="E611" s="8">
        <v>46210</v>
      </c>
      <c r="F611" s="5" t="s">
        <v>587</v>
      </c>
      <c r="G611" s="5" t="s">
        <v>2108</v>
      </c>
      <c r="H611" s="22"/>
      <c r="I611" s="5" t="s">
        <v>603</v>
      </c>
      <c r="J611" s="5" t="s">
        <v>590</v>
      </c>
      <c r="K611" s="5" t="s">
        <v>545</v>
      </c>
      <c r="L611" s="5" t="s">
        <v>608</v>
      </c>
      <c r="M611" s="5" t="s">
        <v>581</v>
      </c>
      <c r="N611" s="5"/>
      <c r="O611" s="8"/>
      <c r="P611" s="22"/>
      <c r="Q611" s="5"/>
      <c r="R611" s="5" t="s">
        <v>557</v>
      </c>
      <c r="S611" s="5" t="s">
        <v>582</v>
      </c>
      <c r="T611" s="8">
        <v>46298</v>
      </c>
    </row>
    <row r="612" spans="1:20" ht="24" customHeight="1" x14ac:dyDescent="0.35">
      <c r="A612" s="1" t="s">
        <v>2109</v>
      </c>
      <c r="B612" s="1" t="s">
        <v>2110</v>
      </c>
      <c r="C612" s="1" t="s">
        <v>171</v>
      </c>
      <c r="D612" s="1" t="s">
        <v>825</v>
      </c>
      <c r="E612" s="10">
        <v>46210</v>
      </c>
      <c r="F612" s="1" t="s">
        <v>601</v>
      </c>
      <c r="G612" s="1" t="s">
        <v>602</v>
      </c>
      <c r="H612" s="23"/>
      <c r="I612" s="1" t="s">
        <v>603</v>
      </c>
      <c r="J612" s="1" t="s">
        <v>545</v>
      </c>
      <c r="K612" s="1" t="s">
        <v>590</v>
      </c>
      <c r="L612" s="1" t="s">
        <v>608</v>
      </c>
      <c r="M612" s="1" t="s">
        <v>581</v>
      </c>
      <c r="N612" s="1"/>
      <c r="O612" s="10"/>
      <c r="P612" s="23"/>
      <c r="Q612" s="1"/>
      <c r="R612" s="1" t="s">
        <v>557</v>
      </c>
      <c r="S612" s="1" t="s">
        <v>582</v>
      </c>
      <c r="T612" s="10">
        <v>46298</v>
      </c>
    </row>
    <row r="613" spans="1:20" ht="24" customHeight="1" x14ac:dyDescent="0.35">
      <c r="A613" s="5" t="s">
        <v>2111</v>
      </c>
      <c r="B613" s="5" t="s">
        <v>2112</v>
      </c>
      <c r="C613" s="5" t="s">
        <v>171</v>
      </c>
      <c r="D613" s="5" t="s">
        <v>1124</v>
      </c>
      <c r="E613" s="8">
        <v>46211</v>
      </c>
      <c r="F613" s="5" t="s">
        <v>771</v>
      </c>
      <c r="G613" s="5" t="s">
        <v>772</v>
      </c>
      <c r="H613" s="22"/>
      <c r="I613" s="5" t="s">
        <v>603</v>
      </c>
      <c r="J613" s="5" t="s">
        <v>545</v>
      </c>
      <c r="K613" s="5" t="s">
        <v>590</v>
      </c>
      <c r="L613" s="5" t="s">
        <v>608</v>
      </c>
      <c r="M613" s="5" t="s">
        <v>581</v>
      </c>
      <c r="N613" s="5"/>
      <c r="O613" s="8"/>
      <c r="P613" s="22"/>
      <c r="Q613" s="5" t="s">
        <v>773</v>
      </c>
      <c r="R613" s="5" t="s">
        <v>557</v>
      </c>
      <c r="S613" s="5" t="s">
        <v>582</v>
      </c>
      <c r="T613" s="8">
        <v>46298</v>
      </c>
    </row>
    <row r="614" spans="1:20" ht="24" customHeight="1" x14ac:dyDescent="0.35">
      <c r="A614" s="1" t="s">
        <v>2113</v>
      </c>
      <c r="B614" s="1" t="s">
        <v>2114</v>
      </c>
      <c r="C614" s="1" t="s">
        <v>171</v>
      </c>
      <c r="D614" s="1" t="s">
        <v>1743</v>
      </c>
      <c r="E614" s="10">
        <v>46211</v>
      </c>
      <c r="F614" s="1" t="s">
        <v>771</v>
      </c>
      <c r="G614" s="1" t="s">
        <v>772</v>
      </c>
      <c r="H614" s="23"/>
      <c r="I614" s="1" t="s">
        <v>603</v>
      </c>
      <c r="J614" s="1" t="s">
        <v>545</v>
      </c>
      <c r="K614" s="1" t="s">
        <v>590</v>
      </c>
      <c r="L614" s="1" t="s">
        <v>149</v>
      </c>
      <c r="M614" s="1" t="s">
        <v>581</v>
      </c>
      <c r="N614" s="1"/>
      <c r="O614" s="10"/>
      <c r="P614" s="23"/>
      <c r="Q614" s="1" t="s">
        <v>773</v>
      </c>
      <c r="R614" s="1" t="s">
        <v>557</v>
      </c>
      <c r="S614" s="1" t="s">
        <v>582</v>
      </c>
      <c r="T614" s="10">
        <v>46298</v>
      </c>
    </row>
    <row r="615" spans="1:20" ht="24" customHeight="1" x14ac:dyDescent="0.35">
      <c r="A615" s="5" t="s">
        <v>2115</v>
      </c>
      <c r="B615" s="5" t="s">
        <v>2116</v>
      </c>
      <c r="C615" s="5" t="s">
        <v>706</v>
      </c>
      <c r="D615" s="5" t="s">
        <v>2117</v>
      </c>
      <c r="E615" s="8">
        <v>46211</v>
      </c>
      <c r="F615" s="5" t="s">
        <v>771</v>
      </c>
      <c r="G615" s="5" t="s">
        <v>772</v>
      </c>
      <c r="H615" s="22"/>
      <c r="I615" s="5" t="s">
        <v>603</v>
      </c>
      <c r="J615" s="5" t="s">
        <v>545</v>
      </c>
      <c r="K615" s="5" t="s">
        <v>590</v>
      </c>
      <c r="L615" s="5" t="s">
        <v>640</v>
      </c>
      <c r="M615" s="5" t="s">
        <v>581</v>
      </c>
      <c r="N615" s="5"/>
      <c r="O615" s="8"/>
      <c r="P615" s="22"/>
      <c r="Q615" s="5" t="s">
        <v>773</v>
      </c>
      <c r="R615" s="5" t="s">
        <v>557</v>
      </c>
      <c r="S615" s="5" t="s">
        <v>582</v>
      </c>
      <c r="T615" s="8">
        <v>46298</v>
      </c>
    </row>
    <row r="616" spans="1:20" ht="24" customHeight="1" x14ac:dyDescent="0.35">
      <c r="A616" s="1" t="s">
        <v>2118</v>
      </c>
      <c r="B616" s="1" t="s">
        <v>2119</v>
      </c>
      <c r="C616" s="1" t="s">
        <v>1099</v>
      </c>
      <c r="D616" s="1" t="s">
        <v>1128</v>
      </c>
      <c r="E616" s="10">
        <v>46211</v>
      </c>
      <c r="F616" s="1" t="s">
        <v>578</v>
      </c>
      <c r="G616" s="1" t="s">
        <v>579</v>
      </c>
      <c r="H616" s="23"/>
      <c r="I616" s="1" t="s">
        <v>580</v>
      </c>
      <c r="J616" s="1" t="s">
        <v>545</v>
      </c>
      <c r="K616" s="1" t="s">
        <v>590</v>
      </c>
      <c r="L616" s="1" t="s">
        <v>640</v>
      </c>
      <c r="M616" s="1" t="s">
        <v>581</v>
      </c>
      <c r="N616" s="1"/>
      <c r="O616" s="10"/>
      <c r="P616" s="23"/>
      <c r="Q616" s="1"/>
      <c r="R616" s="1" t="s">
        <v>557</v>
      </c>
      <c r="S616" s="1" t="s">
        <v>582</v>
      </c>
      <c r="T616" s="10">
        <v>46298</v>
      </c>
    </row>
    <row r="617" spans="1:20" ht="24" customHeight="1" x14ac:dyDescent="0.35">
      <c r="A617" s="5" t="s">
        <v>2120</v>
      </c>
      <c r="B617" s="5" t="s">
        <v>2121</v>
      </c>
      <c r="C617" s="5" t="s">
        <v>847</v>
      </c>
      <c r="D617" s="5" t="s">
        <v>2093</v>
      </c>
      <c r="E617" s="8">
        <v>46211</v>
      </c>
      <c r="F617" s="5" t="s">
        <v>771</v>
      </c>
      <c r="G617" s="5" t="s">
        <v>772</v>
      </c>
      <c r="H617" s="22"/>
      <c r="I617" s="5" t="s">
        <v>603</v>
      </c>
      <c r="J617" s="5" t="s">
        <v>545</v>
      </c>
      <c r="K617" s="5" t="s">
        <v>590</v>
      </c>
      <c r="L617" s="5" t="s">
        <v>172</v>
      </c>
      <c r="M617" s="5" t="s">
        <v>581</v>
      </c>
      <c r="N617" s="5"/>
      <c r="O617" s="8"/>
      <c r="P617" s="22"/>
      <c r="Q617" s="5" t="s">
        <v>773</v>
      </c>
      <c r="R617" s="5" t="s">
        <v>557</v>
      </c>
      <c r="S617" s="5" t="s">
        <v>582</v>
      </c>
      <c r="T617" s="8">
        <v>46298</v>
      </c>
    </row>
    <row r="618" spans="1:20" ht="24" customHeight="1" x14ac:dyDescent="0.35">
      <c r="A618" s="1" t="s">
        <v>2122</v>
      </c>
      <c r="B618" s="1" t="s">
        <v>2123</v>
      </c>
      <c r="C618" s="1" t="s">
        <v>620</v>
      </c>
      <c r="D618" s="1" t="s">
        <v>2124</v>
      </c>
      <c r="E618" s="10">
        <v>46232</v>
      </c>
      <c r="F618" s="1" t="s">
        <v>578</v>
      </c>
      <c r="G618" s="1" t="s">
        <v>579</v>
      </c>
      <c r="H618" s="23"/>
      <c r="I618" s="1" t="s">
        <v>580</v>
      </c>
      <c r="J618" s="1" t="s">
        <v>546</v>
      </c>
      <c r="K618" s="1" t="s">
        <v>590</v>
      </c>
      <c r="L618" s="1" t="s">
        <v>608</v>
      </c>
      <c r="M618" s="1" t="s">
        <v>581</v>
      </c>
      <c r="N618" s="1"/>
      <c r="O618" s="10"/>
      <c r="P618" s="23"/>
      <c r="Q618" s="1"/>
      <c r="R618" s="1" t="s">
        <v>557</v>
      </c>
      <c r="S618" s="1" t="s">
        <v>582</v>
      </c>
      <c r="T618" s="10">
        <v>46298</v>
      </c>
    </row>
    <row r="619" spans="1:20" ht="24" customHeight="1" x14ac:dyDescent="0.35">
      <c r="A619" s="5" t="s">
        <v>2125</v>
      </c>
      <c r="B619" s="5" t="s">
        <v>2126</v>
      </c>
      <c r="C619" s="5" t="s">
        <v>953</v>
      </c>
      <c r="D619" s="5" t="s">
        <v>801</v>
      </c>
      <c r="E619" s="8">
        <v>46232</v>
      </c>
      <c r="F619" s="5" t="s">
        <v>587</v>
      </c>
      <c r="G619" s="5" t="s">
        <v>588</v>
      </c>
      <c r="H619" s="22">
        <v>2600000</v>
      </c>
      <c r="I619" s="5" t="s">
        <v>589</v>
      </c>
      <c r="J619" s="5" t="s">
        <v>548</v>
      </c>
      <c r="K619" s="5" t="s">
        <v>546</v>
      </c>
      <c r="L619" s="5" t="s">
        <v>149</v>
      </c>
      <c r="M619" s="5" t="s">
        <v>581</v>
      </c>
      <c r="N619" s="5"/>
      <c r="O619" s="8"/>
      <c r="P619" s="22"/>
      <c r="Q619" s="5"/>
      <c r="R619" s="5" t="s">
        <v>557</v>
      </c>
      <c r="S619" s="5" t="s">
        <v>582</v>
      </c>
      <c r="T619" s="8">
        <v>46298</v>
      </c>
    </row>
    <row r="620" spans="1:20" ht="24" customHeight="1" x14ac:dyDescent="0.35">
      <c r="A620" s="1" t="s">
        <v>2127</v>
      </c>
      <c r="B620" s="1" t="s">
        <v>2128</v>
      </c>
      <c r="C620" s="1" t="s">
        <v>1378</v>
      </c>
      <c r="D620" s="1" t="s">
        <v>2129</v>
      </c>
      <c r="E620" s="10">
        <v>46211</v>
      </c>
      <c r="F620" s="1" t="s">
        <v>578</v>
      </c>
      <c r="G620" s="1" t="s">
        <v>579</v>
      </c>
      <c r="H620" s="23"/>
      <c r="I620" s="1" t="s">
        <v>580</v>
      </c>
      <c r="J620" s="1" t="s">
        <v>545</v>
      </c>
      <c r="K620" s="1" t="s">
        <v>590</v>
      </c>
      <c r="L620" s="1" t="s">
        <v>149</v>
      </c>
      <c r="M620" s="1" t="s">
        <v>581</v>
      </c>
      <c r="N620" s="1"/>
      <c r="O620" s="10"/>
      <c r="P620" s="23"/>
      <c r="Q620" s="1"/>
      <c r="R620" s="1" t="s">
        <v>557</v>
      </c>
      <c r="S620" s="1" t="s">
        <v>582</v>
      </c>
      <c r="T620" s="10">
        <v>46298</v>
      </c>
    </row>
    <row r="621" spans="1:20" ht="24" customHeight="1" x14ac:dyDescent="0.35">
      <c r="A621" s="5" t="s">
        <v>2130</v>
      </c>
      <c r="B621" s="5" t="s">
        <v>2131</v>
      </c>
      <c r="C621" s="5" t="s">
        <v>919</v>
      </c>
      <c r="D621" s="5" t="s">
        <v>681</v>
      </c>
      <c r="E621" s="8">
        <v>46232</v>
      </c>
      <c r="F621" s="5" t="s">
        <v>601</v>
      </c>
      <c r="G621" s="5" t="s">
        <v>602</v>
      </c>
      <c r="H621" s="22"/>
      <c r="I621" s="5" t="s">
        <v>603</v>
      </c>
      <c r="J621" s="5" t="s">
        <v>590</v>
      </c>
      <c r="K621" s="5" t="s">
        <v>548</v>
      </c>
      <c r="L621" s="5" t="s">
        <v>591</v>
      </c>
      <c r="M621" s="5" t="s">
        <v>581</v>
      </c>
      <c r="N621" s="5"/>
      <c r="O621" s="8"/>
      <c r="P621" s="22"/>
      <c r="Q621" s="5"/>
      <c r="R621" s="5" t="s">
        <v>557</v>
      </c>
      <c r="S621" s="5" t="s">
        <v>582</v>
      </c>
      <c r="T621" s="8">
        <v>46298</v>
      </c>
    </row>
    <row r="622" spans="1:20" ht="24" customHeight="1" x14ac:dyDescent="0.35">
      <c r="A622" s="1" t="s">
        <v>2132</v>
      </c>
      <c r="B622" s="1" t="s">
        <v>2133</v>
      </c>
      <c r="C622" s="1" t="s">
        <v>868</v>
      </c>
      <c r="D622" s="1" t="s">
        <v>2134</v>
      </c>
      <c r="E622" s="10">
        <v>46211</v>
      </c>
      <c r="F622" s="1" t="s">
        <v>578</v>
      </c>
      <c r="G622" s="1" t="s">
        <v>579</v>
      </c>
      <c r="H622" s="23"/>
      <c r="I622" s="1" t="s">
        <v>580</v>
      </c>
      <c r="J622" s="1" t="s">
        <v>545</v>
      </c>
      <c r="K622" s="1" t="s">
        <v>590</v>
      </c>
      <c r="L622" s="1" t="s">
        <v>172</v>
      </c>
      <c r="M622" s="1" t="s">
        <v>581</v>
      </c>
      <c r="N622" s="1"/>
      <c r="O622" s="10"/>
      <c r="P622" s="23"/>
      <c r="Q622" s="1"/>
      <c r="R622" s="1" t="s">
        <v>557</v>
      </c>
      <c r="S622" s="1" t="s">
        <v>582</v>
      </c>
      <c r="T622" s="10">
        <v>46298</v>
      </c>
    </row>
    <row r="623" spans="1:20" ht="24" customHeight="1" x14ac:dyDescent="0.35">
      <c r="A623" s="5" t="s">
        <v>2135</v>
      </c>
      <c r="B623" s="5" t="s">
        <v>2136</v>
      </c>
      <c r="C623" s="5" t="s">
        <v>868</v>
      </c>
      <c r="D623" s="5" t="s">
        <v>2137</v>
      </c>
      <c r="E623" s="8">
        <v>46216</v>
      </c>
      <c r="F623" s="5" t="s">
        <v>771</v>
      </c>
      <c r="G623" s="5" t="s">
        <v>772</v>
      </c>
      <c r="H623" s="22"/>
      <c r="I623" s="5" t="s">
        <v>603</v>
      </c>
      <c r="J623" s="5" t="s">
        <v>545</v>
      </c>
      <c r="K623" s="5" t="s">
        <v>590</v>
      </c>
      <c r="L623" s="5" t="s">
        <v>608</v>
      </c>
      <c r="M623" s="5" t="s">
        <v>581</v>
      </c>
      <c r="N623" s="5"/>
      <c r="O623" s="8"/>
      <c r="P623" s="22"/>
      <c r="Q623" s="5" t="s">
        <v>773</v>
      </c>
      <c r="R623" s="5" t="s">
        <v>557</v>
      </c>
      <c r="S623" s="5" t="s">
        <v>582</v>
      </c>
      <c r="T623" s="8">
        <v>46298</v>
      </c>
    </row>
    <row r="624" spans="1:20" ht="24" customHeight="1" x14ac:dyDescent="0.35">
      <c r="A624" s="1" t="s">
        <v>2138</v>
      </c>
      <c r="B624" s="1" t="s">
        <v>2139</v>
      </c>
      <c r="C624" s="1" t="s">
        <v>1129</v>
      </c>
      <c r="D624" s="1" t="s">
        <v>2140</v>
      </c>
      <c r="E624" s="10">
        <v>46218</v>
      </c>
      <c r="F624" s="1" t="s">
        <v>578</v>
      </c>
      <c r="G624" s="1" t="s">
        <v>579</v>
      </c>
      <c r="H624" s="23"/>
      <c r="I624" s="1" t="s">
        <v>580</v>
      </c>
      <c r="J624" s="1" t="s">
        <v>545</v>
      </c>
      <c r="K624" s="1" t="s">
        <v>590</v>
      </c>
      <c r="L624" s="1" t="s">
        <v>149</v>
      </c>
      <c r="M624" s="1" t="s">
        <v>581</v>
      </c>
      <c r="N624" s="1"/>
      <c r="O624" s="10"/>
      <c r="P624" s="23"/>
      <c r="Q624" s="1"/>
      <c r="R624" s="1" t="s">
        <v>557</v>
      </c>
      <c r="S624" s="1" t="s">
        <v>582</v>
      </c>
      <c r="T624" s="10">
        <v>46298</v>
      </c>
    </row>
    <row r="625" spans="1:20" ht="24" customHeight="1" x14ac:dyDescent="0.35">
      <c r="A625" s="5" t="s">
        <v>2141</v>
      </c>
      <c r="B625" s="5" t="s">
        <v>2142</v>
      </c>
      <c r="C625" s="5" t="s">
        <v>1183</v>
      </c>
      <c r="D625" s="5" t="s">
        <v>743</v>
      </c>
      <c r="E625" s="8">
        <v>46220</v>
      </c>
      <c r="F625" s="5" t="s">
        <v>771</v>
      </c>
      <c r="G625" s="5" t="s">
        <v>772</v>
      </c>
      <c r="H625" s="22"/>
      <c r="I625" s="5" t="s">
        <v>603</v>
      </c>
      <c r="J625" s="5" t="s">
        <v>545</v>
      </c>
      <c r="K625" s="5" t="s">
        <v>545</v>
      </c>
      <c r="L625" s="5" t="s">
        <v>608</v>
      </c>
      <c r="M625" s="5" t="s">
        <v>581</v>
      </c>
      <c r="N625" s="5"/>
      <c r="O625" s="8"/>
      <c r="P625" s="22"/>
      <c r="Q625" s="5" t="s">
        <v>773</v>
      </c>
      <c r="R625" s="5" t="s">
        <v>557</v>
      </c>
      <c r="S625" s="5" t="s">
        <v>582</v>
      </c>
      <c r="T625" s="8">
        <v>46298</v>
      </c>
    </row>
    <row r="626" spans="1:20" ht="24" customHeight="1" x14ac:dyDescent="0.35">
      <c r="A626" s="1" t="s">
        <v>2143</v>
      </c>
      <c r="B626" s="1" t="s">
        <v>2144</v>
      </c>
      <c r="C626" s="1" t="s">
        <v>706</v>
      </c>
      <c r="D626" s="1" t="s">
        <v>764</v>
      </c>
      <c r="E626" s="10">
        <v>46221</v>
      </c>
      <c r="F626" s="1" t="s">
        <v>601</v>
      </c>
      <c r="G626" s="1" t="s">
        <v>602</v>
      </c>
      <c r="H626" s="23"/>
      <c r="I626" s="1" t="s">
        <v>603</v>
      </c>
      <c r="J626" s="1" t="s">
        <v>545</v>
      </c>
      <c r="K626" s="1" t="s">
        <v>590</v>
      </c>
      <c r="L626" s="1" t="s">
        <v>608</v>
      </c>
      <c r="M626" s="1" t="s">
        <v>581</v>
      </c>
      <c r="N626" s="1"/>
      <c r="O626" s="10"/>
      <c r="P626" s="23"/>
      <c r="Q626" s="1"/>
      <c r="R626" s="1" t="s">
        <v>557</v>
      </c>
      <c r="S626" s="1" t="s">
        <v>582</v>
      </c>
      <c r="T626" s="10">
        <v>46298</v>
      </c>
    </row>
    <row r="627" spans="1:20" ht="24" customHeight="1" x14ac:dyDescent="0.35">
      <c r="A627" s="5" t="s">
        <v>2145</v>
      </c>
      <c r="B627" s="5" t="s">
        <v>2146</v>
      </c>
      <c r="C627" s="5" t="s">
        <v>868</v>
      </c>
      <c r="D627" s="5" t="s">
        <v>733</v>
      </c>
      <c r="E627" s="8">
        <v>46217</v>
      </c>
      <c r="F627" s="5" t="s">
        <v>578</v>
      </c>
      <c r="G627" s="5" t="s">
        <v>579</v>
      </c>
      <c r="H627" s="22"/>
      <c r="I627" s="5" t="s">
        <v>580</v>
      </c>
      <c r="J627" s="5" t="s">
        <v>545</v>
      </c>
      <c r="K627" s="5" t="s">
        <v>545</v>
      </c>
      <c r="L627" s="5" t="s">
        <v>608</v>
      </c>
      <c r="M627" s="5" t="s">
        <v>581</v>
      </c>
      <c r="N627" s="5"/>
      <c r="O627" s="8"/>
      <c r="P627" s="22"/>
      <c r="Q627" s="5"/>
      <c r="R627" s="5" t="s">
        <v>557</v>
      </c>
      <c r="S627" s="5" t="s">
        <v>582</v>
      </c>
      <c r="T627" s="8">
        <v>46298</v>
      </c>
    </row>
    <row r="628" spans="1:20" ht="24" customHeight="1" x14ac:dyDescent="0.35">
      <c r="A628" s="1" t="s">
        <v>2147</v>
      </c>
      <c r="B628" s="1" t="s">
        <v>2148</v>
      </c>
      <c r="C628" s="1" t="s">
        <v>1014</v>
      </c>
      <c r="D628" s="1" t="s">
        <v>1727</v>
      </c>
      <c r="E628" s="10">
        <v>46224</v>
      </c>
      <c r="F628" s="1" t="s">
        <v>771</v>
      </c>
      <c r="G628" s="1" t="s">
        <v>772</v>
      </c>
      <c r="H628" s="23"/>
      <c r="I628" s="1" t="s">
        <v>603</v>
      </c>
      <c r="J628" s="1" t="s">
        <v>545</v>
      </c>
      <c r="K628" s="1" t="s">
        <v>545</v>
      </c>
      <c r="L628" s="1" t="s">
        <v>608</v>
      </c>
      <c r="M628" s="1" t="s">
        <v>581</v>
      </c>
      <c r="N628" s="1"/>
      <c r="O628" s="10"/>
      <c r="P628" s="23"/>
      <c r="Q628" s="1" t="s">
        <v>773</v>
      </c>
      <c r="R628" s="1" t="s">
        <v>557</v>
      </c>
      <c r="S628" s="1" t="s">
        <v>582</v>
      </c>
      <c r="T628" s="10">
        <v>46298</v>
      </c>
    </row>
    <row r="629" spans="1:20" ht="24" customHeight="1" x14ac:dyDescent="0.35">
      <c r="A629" s="5" t="s">
        <v>2149</v>
      </c>
      <c r="B629" s="5" t="s">
        <v>2150</v>
      </c>
      <c r="C629" s="5" t="s">
        <v>1014</v>
      </c>
      <c r="D629" s="5" t="s">
        <v>743</v>
      </c>
      <c r="E629" s="8">
        <v>46224</v>
      </c>
      <c r="F629" s="5" t="s">
        <v>771</v>
      </c>
      <c r="G629" s="5" t="s">
        <v>772</v>
      </c>
      <c r="H629" s="22"/>
      <c r="I629" s="5" t="s">
        <v>603</v>
      </c>
      <c r="J629" s="5" t="s">
        <v>545</v>
      </c>
      <c r="K629" s="5" t="s">
        <v>545</v>
      </c>
      <c r="L629" s="5" t="s">
        <v>149</v>
      </c>
      <c r="M629" s="5" t="s">
        <v>581</v>
      </c>
      <c r="N629" s="5"/>
      <c r="O629" s="8"/>
      <c r="P629" s="22"/>
      <c r="Q629" s="5" t="s">
        <v>773</v>
      </c>
      <c r="R629" s="5" t="s">
        <v>557</v>
      </c>
      <c r="S629" s="5" t="s">
        <v>582</v>
      </c>
      <c r="T629" s="8">
        <v>46298</v>
      </c>
    </row>
    <row r="630" spans="1:20" ht="24" customHeight="1" x14ac:dyDescent="0.35">
      <c r="A630" s="1" t="s">
        <v>2151</v>
      </c>
      <c r="B630" s="1" t="s">
        <v>2152</v>
      </c>
      <c r="C630" s="1" t="s">
        <v>171</v>
      </c>
      <c r="D630" s="1" t="s">
        <v>2117</v>
      </c>
      <c r="E630" s="10">
        <v>46223</v>
      </c>
      <c r="F630" s="1" t="s">
        <v>578</v>
      </c>
      <c r="G630" s="1" t="s">
        <v>579</v>
      </c>
      <c r="H630" s="23"/>
      <c r="I630" s="1" t="s">
        <v>580</v>
      </c>
      <c r="J630" s="1" t="s">
        <v>545</v>
      </c>
      <c r="K630" s="1" t="s">
        <v>590</v>
      </c>
      <c r="L630" s="1" t="s">
        <v>591</v>
      </c>
      <c r="M630" s="1" t="s">
        <v>581</v>
      </c>
      <c r="N630" s="1"/>
      <c r="O630" s="10"/>
      <c r="P630" s="23"/>
      <c r="Q630" s="1"/>
      <c r="R630" s="1" t="s">
        <v>557</v>
      </c>
      <c r="S630" s="1" t="s">
        <v>582</v>
      </c>
      <c r="T630" s="10">
        <v>46298</v>
      </c>
    </row>
    <row r="631" spans="1:20" ht="24" customHeight="1" x14ac:dyDescent="0.35">
      <c r="A631" s="5" t="s">
        <v>2153</v>
      </c>
      <c r="B631" s="5" t="s">
        <v>2154</v>
      </c>
      <c r="C631" s="5" t="s">
        <v>707</v>
      </c>
      <c r="D631" s="5" t="s">
        <v>2155</v>
      </c>
      <c r="E631" s="8">
        <v>46223</v>
      </c>
      <c r="F631" s="5" t="s">
        <v>578</v>
      </c>
      <c r="G631" s="5" t="s">
        <v>579</v>
      </c>
      <c r="H631" s="22"/>
      <c r="I631" s="5" t="s">
        <v>580</v>
      </c>
      <c r="J631" s="5" t="s">
        <v>545</v>
      </c>
      <c r="K631" s="5" t="s">
        <v>590</v>
      </c>
      <c r="L631" s="5" t="s">
        <v>608</v>
      </c>
      <c r="M631" s="5" t="s">
        <v>581</v>
      </c>
      <c r="N631" s="5"/>
      <c r="O631" s="8"/>
      <c r="P631" s="22"/>
      <c r="Q631" s="5"/>
      <c r="R631" s="5" t="s">
        <v>557</v>
      </c>
      <c r="S631" s="5" t="s">
        <v>582</v>
      </c>
      <c r="T631" s="8">
        <v>46298</v>
      </c>
    </row>
    <row r="632" spans="1:20" ht="24" customHeight="1" x14ac:dyDescent="0.35">
      <c r="A632" s="1" t="s">
        <v>2156</v>
      </c>
      <c r="B632" s="1" t="s">
        <v>2157</v>
      </c>
      <c r="C632" s="1" t="s">
        <v>847</v>
      </c>
      <c r="D632" s="1" t="s">
        <v>2158</v>
      </c>
      <c r="E632" s="10">
        <v>46204</v>
      </c>
      <c r="F632" s="1" t="s">
        <v>578</v>
      </c>
      <c r="G632" s="1" t="s">
        <v>579</v>
      </c>
      <c r="H632" s="23"/>
      <c r="I632" s="1" t="s">
        <v>580</v>
      </c>
      <c r="J632" s="1" t="s">
        <v>545</v>
      </c>
      <c r="K632" s="1" t="s">
        <v>590</v>
      </c>
      <c r="L632" s="1" t="s">
        <v>640</v>
      </c>
      <c r="M632" s="1" t="s">
        <v>581</v>
      </c>
      <c r="N632" s="1"/>
      <c r="O632" s="10"/>
      <c r="P632" s="23"/>
      <c r="Q632" s="1"/>
      <c r="R632" s="1" t="s">
        <v>557</v>
      </c>
      <c r="S632" s="1" t="s">
        <v>582</v>
      </c>
      <c r="T632" s="10">
        <v>46298</v>
      </c>
    </row>
    <row r="633" spans="1:20" ht="24" customHeight="1" x14ac:dyDescent="0.35">
      <c r="A633" s="5" t="s">
        <v>2159</v>
      </c>
      <c r="B633" s="5" t="s">
        <v>2160</v>
      </c>
      <c r="C633" s="5" t="s">
        <v>1099</v>
      </c>
      <c r="D633" s="5" t="s">
        <v>2158</v>
      </c>
      <c r="E633" s="8">
        <v>46229</v>
      </c>
      <c r="F633" s="5" t="s">
        <v>771</v>
      </c>
      <c r="G633" s="5" t="s">
        <v>772</v>
      </c>
      <c r="H633" s="22"/>
      <c r="I633" s="5" t="s">
        <v>603</v>
      </c>
      <c r="J633" s="5" t="s">
        <v>545</v>
      </c>
      <c r="K633" s="5" t="s">
        <v>590</v>
      </c>
      <c r="L633" s="5" t="s">
        <v>608</v>
      </c>
      <c r="M633" s="5" t="s">
        <v>581</v>
      </c>
      <c r="N633" s="5"/>
      <c r="O633" s="8"/>
      <c r="P633" s="22"/>
      <c r="Q633" s="5" t="s">
        <v>773</v>
      </c>
      <c r="R633" s="5" t="s">
        <v>557</v>
      </c>
      <c r="S633" s="5" t="s">
        <v>582</v>
      </c>
      <c r="T633" s="8">
        <v>46298</v>
      </c>
    </row>
    <row r="634" spans="1:20" ht="24" customHeight="1" x14ac:dyDescent="0.35">
      <c r="A634" s="1" t="s">
        <v>2161</v>
      </c>
      <c r="B634" s="1" t="s">
        <v>2162</v>
      </c>
      <c r="C634" s="1" t="s">
        <v>1004</v>
      </c>
      <c r="D634" s="1" t="s">
        <v>2163</v>
      </c>
      <c r="E634" s="10">
        <v>46225</v>
      </c>
      <c r="F634" s="1" t="s">
        <v>578</v>
      </c>
      <c r="G634" s="1" t="s">
        <v>579</v>
      </c>
      <c r="H634" s="23"/>
      <c r="I634" s="1" t="s">
        <v>580</v>
      </c>
      <c r="J634" s="1" t="s">
        <v>545</v>
      </c>
      <c r="K634" s="1" t="s">
        <v>590</v>
      </c>
      <c r="L634" s="1" t="s">
        <v>608</v>
      </c>
      <c r="M634" s="1" t="s">
        <v>581</v>
      </c>
      <c r="N634" s="1"/>
      <c r="O634" s="10"/>
      <c r="P634" s="23"/>
      <c r="Q634" s="1"/>
      <c r="R634" s="1" t="s">
        <v>557</v>
      </c>
      <c r="S634" s="1" t="s">
        <v>582</v>
      </c>
      <c r="T634" s="10">
        <v>46298</v>
      </c>
    </row>
    <row r="635" spans="1:20" ht="24" customHeight="1" x14ac:dyDescent="0.35">
      <c r="A635" s="5" t="s">
        <v>2164</v>
      </c>
      <c r="B635" s="5" t="s">
        <v>2165</v>
      </c>
      <c r="C635" s="5" t="s">
        <v>1163</v>
      </c>
      <c r="D635" s="5" t="s">
        <v>2166</v>
      </c>
      <c r="E635" s="8">
        <v>46216</v>
      </c>
      <c r="F635" s="5" t="s">
        <v>578</v>
      </c>
      <c r="G635" s="5" t="s">
        <v>579</v>
      </c>
      <c r="H635" s="22"/>
      <c r="I635" s="5" t="s">
        <v>580</v>
      </c>
      <c r="J635" s="5" t="s">
        <v>545</v>
      </c>
      <c r="K635" s="5" t="s">
        <v>590</v>
      </c>
      <c r="L635" s="5" t="s">
        <v>172</v>
      </c>
      <c r="M635" s="5" t="s">
        <v>581</v>
      </c>
      <c r="N635" s="5"/>
      <c r="O635" s="8"/>
      <c r="P635" s="22"/>
      <c r="Q635" s="5"/>
      <c r="R635" s="5" t="s">
        <v>557</v>
      </c>
      <c r="S635" s="5" t="s">
        <v>582</v>
      </c>
      <c r="T635" s="8">
        <v>46298</v>
      </c>
    </row>
    <row r="636" spans="1:20" ht="24" customHeight="1" x14ac:dyDescent="0.35">
      <c r="A636" s="1" t="s">
        <v>2167</v>
      </c>
      <c r="B636" s="1" t="s">
        <v>2168</v>
      </c>
      <c r="C636" s="1" t="s">
        <v>706</v>
      </c>
      <c r="D636" s="1" t="s">
        <v>2169</v>
      </c>
      <c r="E636" s="10">
        <v>46202</v>
      </c>
      <c r="F636" s="1" t="s">
        <v>578</v>
      </c>
      <c r="G636" s="1" t="s">
        <v>579</v>
      </c>
      <c r="H636" s="23"/>
      <c r="I636" s="1" t="s">
        <v>580</v>
      </c>
      <c r="J636" s="1" t="s">
        <v>545</v>
      </c>
      <c r="K636" s="1" t="s">
        <v>590</v>
      </c>
      <c r="L636" s="1" t="s">
        <v>640</v>
      </c>
      <c r="M636" s="1" t="s">
        <v>581</v>
      </c>
      <c r="N636" s="1"/>
      <c r="O636" s="10"/>
      <c r="P636" s="23"/>
      <c r="Q636" s="1"/>
      <c r="R636" s="1" t="s">
        <v>557</v>
      </c>
      <c r="S636" s="1" t="s">
        <v>582</v>
      </c>
      <c r="T636" s="10">
        <v>46298</v>
      </c>
    </row>
    <row r="637" spans="1:20" ht="24" customHeight="1" x14ac:dyDescent="0.35">
      <c r="A637" s="5" t="s">
        <v>2170</v>
      </c>
      <c r="B637" s="5" t="s">
        <v>2171</v>
      </c>
      <c r="C637" s="5" t="s">
        <v>355</v>
      </c>
      <c r="D637" s="5" t="s">
        <v>1052</v>
      </c>
      <c r="E637" s="8">
        <v>46232</v>
      </c>
      <c r="F637" s="5" t="s">
        <v>601</v>
      </c>
      <c r="G637" s="5" t="s">
        <v>602</v>
      </c>
      <c r="H637" s="22"/>
      <c r="I637" s="5" t="s">
        <v>603</v>
      </c>
      <c r="J637" s="5" t="s">
        <v>544</v>
      </c>
      <c r="K637" s="5" t="s">
        <v>590</v>
      </c>
      <c r="L637" s="5" t="s">
        <v>591</v>
      </c>
      <c r="M637" s="5" t="s">
        <v>581</v>
      </c>
      <c r="N637" s="5"/>
      <c r="O637" s="8"/>
      <c r="P637" s="22"/>
      <c r="Q637" s="5"/>
      <c r="R637" s="5" t="s">
        <v>557</v>
      </c>
      <c r="S637" s="5" t="s">
        <v>582</v>
      </c>
      <c r="T637" s="8">
        <v>46298</v>
      </c>
    </row>
    <row r="638" spans="1:20" ht="24" customHeight="1" x14ac:dyDescent="0.35">
      <c r="A638" s="1" t="s">
        <v>2172</v>
      </c>
      <c r="B638" s="1" t="s">
        <v>2173</v>
      </c>
      <c r="C638" s="1" t="s">
        <v>627</v>
      </c>
      <c r="D638" s="1" t="s">
        <v>2174</v>
      </c>
      <c r="E638" s="10">
        <v>46195</v>
      </c>
      <c r="F638" s="1" t="s">
        <v>578</v>
      </c>
      <c r="G638" s="1" t="s">
        <v>579</v>
      </c>
      <c r="H638" s="23"/>
      <c r="I638" s="1" t="s">
        <v>580</v>
      </c>
      <c r="J638" s="1" t="s">
        <v>545</v>
      </c>
      <c r="K638" s="1" t="s">
        <v>590</v>
      </c>
      <c r="L638" s="1" t="s">
        <v>149</v>
      </c>
      <c r="M638" s="1" t="s">
        <v>581</v>
      </c>
      <c r="N638" s="1"/>
      <c r="O638" s="10"/>
      <c r="P638" s="23"/>
      <c r="Q638" s="1"/>
      <c r="R638" s="1" t="s">
        <v>557</v>
      </c>
      <c r="S638" s="1" t="s">
        <v>582</v>
      </c>
      <c r="T638" s="10">
        <v>46298</v>
      </c>
    </row>
    <row r="639" spans="1:20" ht="24" customHeight="1" x14ac:dyDescent="0.35">
      <c r="A639" s="5" t="s">
        <v>2175</v>
      </c>
      <c r="B639" s="5" t="s">
        <v>2176</v>
      </c>
      <c r="C639" s="5" t="s">
        <v>847</v>
      </c>
      <c r="D639" s="5" t="s">
        <v>2177</v>
      </c>
      <c r="E639" s="8">
        <v>46199</v>
      </c>
      <c r="F639" s="5" t="s">
        <v>578</v>
      </c>
      <c r="G639" s="5" t="s">
        <v>579</v>
      </c>
      <c r="H639" s="22"/>
      <c r="I639" s="5" t="s">
        <v>580</v>
      </c>
      <c r="J639" s="5" t="s">
        <v>545</v>
      </c>
      <c r="K639" s="5" t="s">
        <v>590</v>
      </c>
      <c r="L639" s="5" t="s">
        <v>591</v>
      </c>
      <c r="M639" s="5" t="s">
        <v>581</v>
      </c>
      <c r="N639" s="5"/>
      <c r="O639" s="8"/>
      <c r="P639" s="22"/>
      <c r="Q639" s="5"/>
      <c r="R639" s="5" t="s">
        <v>557</v>
      </c>
      <c r="S639" s="5" t="s">
        <v>582</v>
      </c>
      <c r="T639" s="8">
        <v>46298</v>
      </c>
    </row>
    <row r="640" spans="1:20" ht="24" customHeight="1" x14ac:dyDescent="0.35">
      <c r="A640" s="1" t="s">
        <v>2178</v>
      </c>
      <c r="B640" s="1" t="s">
        <v>2179</v>
      </c>
      <c r="C640" s="1" t="s">
        <v>1378</v>
      </c>
      <c r="D640" s="1" t="s">
        <v>2180</v>
      </c>
      <c r="E640" s="10">
        <v>46197</v>
      </c>
      <c r="F640" s="1" t="s">
        <v>578</v>
      </c>
      <c r="G640" s="1" t="s">
        <v>579</v>
      </c>
      <c r="H640" s="23"/>
      <c r="I640" s="1" t="s">
        <v>580</v>
      </c>
      <c r="J640" s="1" t="s">
        <v>545</v>
      </c>
      <c r="K640" s="1" t="s">
        <v>590</v>
      </c>
      <c r="L640" s="1" t="s">
        <v>149</v>
      </c>
      <c r="M640" s="1" t="s">
        <v>581</v>
      </c>
      <c r="N640" s="1"/>
      <c r="O640" s="10"/>
      <c r="P640" s="23"/>
      <c r="Q640" s="1"/>
      <c r="R640" s="1" t="s">
        <v>557</v>
      </c>
      <c r="S640" s="1" t="s">
        <v>582</v>
      </c>
      <c r="T640" s="10">
        <v>46298</v>
      </c>
    </row>
    <row r="641" spans="1:20" ht="24" customHeight="1" x14ac:dyDescent="0.35">
      <c r="A641" s="5" t="s">
        <v>2181</v>
      </c>
      <c r="B641" s="5" t="s">
        <v>2182</v>
      </c>
      <c r="C641" s="5" t="s">
        <v>157</v>
      </c>
      <c r="D641" s="5" t="s">
        <v>1661</v>
      </c>
      <c r="E641" s="8">
        <v>46232</v>
      </c>
      <c r="F641" s="5" t="s">
        <v>587</v>
      </c>
      <c r="G641" s="5" t="s">
        <v>588</v>
      </c>
      <c r="H641" s="22">
        <v>1300000</v>
      </c>
      <c r="I641" s="5" t="s">
        <v>589</v>
      </c>
      <c r="J641" s="5" t="s">
        <v>546</v>
      </c>
      <c r="K641" s="5" t="s">
        <v>590</v>
      </c>
      <c r="L641" s="5" t="s">
        <v>149</v>
      </c>
      <c r="M641" s="5" t="s">
        <v>581</v>
      </c>
      <c r="N641" s="5"/>
      <c r="O641" s="8"/>
      <c r="P641" s="22"/>
      <c r="Q641" s="5"/>
      <c r="R641" s="5" t="s">
        <v>557</v>
      </c>
      <c r="S641" s="5" t="s">
        <v>582</v>
      </c>
      <c r="T641" s="8">
        <v>46298</v>
      </c>
    </row>
    <row r="642" spans="1:20" ht="24" customHeight="1" x14ac:dyDescent="0.35">
      <c r="A642" s="1" t="s">
        <v>2183</v>
      </c>
      <c r="B642" s="1" t="s">
        <v>2184</v>
      </c>
      <c r="C642" s="1" t="s">
        <v>374</v>
      </c>
      <c r="D642" s="1" t="s">
        <v>782</v>
      </c>
      <c r="E642" s="10">
        <v>46232</v>
      </c>
      <c r="F642" s="1" t="s">
        <v>578</v>
      </c>
      <c r="G642" s="1" t="s">
        <v>579</v>
      </c>
      <c r="H642" s="23"/>
      <c r="I642" s="1" t="s">
        <v>580</v>
      </c>
      <c r="J642" s="1" t="s">
        <v>544</v>
      </c>
      <c r="K642" s="1" t="s">
        <v>590</v>
      </c>
      <c r="L642" s="1" t="s">
        <v>172</v>
      </c>
      <c r="M642" s="1" t="s">
        <v>581</v>
      </c>
      <c r="N642" s="1"/>
      <c r="O642" s="10"/>
      <c r="P642" s="23"/>
      <c r="Q642" s="1"/>
      <c r="R642" s="1" t="s">
        <v>557</v>
      </c>
      <c r="S642" s="1" t="s">
        <v>582</v>
      </c>
      <c r="T642" s="10">
        <v>46298</v>
      </c>
    </row>
    <row r="643" spans="1:20" ht="24" customHeight="1" x14ac:dyDescent="0.35">
      <c r="A643" s="5" t="s">
        <v>2185</v>
      </c>
      <c r="B643" s="5" t="s">
        <v>2186</v>
      </c>
      <c r="C643" s="5" t="s">
        <v>860</v>
      </c>
      <c r="D643" s="5" t="s">
        <v>186</v>
      </c>
      <c r="E643" s="8">
        <v>46232</v>
      </c>
      <c r="F643" s="5" t="s">
        <v>587</v>
      </c>
      <c r="G643" s="5" t="s">
        <v>588</v>
      </c>
      <c r="H643" s="22">
        <v>12800000</v>
      </c>
      <c r="I643" s="5" t="s">
        <v>589</v>
      </c>
      <c r="J643" s="5" t="s">
        <v>590</v>
      </c>
      <c r="K643" s="5" t="s">
        <v>547</v>
      </c>
      <c r="L643" s="5" t="s">
        <v>591</v>
      </c>
      <c r="M643" s="5" t="s">
        <v>581</v>
      </c>
      <c r="N643" s="5"/>
      <c r="O643" s="8"/>
      <c r="P643" s="22"/>
      <c r="Q643" s="5"/>
      <c r="R643" s="5" t="s">
        <v>557</v>
      </c>
      <c r="S643" s="5" t="s">
        <v>582</v>
      </c>
      <c r="T643" s="8">
        <v>46298</v>
      </c>
    </row>
    <row r="644" spans="1:20" ht="24" customHeight="1" x14ac:dyDescent="0.35">
      <c r="A644" s="1" t="s">
        <v>2187</v>
      </c>
      <c r="B644" s="1" t="s">
        <v>2188</v>
      </c>
      <c r="C644" s="1" t="s">
        <v>788</v>
      </c>
      <c r="D644" s="1" t="s">
        <v>2189</v>
      </c>
      <c r="E644" s="10">
        <v>46232</v>
      </c>
      <c r="F644" s="1" t="s">
        <v>771</v>
      </c>
      <c r="G644" s="1" t="s">
        <v>772</v>
      </c>
      <c r="H644" s="23"/>
      <c r="I644" s="1" t="s">
        <v>603</v>
      </c>
      <c r="J644" s="1" t="s">
        <v>546</v>
      </c>
      <c r="K644" s="1" t="s">
        <v>590</v>
      </c>
      <c r="L644" s="1" t="s">
        <v>640</v>
      </c>
      <c r="M644" s="1" t="s">
        <v>581</v>
      </c>
      <c r="N644" s="1"/>
      <c r="O644" s="10"/>
      <c r="P644" s="23"/>
      <c r="Q644" s="1" t="s">
        <v>773</v>
      </c>
      <c r="R644" s="1" t="s">
        <v>557</v>
      </c>
      <c r="S644" s="1" t="s">
        <v>582</v>
      </c>
      <c r="T644" s="10">
        <v>46298</v>
      </c>
    </row>
    <row r="645" spans="1:20" ht="24" customHeight="1" x14ac:dyDescent="0.35">
      <c r="A645" s="5" t="s">
        <v>2190</v>
      </c>
      <c r="B645" s="5" t="s">
        <v>2191</v>
      </c>
      <c r="C645" s="5" t="s">
        <v>639</v>
      </c>
      <c r="D645" s="5" t="s">
        <v>791</v>
      </c>
      <c r="E645" s="8">
        <v>46232</v>
      </c>
      <c r="F645" s="5" t="s">
        <v>587</v>
      </c>
      <c r="G645" s="5" t="s">
        <v>588</v>
      </c>
      <c r="H645" s="22">
        <v>1300000</v>
      </c>
      <c r="I645" s="5" t="s">
        <v>589</v>
      </c>
      <c r="J645" s="5" t="s">
        <v>548</v>
      </c>
      <c r="K645" s="5" t="s">
        <v>548</v>
      </c>
      <c r="L645" s="5" t="s">
        <v>149</v>
      </c>
      <c r="M645" s="5" t="s">
        <v>581</v>
      </c>
      <c r="N645" s="5"/>
      <c r="O645" s="8"/>
      <c r="P645" s="22"/>
      <c r="Q645" s="5"/>
      <c r="R645" s="5" t="s">
        <v>557</v>
      </c>
      <c r="S645" s="5" t="s">
        <v>582</v>
      </c>
      <c r="T645" s="8">
        <v>46298</v>
      </c>
    </row>
    <row r="646" spans="1:20" ht="24" customHeight="1" x14ac:dyDescent="0.35">
      <c r="A646" s="1" t="s">
        <v>2192</v>
      </c>
      <c r="B646" s="1" t="s">
        <v>2193</v>
      </c>
      <c r="C646" s="1" t="s">
        <v>157</v>
      </c>
      <c r="D646" s="1" t="s">
        <v>299</v>
      </c>
      <c r="E646" s="10">
        <v>46232</v>
      </c>
      <c r="F646" s="1" t="s">
        <v>771</v>
      </c>
      <c r="G646" s="1" t="s">
        <v>772</v>
      </c>
      <c r="H646" s="23"/>
      <c r="I646" s="1" t="s">
        <v>603</v>
      </c>
      <c r="J646" s="1" t="s">
        <v>546</v>
      </c>
      <c r="K646" s="1" t="s">
        <v>546</v>
      </c>
      <c r="L646" s="1" t="s">
        <v>149</v>
      </c>
      <c r="M646" s="1" t="s">
        <v>581</v>
      </c>
      <c r="N646" s="1"/>
      <c r="O646" s="10"/>
      <c r="P646" s="23"/>
      <c r="Q646" s="1" t="s">
        <v>1107</v>
      </c>
      <c r="R646" s="1" t="s">
        <v>557</v>
      </c>
      <c r="S646" s="1" t="s">
        <v>582</v>
      </c>
      <c r="T646" s="10">
        <v>46298</v>
      </c>
    </row>
    <row r="647" spans="1:20" ht="24" customHeight="1" x14ac:dyDescent="0.35">
      <c r="A647" s="5" t="s">
        <v>2194</v>
      </c>
      <c r="B647" s="5" t="s">
        <v>2195</v>
      </c>
      <c r="C647" s="5" t="s">
        <v>1099</v>
      </c>
      <c r="D647" s="5" t="s">
        <v>299</v>
      </c>
      <c r="E647" s="8">
        <v>46232</v>
      </c>
      <c r="F647" s="5" t="s">
        <v>578</v>
      </c>
      <c r="G647" s="5" t="s">
        <v>579</v>
      </c>
      <c r="H647" s="22"/>
      <c r="I647" s="5" t="s">
        <v>580</v>
      </c>
      <c r="J647" s="5" t="s">
        <v>545</v>
      </c>
      <c r="K647" s="5" t="s">
        <v>546</v>
      </c>
      <c r="L647" s="5" t="s">
        <v>149</v>
      </c>
      <c r="M647" s="5" t="s">
        <v>581</v>
      </c>
      <c r="N647" s="5"/>
      <c r="O647" s="8"/>
      <c r="P647" s="22"/>
      <c r="Q647" s="5"/>
      <c r="R647" s="5" t="s">
        <v>557</v>
      </c>
      <c r="S647" s="5" t="s">
        <v>582</v>
      </c>
      <c r="T647" s="8">
        <v>46298</v>
      </c>
    </row>
    <row r="648" spans="1:20" ht="24" customHeight="1" x14ac:dyDescent="0.35">
      <c r="A648" s="1" t="s">
        <v>2196</v>
      </c>
      <c r="B648" s="1" t="s">
        <v>2197</v>
      </c>
      <c r="C648" s="1" t="s">
        <v>2198</v>
      </c>
      <c r="D648" s="1" t="s">
        <v>856</v>
      </c>
      <c r="E648" s="10">
        <v>46232</v>
      </c>
      <c r="F648" s="1" t="s">
        <v>587</v>
      </c>
      <c r="G648" s="1" t="s">
        <v>588</v>
      </c>
      <c r="H648" s="23">
        <v>7700000</v>
      </c>
      <c r="I648" s="1" t="s">
        <v>589</v>
      </c>
      <c r="J648" s="1" t="s">
        <v>590</v>
      </c>
      <c r="K648" s="1" t="s">
        <v>546</v>
      </c>
      <c r="L648" s="1" t="s">
        <v>608</v>
      </c>
      <c r="M648" s="1" t="s">
        <v>581</v>
      </c>
      <c r="N648" s="1"/>
      <c r="O648" s="10"/>
      <c r="P648" s="23"/>
      <c r="Q648" s="1"/>
      <c r="R648" s="1" t="s">
        <v>557</v>
      </c>
      <c r="S648" s="1" t="s">
        <v>582</v>
      </c>
      <c r="T648" s="10">
        <v>46298</v>
      </c>
    </row>
    <row r="649" spans="1:20" ht="24" customHeight="1" x14ac:dyDescent="0.35">
      <c r="A649" s="5" t="s">
        <v>2199</v>
      </c>
      <c r="B649" s="5" t="s">
        <v>2200</v>
      </c>
      <c r="C649" s="5" t="s">
        <v>856</v>
      </c>
      <c r="D649" s="5" t="s">
        <v>1820</v>
      </c>
      <c r="E649" s="8">
        <v>46230</v>
      </c>
      <c r="F649" s="5" t="s">
        <v>771</v>
      </c>
      <c r="G649" s="5" t="s">
        <v>772</v>
      </c>
      <c r="H649" s="22"/>
      <c r="I649" s="5" t="s">
        <v>603</v>
      </c>
      <c r="J649" s="5" t="s">
        <v>546</v>
      </c>
      <c r="K649" s="5" t="s">
        <v>590</v>
      </c>
      <c r="L649" s="5" t="s">
        <v>640</v>
      </c>
      <c r="M649" s="5" t="s">
        <v>581</v>
      </c>
      <c r="N649" s="5"/>
      <c r="O649" s="8"/>
      <c r="P649" s="22"/>
      <c r="Q649" s="5" t="s">
        <v>773</v>
      </c>
      <c r="R649" s="5" t="s">
        <v>557</v>
      </c>
      <c r="S649" s="5" t="s">
        <v>582</v>
      </c>
      <c r="T649" s="8">
        <v>46298</v>
      </c>
    </row>
    <row r="650" spans="1:20" ht="24" customHeight="1" x14ac:dyDescent="0.35">
      <c r="A650" s="1" t="s">
        <v>2201</v>
      </c>
      <c r="B650" s="1" t="s">
        <v>2202</v>
      </c>
      <c r="C650" s="1" t="s">
        <v>198</v>
      </c>
      <c r="D650" s="1" t="s">
        <v>818</v>
      </c>
      <c r="E650" s="10">
        <v>46232</v>
      </c>
      <c r="F650" s="1" t="s">
        <v>601</v>
      </c>
      <c r="G650" s="1" t="s">
        <v>602</v>
      </c>
      <c r="H650" s="23"/>
      <c r="I650" s="1" t="s">
        <v>603</v>
      </c>
      <c r="J650" s="1" t="s">
        <v>546</v>
      </c>
      <c r="K650" s="1" t="s">
        <v>590</v>
      </c>
      <c r="L650" s="1" t="s">
        <v>608</v>
      </c>
      <c r="M650" s="1" t="s">
        <v>581</v>
      </c>
      <c r="N650" s="1"/>
      <c r="O650" s="10"/>
      <c r="P650" s="23"/>
      <c r="Q650" s="1"/>
      <c r="R650" s="1" t="s">
        <v>557</v>
      </c>
      <c r="S650" s="1" t="s">
        <v>582</v>
      </c>
      <c r="T650" s="10">
        <v>46298</v>
      </c>
    </row>
    <row r="651" spans="1:20" ht="24" customHeight="1" x14ac:dyDescent="0.35">
      <c r="A651" s="5" t="s">
        <v>2203</v>
      </c>
      <c r="B651" s="5" t="s">
        <v>2204</v>
      </c>
      <c r="C651" s="5" t="s">
        <v>210</v>
      </c>
      <c r="D651" s="5" t="s">
        <v>103</v>
      </c>
      <c r="E651" s="8">
        <v>46233</v>
      </c>
      <c r="F651" s="5" t="s">
        <v>587</v>
      </c>
      <c r="G651" s="5" t="s">
        <v>588</v>
      </c>
      <c r="H651" s="22">
        <v>52000000</v>
      </c>
      <c r="I651" s="5" t="s">
        <v>589</v>
      </c>
      <c r="J651" s="5" t="s">
        <v>544</v>
      </c>
      <c r="K651" s="5" t="s">
        <v>544</v>
      </c>
      <c r="L651" s="5" t="s">
        <v>149</v>
      </c>
      <c r="M651" s="5" t="s">
        <v>581</v>
      </c>
      <c r="N651" s="5"/>
      <c r="O651" s="8"/>
      <c r="P651" s="22"/>
      <c r="Q651" s="5"/>
      <c r="R651" s="5" t="s">
        <v>557</v>
      </c>
      <c r="S651" s="5" t="s">
        <v>582</v>
      </c>
      <c r="T651" s="8">
        <v>46298</v>
      </c>
    </row>
    <row r="652" spans="1:20" ht="24" customHeight="1" x14ac:dyDescent="0.35">
      <c r="A652" s="1" t="s">
        <v>2205</v>
      </c>
      <c r="B652" s="1" t="s">
        <v>477</v>
      </c>
      <c r="C652" s="1" t="s">
        <v>856</v>
      </c>
      <c r="D652" s="1" t="s">
        <v>198</v>
      </c>
      <c r="E652" s="10">
        <v>46233</v>
      </c>
      <c r="F652" s="1" t="s">
        <v>587</v>
      </c>
      <c r="G652" s="1" t="s">
        <v>588</v>
      </c>
      <c r="H652" s="23">
        <v>29980000</v>
      </c>
      <c r="I652" s="1" t="s">
        <v>589</v>
      </c>
      <c r="J652" s="1" t="s">
        <v>546</v>
      </c>
      <c r="K652" s="1" t="s">
        <v>546</v>
      </c>
      <c r="L652" s="1" t="s">
        <v>640</v>
      </c>
      <c r="M652" s="1" t="s">
        <v>581</v>
      </c>
      <c r="N652" s="1"/>
      <c r="O652" s="10"/>
      <c r="P652" s="23"/>
      <c r="Q652" s="1"/>
      <c r="R652" s="1" t="s">
        <v>557</v>
      </c>
      <c r="S652" s="1" t="s">
        <v>582</v>
      </c>
      <c r="T652" s="10">
        <v>46298</v>
      </c>
    </row>
    <row r="653" spans="1:20" ht="24" customHeight="1" x14ac:dyDescent="0.35">
      <c r="A653" s="5" t="s">
        <v>2206</v>
      </c>
      <c r="B653" s="5" t="s">
        <v>2207</v>
      </c>
      <c r="C653" s="5" t="s">
        <v>210</v>
      </c>
      <c r="D653" s="5" t="s">
        <v>2208</v>
      </c>
      <c r="E653" s="8">
        <v>46232</v>
      </c>
      <c r="F653" s="5" t="s">
        <v>587</v>
      </c>
      <c r="G653" s="5" t="s">
        <v>588</v>
      </c>
      <c r="H653" s="22">
        <v>5000000</v>
      </c>
      <c r="I653" s="5" t="s">
        <v>589</v>
      </c>
      <c r="J653" s="5" t="s">
        <v>544</v>
      </c>
      <c r="K653" s="5" t="s">
        <v>590</v>
      </c>
      <c r="L653" s="5" t="s">
        <v>149</v>
      </c>
      <c r="M653" s="5" t="s">
        <v>581</v>
      </c>
      <c r="N653" s="5"/>
      <c r="O653" s="8"/>
      <c r="P653" s="22"/>
      <c r="Q653" s="5"/>
      <c r="R653" s="5" t="s">
        <v>557</v>
      </c>
      <c r="S653" s="5" t="s">
        <v>582</v>
      </c>
      <c r="T653" s="8">
        <v>46298</v>
      </c>
    </row>
    <row r="654" spans="1:20" ht="24" customHeight="1" x14ac:dyDescent="0.35">
      <c r="A654" s="1" t="s">
        <v>2209</v>
      </c>
      <c r="B654" s="1" t="s">
        <v>2210</v>
      </c>
      <c r="C654" s="1" t="s">
        <v>469</v>
      </c>
      <c r="D654" s="1" t="s">
        <v>2211</v>
      </c>
      <c r="E654" s="10">
        <v>46233</v>
      </c>
      <c r="F654" s="1" t="s">
        <v>601</v>
      </c>
      <c r="G654" s="1" t="s">
        <v>602</v>
      </c>
      <c r="H654" s="23"/>
      <c r="I654" s="1" t="s">
        <v>603</v>
      </c>
      <c r="J654" s="1" t="s">
        <v>544</v>
      </c>
      <c r="K654" s="1" t="s">
        <v>590</v>
      </c>
      <c r="L654" s="1" t="s">
        <v>149</v>
      </c>
      <c r="M654" s="1" t="s">
        <v>581</v>
      </c>
      <c r="N654" s="1"/>
      <c r="O654" s="10"/>
      <c r="P654" s="23"/>
      <c r="Q654" s="1"/>
      <c r="R654" s="1" t="s">
        <v>557</v>
      </c>
      <c r="S654" s="1" t="s">
        <v>582</v>
      </c>
      <c r="T654" s="10">
        <v>46298</v>
      </c>
    </row>
    <row r="655" spans="1:20" ht="24" customHeight="1" x14ac:dyDescent="0.35">
      <c r="A655" s="5" t="s">
        <v>2212</v>
      </c>
      <c r="B655" s="5" t="s">
        <v>2213</v>
      </c>
      <c r="C655" s="5" t="s">
        <v>2214</v>
      </c>
      <c r="D655" s="5" t="s">
        <v>529</v>
      </c>
      <c r="E655" s="8">
        <v>46233</v>
      </c>
      <c r="F655" s="5" t="s">
        <v>771</v>
      </c>
      <c r="G655" s="5" t="s">
        <v>772</v>
      </c>
      <c r="H655" s="22"/>
      <c r="I655" s="5" t="s">
        <v>603</v>
      </c>
      <c r="J655" s="5" t="s">
        <v>590</v>
      </c>
      <c r="K655" s="5" t="s">
        <v>547</v>
      </c>
      <c r="L655" s="5" t="s">
        <v>149</v>
      </c>
      <c r="M655" s="5" t="s">
        <v>581</v>
      </c>
      <c r="N655" s="5"/>
      <c r="O655" s="8"/>
      <c r="P655" s="22"/>
      <c r="Q655" s="5" t="s">
        <v>1008</v>
      </c>
      <c r="R655" s="5" t="s">
        <v>557</v>
      </c>
      <c r="S655" s="5" t="s">
        <v>582</v>
      </c>
      <c r="T655" s="8">
        <v>46298</v>
      </c>
    </row>
    <row r="656" spans="1:20" ht="24" customHeight="1" x14ac:dyDescent="0.35">
      <c r="A656" s="1" t="s">
        <v>2215</v>
      </c>
      <c r="B656" s="1" t="s">
        <v>2216</v>
      </c>
      <c r="C656" s="1" t="s">
        <v>651</v>
      </c>
      <c r="D656" s="1" t="s">
        <v>1272</v>
      </c>
      <c r="E656" s="10">
        <v>46233</v>
      </c>
      <c r="F656" s="1" t="s">
        <v>771</v>
      </c>
      <c r="G656" s="1" t="s">
        <v>772</v>
      </c>
      <c r="H656" s="23"/>
      <c r="I656" s="1" t="s">
        <v>603</v>
      </c>
      <c r="J656" s="1" t="s">
        <v>548</v>
      </c>
      <c r="K656" s="1" t="s">
        <v>548</v>
      </c>
      <c r="L656" s="1" t="s">
        <v>149</v>
      </c>
      <c r="M656" s="1" t="s">
        <v>581</v>
      </c>
      <c r="N656" s="1"/>
      <c r="O656" s="10"/>
      <c r="P656" s="23"/>
      <c r="Q656" s="1" t="s">
        <v>773</v>
      </c>
      <c r="R656" s="1" t="s">
        <v>557</v>
      </c>
      <c r="S656" s="1" t="s">
        <v>582</v>
      </c>
      <c r="T656" s="10">
        <v>46298</v>
      </c>
    </row>
    <row r="657" spans="1:20" ht="24" customHeight="1" x14ac:dyDescent="0.35">
      <c r="A657" s="5" t="s">
        <v>2217</v>
      </c>
      <c r="B657" s="5" t="s">
        <v>2218</v>
      </c>
      <c r="C657" s="5" t="s">
        <v>778</v>
      </c>
      <c r="D657" s="5" t="s">
        <v>95</v>
      </c>
      <c r="E657" s="8">
        <v>46233</v>
      </c>
      <c r="F657" s="5" t="s">
        <v>587</v>
      </c>
      <c r="G657" s="5" t="s">
        <v>588</v>
      </c>
      <c r="H657" s="22">
        <v>21400000</v>
      </c>
      <c r="I657" s="5" t="s">
        <v>589</v>
      </c>
      <c r="J657" s="5" t="s">
        <v>590</v>
      </c>
      <c r="K657" s="5" t="s">
        <v>548</v>
      </c>
      <c r="L657" s="5" t="s">
        <v>640</v>
      </c>
      <c r="M657" s="5" t="s">
        <v>581</v>
      </c>
      <c r="N657" s="5"/>
      <c r="O657" s="8"/>
      <c r="P657" s="22"/>
      <c r="Q657" s="5"/>
      <c r="R657" s="5" t="s">
        <v>557</v>
      </c>
      <c r="S657" s="5" t="s">
        <v>582</v>
      </c>
      <c r="T657" s="8">
        <v>46298</v>
      </c>
    </row>
    <row r="658" spans="1:20" ht="24" customHeight="1" x14ac:dyDescent="0.35">
      <c r="A658" s="1" t="s">
        <v>2219</v>
      </c>
      <c r="B658" s="1" t="s">
        <v>2220</v>
      </c>
      <c r="C658" s="1" t="s">
        <v>2007</v>
      </c>
      <c r="D658" s="1" t="s">
        <v>374</v>
      </c>
      <c r="E658" s="10">
        <v>46233</v>
      </c>
      <c r="F658" s="1" t="s">
        <v>601</v>
      </c>
      <c r="G658" s="1" t="s">
        <v>602</v>
      </c>
      <c r="H658" s="23"/>
      <c r="I658" s="1" t="s">
        <v>603</v>
      </c>
      <c r="J658" s="1" t="s">
        <v>590</v>
      </c>
      <c r="K658" s="1" t="s">
        <v>544</v>
      </c>
      <c r="L658" s="1" t="s">
        <v>608</v>
      </c>
      <c r="M658" s="1" t="s">
        <v>581</v>
      </c>
      <c r="N658" s="1"/>
      <c r="O658" s="10"/>
      <c r="P658" s="23"/>
      <c r="Q658" s="1"/>
      <c r="R658" s="1" t="s">
        <v>557</v>
      </c>
      <c r="S658" s="1" t="s">
        <v>582</v>
      </c>
      <c r="T658" s="10">
        <v>46298</v>
      </c>
    </row>
    <row r="659" spans="1:20" ht="24" customHeight="1" x14ac:dyDescent="0.35">
      <c r="A659" s="5" t="s">
        <v>2221</v>
      </c>
      <c r="B659" s="5" t="s">
        <v>2222</v>
      </c>
      <c r="C659" s="5" t="s">
        <v>95</v>
      </c>
      <c r="D659" s="5" t="s">
        <v>791</v>
      </c>
      <c r="E659" s="8">
        <v>46233</v>
      </c>
      <c r="F659" s="5" t="s">
        <v>601</v>
      </c>
      <c r="G659" s="5" t="s">
        <v>602</v>
      </c>
      <c r="H659" s="22"/>
      <c r="I659" s="5" t="s">
        <v>603</v>
      </c>
      <c r="J659" s="5" t="s">
        <v>548</v>
      </c>
      <c r="K659" s="5" t="s">
        <v>548</v>
      </c>
      <c r="L659" s="5" t="s">
        <v>640</v>
      </c>
      <c r="M659" s="5" t="s">
        <v>581</v>
      </c>
      <c r="N659" s="5"/>
      <c r="O659" s="8"/>
      <c r="P659" s="22"/>
      <c r="Q659" s="5"/>
      <c r="R659" s="5" t="s">
        <v>557</v>
      </c>
      <c r="S659" s="5" t="s">
        <v>582</v>
      </c>
      <c r="T659" s="8">
        <v>46298</v>
      </c>
    </row>
    <row r="660" spans="1:20" ht="24" customHeight="1" x14ac:dyDescent="0.35">
      <c r="A660" s="1" t="s">
        <v>2223</v>
      </c>
      <c r="B660" s="1" t="s">
        <v>2224</v>
      </c>
      <c r="C660" s="1" t="s">
        <v>299</v>
      </c>
      <c r="D660" s="1" t="s">
        <v>1864</v>
      </c>
      <c r="E660" s="10">
        <v>46233</v>
      </c>
      <c r="F660" s="1" t="s">
        <v>771</v>
      </c>
      <c r="G660" s="1" t="s">
        <v>772</v>
      </c>
      <c r="H660" s="23"/>
      <c r="I660" s="1" t="s">
        <v>603</v>
      </c>
      <c r="J660" s="1" t="s">
        <v>546</v>
      </c>
      <c r="K660" s="1" t="s">
        <v>590</v>
      </c>
      <c r="L660" s="1" t="s">
        <v>149</v>
      </c>
      <c r="M660" s="1" t="s">
        <v>581</v>
      </c>
      <c r="N660" s="1"/>
      <c r="O660" s="10"/>
      <c r="P660" s="23"/>
      <c r="Q660" s="1" t="s">
        <v>773</v>
      </c>
      <c r="R660" s="1" t="s">
        <v>557</v>
      </c>
      <c r="S660" s="1" t="s">
        <v>582</v>
      </c>
      <c r="T660" s="10">
        <v>46298</v>
      </c>
    </row>
    <row r="661" spans="1:20" ht="24" customHeight="1" x14ac:dyDescent="0.35">
      <c r="A661" s="5" t="s">
        <v>2225</v>
      </c>
      <c r="B661" s="5" t="s">
        <v>2226</v>
      </c>
      <c r="C661" s="5" t="s">
        <v>802</v>
      </c>
      <c r="D661" s="5" t="s">
        <v>1414</v>
      </c>
      <c r="E661" s="8">
        <v>46233</v>
      </c>
      <c r="F661" s="5" t="s">
        <v>771</v>
      </c>
      <c r="G661" s="5" t="s">
        <v>772</v>
      </c>
      <c r="H661" s="22"/>
      <c r="I661" s="5" t="s">
        <v>603</v>
      </c>
      <c r="J661" s="5" t="s">
        <v>546</v>
      </c>
      <c r="K661" s="5" t="s">
        <v>590</v>
      </c>
      <c r="L661" s="5" t="s">
        <v>640</v>
      </c>
      <c r="M661" s="5" t="s">
        <v>581</v>
      </c>
      <c r="N661" s="5"/>
      <c r="O661" s="8"/>
      <c r="P661" s="22"/>
      <c r="Q661" s="5" t="s">
        <v>773</v>
      </c>
      <c r="R661" s="5" t="s">
        <v>557</v>
      </c>
      <c r="S661" s="5" t="s">
        <v>582</v>
      </c>
      <c r="T661" s="8">
        <v>46298</v>
      </c>
    </row>
    <row r="662" spans="1:20" ht="24" customHeight="1" x14ac:dyDescent="0.35">
      <c r="A662" s="1" t="s">
        <v>2227</v>
      </c>
      <c r="B662" s="1" t="s">
        <v>2228</v>
      </c>
      <c r="C662" s="1" t="s">
        <v>198</v>
      </c>
      <c r="D662" s="1" t="s">
        <v>856</v>
      </c>
      <c r="E662" s="10">
        <v>46233</v>
      </c>
      <c r="F662" s="1" t="s">
        <v>771</v>
      </c>
      <c r="G662" s="1" t="s">
        <v>772</v>
      </c>
      <c r="H662" s="23"/>
      <c r="I662" s="1" t="s">
        <v>603</v>
      </c>
      <c r="J662" s="1" t="s">
        <v>546</v>
      </c>
      <c r="K662" s="1" t="s">
        <v>546</v>
      </c>
      <c r="L662" s="1" t="s">
        <v>640</v>
      </c>
      <c r="M662" s="1" t="s">
        <v>581</v>
      </c>
      <c r="N662" s="1"/>
      <c r="O662" s="10"/>
      <c r="P662" s="23"/>
      <c r="Q662" s="1" t="s">
        <v>2229</v>
      </c>
      <c r="R662" s="1" t="s">
        <v>557</v>
      </c>
      <c r="S662" s="1" t="s">
        <v>582</v>
      </c>
      <c r="T662" s="10">
        <v>46298</v>
      </c>
    </row>
    <row r="663" spans="1:20" ht="24" customHeight="1" x14ac:dyDescent="0.35">
      <c r="A663" s="5" t="s">
        <v>2230</v>
      </c>
      <c r="B663" s="5" t="s">
        <v>2231</v>
      </c>
      <c r="C663" s="5" t="s">
        <v>743</v>
      </c>
      <c r="D663" s="5" t="s">
        <v>114</v>
      </c>
      <c r="E663" s="8">
        <v>46234</v>
      </c>
      <c r="F663" s="5" t="s">
        <v>587</v>
      </c>
      <c r="G663" s="5" t="s">
        <v>588</v>
      </c>
      <c r="H663" s="22">
        <v>21400000</v>
      </c>
      <c r="I663" s="5" t="s">
        <v>589</v>
      </c>
      <c r="J663" s="5" t="s">
        <v>545</v>
      </c>
      <c r="K663" s="5" t="s">
        <v>545</v>
      </c>
      <c r="L663" s="5" t="s">
        <v>640</v>
      </c>
      <c r="M663" s="5" t="s">
        <v>581</v>
      </c>
      <c r="N663" s="5"/>
      <c r="O663" s="8"/>
      <c r="P663" s="22"/>
      <c r="Q663" s="5"/>
      <c r="R663" s="5" t="s">
        <v>557</v>
      </c>
      <c r="S663" s="5" t="s">
        <v>582</v>
      </c>
      <c r="T663" s="8">
        <v>46298</v>
      </c>
    </row>
    <row r="664" spans="1:20" ht="24" customHeight="1" x14ac:dyDescent="0.35">
      <c r="A664" s="1" t="s">
        <v>2232</v>
      </c>
      <c r="B664" s="1" t="s">
        <v>2233</v>
      </c>
      <c r="C664" s="1" t="s">
        <v>681</v>
      </c>
      <c r="D664" s="1" t="s">
        <v>2234</v>
      </c>
      <c r="E664" s="10">
        <v>46233</v>
      </c>
      <c r="F664" s="1" t="s">
        <v>601</v>
      </c>
      <c r="G664" s="1" t="s">
        <v>602</v>
      </c>
      <c r="H664" s="23"/>
      <c r="I664" s="1" t="s">
        <v>603</v>
      </c>
      <c r="J664" s="1" t="s">
        <v>548</v>
      </c>
      <c r="K664" s="1" t="s">
        <v>590</v>
      </c>
      <c r="L664" s="1" t="s">
        <v>149</v>
      </c>
      <c r="M664" s="1" t="s">
        <v>581</v>
      </c>
      <c r="N664" s="1"/>
      <c r="O664" s="10"/>
      <c r="P664" s="23"/>
      <c r="Q664" s="1"/>
      <c r="R664" s="1" t="s">
        <v>557</v>
      </c>
      <c r="S664" s="1" t="s">
        <v>582</v>
      </c>
      <c r="T664" s="10">
        <v>46298</v>
      </c>
    </row>
    <row r="665" spans="1:20" ht="24" customHeight="1" x14ac:dyDescent="0.35">
      <c r="A665" s="5" t="s">
        <v>2235</v>
      </c>
      <c r="B665" s="5" t="s">
        <v>2236</v>
      </c>
      <c r="C665" s="5" t="s">
        <v>95</v>
      </c>
      <c r="D665" s="5" t="s">
        <v>1052</v>
      </c>
      <c r="E665" s="8">
        <v>46233</v>
      </c>
      <c r="F665" s="5" t="s">
        <v>771</v>
      </c>
      <c r="G665" s="5" t="s">
        <v>772</v>
      </c>
      <c r="H665" s="22"/>
      <c r="I665" s="5" t="s">
        <v>603</v>
      </c>
      <c r="J665" s="5" t="s">
        <v>548</v>
      </c>
      <c r="K665" s="5" t="s">
        <v>590</v>
      </c>
      <c r="L665" s="5" t="s">
        <v>640</v>
      </c>
      <c r="M665" s="5" t="s">
        <v>581</v>
      </c>
      <c r="N665" s="5"/>
      <c r="O665" s="8"/>
      <c r="P665" s="22"/>
      <c r="Q665" s="5" t="s">
        <v>773</v>
      </c>
      <c r="R665" s="5" t="s">
        <v>557</v>
      </c>
      <c r="S665" s="5" t="s">
        <v>582</v>
      </c>
      <c r="T665" s="8">
        <v>46298</v>
      </c>
    </row>
    <row r="666" spans="1:20" ht="24" customHeight="1" x14ac:dyDescent="0.35">
      <c r="A666" s="1" t="s">
        <v>2237</v>
      </c>
      <c r="B666" s="1" t="s">
        <v>2238</v>
      </c>
      <c r="C666" s="1" t="s">
        <v>157</v>
      </c>
      <c r="D666" s="1" t="s">
        <v>620</v>
      </c>
      <c r="E666" s="10">
        <v>46233</v>
      </c>
      <c r="F666" s="1" t="s">
        <v>771</v>
      </c>
      <c r="G666" s="1" t="s">
        <v>772</v>
      </c>
      <c r="H666" s="23"/>
      <c r="I666" s="1" t="s">
        <v>603</v>
      </c>
      <c r="J666" s="1" t="s">
        <v>546</v>
      </c>
      <c r="K666" s="1" t="s">
        <v>546</v>
      </c>
      <c r="L666" s="1" t="s">
        <v>149</v>
      </c>
      <c r="M666" s="1" t="s">
        <v>581</v>
      </c>
      <c r="N666" s="1"/>
      <c r="O666" s="10"/>
      <c r="P666" s="23"/>
      <c r="Q666" s="1" t="s">
        <v>773</v>
      </c>
      <c r="R666" s="1" t="s">
        <v>557</v>
      </c>
      <c r="S666" s="1" t="s">
        <v>582</v>
      </c>
      <c r="T666" s="10">
        <v>46298</v>
      </c>
    </row>
    <row r="667" spans="1:20" ht="24" customHeight="1" x14ac:dyDescent="0.35">
      <c r="A667" s="5" t="s">
        <v>2239</v>
      </c>
      <c r="B667" s="5" t="s">
        <v>2240</v>
      </c>
      <c r="C667" s="5" t="s">
        <v>299</v>
      </c>
      <c r="D667" s="5" t="s">
        <v>733</v>
      </c>
      <c r="E667" s="8">
        <v>46234</v>
      </c>
      <c r="F667" s="5" t="s">
        <v>578</v>
      </c>
      <c r="G667" s="5" t="s">
        <v>579</v>
      </c>
      <c r="H667" s="22"/>
      <c r="I667" s="5" t="s">
        <v>580</v>
      </c>
      <c r="J667" s="5" t="s">
        <v>546</v>
      </c>
      <c r="K667" s="5" t="s">
        <v>545</v>
      </c>
      <c r="L667" s="5" t="s">
        <v>149</v>
      </c>
      <c r="M667" s="5" t="s">
        <v>581</v>
      </c>
      <c r="N667" s="5"/>
      <c r="O667" s="8"/>
      <c r="P667" s="22"/>
      <c r="Q667" s="5"/>
      <c r="R667" s="5" t="s">
        <v>557</v>
      </c>
      <c r="S667" s="5" t="s">
        <v>582</v>
      </c>
      <c r="T667" s="8">
        <v>46298</v>
      </c>
    </row>
    <row r="668" spans="1:20" ht="24" customHeight="1" x14ac:dyDescent="0.35">
      <c r="A668" s="1" t="s">
        <v>2241</v>
      </c>
      <c r="B668" s="1" t="s">
        <v>2242</v>
      </c>
      <c r="C668" s="1" t="s">
        <v>1044</v>
      </c>
      <c r="D668" s="1" t="s">
        <v>614</v>
      </c>
      <c r="E668" s="10">
        <v>46234</v>
      </c>
      <c r="F668" s="1" t="s">
        <v>771</v>
      </c>
      <c r="G668" s="1" t="s">
        <v>772</v>
      </c>
      <c r="H668" s="23"/>
      <c r="I668" s="1" t="s">
        <v>603</v>
      </c>
      <c r="J668" s="1" t="s">
        <v>590</v>
      </c>
      <c r="K668" s="1" t="s">
        <v>546</v>
      </c>
      <c r="L668" s="1" t="s">
        <v>640</v>
      </c>
      <c r="M668" s="1" t="s">
        <v>581</v>
      </c>
      <c r="N668" s="1"/>
      <c r="O668" s="10"/>
      <c r="P668" s="23"/>
      <c r="Q668" s="1" t="s">
        <v>2229</v>
      </c>
      <c r="R668" s="1" t="s">
        <v>557</v>
      </c>
      <c r="S668" s="1" t="s">
        <v>582</v>
      </c>
      <c r="T668" s="10">
        <v>46298</v>
      </c>
    </row>
    <row r="669" spans="1:20" ht="24" customHeight="1" x14ac:dyDescent="0.35">
      <c r="A669" s="5" t="s">
        <v>2243</v>
      </c>
      <c r="B669" s="5" t="s">
        <v>2244</v>
      </c>
      <c r="C669" s="5" t="s">
        <v>103</v>
      </c>
      <c r="D669" s="5" t="s">
        <v>2245</v>
      </c>
      <c r="E669" s="8">
        <v>46234</v>
      </c>
      <c r="F669" s="5" t="s">
        <v>771</v>
      </c>
      <c r="G669" s="5" t="s">
        <v>772</v>
      </c>
      <c r="H669" s="22"/>
      <c r="I669" s="5" t="s">
        <v>603</v>
      </c>
      <c r="J669" s="5" t="s">
        <v>544</v>
      </c>
      <c r="K669" s="5" t="s">
        <v>590</v>
      </c>
      <c r="L669" s="5" t="s">
        <v>608</v>
      </c>
      <c r="M669" s="5" t="s">
        <v>581</v>
      </c>
      <c r="N669" s="5"/>
      <c r="O669" s="8"/>
      <c r="P669" s="22"/>
      <c r="Q669" s="5" t="s">
        <v>773</v>
      </c>
      <c r="R669" s="5" t="s">
        <v>557</v>
      </c>
      <c r="S669" s="5" t="s">
        <v>582</v>
      </c>
      <c r="T669" s="8">
        <v>46298</v>
      </c>
    </row>
    <row r="670" spans="1:20" ht="24" customHeight="1" x14ac:dyDescent="0.35">
      <c r="A670" s="1" t="s">
        <v>2246</v>
      </c>
      <c r="B670" s="1" t="s">
        <v>2247</v>
      </c>
      <c r="C670" s="1" t="s">
        <v>887</v>
      </c>
      <c r="D670" s="1" t="s">
        <v>791</v>
      </c>
      <c r="E670" s="10">
        <v>46234</v>
      </c>
      <c r="F670" s="1" t="s">
        <v>578</v>
      </c>
      <c r="G670" s="1" t="s">
        <v>579</v>
      </c>
      <c r="H670" s="23"/>
      <c r="I670" s="1" t="s">
        <v>580</v>
      </c>
      <c r="J670" s="1" t="s">
        <v>590</v>
      </c>
      <c r="K670" s="1" t="s">
        <v>548</v>
      </c>
      <c r="L670" s="1" t="s">
        <v>640</v>
      </c>
      <c r="M670" s="1" t="s">
        <v>581</v>
      </c>
      <c r="N670" s="1"/>
      <c r="O670" s="10"/>
      <c r="P670" s="23"/>
      <c r="Q670" s="1"/>
      <c r="R670" s="1" t="s">
        <v>557</v>
      </c>
      <c r="S670" s="1" t="s">
        <v>582</v>
      </c>
      <c r="T670" s="10">
        <v>46298</v>
      </c>
    </row>
    <row r="671" spans="1:20" ht="24" customHeight="1" x14ac:dyDescent="0.35">
      <c r="A671" s="5" t="s">
        <v>2248</v>
      </c>
      <c r="B671" s="5" t="s">
        <v>2249</v>
      </c>
      <c r="C671" s="5" t="s">
        <v>788</v>
      </c>
      <c r="D671" s="5" t="s">
        <v>1248</v>
      </c>
      <c r="E671" s="8">
        <v>46234</v>
      </c>
      <c r="F671" s="5" t="s">
        <v>601</v>
      </c>
      <c r="G671" s="5" t="s">
        <v>602</v>
      </c>
      <c r="H671" s="22"/>
      <c r="I671" s="5" t="s">
        <v>603</v>
      </c>
      <c r="J671" s="5" t="s">
        <v>546</v>
      </c>
      <c r="K671" s="5" t="s">
        <v>590</v>
      </c>
      <c r="L671" s="5" t="s">
        <v>608</v>
      </c>
      <c r="M671" s="5" t="s">
        <v>581</v>
      </c>
      <c r="N671" s="5"/>
      <c r="O671" s="8"/>
      <c r="P671" s="22"/>
      <c r="Q671" s="5"/>
      <c r="R671" s="5" t="s">
        <v>557</v>
      </c>
      <c r="S671" s="5" t="s">
        <v>582</v>
      </c>
      <c r="T671" s="8">
        <v>46298</v>
      </c>
    </row>
    <row r="672" spans="1:20" ht="24" customHeight="1" x14ac:dyDescent="0.35">
      <c r="A672" s="1" t="s">
        <v>2250</v>
      </c>
      <c r="B672" s="1" t="s">
        <v>2251</v>
      </c>
      <c r="C672" s="1" t="s">
        <v>1083</v>
      </c>
      <c r="D672" s="1" t="s">
        <v>1112</v>
      </c>
      <c r="E672" s="10">
        <v>46234</v>
      </c>
      <c r="F672" s="1" t="s">
        <v>771</v>
      </c>
      <c r="G672" s="1" t="s">
        <v>772</v>
      </c>
      <c r="H672" s="23"/>
      <c r="I672" s="1" t="s">
        <v>603</v>
      </c>
      <c r="J672" s="1" t="s">
        <v>544</v>
      </c>
      <c r="K672" s="1" t="s">
        <v>590</v>
      </c>
      <c r="L672" s="1" t="s">
        <v>640</v>
      </c>
      <c r="M672" s="1" t="s">
        <v>581</v>
      </c>
      <c r="N672" s="1"/>
      <c r="O672" s="10"/>
      <c r="P672" s="23"/>
      <c r="Q672" s="1" t="s">
        <v>773</v>
      </c>
      <c r="R672" s="1" t="s">
        <v>557</v>
      </c>
      <c r="S672" s="1" t="s">
        <v>582</v>
      </c>
      <c r="T672" s="10">
        <v>46298</v>
      </c>
    </row>
    <row r="673" spans="1:20" ht="24" customHeight="1" x14ac:dyDescent="0.35">
      <c r="A673" s="5" t="s">
        <v>2252</v>
      </c>
      <c r="B673" s="5" t="s">
        <v>2253</v>
      </c>
      <c r="C673" s="5" t="s">
        <v>856</v>
      </c>
      <c r="D673" s="5" t="s">
        <v>1248</v>
      </c>
      <c r="E673" s="8">
        <v>46234</v>
      </c>
      <c r="F673" s="5" t="s">
        <v>587</v>
      </c>
      <c r="G673" s="5" t="s">
        <v>588</v>
      </c>
      <c r="H673" s="22">
        <v>6000000</v>
      </c>
      <c r="I673" s="5" t="s">
        <v>589</v>
      </c>
      <c r="J673" s="5" t="s">
        <v>546</v>
      </c>
      <c r="K673" s="5" t="s">
        <v>590</v>
      </c>
      <c r="L673" s="5" t="s">
        <v>172</v>
      </c>
      <c r="M673" s="5" t="s">
        <v>581</v>
      </c>
      <c r="N673" s="5"/>
      <c r="O673" s="8"/>
      <c r="P673" s="22"/>
      <c r="Q673" s="5"/>
      <c r="R673" s="5" t="s">
        <v>557</v>
      </c>
      <c r="S673" s="5" t="s">
        <v>582</v>
      </c>
      <c r="T673" s="8">
        <v>46298</v>
      </c>
    </row>
    <row r="674" spans="1:20" ht="24" customHeight="1" x14ac:dyDescent="0.35">
      <c r="A674" s="1" t="s">
        <v>2254</v>
      </c>
      <c r="B674" s="1" t="s">
        <v>2255</v>
      </c>
      <c r="C674" s="1" t="s">
        <v>661</v>
      </c>
      <c r="D674" s="1" t="s">
        <v>2256</v>
      </c>
      <c r="E674" s="10">
        <v>46234</v>
      </c>
      <c r="F674" s="1" t="s">
        <v>601</v>
      </c>
      <c r="G674" s="1" t="s">
        <v>602</v>
      </c>
      <c r="H674" s="23"/>
      <c r="I674" s="1" t="s">
        <v>603</v>
      </c>
      <c r="J674" s="1" t="s">
        <v>546</v>
      </c>
      <c r="K674" s="1" t="s">
        <v>590</v>
      </c>
      <c r="L674" s="1" t="s">
        <v>149</v>
      </c>
      <c r="M674" s="1" t="s">
        <v>581</v>
      </c>
      <c r="N674" s="1"/>
      <c r="O674" s="10"/>
      <c r="P674" s="23"/>
      <c r="Q674" s="1"/>
      <c r="R674" s="1" t="s">
        <v>557</v>
      </c>
      <c r="S674" s="1" t="s">
        <v>582</v>
      </c>
      <c r="T674" s="10">
        <v>46298</v>
      </c>
    </row>
    <row r="675" spans="1:20" ht="24" customHeight="1" x14ac:dyDescent="0.35">
      <c r="A675" s="5" t="s">
        <v>2257</v>
      </c>
      <c r="B675" s="5" t="s">
        <v>2258</v>
      </c>
      <c r="C675" s="5" t="s">
        <v>144</v>
      </c>
      <c r="D675" s="5" t="s">
        <v>299</v>
      </c>
      <c r="E675" s="8">
        <v>46234</v>
      </c>
      <c r="F675" s="5" t="s">
        <v>587</v>
      </c>
      <c r="G675" s="5" t="s">
        <v>588</v>
      </c>
      <c r="H675" s="22">
        <v>2570000</v>
      </c>
      <c r="I675" s="5" t="s">
        <v>589</v>
      </c>
      <c r="J675" s="5" t="s">
        <v>590</v>
      </c>
      <c r="K675" s="5" t="s">
        <v>546</v>
      </c>
      <c r="L675" s="5" t="s">
        <v>608</v>
      </c>
      <c r="M675" s="5" t="s">
        <v>581</v>
      </c>
      <c r="N675" s="5"/>
      <c r="O675" s="8"/>
      <c r="P675" s="22"/>
      <c r="Q675" s="5"/>
      <c r="R675" s="5" t="s">
        <v>557</v>
      </c>
      <c r="S675" s="5" t="s">
        <v>582</v>
      </c>
      <c r="T675" s="8">
        <v>46298</v>
      </c>
    </row>
    <row r="676" spans="1:20" ht="24" customHeight="1" x14ac:dyDescent="0.35">
      <c r="A676" s="1" t="s">
        <v>2259</v>
      </c>
      <c r="B676" s="1" t="s">
        <v>2260</v>
      </c>
      <c r="C676" s="1" t="s">
        <v>401</v>
      </c>
      <c r="D676" s="1" t="s">
        <v>797</v>
      </c>
      <c r="E676" s="10">
        <v>46234</v>
      </c>
      <c r="F676" s="1" t="s">
        <v>587</v>
      </c>
      <c r="G676" s="1" t="s">
        <v>588</v>
      </c>
      <c r="H676" s="23">
        <v>1280000</v>
      </c>
      <c r="I676" s="1" t="s">
        <v>589</v>
      </c>
      <c r="J676" s="1" t="s">
        <v>547</v>
      </c>
      <c r="K676" s="1" t="s">
        <v>546</v>
      </c>
      <c r="L676" s="1" t="s">
        <v>591</v>
      </c>
      <c r="M676" s="1" t="s">
        <v>581</v>
      </c>
      <c r="N676" s="1"/>
      <c r="O676" s="10"/>
      <c r="P676" s="23"/>
      <c r="Q676" s="1"/>
      <c r="R676" s="1" t="s">
        <v>557</v>
      </c>
      <c r="S676" s="1" t="s">
        <v>582</v>
      </c>
      <c r="T676" s="10">
        <v>46298</v>
      </c>
    </row>
    <row r="677" spans="1:20" ht="24" customHeight="1" x14ac:dyDescent="0.35">
      <c r="A677" s="5" t="s">
        <v>2261</v>
      </c>
      <c r="B677" s="5" t="s">
        <v>2262</v>
      </c>
      <c r="C677" s="5" t="s">
        <v>785</v>
      </c>
      <c r="D677" s="5" t="s">
        <v>798</v>
      </c>
      <c r="E677" s="8">
        <v>46234</v>
      </c>
      <c r="F677" s="5" t="s">
        <v>601</v>
      </c>
      <c r="G677" s="5" t="s">
        <v>602</v>
      </c>
      <c r="H677" s="22"/>
      <c r="I677" s="5" t="s">
        <v>603</v>
      </c>
      <c r="J677" s="5" t="s">
        <v>548</v>
      </c>
      <c r="K677" s="5" t="s">
        <v>590</v>
      </c>
      <c r="L677" s="5" t="s">
        <v>149</v>
      </c>
      <c r="M677" s="5" t="s">
        <v>581</v>
      </c>
      <c r="N677" s="5"/>
      <c r="O677" s="8"/>
      <c r="P677" s="22"/>
      <c r="Q677" s="5"/>
      <c r="R677" s="5" t="s">
        <v>557</v>
      </c>
      <c r="S677" s="5" t="s">
        <v>582</v>
      </c>
      <c r="T677" s="8">
        <v>46298</v>
      </c>
    </row>
    <row r="678" spans="1:20" ht="24" customHeight="1" x14ac:dyDescent="0.35">
      <c r="A678" s="1" t="s">
        <v>2263</v>
      </c>
      <c r="B678" s="1" t="s">
        <v>2264</v>
      </c>
      <c r="C678" s="1" t="s">
        <v>401</v>
      </c>
      <c r="D678" s="1" t="s">
        <v>144</v>
      </c>
      <c r="E678" s="10">
        <v>46234</v>
      </c>
      <c r="F678" s="1" t="s">
        <v>578</v>
      </c>
      <c r="G678" s="1" t="s">
        <v>579</v>
      </c>
      <c r="H678" s="23"/>
      <c r="I678" s="1" t="s">
        <v>580</v>
      </c>
      <c r="J678" s="1" t="s">
        <v>547</v>
      </c>
      <c r="K678" s="1" t="s">
        <v>590</v>
      </c>
      <c r="L678" s="1" t="s">
        <v>608</v>
      </c>
      <c r="M678" s="1" t="s">
        <v>581</v>
      </c>
      <c r="N678" s="1"/>
      <c r="O678" s="10"/>
      <c r="P678" s="23"/>
      <c r="Q678" s="1"/>
      <c r="R678" s="1" t="s">
        <v>557</v>
      </c>
      <c r="S678" s="1" t="s">
        <v>582</v>
      </c>
      <c r="T678" s="10">
        <v>46298</v>
      </c>
    </row>
    <row r="679" spans="1:20" ht="24" customHeight="1" x14ac:dyDescent="0.35">
      <c r="A679" s="5" t="s">
        <v>2265</v>
      </c>
      <c r="B679" s="5" t="s">
        <v>2266</v>
      </c>
      <c r="C679" s="5" t="s">
        <v>614</v>
      </c>
      <c r="D679" s="5" t="s">
        <v>1044</v>
      </c>
      <c r="E679" s="8">
        <v>46234</v>
      </c>
      <c r="F679" s="5" t="s">
        <v>771</v>
      </c>
      <c r="G679" s="5" t="s">
        <v>772</v>
      </c>
      <c r="H679" s="22"/>
      <c r="I679" s="5" t="s">
        <v>603</v>
      </c>
      <c r="J679" s="5" t="s">
        <v>546</v>
      </c>
      <c r="K679" s="5" t="s">
        <v>590</v>
      </c>
      <c r="L679" s="5" t="s">
        <v>640</v>
      </c>
      <c r="M679" s="5" t="s">
        <v>581</v>
      </c>
      <c r="N679" s="5"/>
      <c r="O679" s="8"/>
      <c r="P679" s="22"/>
      <c r="Q679" s="5" t="s">
        <v>1008</v>
      </c>
      <c r="R679" s="5" t="s">
        <v>557</v>
      </c>
      <c r="S679" s="5" t="s">
        <v>582</v>
      </c>
      <c r="T679" s="8">
        <v>46298</v>
      </c>
    </row>
    <row r="680" spans="1:20" ht="24" customHeight="1" x14ac:dyDescent="0.35">
      <c r="A680" s="1" t="s">
        <v>2267</v>
      </c>
      <c r="B680" s="1" t="s">
        <v>2268</v>
      </c>
      <c r="C680" s="1" t="s">
        <v>249</v>
      </c>
      <c r="D680" s="1" t="s">
        <v>1034</v>
      </c>
      <c r="E680" s="10">
        <v>46234</v>
      </c>
      <c r="F680" s="1" t="s">
        <v>771</v>
      </c>
      <c r="G680" s="1" t="s">
        <v>772</v>
      </c>
      <c r="H680" s="23"/>
      <c r="I680" s="1" t="s">
        <v>603</v>
      </c>
      <c r="J680" s="1" t="s">
        <v>590</v>
      </c>
      <c r="K680" s="1" t="s">
        <v>546</v>
      </c>
      <c r="L680" s="1" t="s">
        <v>149</v>
      </c>
      <c r="M680" s="1" t="s">
        <v>581</v>
      </c>
      <c r="N680" s="1"/>
      <c r="O680" s="10"/>
      <c r="P680" s="23"/>
      <c r="Q680" s="1" t="s">
        <v>773</v>
      </c>
      <c r="R680" s="1" t="s">
        <v>557</v>
      </c>
      <c r="S680" s="1" t="s">
        <v>582</v>
      </c>
      <c r="T680" s="10">
        <v>46298</v>
      </c>
    </row>
    <row r="681" spans="1:20" ht="24" customHeight="1" x14ac:dyDescent="0.35">
      <c r="A681" s="5" t="s">
        <v>2269</v>
      </c>
      <c r="B681" s="5" t="s">
        <v>2270</v>
      </c>
      <c r="C681" s="5" t="s">
        <v>174</v>
      </c>
      <c r="D681" s="5" t="s">
        <v>2271</v>
      </c>
      <c r="E681" s="8">
        <v>46234</v>
      </c>
      <c r="F681" s="5" t="s">
        <v>771</v>
      </c>
      <c r="G681" s="5" t="s">
        <v>772</v>
      </c>
      <c r="H681" s="22"/>
      <c r="I681" s="5" t="s">
        <v>603</v>
      </c>
      <c r="J681" s="5" t="s">
        <v>546</v>
      </c>
      <c r="K681" s="5" t="s">
        <v>590</v>
      </c>
      <c r="L681" s="5" t="s">
        <v>591</v>
      </c>
      <c r="M681" s="5" t="s">
        <v>581</v>
      </c>
      <c r="N681" s="5"/>
      <c r="O681" s="8"/>
      <c r="P681" s="22"/>
      <c r="Q681" s="5" t="s">
        <v>773</v>
      </c>
      <c r="R681" s="5" t="s">
        <v>557</v>
      </c>
      <c r="S681" s="5" t="s">
        <v>582</v>
      </c>
      <c r="T681" s="8">
        <v>46298</v>
      </c>
    </row>
    <row r="682" spans="1:20" ht="24" customHeight="1" x14ac:dyDescent="0.35">
      <c r="A682" s="1" t="s">
        <v>2272</v>
      </c>
      <c r="B682" s="1" t="s">
        <v>2273</v>
      </c>
      <c r="C682" s="1" t="s">
        <v>111</v>
      </c>
      <c r="D682" s="1" t="s">
        <v>200</v>
      </c>
      <c r="E682" s="10">
        <v>46235</v>
      </c>
      <c r="F682" s="1" t="s">
        <v>587</v>
      </c>
      <c r="G682" s="1" t="s">
        <v>588</v>
      </c>
      <c r="H682" s="23">
        <v>21400000</v>
      </c>
      <c r="I682" s="1" t="s">
        <v>589</v>
      </c>
      <c r="J682" s="1" t="s">
        <v>590</v>
      </c>
      <c r="K682" s="1" t="s">
        <v>544</v>
      </c>
      <c r="L682" s="1" t="s">
        <v>149</v>
      </c>
      <c r="M682" s="1" t="s">
        <v>581</v>
      </c>
      <c r="N682" s="1"/>
      <c r="O682" s="10"/>
      <c r="P682" s="23"/>
      <c r="Q682" s="1" t="s">
        <v>1005</v>
      </c>
      <c r="R682" s="1" t="s">
        <v>557</v>
      </c>
      <c r="S682" s="1" t="s">
        <v>582</v>
      </c>
      <c r="T682" s="10">
        <v>46298</v>
      </c>
    </row>
    <row r="683" spans="1:20" ht="24" customHeight="1" x14ac:dyDescent="0.35">
      <c r="A683" s="5" t="s">
        <v>2274</v>
      </c>
      <c r="B683" s="5" t="s">
        <v>2275</v>
      </c>
      <c r="C683" s="5" t="s">
        <v>599</v>
      </c>
      <c r="D683" s="5" t="s">
        <v>1855</v>
      </c>
      <c r="E683" s="8">
        <v>46235</v>
      </c>
      <c r="F683" s="5" t="s">
        <v>771</v>
      </c>
      <c r="G683" s="5" t="s">
        <v>772</v>
      </c>
      <c r="H683" s="22"/>
      <c r="I683" s="5" t="s">
        <v>603</v>
      </c>
      <c r="J683" s="5" t="s">
        <v>544</v>
      </c>
      <c r="K683" s="5" t="s">
        <v>590</v>
      </c>
      <c r="L683" s="5" t="s">
        <v>640</v>
      </c>
      <c r="M683" s="5" t="s">
        <v>581</v>
      </c>
      <c r="N683" s="5"/>
      <c r="O683" s="8"/>
      <c r="P683" s="22"/>
      <c r="Q683" s="5" t="s">
        <v>1107</v>
      </c>
      <c r="R683" s="5" t="s">
        <v>557</v>
      </c>
      <c r="S683" s="5" t="s">
        <v>582</v>
      </c>
      <c r="T683" s="8">
        <v>46298</v>
      </c>
    </row>
    <row r="684" spans="1:20" ht="24" customHeight="1" x14ac:dyDescent="0.35">
      <c r="A684" s="1" t="s">
        <v>2276</v>
      </c>
      <c r="B684" s="1" t="s">
        <v>2277</v>
      </c>
      <c r="C684" s="1" t="s">
        <v>1014</v>
      </c>
      <c r="D684" s="1" t="s">
        <v>825</v>
      </c>
      <c r="E684" s="10">
        <v>46234</v>
      </c>
      <c r="F684" s="1" t="s">
        <v>771</v>
      </c>
      <c r="G684" s="1" t="s">
        <v>772</v>
      </c>
      <c r="H684" s="23"/>
      <c r="I684" s="1" t="s">
        <v>603</v>
      </c>
      <c r="J684" s="1" t="s">
        <v>545</v>
      </c>
      <c r="K684" s="1" t="s">
        <v>590</v>
      </c>
      <c r="L684" s="1" t="s">
        <v>608</v>
      </c>
      <c r="M684" s="1" t="s">
        <v>581</v>
      </c>
      <c r="N684" s="1"/>
      <c r="O684" s="10"/>
      <c r="P684" s="23"/>
      <c r="Q684" s="1" t="s">
        <v>773</v>
      </c>
      <c r="R684" s="1" t="s">
        <v>557</v>
      </c>
      <c r="S684" s="1" t="s">
        <v>582</v>
      </c>
      <c r="T684" s="10">
        <v>46298</v>
      </c>
    </row>
    <row r="685" spans="1:20" ht="24" customHeight="1" x14ac:dyDescent="0.35">
      <c r="A685" s="5" t="s">
        <v>2278</v>
      </c>
      <c r="B685" s="5" t="s">
        <v>2279</v>
      </c>
      <c r="C685" s="5" t="s">
        <v>585</v>
      </c>
      <c r="D685" s="5" t="s">
        <v>2058</v>
      </c>
      <c r="E685" s="8">
        <v>46235</v>
      </c>
      <c r="F685" s="5" t="s">
        <v>771</v>
      </c>
      <c r="G685" s="5" t="s">
        <v>772</v>
      </c>
      <c r="H685" s="22"/>
      <c r="I685" s="5" t="s">
        <v>603</v>
      </c>
      <c r="J685" s="5" t="s">
        <v>548</v>
      </c>
      <c r="K685" s="5" t="s">
        <v>590</v>
      </c>
      <c r="L685" s="5" t="s">
        <v>172</v>
      </c>
      <c r="M685" s="5" t="s">
        <v>581</v>
      </c>
      <c r="N685" s="5"/>
      <c r="O685" s="8"/>
      <c r="P685" s="22"/>
      <c r="Q685" s="5" t="s">
        <v>1008</v>
      </c>
      <c r="R685" s="5" t="s">
        <v>557</v>
      </c>
      <c r="S685" s="5" t="s">
        <v>582</v>
      </c>
      <c r="T685" s="8">
        <v>46298</v>
      </c>
    </row>
    <row r="686" spans="1:20" ht="24" customHeight="1" x14ac:dyDescent="0.35">
      <c r="A686" s="1" t="s">
        <v>2280</v>
      </c>
      <c r="B686" s="1" t="s">
        <v>2281</v>
      </c>
      <c r="C686" s="1" t="s">
        <v>606</v>
      </c>
      <c r="D686" s="1" t="s">
        <v>819</v>
      </c>
      <c r="E686" s="10">
        <v>46235</v>
      </c>
      <c r="F686" s="1" t="s">
        <v>578</v>
      </c>
      <c r="G686" s="1" t="s">
        <v>579</v>
      </c>
      <c r="H686" s="23"/>
      <c r="I686" s="1" t="s">
        <v>580</v>
      </c>
      <c r="J686" s="1" t="s">
        <v>547</v>
      </c>
      <c r="K686" s="1" t="s">
        <v>546</v>
      </c>
      <c r="L686" s="1" t="s">
        <v>149</v>
      </c>
      <c r="M686" s="1" t="s">
        <v>581</v>
      </c>
      <c r="N686" s="1"/>
      <c r="O686" s="10"/>
      <c r="P686" s="23"/>
      <c r="Q686" s="1"/>
      <c r="R686" s="1" t="s">
        <v>557</v>
      </c>
      <c r="S686" s="1" t="s">
        <v>582</v>
      </c>
      <c r="T686" s="10">
        <v>46298</v>
      </c>
    </row>
    <row r="687" spans="1:20" ht="24" customHeight="1" x14ac:dyDescent="0.35">
      <c r="A687" s="5" t="s">
        <v>2282</v>
      </c>
      <c r="B687" s="5" t="s">
        <v>2283</v>
      </c>
      <c r="C687" s="5" t="s">
        <v>130</v>
      </c>
      <c r="D687" s="5" t="s">
        <v>1311</v>
      </c>
      <c r="E687" s="8">
        <v>46235</v>
      </c>
      <c r="F687" s="5" t="s">
        <v>771</v>
      </c>
      <c r="G687" s="5" t="s">
        <v>772</v>
      </c>
      <c r="H687" s="22"/>
      <c r="I687" s="5" t="s">
        <v>603</v>
      </c>
      <c r="J687" s="5" t="s">
        <v>546</v>
      </c>
      <c r="K687" s="5" t="s">
        <v>546</v>
      </c>
      <c r="L687" s="5" t="s">
        <v>608</v>
      </c>
      <c r="M687" s="5" t="s">
        <v>581</v>
      </c>
      <c r="N687" s="5"/>
      <c r="O687" s="8"/>
      <c r="P687" s="22"/>
      <c r="Q687" s="5" t="s">
        <v>1008</v>
      </c>
      <c r="R687" s="5" t="s">
        <v>557</v>
      </c>
      <c r="S687" s="5" t="s">
        <v>582</v>
      </c>
      <c r="T687" s="8">
        <v>46298</v>
      </c>
    </row>
    <row r="688" spans="1:20" ht="24" customHeight="1" x14ac:dyDescent="0.35">
      <c r="A688" s="1" t="s">
        <v>2284</v>
      </c>
      <c r="B688" s="1" t="s">
        <v>2285</v>
      </c>
      <c r="C688" s="1" t="s">
        <v>128</v>
      </c>
      <c r="D688" s="1" t="s">
        <v>103</v>
      </c>
      <c r="E688" s="10">
        <v>46235</v>
      </c>
      <c r="F688" s="1" t="s">
        <v>587</v>
      </c>
      <c r="G688" s="1" t="s">
        <v>588</v>
      </c>
      <c r="H688" s="23">
        <v>5000000</v>
      </c>
      <c r="I688" s="1" t="s">
        <v>589</v>
      </c>
      <c r="J688" s="1" t="s">
        <v>544</v>
      </c>
      <c r="K688" s="1" t="s">
        <v>544</v>
      </c>
      <c r="L688" s="1" t="s">
        <v>640</v>
      </c>
      <c r="M688" s="1" t="s">
        <v>581</v>
      </c>
      <c r="N688" s="1"/>
      <c r="O688" s="10"/>
      <c r="P688" s="23"/>
      <c r="Q688" s="1"/>
      <c r="R688" s="1" t="s">
        <v>557</v>
      </c>
      <c r="S688" s="1" t="s">
        <v>582</v>
      </c>
      <c r="T688" s="10">
        <v>46298</v>
      </c>
    </row>
    <row r="689" spans="1:20" ht="24" customHeight="1" x14ac:dyDescent="0.35">
      <c r="A689" s="5" t="s">
        <v>2286</v>
      </c>
      <c r="B689" s="5" t="s">
        <v>2287</v>
      </c>
      <c r="C689" s="5" t="s">
        <v>585</v>
      </c>
      <c r="D689" s="5" t="s">
        <v>190</v>
      </c>
      <c r="E689" s="8">
        <v>46235</v>
      </c>
      <c r="F689" s="5" t="s">
        <v>587</v>
      </c>
      <c r="G689" s="5" t="s">
        <v>588</v>
      </c>
      <c r="H689" s="22">
        <v>39000000</v>
      </c>
      <c r="I689" s="5" t="s">
        <v>589</v>
      </c>
      <c r="J689" s="5" t="s">
        <v>548</v>
      </c>
      <c r="K689" s="5" t="s">
        <v>544</v>
      </c>
      <c r="L689" s="5" t="s">
        <v>608</v>
      </c>
      <c r="M689" s="5" t="s">
        <v>581</v>
      </c>
      <c r="N689" s="5"/>
      <c r="O689" s="8"/>
      <c r="P689" s="22"/>
      <c r="Q689" s="5"/>
      <c r="R689" s="5" t="s">
        <v>557</v>
      </c>
      <c r="S689" s="5" t="s">
        <v>582</v>
      </c>
      <c r="T689" s="8">
        <v>46298</v>
      </c>
    </row>
    <row r="690" spans="1:20" ht="24" customHeight="1" x14ac:dyDescent="0.35">
      <c r="A690" s="1" t="s">
        <v>2288</v>
      </c>
      <c r="B690" s="1" t="s">
        <v>2289</v>
      </c>
      <c r="C690" s="1" t="s">
        <v>1083</v>
      </c>
      <c r="D690" s="1" t="s">
        <v>875</v>
      </c>
      <c r="E690" s="10">
        <v>46235</v>
      </c>
      <c r="F690" s="1" t="s">
        <v>771</v>
      </c>
      <c r="G690" s="1" t="s">
        <v>772</v>
      </c>
      <c r="H690" s="23"/>
      <c r="I690" s="1" t="s">
        <v>603</v>
      </c>
      <c r="J690" s="1" t="s">
        <v>544</v>
      </c>
      <c r="K690" s="1" t="s">
        <v>590</v>
      </c>
      <c r="L690" s="1" t="s">
        <v>608</v>
      </c>
      <c r="M690" s="1" t="s">
        <v>581</v>
      </c>
      <c r="N690" s="1"/>
      <c r="O690" s="10"/>
      <c r="P690" s="23"/>
      <c r="Q690" s="1" t="s">
        <v>773</v>
      </c>
      <c r="R690" s="1" t="s">
        <v>557</v>
      </c>
      <c r="S690" s="1" t="s">
        <v>582</v>
      </c>
      <c r="T690" s="10">
        <v>46298</v>
      </c>
    </row>
    <row r="691" spans="1:20" ht="24" customHeight="1" x14ac:dyDescent="0.35">
      <c r="A691" s="5" t="s">
        <v>2290</v>
      </c>
      <c r="B691" s="5" t="s">
        <v>2291</v>
      </c>
      <c r="C691" s="5" t="s">
        <v>128</v>
      </c>
      <c r="D691" s="5" t="s">
        <v>611</v>
      </c>
      <c r="E691" s="8">
        <v>46235</v>
      </c>
      <c r="F691" s="5" t="s">
        <v>771</v>
      </c>
      <c r="G691" s="5" t="s">
        <v>772</v>
      </c>
      <c r="H691" s="22"/>
      <c r="I691" s="5" t="s">
        <v>603</v>
      </c>
      <c r="J691" s="5" t="s">
        <v>544</v>
      </c>
      <c r="K691" s="5" t="s">
        <v>590</v>
      </c>
      <c r="L691" s="5" t="s">
        <v>591</v>
      </c>
      <c r="M691" s="5" t="s">
        <v>581</v>
      </c>
      <c r="N691" s="5"/>
      <c r="O691" s="8"/>
      <c r="P691" s="22"/>
      <c r="Q691" s="5" t="s">
        <v>773</v>
      </c>
      <c r="R691" s="5" t="s">
        <v>557</v>
      </c>
      <c r="S691" s="5" t="s">
        <v>582</v>
      </c>
      <c r="T691" s="8">
        <v>46298</v>
      </c>
    </row>
    <row r="692" spans="1:20" ht="24" customHeight="1" x14ac:dyDescent="0.35">
      <c r="A692" s="1" t="s">
        <v>2292</v>
      </c>
      <c r="B692" s="1" t="s">
        <v>2293</v>
      </c>
      <c r="C692" s="1" t="s">
        <v>184</v>
      </c>
      <c r="D692" s="1" t="s">
        <v>198</v>
      </c>
      <c r="E692" s="10">
        <v>46235</v>
      </c>
      <c r="F692" s="1" t="s">
        <v>587</v>
      </c>
      <c r="G692" s="1" t="s">
        <v>588</v>
      </c>
      <c r="H692" s="23">
        <v>14100000</v>
      </c>
      <c r="I692" s="1" t="s">
        <v>589</v>
      </c>
      <c r="J692" s="1" t="s">
        <v>590</v>
      </c>
      <c r="K692" s="1" t="s">
        <v>546</v>
      </c>
      <c r="L692" s="1" t="s">
        <v>149</v>
      </c>
      <c r="M692" s="1" t="s">
        <v>581</v>
      </c>
      <c r="N692" s="1"/>
      <c r="O692" s="10"/>
      <c r="P692" s="23"/>
      <c r="Q692" s="1"/>
      <c r="R692" s="1" t="s">
        <v>557</v>
      </c>
      <c r="S692" s="1" t="s">
        <v>582</v>
      </c>
      <c r="T692" s="10">
        <v>46298</v>
      </c>
    </row>
    <row r="693" spans="1:20" ht="24" customHeight="1" x14ac:dyDescent="0.35">
      <c r="A693" s="5" t="s">
        <v>2294</v>
      </c>
      <c r="B693" s="5" t="s">
        <v>2295</v>
      </c>
      <c r="C693" s="5" t="s">
        <v>171</v>
      </c>
      <c r="D693" s="5" t="s">
        <v>2296</v>
      </c>
      <c r="E693" s="8">
        <v>46236</v>
      </c>
      <c r="F693" s="5" t="s">
        <v>578</v>
      </c>
      <c r="G693" s="5" t="s">
        <v>579</v>
      </c>
      <c r="H693" s="22"/>
      <c r="I693" s="5" t="s">
        <v>580</v>
      </c>
      <c r="J693" s="5" t="s">
        <v>545</v>
      </c>
      <c r="K693" s="5" t="s">
        <v>590</v>
      </c>
      <c r="L693" s="5" t="s">
        <v>608</v>
      </c>
      <c r="M693" s="5" t="s">
        <v>581</v>
      </c>
      <c r="N693" s="5"/>
      <c r="O693" s="8"/>
      <c r="P693" s="22"/>
      <c r="Q693" s="5"/>
      <c r="R693" s="5" t="s">
        <v>557</v>
      </c>
      <c r="S693" s="5" t="s">
        <v>582</v>
      </c>
      <c r="T693" s="8">
        <v>46298</v>
      </c>
    </row>
    <row r="694" spans="1:20" ht="24" customHeight="1" x14ac:dyDescent="0.35">
      <c r="A694" s="1" t="s">
        <v>2297</v>
      </c>
      <c r="B694" s="1" t="s">
        <v>2298</v>
      </c>
      <c r="C694" s="1" t="s">
        <v>651</v>
      </c>
      <c r="D694" s="1" t="s">
        <v>2299</v>
      </c>
      <c r="E694" s="10">
        <v>46235</v>
      </c>
      <c r="F694" s="1" t="s">
        <v>771</v>
      </c>
      <c r="G694" s="1" t="s">
        <v>772</v>
      </c>
      <c r="H694" s="23"/>
      <c r="I694" s="1" t="s">
        <v>603</v>
      </c>
      <c r="J694" s="1" t="s">
        <v>548</v>
      </c>
      <c r="K694" s="1" t="s">
        <v>590</v>
      </c>
      <c r="L694" s="1" t="s">
        <v>591</v>
      </c>
      <c r="M694" s="1" t="s">
        <v>581</v>
      </c>
      <c r="N694" s="1"/>
      <c r="O694" s="10"/>
      <c r="P694" s="23"/>
      <c r="Q694" s="1" t="s">
        <v>773</v>
      </c>
      <c r="R694" s="1" t="s">
        <v>557</v>
      </c>
      <c r="S694" s="1" t="s">
        <v>582</v>
      </c>
      <c r="T694" s="10">
        <v>46298</v>
      </c>
    </row>
    <row r="695" spans="1:20" ht="24" customHeight="1" x14ac:dyDescent="0.35">
      <c r="A695" s="5" t="s">
        <v>2300</v>
      </c>
      <c r="B695" s="5" t="s">
        <v>2301</v>
      </c>
      <c r="C695" s="5" t="s">
        <v>788</v>
      </c>
      <c r="D695" s="5" t="s">
        <v>1248</v>
      </c>
      <c r="E695" s="8">
        <v>46236</v>
      </c>
      <c r="F695" s="5" t="s">
        <v>771</v>
      </c>
      <c r="G695" s="5" t="s">
        <v>772</v>
      </c>
      <c r="H695" s="22"/>
      <c r="I695" s="5" t="s">
        <v>603</v>
      </c>
      <c r="J695" s="5" t="s">
        <v>546</v>
      </c>
      <c r="K695" s="5" t="s">
        <v>590</v>
      </c>
      <c r="L695" s="5" t="s">
        <v>149</v>
      </c>
      <c r="M695" s="5" t="s">
        <v>581</v>
      </c>
      <c r="N695" s="5"/>
      <c r="O695" s="8"/>
      <c r="P695" s="22"/>
      <c r="Q695" s="5" t="s">
        <v>773</v>
      </c>
      <c r="R695" s="5" t="s">
        <v>557</v>
      </c>
      <c r="S695" s="5" t="s">
        <v>582</v>
      </c>
      <c r="T695" s="8">
        <v>46298</v>
      </c>
    </row>
    <row r="696" spans="1:20" ht="24" customHeight="1" x14ac:dyDescent="0.35">
      <c r="A696" s="1" t="s">
        <v>2302</v>
      </c>
      <c r="B696" s="1" t="s">
        <v>2303</v>
      </c>
      <c r="C696" s="1" t="s">
        <v>655</v>
      </c>
      <c r="D696" s="1" t="s">
        <v>448</v>
      </c>
      <c r="E696" s="10">
        <v>46236</v>
      </c>
      <c r="F696" s="1" t="s">
        <v>587</v>
      </c>
      <c r="G696" s="1" t="s">
        <v>588</v>
      </c>
      <c r="H696" s="23">
        <v>7700000</v>
      </c>
      <c r="I696" s="1" t="s">
        <v>589</v>
      </c>
      <c r="J696" s="1" t="s">
        <v>590</v>
      </c>
      <c r="K696" s="1" t="s">
        <v>547</v>
      </c>
      <c r="L696" s="1" t="s">
        <v>608</v>
      </c>
      <c r="M696" s="1" t="s">
        <v>581</v>
      </c>
      <c r="N696" s="1"/>
      <c r="O696" s="10"/>
      <c r="P696" s="23"/>
      <c r="Q696" s="1"/>
      <c r="R696" s="1" t="s">
        <v>557</v>
      </c>
      <c r="S696" s="1" t="s">
        <v>582</v>
      </c>
      <c r="T696" s="10">
        <v>46298</v>
      </c>
    </row>
    <row r="697" spans="1:20" ht="24" customHeight="1" x14ac:dyDescent="0.35">
      <c r="A697" s="5" t="s">
        <v>2304</v>
      </c>
      <c r="B697" s="5" t="s">
        <v>2305</v>
      </c>
      <c r="C697" s="5" t="s">
        <v>157</v>
      </c>
      <c r="D697" s="5" t="s">
        <v>620</v>
      </c>
      <c r="E697" s="8">
        <v>46236</v>
      </c>
      <c r="F697" s="5" t="s">
        <v>771</v>
      </c>
      <c r="G697" s="5" t="s">
        <v>772</v>
      </c>
      <c r="H697" s="22"/>
      <c r="I697" s="5" t="s">
        <v>603</v>
      </c>
      <c r="J697" s="5" t="s">
        <v>546</v>
      </c>
      <c r="K697" s="5" t="s">
        <v>546</v>
      </c>
      <c r="L697" s="5" t="s">
        <v>608</v>
      </c>
      <c r="M697" s="5" t="s">
        <v>581</v>
      </c>
      <c r="N697" s="5"/>
      <c r="O697" s="8"/>
      <c r="P697" s="22"/>
      <c r="Q697" s="5" t="s">
        <v>773</v>
      </c>
      <c r="R697" s="5" t="s">
        <v>557</v>
      </c>
      <c r="S697" s="5" t="s">
        <v>582</v>
      </c>
      <c r="T697" s="8">
        <v>46298</v>
      </c>
    </row>
    <row r="698" spans="1:20" ht="24" customHeight="1" x14ac:dyDescent="0.35">
      <c r="A698" s="1" t="s">
        <v>2306</v>
      </c>
      <c r="B698" s="1" t="s">
        <v>2307</v>
      </c>
      <c r="C698" s="1" t="s">
        <v>661</v>
      </c>
      <c r="D698" s="1" t="s">
        <v>2308</v>
      </c>
      <c r="E698" s="10">
        <v>46236</v>
      </c>
      <c r="F698" s="1" t="s">
        <v>771</v>
      </c>
      <c r="G698" s="1" t="s">
        <v>772</v>
      </c>
      <c r="H698" s="23"/>
      <c r="I698" s="1" t="s">
        <v>603</v>
      </c>
      <c r="J698" s="1" t="s">
        <v>546</v>
      </c>
      <c r="K698" s="1" t="s">
        <v>590</v>
      </c>
      <c r="L698" s="1" t="s">
        <v>172</v>
      </c>
      <c r="M698" s="1" t="s">
        <v>581</v>
      </c>
      <c r="N698" s="1"/>
      <c r="O698" s="10"/>
      <c r="P698" s="23"/>
      <c r="Q698" s="1" t="s">
        <v>773</v>
      </c>
      <c r="R698" s="1" t="s">
        <v>557</v>
      </c>
      <c r="S698" s="1" t="s">
        <v>582</v>
      </c>
      <c r="T698" s="10">
        <v>46298</v>
      </c>
    </row>
    <row r="699" spans="1:20" ht="24" customHeight="1" x14ac:dyDescent="0.35">
      <c r="A699" s="5" t="s">
        <v>2309</v>
      </c>
      <c r="B699" s="5" t="s">
        <v>2310</v>
      </c>
      <c r="C699" s="5" t="s">
        <v>681</v>
      </c>
      <c r="D699" s="5" t="s">
        <v>802</v>
      </c>
      <c r="E699" s="8">
        <v>46236</v>
      </c>
      <c r="F699" s="5" t="s">
        <v>587</v>
      </c>
      <c r="G699" s="5" t="s">
        <v>588</v>
      </c>
      <c r="H699" s="22">
        <v>4300000</v>
      </c>
      <c r="I699" s="5" t="s">
        <v>589</v>
      </c>
      <c r="J699" s="5" t="s">
        <v>548</v>
      </c>
      <c r="K699" s="5" t="s">
        <v>546</v>
      </c>
      <c r="L699" s="5" t="s">
        <v>640</v>
      </c>
      <c r="M699" s="5" t="s">
        <v>581</v>
      </c>
      <c r="N699" s="5"/>
      <c r="O699" s="8"/>
      <c r="P699" s="22"/>
      <c r="Q699" s="5"/>
      <c r="R699" s="5" t="s">
        <v>557</v>
      </c>
      <c r="S699" s="5" t="s">
        <v>582</v>
      </c>
      <c r="T699" s="8">
        <v>46298</v>
      </c>
    </row>
    <row r="700" spans="1:20" ht="24" customHeight="1" x14ac:dyDescent="0.35">
      <c r="A700" s="1" t="s">
        <v>2311</v>
      </c>
      <c r="B700" s="1" t="s">
        <v>683</v>
      </c>
      <c r="C700" s="1" t="s">
        <v>685</v>
      </c>
      <c r="D700" s="1" t="s">
        <v>123</v>
      </c>
      <c r="E700" s="10">
        <v>46236</v>
      </c>
      <c r="F700" s="1" t="s">
        <v>587</v>
      </c>
      <c r="G700" s="1" t="s">
        <v>588</v>
      </c>
      <c r="H700" s="23">
        <v>25650000</v>
      </c>
      <c r="I700" s="1" t="s">
        <v>589</v>
      </c>
      <c r="J700" s="1" t="s">
        <v>547</v>
      </c>
      <c r="K700" s="1" t="s">
        <v>546</v>
      </c>
      <c r="L700" s="1" t="s">
        <v>591</v>
      </c>
      <c r="M700" s="1" t="s">
        <v>581</v>
      </c>
      <c r="N700" s="1"/>
      <c r="O700" s="10"/>
      <c r="P700" s="23"/>
      <c r="Q700" s="1"/>
      <c r="R700" s="1" t="s">
        <v>557</v>
      </c>
      <c r="S700" s="1" t="s">
        <v>582</v>
      </c>
      <c r="T700" s="10">
        <v>46298</v>
      </c>
    </row>
    <row r="701" spans="1:20" ht="24" customHeight="1" x14ac:dyDescent="0.35">
      <c r="A701" s="5" t="s">
        <v>2312</v>
      </c>
      <c r="B701" s="5" t="s">
        <v>2313</v>
      </c>
      <c r="C701" s="5" t="s">
        <v>2314</v>
      </c>
      <c r="D701" s="5" t="s">
        <v>717</v>
      </c>
      <c r="E701" s="8">
        <v>46236</v>
      </c>
      <c r="F701" s="5" t="s">
        <v>771</v>
      </c>
      <c r="G701" s="5" t="s">
        <v>772</v>
      </c>
      <c r="H701" s="22"/>
      <c r="I701" s="5" t="s">
        <v>603</v>
      </c>
      <c r="J701" s="5" t="s">
        <v>590</v>
      </c>
      <c r="K701" s="5" t="s">
        <v>547</v>
      </c>
      <c r="L701" s="5" t="s">
        <v>640</v>
      </c>
      <c r="M701" s="5" t="s">
        <v>581</v>
      </c>
      <c r="N701" s="5"/>
      <c r="O701" s="8"/>
      <c r="P701" s="22"/>
      <c r="Q701" s="5" t="s">
        <v>773</v>
      </c>
      <c r="R701" s="5" t="s">
        <v>557</v>
      </c>
      <c r="S701" s="5" t="s">
        <v>582</v>
      </c>
      <c r="T701" s="8">
        <v>46298</v>
      </c>
    </row>
    <row r="702" spans="1:20" ht="24" customHeight="1" x14ac:dyDescent="0.35">
      <c r="A702" s="1" t="s">
        <v>2315</v>
      </c>
      <c r="B702" s="1" t="s">
        <v>2316</v>
      </c>
      <c r="C702" s="1" t="s">
        <v>639</v>
      </c>
      <c r="D702" s="1" t="s">
        <v>103</v>
      </c>
      <c r="E702" s="10">
        <v>46236</v>
      </c>
      <c r="F702" s="1" t="s">
        <v>587</v>
      </c>
      <c r="G702" s="1" t="s">
        <v>588</v>
      </c>
      <c r="H702" s="23">
        <v>34000000</v>
      </c>
      <c r="I702" s="1" t="s">
        <v>589</v>
      </c>
      <c r="J702" s="1" t="s">
        <v>548</v>
      </c>
      <c r="K702" s="1" t="s">
        <v>544</v>
      </c>
      <c r="L702" s="1" t="s">
        <v>608</v>
      </c>
      <c r="M702" s="1" t="s">
        <v>581</v>
      </c>
      <c r="N702" s="1"/>
      <c r="O702" s="10"/>
      <c r="P702" s="23"/>
      <c r="Q702" s="1"/>
      <c r="R702" s="1" t="s">
        <v>557</v>
      </c>
      <c r="S702" s="1" t="s">
        <v>582</v>
      </c>
      <c r="T702" s="10">
        <v>46298</v>
      </c>
    </row>
    <row r="703" spans="1:20" ht="24" customHeight="1" x14ac:dyDescent="0.35">
      <c r="A703" s="5" t="s">
        <v>2317</v>
      </c>
      <c r="B703" s="5" t="s">
        <v>145</v>
      </c>
      <c r="C703" s="5" t="s">
        <v>365</v>
      </c>
      <c r="D703" s="5" t="s">
        <v>123</v>
      </c>
      <c r="E703" s="8">
        <v>46236</v>
      </c>
      <c r="F703" s="5" t="s">
        <v>587</v>
      </c>
      <c r="G703" s="5" t="s">
        <v>588</v>
      </c>
      <c r="H703" s="22">
        <v>32500000</v>
      </c>
      <c r="I703" s="5" t="s">
        <v>589</v>
      </c>
      <c r="J703" s="5" t="s">
        <v>548</v>
      </c>
      <c r="K703" s="5" t="s">
        <v>546</v>
      </c>
      <c r="L703" s="5" t="s">
        <v>640</v>
      </c>
      <c r="M703" s="5" t="s">
        <v>581</v>
      </c>
      <c r="N703" s="5"/>
      <c r="O703" s="8"/>
      <c r="P703" s="22"/>
      <c r="Q703" s="5" t="s">
        <v>1005</v>
      </c>
      <c r="R703" s="5" t="s">
        <v>557</v>
      </c>
      <c r="S703" s="5" t="s">
        <v>582</v>
      </c>
      <c r="T703" s="8">
        <v>46298</v>
      </c>
    </row>
    <row r="704" spans="1:20" ht="24" customHeight="1" x14ac:dyDescent="0.35">
      <c r="A704" s="1" t="s">
        <v>2318</v>
      </c>
      <c r="B704" s="1" t="s">
        <v>2319</v>
      </c>
      <c r="C704" s="1" t="s">
        <v>684</v>
      </c>
      <c r="D704" s="1" t="s">
        <v>606</v>
      </c>
      <c r="E704" s="10">
        <v>46236</v>
      </c>
      <c r="F704" s="1" t="s">
        <v>587</v>
      </c>
      <c r="G704" s="1" t="s">
        <v>588</v>
      </c>
      <c r="H704" s="23">
        <v>11130000</v>
      </c>
      <c r="I704" s="1" t="s">
        <v>589</v>
      </c>
      <c r="J704" s="1" t="s">
        <v>590</v>
      </c>
      <c r="K704" s="1" t="s">
        <v>547</v>
      </c>
      <c r="L704" s="1" t="s">
        <v>591</v>
      </c>
      <c r="M704" s="1" t="s">
        <v>581</v>
      </c>
      <c r="N704" s="1"/>
      <c r="O704" s="10"/>
      <c r="P704" s="23"/>
      <c r="Q704" s="1"/>
      <c r="R704" s="1" t="s">
        <v>557</v>
      </c>
      <c r="S704" s="1" t="s">
        <v>582</v>
      </c>
      <c r="T704" s="10">
        <v>46298</v>
      </c>
    </row>
    <row r="705" spans="1:20" ht="24" customHeight="1" x14ac:dyDescent="0.35">
      <c r="A705" s="5" t="s">
        <v>2320</v>
      </c>
      <c r="B705" s="5" t="s">
        <v>2321</v>
      </c>
      <c r="C705" s="5" t="s">
        <v>215</v>
      </c>
      <c r="D705" s="5" t="s">
        <v>1157</v>
      </c>
      <c r="E705" s="8">
        <v>46236</v>
      </c>
      <c r="F705" s="5" t="s">
        <v>771</v>
      </c>
      <c r="G705" s="5" t="s">
        <v>772</v>
      </c>
      <c r="H705" s="22"/>
      <c r="I705" s="5" t="s">
        <v>603</v>
      </c>
      <c r="J705" s="5" t="s">
        <v>590</v>
      </c>
      <c r="K705" s="5" t="s">
        <v>548</v>
      </c>
      <c r="L705" s="5" t="s">
        <v>591</v>
      </c>
      <c r="M705" s="5" t="s">
        <v>581</v>
      </c>
      <c r="N705" s="5"/>
      <c r="O705" s="8"/>
      <c r="P705" s="22"/>
      <c r="Q705" s="5" t="s">
        <v>773</v>
      </c>
      <c r="R705" s="5" t="s">
        <v>557</v>
      </c>
      <c r="S705" s="5" t="s">
        <v>582</v>
      </c>
      <c r="T705" s="8">
        <v>46298</v>
      </c>
    </row>
    <row r="706" spans="1:20" ht="24" customHeight="1" x14ac:dyDescent="0.35">
      <c r="A706" s="1" t="s">
        <v>2322</v>
      </c>
      <c r="B706" s="1" t="s">
        <v>2323</v>
      </c>
      <c r="C706" s="1" t="s">
        <v>114</v>
      </c>
      <c r="D706" s="1" t="s">
        <v>707</v>
      </c>
      <c r="E706" s="10">
        <v>46236</v>
      </c>
      <c r="F706" s="1" t="s">
        <v>601</v>
      </c>
      <c r="G706" s="1" t="s">
        <v>602</v>
      </c>
      <c r="H706" s="23"/>
      <c r="I706" s="1" t="s">
        <v>603</v>
      </c>
      <c r="J706" s="1" t="s">
        <v>545</v>
      </c>
      <c r="K706" s="1" t="s">
        <v>545</v>
      </c>
      <c r="L706" s="1" t="s">
        <v>172</v>
      </c>
      <c r="M706" s="1" t="s">
        <v>581</v>
      </c>
      <c r="N706" s="1"/>
      <c r="O706" s="10"/>
      <c r="P706" s="23"/>
      <c r="Q706" s="1"/>
      <c r="R706" s="1" t="s">
        <v>557</v>
      </c>
      <c r="S706" s="1" t="s">
        <v>582</v>
      </c>
      <c r="T706" s="10">
        <v>46298</v>
      </c>
    </row>
    <row r="707" spans="1:20" ht="24" customHeight="1" x14ac:dyDescent="0.35">
      <c r="A707" s="5" t="s">
        <v>2324</v>
      </c>
      <c r="B707" s="5" t="s">
        <v>2325</v>
      </c>
      <c r="C707" s="5" t="s">
        <v>712</v>
      </c>
      <c r="D707" s="5" t="s">
        <v>391</v>
      </c>
      <c r="E707" s="8">
        <v>46237</v>
      </c>
      <c r="F707" s="5" t="s">
        <v>587</v>
      </c>
      <c r="G707" s="5" t="s">
        <v>588</v>
      </c>
      <c r="H707" s="22">
        <v>25700000</v>
      </c>
      <c r="I707" s="5" t="s">
        <v>589</v>
      </c>
      <c r="J707" s="5" t="s">
        <v>590</v>
      </c>
      <c r="K707" s="5" t="s">
        <v>544</v>
      </c>
      <c r="L707" s="5" t="s">
        <v>172</v>
      </c>
      <c r="M707" s="5" t="s">
        <v>581</v>
      </c>
      <c r="N707" s="5"/>
      <c r="O707" s="8"/>
      <c r="P707" s="22"/>
      <c r="Q707" s="5"/>
      <c r="R707" s="5" t="s">
        <v>557</v>
      </c>
      <c r="S707" s="5" t="s">
        <v>582</v>
      </c>
      <c r="T707" s="8">
        <v>46298</v>
      </c>
    </row>
    <row r="708" spans="1:20" ht="24" customHeight="1" x14ac:dyDescent="0.35">
      <c r="A708" s="1" t="s">
        <v>2326</v>
      </c>
      <c r="B708" s="1" t="s">
        <v>2327</v>
      </c>
      <c r="C708" s="1" t="s">
        <v>2328</v>
      </c>
      <c r="D708" s="1" t="s">
        <v>401</v>
      </c>
      <c r="E708" s="10">
        <v>46237</v>
      </c>
      <c r="F708" s="1" t="s">
        <v>587</v>
      </c>
      <c r="G708" s="1" t="s">
        <v>588</v>
      </c>
      <c r="H708" s="23">
        <v>25700000</v>
      </c>
      <c r="I708" s="1" t="s">
        <v>589</v>
      </c>
      <c r="J708" s="1" t="s">
        <v>590</v>
      </c>
      <c r="K708" s="1" t="s">
        <v>547</v>
      </c>
      <c r="L708" s="1" t="s">
        <v>640</v>
      </c>
      <c r="M708" s="1" t="s">
        <v>581</v>
      </c>
      <c r="N708" s="1"/>
      <c r="O708" s="10"/>
      <c r="P708" s="23"/>
      <c r="Q708" s="1"/>
      <c r="R708" s="1" t="s">
        <v>557</v>
      </c>
      <c r="S708" s="1" t="s">
        <v>582</v>
      </c>
      <c r="T708" s="10">
        <v>46298</v>
      </c>
    </row>
    <row r="709" spans="1:20" ht="24" customHeight="1" x14ac:dyDescent="0.35">
      <c r="A709" s="5" t="s">
        <v>2329</v>
      </c>
      <c r="B709" s="5" t="s">
        <v>2330</v>
      </c>
      <c r="C709" s="5" t="s">
        <v>2331</v>
      </c>
      <c r="D709" s="5" t="s">
        <v>240</v>
      </c>
      <c r="E709" s="8">
        <v>46236</v>
      </c>
      <c r="F709" s="5" t="s">
        <v>587</v>
      </c>
      <c r="G709" s="5" t="s">
        <v>588</v>
      </c>
      <c r="H709" s="22">
        <v>3700000</v>
      </c>
      <c r="I709" s="5" t="s">
        <v>589</v>
      </c>
      <c r="J709" s="5" t="s">
        <v>590</v>
      </c>
      <c r="K709" s="5" t="s">
        <v>548</v>
      </c>
      <c r="L709" s="5" t="s">
        <v>149</v>
      </c>
      <c r="M709" s="5" t="s">
        <v>581</v>
      </c>
      <c r="N709" s="5"/>
      <c r="O709" s="8"/>
      <c r="P709" s="22"/>
      <c r="Q709" s="5"/>
      <c r="R709" s="5" t="s">
        <v>557</v>
      </c>
      <c r="S709" s="5" t="s">
        <v>582</v>
      </c>
      <c r="T709" s="8">
        <v>46298</v>
      </c>
    </row>
    <row r="710" spans="1:20" ht="24" customHeight="1" x14ac:dyDescent="0.35">
      <c r="A710" s="1" t="s">
        <v>2332</v>
      </c>
      <c r="B710" s="1" t="s">
        <v>2333</v>
      </c>
      <c r="C710" s="1" t="s">
        <v>2334</v>
      </c>
      <c r="D710" s="1" t="s">
        <v>620</v>
      </c>
      <c r="E710" s="10">
        <v>46235</v>
      </c>
      <c r="F710" s="1" t="s">
        <v>587</v>
      </c>
      <c r="G710" s="1" t="s">
        <v>588</v>
      </c>
      <c r="H710" s="23">
        <v>4300000</v>
      </c>
      <c r="I710" s="1" t="s">
        <v>589</v>
      </c>
      <c r="J710" s="1" t="s">
        <v>590</v>
      </c>
      <c r="K710" s="1" t="s">
        <v>546</v>
      </c>
      <c r="L710" s="1" t="s">
        <v>149</v>
      </c>
      <c r="M710" s="1" t="s">
        <v>581</v>
      </c>
      <c r="N710" s="1"/>
      <c r="O710" s="10"/>
      <c r="P710" s="23"/>
      <c r="Q710" s="1"/>
      <c r="R710" s="1" t="s">
        <v>557</v>
      </c>
      <c r="S710" s="1" t="s">
        <v>582</v>
      </c>
      <c r="T710" s="10">
        <v>46298</v>
      </c>
    </row>
    <row r="711" spans="1:20" ht="24" customHeight="1" x14ac:dyDescent="0.35">
      <c r="A711" s="5" t="s">
        <v>2335</v>
      </c>
      <c r="B711" s="5" t="s">
        <v>2336</v>
      </c>
      <c r="C711" s="5" t="s">
        <v>157</v>
      </c>
      <c r="D711" s="5" t="s">
        <v>2337</v>
      </c>
      <c r="E711" s="8">
        <v>46235</v>
      </c>
      <c r="F711" s="5" t="s">
        <v>771</v>
      </c>
      <c r="G711" s="5" t="s">
        <v>772</v>
      </c>
      <c r="H711" s="22"/>
      <c r="I711" s="5" t="s">
        <v>603</v>
      </c>
      <c r="J711" s="5" t="s">
        <v>546</v>
      </c>
      <c r="K711" s="5" t="s">
        <v>590</v>
      </c>
      <c r="L711" s="5" t="s">
        <v>608</v>
      </c>
      <c r="M711" s="5" t="s">
        <v>581</v>
      </c>
      <c r="N711" s="5"/>
      <c r="O711" s="8"/>
      <c r="P711" s="22"/>
      <c r="Q711" s="5" t="s">
        <v>773</v>
      </c>
      <c r="R711" s="5" t="s">
        <v>557</v>
      </c>
      <c r="S711" s="5" t="s">
        <v>582</v>
      </c>
      <c r="T711" s="8">
        <v>46298</v>
      </c>
    </row>
    <row r="712" spans="1:20" ht="24" customHeight="1" x14ac:dyDescent="0.35">
      <c r="A712" s="1" t="s">
        <v>2338</v>
      </c>
      <c r="B712" s="1" t="s">
        <v>2339</v>
      </c>
      <c r="C712" s="1" t="s">
        <v>176</v>
      </c>
      <c r="D712" s="1" t="s">
        <v>1226</v>
      </c>
      <c r="E712" s="10">
        <v>46235</v>
      </c>
      <c r="F712" s="1" t="s">
        <v>771</v>
      </c>
      <c r="G712" s="1" t="s">
        <v>772</v>
      </c>
      <c r="H712" s="23"/>
      <c r="I712" s="1" t="s">
        <v>603</v>
      </c>
      <c r="J712" s="1" t="s">
        <v>546</v>
      </c>
      <c r="K712" s="1" t="s">
        <v>590</v>
      </c>
      <c r="L712" s="1" t="s">
        <v>640</v>
      </c>
      <c r="M712" s="1" t="s">
        <v>581</v>
      </c>
      <c r="N712" s="1"/>
      <c r="O712" s="10"/>
      <c r="P712" s="23"/>
      <c r="Q712" s="1" t="s">
        <v>773</v>
      </c>
      <c r="R712" s="1" t="s">
        <v>557</v>
      </c>
      <c r="S712" s="1" t="s">
        <v>582</v>
      </c>
      <c r="T712" s="10">
        <v>46298</v>
      </c>
    </row>
    <row r="713" spans="1:20" ht="24" customHeight="1" x14ac:dyDescent="0.35">
      <c r="A713" s="5" t="s">
        <v>2340</v>
      </c>
      <c r="B713" s="5" t="s">
        <v>2341</v>
      </c>
      <c r="C713" s="5" t="s">
        <v>685</v>
      </c>
      <c r="D713" s="5" t="s">
        <v>1014</v>
      </c>
      <c r="E713" s="8">
        <v>46237</v>
      </c>
      <c r="F713" s="5" t="s">
        <v>771</v>
      </c>
      <c r="G713" s="5" t="s">
        <v>772</v>
      </c>
      <c r="H713" s="22"/>
      <c r="I713" s="5" t="s">
        <v>603</v>
      </c>
      <c r="J713" s="5" t="s">
        <v>547</v>
      </c>
      <c r="K713" s="5" t="s">
        <v>545</v>
      </c>
      <c r="L713" s="5" t="s">
        <v>149</v>
      </c>
      <c r="M713" s="5" t="s">
        <v>581</v>
      </c>
      <c r="N713" s="5"/>
      <c r="O713" s="8"/>
      <c r="P713" s="22"/>
      <c r="Q713" s="5" t="s">
        <v>773</v>
      </c>
      <c r="R713" s="5" t="s">
        <v>557</v>
      </c>
      <c r="S713" s="5" t="s">
        <v>582</v>
      </c>
      <c r="T713" s="8">
        <v>46298</v>
      </c>
    </row>
    <row r="714" spans="1:20" ht="24" customHeight="1" x14ac:dyDescent="0.35">
      <c r="A714" s="1" t="s">
        <v>2342</v>
      </c>
      <c r="B714" s="1" t="s">
        <v>2343</v>
      </c>
      <c r="C714" s="1" t="s">
        <v>651</v>
      </c>
      <c r="D714" s="1" t="s">
        <v>1735</v>
      </c>
      <c r="E714" s="10">
        <v>46237</v>
      </c>
      <c r="F714" s="1" t="s">
        <v>771</v>
      </c>
      <c r="G714" s="1" t="s">
        <v>772</v>
      </c>
      <c r="H714" s="23"/>
      <c r="I714" s="1" t="s">
        <v>603</v>
      </c>
      <c r="J714" s="1" t="s">
        <v>548</v>
      </c>
      <c r="K714" s="1" t="s">
        <v>590</v>
      </c>
      <c r="L714" s="1" t="s">
        <v>608</v>
      </c>
      <c r="M714" s="1" t="s">
        <v>581</v>
      </c>
      <c r="N714" s="1"/>
      <c r="O714" s="10"/>
      <c r="P714" s="23"/>
      <c r="Q714" s="1" t="s">
        <v>773</v>
      </c>
      <c r="R714" s="1" t="s">
        <v>557</v>
      </c>
      <c r="S714" s="1" t="s">
        <v>582</v>
      </c>
      <c r="T714" s="10">
        <v>46298</v>
      </c>
    </row>
    <row r="715" spans="1:20" ht="24" customHeight="1" x14ac:dyDescent="0.35">
      <c r="A715" s="5" t="s">
        <v>2344</v>
      </c>
      <c r="B715" s="5" t="s">
        <v>2345</v>
      </c>
      <c r="C715" s="5" t="s">
        <v>190</v>
      </c>
      <c r="D715" s="5" t="s">
        <v>103</v>
      </c>
      <c r="E715" s="8">
        <v>46237</v>
      </c>
      <c r="F715" s="5" t="s">
        <v>578</v>
      </c>
      <c r="G715" s="5" t="s">
        <v>579</v>
      </c>
      <c r="H715" s="22">
        <v>0</v>
      </c>
      <c r="I715" s="5" t="s">
        <v>580</v>
      </c>
      <c r="J715" s="5" t="s">
        <v>544</v>
      </c>
      <c r="K715" s="5" t="s">
        <v>544</v>
      </c>
      <c r="L715" s="5" t="s">
        <v>608</v>
      </c>
      <c r="M715" s="5" t="s">
        <v>581</v>
      </c>
      <c r="N715" s="5"/>
      <c r="O715" s="8"/>
      <c r="P715" s="22"/>
      <c r="Q715" s="5"/>
      <c r="R715" s="5" t="s">
        <v>557</v>
      </c>
      <c r="S715" s="5" t="s">
        <v>582</v>
      </c>
      <c r="T715" s="8">
        <v>46298</v>
      </c>
    </row>
    <row r="716" spans="1:20" ht="24" customHeight="1" x14ac:dyDescent="0.35">
      <c r="A716" s="1" t="s">
        <v>2346</v>
      </c>
      <c r="B716" s="1" t="s">
        <v>2347</v>
      </c>
      <c r="C716" s="1" t="s">
        <v>123</v>
      </c>
      <c r="D716" s="1" t="s">
        <v>614</v>
      </c>
      <c r="E716" s="10">
        <v>46237</v>
      </c>
      <c r="F716" s="1" t="s">
        <v>771</v>
      </c>
      <c r="G716" s="1" t="s">
        <v>2348</v>
      </c>
      <c r="H716" s="23">
        <v>428000</v>
      </c>
      <c r="I716" s="1" t="s">
        <v>2349</v>
      </c>
      <c r="J716" s="1" t="s">
        <v>546</v>
      </c>
      <c r="K716" s="1" t="s">
        <v>546</v>
      </c>
      <c r="L716" s="1" t="s">
        <v>608</v>
      </c>
      <c r="M716" s="1" t="s">
        <v>581</v>
      </c>
      <c r="N716" s="1"/>
      <c r="O716" s="10"/>
      <c r="P716" s="23"/>
      <c r="Q716" s="1" t="s">
        <v>631</v>
      </c>
      <c r="R716" s="1" t="s">
        <v>557</v>
      </c>
      <c r="S716" s="1" t="s">
        <v>582</v>
      </c>
      <c r="T716" s="10">
        <v>46298</v>
      </c>
    </row>
    <row r="717" spans="1:20" ht="24" customHeight="1" x14ac:dyDescent="0.35">
      <c r="A717" s="5" t="s">
        <v>2350</v>
      </c>
      <c r="B717" s="5" t="s">
        <v>2351</v>
      </c>
      <c r="C717" s="5" t="s">
        <v>119</v>
      </c>
      <c r="D717" s="5" t="s">
        <v>1183</v>
      </c>
      <c r="E717" s="8">
        <v>46237</v>
      </c>
      <c r="F717" s="5" t="s">
        <v>587</v>
      </c>
      <c r="G717" s="5" t="s">
        <v>588</v>
      </c>
      <c r="H717" s="22">
        <v>1710000</v>
      </c>
      <c r="I717" s="5" t="s">
        <v>589</v>
      </c>
      <c r="J717" s="5" t="s">
        <v>547</v>
      </c>
      <c r="K717" s="5" t="s">
        <v>545</v>
      </c>
      <c r="L717" s="5" t="s">
        <v>172</v>
      </c>
      <c r="M717" s="5" t="s">
        <v>581</v>
      </c>
      <c r="N717" s="5"/>
      <c r="O717" s="8"/>
      <c r="P717" s="22"/>
      <c r="Q717" s="5"/>
      <c r="R717" s="5" t="s">
        <v>557</v>
      </c>
      <c r="S717" s="5" t="s">
        <v>582</v>
      </c>
      <c r="T717" s="8">
        <v>46298</v>
      </c>
    </row>
    <row r="718" spans="1:20" ht="24" customHeight="1" x14ac:dyDescent="0.35">
      <c r="A718" s="1" t="s">
        <v>2352</v>
      </c>
      <c r="B718" s="1" t="s">
        <v>2353</v>
      </c>
      <c r="C718" s="1" t="s">
        <v>123</v>
      </c>
      <c r="D718" s="1" t="s">
        <v>157</v>
      </c>
      <c r="E718" s="10">
        <v>46237</v>
      </c>
      <c r="F718" s="1" t="s">
        <v>771</v>
      </c>
      <c r="G718" s="1" t="s">
        <v>772</v>
      </c>
      <c r="H718" s="23"/>
      <c r="I718" s="1" t="s">
        <v>603</v>
      </c>
      <c r="J718" s="1" t="s">
        <v>546</v>
      </c>
      <c r="K718" s="1" t="s">
        <v>546</v>
      </c>
      <c r="L718" s="1" t="s">
        <v>149</v>
      </c>
      <c r="M718" s="1" t="s">
        <v>581</v>
      </c>
      <c r="N718" s="1"/>
      <c r="O718" s="10"/>
      <c r="P718" s="23"/>
      <c r="Q718" s="1" t="s">
        <v>773</v>
      </c>
      <c r="R718" s="1" t="s">
        <v>557</v>
      </c>
      <c r="S718" s="1" t="s">
        <v>582</v>
      </c>
      <c r="T718" s="10">
        <v>46298</v>
      </c>
    </row>
    <row r="719" spans="1:20" ht="24" customHeight="1" x14ac:dyDescent="0.35">
      <c r="A719" s="5" t="s">
        <v>2354</v>
      </c>
      <c r="B719" s="5" t="s">
        <v>2355</v>
      </c>
      <c r="C719" s="5" t="s">
        <v>2356</v>
      </c>
      <c r="D719" s="5" t="s">
        <v>585</v>
      </c>
      <c r="E719" s="8">
        <v>46237</v>
      </c>
      <c r="F719" s="5" t="s">
        <v>587</v>
      </c>
      <c r="G719" s="5" t="s">
        <v>588</v>
      </c>
      <c r="H719" s="22">
        <v>6860000</v>
      </c>
      <c r="I719" s="5" t="s">
        <v>589</v>
      </c>
      <c r="J719" s="5" t="s">
        <v>590</v>
      </c>
      <c r="K719" s="5" t="s">
        <v>548</v>
      </c>
      <c r="L719" s="5" t="s">
        <v>608</v>
      </c>
      <c r="M719" s="5" t="s">
        <v>581</v>
      </c>
      <c r="N719" s="5"/>
      <c r="O719" s="8"/>
      <c r="P719" s="22"/>
      <c r="Q719" s="5"/>
      <c r="R719" s="5" t="s">
        <v>557</v>
      </c>
      <c r="S719" s="5" t="s">
        <v>582</v>
      </c>
      <c r="T719" s="8">
        <v>46298</v>
      </c>
    </row>
    <row r="720" spans="1:20" ht="24" customHeight="1" x14ac:dyDescent="0.35">
      <c r="A720" s="1" t="s">
        <v>2357</v>
      </c>
      <c r="B720" s="1" t="s">
        <v>2358</v>
      </c>
      <c r="C720" s="1" t="s">
        <v>114</v>
      </c>
      <c r="D720" s="1" t="s">
        <v>292</v>
      </c>
      <c r="E720" s="10">
        <v>46237</v>
      </c>
      <c r="F720" s="1" t="s">
        <v>587</v>
      </c>
      <c r="G720" s="1" t="s">
        <v>588</v>
      </c>
      <c r="H720" s="23">
        <v>34280000</v>
      </c>
      <c r="I720" s="1" t="s">
        <v>589</v>
      </c>
      <c r="J720" s="1" t="s">
        <v>545</v>
      </c>
      <c r="K720" s="1" t="s">
        <v>544</v>
      </c>
      <c r="L720" s="1" t="s">
        <v>640</v>
      </c>
      <c r="M720" s="1" t="s">
        <v>581</v>
      </c>
      <c r="N720" s="1"/>
      <c r="O720" s="10"/>
      <c r="P720" s="23"/>
      <c r="Q720" s="1"/>
      <c r="R720" s="1" t="s">
        <v>557</v>
      </c>
      <c r="S720" s="1" t="s">
        <v>582</v>
      </c>
      <c r="T720" s="10">
        <v>46298</v>
      </c>
    </row>
    <row r="721" spans="1:20" ht="24" customHeight="1" x14ac:dyDescent="0.35">
      <c r="A721" s="5" t="s">
        <v>2359</v>
      </c>
      <c r="B721" s="5" t="s">
        <v>2360</v>
      </c>
      <c r="C721" s="5" t="s">
        <v>128</v>
      </c>
      <c r="D721" s="5" t="s">
        <v>999</v>
      </c>
      <c r="E721" s="8">
        <v>46238</v>
      </c>
      <c r="F721" s="5" t="s">
        <v>587</v>
      </c>
      <c r="G721" s="5" t="s">
        <v>588</v>
      </c>
      <c r="H721" s="22">
        <v>22500000</v>
      </c>
      <c r="I721" s="5" t="s">
        <v>589</v>
      </c>
      <c r="J721" s="5" t="s">
        <v>544</v>
      </c>
      <c r="K721" s="5" t="s">
        <v>544</v>
      </c>
      <c r="L721" s="5" t="s">
        <v>172</v>
      </c>
      <c r="M721" s="5" t="s">
        <v>581</v>
      </c>
      <c r="N721" s="5"/>
      <c r="O721" s="8"/>
      <c r="P721" s="22"/>
      <c r="Q721" s="5"/>
      <c r="R721" s="5" t="s">
        <v>557</v>
      </c>
      <c r="S721" s="5" t="s">
        <v>582</v>
      </c>
      <c r="T721" s="8">
        <v>46298</v>
      </c>
    </row>
    <row r="722" spans="1:20" ht="24" customHeight="1" x14ac:dyDescent="0.35">
      <c r="A722" s="1" t="s">
        <v>2361</v>
      </c>
      <c r="B722" s="1" t="s">
        <v>2362</v>
      </c>
      <c r="C722" s="1" t="s">
        <v>114</v>
      </c>
      <c r="D722" s="1" t="s">
        <v>292</v>
      </c>
      <c r="E722" s="10">
        <v>46237</v>
      </c>
      <c r="F722" s="1" t="s">
        <v>587</v>
      </c>
      <c r="G722" s="1" t="s">
        <v>588</v>
      </c>
      <c r="H722" s="23">
        <v>8600000</v>
      </c>
      <c r="I722" s="1" t="s">
        <v>589</v>
      </c>
      <c r="J722" s="1" t="s">
        <v>545</v>
      </c>
      <c r="K722" s="1" t="s">
        <v>544</v>
      </c>
      <c r="L722" s="1" t="s">
        <v>608</v>
      </c>
      <c r="M722" s="1" t="s">
        <v>581</v>
      </c>
      <c r="N722" s="1"/>
      <c r="O722" s="10"/>
      <c r="P722" s="23"/>
      <c r="Q722" s="1"/>
      <c r="R722" s="1" t="s">
        <v>557</v>
      </c>
      <c r="S722" s="1" t="s">
        <v>582</v>
      </c>
      <c r="T722" s="10">
        <v>46298</v>
      </c>
    </row>
    <row r="723" spans="1:20" ht="24" customHeight="1" x14ac:dyDescent="0.35">
      <c r="A723" s="5" t="s">
        <v>2363</v>
      </c>
      <c r="B723" s="5" t="s">
        <v>2364</v>
      </c>
      <c r="C723" s="5" t="s">
        <v>91</v>
      </c>
      <c r="D723" s="5" t="s">
        <v>144</v>
      </c>
      <c r="E723" s="8">
        <v>46238</v>
      </c>
      <c r="F723" s="5" t="s">
        <v>771</v>
      </c>
      <c r="G723" s="5" t="s">
        <v>772</v>
      </c>
      <c r="H723" s="22"/>
      <c r="I723" s="5" t="s">
        <v>603</v>
      </c>
      <c r="J723" s="5" t="s">
        <v>545</v>
      </c>
      <c r="K723" s="5" t="s">
        <v>590</v>
      </c>
      <c r="L723" s="5" t="s">
        <v>172</v>
      </c>
      <c r="M723" s="5" t="s">
        <v>581</v>
      </c>
      <c r="N723" s="5"/>
      <c r="O723" s="8"/>
      <c r="P723" s="22"/>
      <c r="Q723" s="5" t="s">
        <v>773</v>
      </c>
      <c r="R723" s="5" t="s">
        <v>557</v>
      </c>
      <c r="S723" s="5" t="s">
        <v>582</v>
      </c>
      <c r="T723" s="8">
        <v>46298</v>
      </c>
    </row>
    <row r="724" spans="1:20" ht="24" customHeight="1" x14ac:dyDescent="0.35">
      <c r="A724" s="1" t="s">
        <v>2365</v>
      </c>
      <c r="B724" s="1" t="s">
        <v>2366</v>
      </c>
      <c r="C724" s="1" t="s">
        <v>707</v>
      </c>
      <c r="D724" s="1" t="s">
        <v>119</v>
      </c>
      <c r="E724" s="10">
        <v>46238</v>
      </c>
      <c r="F724" s="1" t="s">
        <v>578</v>
      </c>
      <c r="G724" s="1" t="s">
        <v>579</v>
      </c>
      <c r="H724" s="23"/>
      <c r="I724" s="1" t="s">
        <v>580</v>
      </c>
      <c r="J724" s="1" t="s">
        <v>545</v>
      </c>
      <c r="K724" s="1" t="s">
        <v>547</v>
      </c>
      <c r="L724" s="1" t="s">
        <v>172</v>
      </c>
      <c r="M724" s="1" t="s">
        <v>581</v>
      </c>
      <c r="N724" s="1"/>
      <c r="O724" s="10"/>
      <c r="P724" s="23"/>
      <c r="Q724" s="1"/>
      <c r="R724" s="1" t="s">
        <v>557</v>
      </c>
      <c r="S724" s="1" t="s">
        <v>582</v>
      </c>
      <c r="T724" s="10">
        <v>46298</v>
      </c>
    </row>
    <row r="725" spans="1:20" ht="24" customHeight="1" x14ac:dyDescent="0.35">
      <c r="A725" s="5" t="s">
        <v>2367</v>
      </c>
      <c r="B725" s="5" t="s">
        <v>2368</v>
      </c>
      <c r="C725" s="5" t="s">
        <v>596</v>
      </c>
      <c r="D725" s="5" t="s">
        <v>651</v>
      </c>
      <c r="E725" s="8">
        <v>46238</v>
      </c>
      <c r="F725" s="5" t="s">
        <v>771</v>
      </c>
      <c r="G725" s="5" t="s">
        <v>772</v>
      </c>
      <c r="H725" s="22"/>
      <c r="I725" s="5" t="s">
        <v>603</v>
      </c>
      <c r="J725" s="5" t="s">
        <v>548</v>
      </c>
      <c r="K725" s="5" t="s">
        <v>548</v>
      </c>
      <c r="L725" s="5" t="s">
        <v>149</v>
      </c>
      <c r="M725" s="5" t="s">
        <v>581</v>
      </c>
      <c r="N725" s="5"/>
      <c r="O725" s="8"/>
      <c r="P725" s="22"/>
      <c r="Q725" s="5" t="s">
        <v>1107</v>
      </c>
      <c r="R725" s="5" t="s">
        <v>557</v>
      </c>
      <c r="S725" s="5" t="s">
        <v>582</v>
      </c>
      <c r="T725" s="8">
        <v>46298</v>
      </c>
    </row>
    <row r="726" spans="1:20" ht="24" customHeight="1" x14ac:dyDescent="0.35">
      <c r="A726" s="1" t="s">
        <v>2369</v>
      </c>
      <c r="B726" s="1" t="s">
        <v>2370</v>
      </c>
      <c r="C726" s="1" t="s">
        <v>529</v>
      </c>
      <c r="D726" s="1" t="s">
        <v>639</v>
      </c>
      <c r="E726" s="10">
        <v>46238</v>
      </c>
      <c r="F726" s="1" t="s">
        <v>587</v>
      </c>
      <c r="G726" s="1" t="s">
        <v>588</v>
      </c>
      <c r="H726" s="23">
        <v>2600000</v>
      </c>
      <c r="I726" s="1" t="s">
        <v>589</v>
      </c>
      <c r="J726" s="1" t="s">
        <v>547</v>
      </c>
      <c r="K726" s="1" t="s">
        <v>548</v>
      </c>
      <c r="L726" s="1" t="s">
        <v>608</v>
      </c>
      <c r="M726" s="1" t="s">
        <v>581</v>
      </c>
      <c r="N726" s="1"/>
      <c r="O726" s="10"/>
      <c r="P726" s="23"/>
      <c r="Q726" s="1"/>
      <c r="R726" s="1" t="s">
        <v>557</v>
      </c>
      <c r="S726" s="1" t="s">
        <v>582</v>
      </c>
      <c r="T726" s="10">
        <v>46298</v>
      </c>
    </row>
    <row r="727" spans="1:20" ht="24" customHeight="1" x14ac:dyDescent="0.35">
      <c r="A727" s="5" t="s">
        <v>2371</v>
      </c>
      <c r="B727" s="5" t="s">
        <v>2372</v>
      </c>
      <c r="C727" s="5" t="s">
        <v>850</v>
      </c>
      <c r="D727" s="5" t="s">
        <v>1569</v>
      </c>
      <c r="E727" s="8">
        <v>46238</v>
      </c>
      <c r="F727" s="5" t="s">
        <v>601</v>
      </c>
      <c r="G727" s="5" t="s">
        <v>602</v>
      </c>
      <c r="H727" s="22"/>
      <c r="I727" s="5" t="s">
        <v>603</v>
      </c>
      <c r="J727" s="5" t="s">
        <v>544</v>
      </c>
      <c r="K727" s="5" t="s">
        <v>590</v>
      </c>
      <c r="L727" s="5" t="s">
        <v>640</v>
      </c>
      <c r="M727" s="5" t="s">
        <v>581</v>
      </c>
      <c r="N727" s="5"/>
      <c r="O727" s="8"/>
      <c r="P727" s="22"/>
      <c r="Q727" s="5"/>
      <c r="R727" s="5" t="s">
        <v>557</v>
      </c>
      <c r="S727" s="5" t="s">
        <v>582</v>
      </c>
      <c r="T727" s="8">
        <v>46298</v>
      </c>
    </row>
    <row r="728" spans="1:20" ht="24" customHeight="1" x14ac:dyDescent="0.35">
      <c r="A728" s="1" t="s">
        <v>2373</v>
      </c>
      <c r="B728" s="1" t="s">
        <v>2374</v>
      </c>
      <c r="C728" s="1" t="s">
        <v>123</v>
      </c>
      <c r="D728" s="1" t="s">
        <v>1268</v>
      </c>
      <c r="E728" s="10">
        <v>46237</v>
      </c>
      <c r="F728" s="1" t="s">
        <v>771</v>
      </c>
      <c r="G728" s="1" t="s">
        <v>772</v>
      </c>
      <c r="H728" s="23"/>
      <c r="I728" s="1" t="s">
        <v>603</v>
      </c>
      <c r="J728" s="1" t="s">
        <v>546</v>
      </c>
      <c r="K728" s="1" t="s">
        <v>590</v>
      </c>
      <c r="L728" s="1" t="s">
        <v>640</v>
      </c>
      <c r="M728" s="1" t="s">
        <v>581</v>
      </c>
      <c r="N728" s="1"/>
      <c r="O728" s="10"/>
      <c r="P728" s="23"/>
      <c r="Q728" s="1" t="s">
        <v>773</v>
      </c>
      <c r="R728" s="1" t="s">
        <v>557</v>
      </c>
      <c r="S728" s="1" t="s">
        <v>582</v>
      </c>
      <c r="T728" s="10">
        <v>46298</v>
      </c>
    </row>
    <row r="729" spans="1:20" ht="24" customHeight="1" x14ac:dyDescent="0.35">
      <c r="A729" s="5" t="s">
        <v>2375</v>
      </c>
      <c r="B729" s="5" t="s">
        <v>2376</v>
      </c>
      <c r="C729" s="5" t="s">
        <v>785</v>
      </c>
      <c r="D729" s="5" t="s">
        <v>1519</v>
      </c>
      <c r="E729" s="8">
        <v>46237</v>
      </c>
      <c r="F729" s="5" t="s">
        <v>587</v>
      </c>
      <c r="G729" s="5" t="s">
        <v>588</v>
      </c>
      <c r="H729" s="22">
        <v>1700000</v>
      </c>
      <c r="I729" s="5" t="s">
        <v>589</v>
      </c>
      <c r="J729" s="5" t="s">
        <v>548</v>
      </c>
      <c r="K729" s="5" t="s">
        <v>590</v>
      </c>
      <c r="L729" s="5" t="s">
        <v>591</v>
      </c>
      <c r="M729" s="5" t="s">
        <v>581</v>
      </c>
      <c r="N729" s="5"/>
      <c r="O729" s="8"/>
      <c r="P729" s="22"/>
      <c r="Q729" s="5"/>
      <c r="R729" s="5" t="s">
        <v>557</v>
      </c>
      <c r="S729" s="5" t="s">
        <v>582</v>
      </c>
      <c r="T729" s="8">
        <v>46298</v>
      </c>
    </row>
    <row r="730" spans="1:20" ht="24" customHeight="1" x14ac:dyDescent="0.35">
      <c r="A730" s="1" t="s">
        <v>2377</v>
      </c>
      <c r="B730" s="1" t="s">
        <v>2378</v>
      </c>
      <c r="C730" s="1" t="s">
        <v>919</v>
      </c>
      <c r="D730" s="1" t="s">
        <v>599</v>
      </c>
      <c r="E730" s="10">
        <v>46238</v>
      </c>
      <c r="F730" s="1" t="s">
        <v>587</v>
      </c>
      <c r="G730" s="1" t="s">
        <v>588</v>
      </c>
      <c r="H730" s="23">
        <v>16000000</v>
      </c>
      <c r="I730" s="1" t="s">
        <v>589</v>
      </c>
      <c r="J730" s="1" t="s">
        <v>590</v>
      </c>
      <c r="K730" s="1" t="s">
        <v>544</v>
      </c>
      <c r="L730" s="1" t="s">
        <v>608</v>
      </c>
      <c r="M730" s="1" t="s">
        <v>581</v>
      </c>
      <c r="N730" s="1"/>
      <c r="O730" s="10"/>
      <c r="P730" s="23"/>
      <c r="Q730" s="1"/>
      <c r="R730" s="1" t="s">
        <v>557</v>
      </c>
      <c r="S730" s="1" t="s">
        <v>582</v>
      </c>
      <c r="T730" s="10">
        <v>46298</v>
      </c>
    </row>
    <row r="731" spans="1:20" ht="24" customHeight="1" x14ac:dyDescent="0.35">
      <c r="A731" s="5" t="s">
        <v>2379</v>
      </c>
      <c r="B731" s="5" t="s">
        <v>2380</v>
      </c>
      <c r="C731" s="5" t="s">
        <v>707</v>
      </c>
      <c r="D731" s="5" t="s">
        <v>2381</v>
      </c>
      <c r="E731" s="8">
        <v>46238</v>
      </c>
      <c r="F731" s="5" t="s">
        <v>771</v>
      </c>
      <c r="G731" s="5" t="s">
        <v>772</v>
      </c>
      <c r="H731" s="22"/>
      <c r="I731" s="5" t="s">
        <v>603</v>
      </c>
      <c r="J731" s="5" t="s">
        <v>545</v>
      </c>
      <c r="K731" s="5" t="s">
        <v>590</v>
      </c>
      <c r="L731" s="5" t="s">
        <v>640</v>
      </c>
      <c r="M731" s="5" t="s">
        <v>581</v>
      </c>
      <c r="N731" s="5"/>
      <c r="O731" s="8"/>
      <c r="P731" s="22"/>
      <c r="Q731" s="5" t="s">
        <v>773</v>
      </c>
      <c r="R731" s="5" t="s">
        <v>557</v>
      </c>
      <c r="S731" s="5" t="s">
        <v>582</v>
      </c>
      <c r="T731" s="8">
        <v>46298</v>
      </c>
    </row>
    <row r="732" spans="1:20" ht="24" customHeight="1" x14ac:dyDescent="0.35">
      <c r="A732" s="1" t="s">
        <v>2382</v>
      </c>
      <c r="B732" s="1" t="s">
        <v>2383</v>
      </c>
      <c r="C732" s="1" t="s">
        <v>114</v>
      </c>
      <c r="D732" s="1" t="s">
        <v>157</v>
      </c>
      <c r="E732" s="10">
        <v>46235</v>
      </c>
      <c r="F732" s="1" t="s">
        <v>587</v>
      </c>
      <c r="G732" s="1" t="s">
        <v>588</v>
      </c>
      <c r="H732" s="23">
        <v>6860000</v>
      </c>
      <c r="I732" s="1" t="s">
        <v>589</v>
      </c>
      <c r="J732" s="1" t="s">
        <v>545</v>
      </c>
      <c r="K732" s="1" t="s">
        <v>546</v>
      </c>
      <c r="L732" s="1" t="s">
        <v>149</v>
      </c>
      <c r="M732" s="1" t="s">
        <v>581</v>
      </c>
      <c r="N732" s="1"/>
      <c r="O732" s="10"/>
      <c r="P732" s="23"/>
      <c r="Q732" s="1"/>
      <c r="R732" s="1" t="s">
        <v>557</v>
      </c>
      <c r="S732" s="1" t="s">
        <v>582</v>
      </c>
      <c r="T732" s="10">
        <v>46298</v>
      </c>
    </row>
    <row r="733" spans="1:20" ht="24" customHeight="1" x14ac:dyDescent="0.35">
      <c r="A733" s="5" t="s">
        <v>2384</v>
      </c>
      <c r="B733" s="5" t="s">
        <v>2385</v>
      </c>
      <c r="C733" s="5" t="s">
        <v>365</v>
      </c>
      <c r="D733" s="5" t="s">
        <v>742</v>
      </c>
      <c r="E733" s="8">
        <v>46238</v>
      </c>
      <c r="F733" s="5" t="s">
        <v>771</v>
      </c>
      <c r="G733" s="5" t="s">
        <v>772</v>
      </c>
      <c r="H733" s="22"/>
      <c r="I733" s="5" t="s">
        <v>603</v>
      </c>
      <c r="J733" s="5" t="s">
        <v>548</v>
      </c>
      <c r="K733" s="5" t="s">
        <v>590</v>
      </c>
      <c r="L733" s="5" t="s">
        <v>591</v>
      </c>
      <c r="M733" s="5" t="s">
        <v>581</v>
      </c>
      <c r="N733" s="5"/>
      <c r="O733" s="8"/>
      <c r="P733" s="22"/>
      <c r="Q733" s="5" t="s">
        <v>1008</v>
      </c>
      <c r="R733" s="5" t="s">
        <v>557</v>
      </c>
      <c r="S733" s="5" t="s">
        <v>582</v>
      </c>
      <c r="T733" s="8">
        <v>46298</v>
      </c>
    </row>
    <row r="734" spans="1:20" ht="24" customHeight="1" x14ac:dyDescent="0.35">
      <c r="A734" s="1" t="s">
        <v>2386</v>
      </c>
      <c r="B734" s="1" t="s">
        <v>2387</v>
      </c>
      <c r="C734" s="1" t="s">
        <v>123</v>
      </c>
      <c r="D734" s="1" t="s">
        <v>1378</v>
      </c>
      <c r="E734" s="10">
        <v>46238</v>
      </c>
      <c r="F734" s="1" t="s">
        <v>601</v>
      </c>
      <c r="G734" s="1" t="s">
        <v>602</v>
      </c>
      <c r="H734" s="23"/>
      <c r="I734" s="1" t="s">
        <v>603</v>
      </c>
      <c r="J734" s="1" t="s">
        <v>546</v>
      </c>
      <c r="K734" s="1" t="s">
        <v>545</v>
      </c>
      <c r="L734" s="1" t="s">
        <v>149</v>
      </c>
      <c r="M734" s="1" t="s">
        <v>581</v>
      </c>
      <c r="N734" s="1"/>
      <c r="O734" s="10"/>
      <c r="P734" s="23"/>
      <c r="Q734" s="1"/>
      <c r="R734" s="1" t="s">
        <v>557</v>
      </c>
      <c r="S734" s="1" t="s">
        <v>582</v>
      </c>
      <c r="T734" s="10">
        <v>46298</v>
      </c>
    </row>
    <row r="735" spans="1:20" ht="24" customHeight="1" x14ac:dyDescent="0.35">
      <c r="A735" s="5" t="s">
        <v>2388</v>
      </c>
      <c r="B735" s="5" t="s">
        <v>2389</v>
      </c>
      <c r="C735" s="5" t="s">
        <v>1157</v>
      </c>
      <c r="D735" s="5" t="s">
        <v>2390</v>
      </c>
      <c r="E735" s="8">
        <v>46238</v>
      </c>
      <c r="F735" s="5" t="s">
        <v>578</v>
      </c>
      <c r="G735" s="5" t="s">
        <v>579</v>
      </c>
      <c r="H735" s="22"/>
      <c r="I735" s="5" t="s">
        <v>580</v>
      </c>
      <c r="J735" s="5" t="s">
        <v>548</v>
      </c>
      <c r="K735" s="5" t="s">
        <v>590</v>
      </c>
      <c r="L735" s="5" t="s">
        <v>149</v>
      </c>
      <c r="M735" s="5" t="s">
        <v>581</v>
      </c>
      <c r="N735" s="5"/>
      <c r="O735" s="8"/>
      <c r="P735" s="22"/>
      <c r="Q735" s="5"/>
      <c r="R735" s="5" t="s">
        <v>557</v>
      </c>
      <c r="S735" s="5" t="s">
        <v>582</v>
      </c>
      <c r="T735" s="8">
        <v>46298</v>
      </c>
    </row>
    <row r="736" spans="1:20" ht="24" customHeight="1" x14ac:dyDescent="0.35">
      <c r="A736" s="1" t="s">
        <v>2391</v>
      </c>
      <c r="B736" s="1" t="s">
        <v>2392</v>
      </c>
      <c r="C736" s="1" t="s">
        <v>681</v>
      </c>
      <c r="D736" s="1" t="s">
        <v>2393</v>
      </c>
      <c r="E736" s="10">
        <v>46238</v>
      </c>
      <c r="F736" s="1" t="s">
        <v>601</v>
      </c>
      <c r="G736" s="1" t="s">
        <v>602</v>
      </c>
      <c r="H736" s="23"/>
      <c r="I736" s="1" t="s">
        <v>603</v>
      </c>
      <c r="J736" s="1" t="s">
        <v>548</v>
      </c>
      <c r="K736" s="1" t="s">
        <v>590</v>
      </c>
      <c r="L736" s="1" t="s">
        <v>591</v>
      </c>
      <c r="M736" s="1" t="s">
        <v>581</v>
      </c>
      <c r="N736" s="1"/>
      <c r="O736" s="10"/>
      <c r="P736" s="23"/>
      <c r="Q736" s="1"/>
      <c r="R736" s="1" t="s">
        <v>557</v>
      </c>
      <c r="S736" s="1" t="s">
        <v>582</v>
      </c>
      <c r="T736" s="10">
        <v>46298</v>
      </c>
    </row>
    <row r="737" spans="1:20" ht="24" customHeight="1" x14ac:dyDescent="0.35">
      <c r="A737" s="5" t="s">
        <v>2394</v>
      </c>
      <c r="B737" s="5" t="s">
        <v>2395</v>
      </c>
      <c r="C737" s="5" t="s">
        <v>1034</v>
      </c>
      <c r="D737" s="5" t="s">
        <v>818</v>
      </c>
      <c r="E737" s="8">
        <v>46238</v>
      </c>
      <c r="F737" s="5" t="s">
        <v>771</v>
      </c>
      <c r="G737" s="5" t="s">
        <v>772</v>
      </c>
      <c r="H737" s="22"/>
      <c r="I737" s="5" t="s">
        <v>603</v>
      </c>
      <c r="J737" s="5" t="s">
        <v>546</v>
      </c>
      <c r="K737" s="5" t="s">
        <v>590</v>
      </c>
      <c r="L737" s="5" t="s">
        <v>640</v>
      </c>
      <c r="M737" s="5" t="s">
        <v>581</v>
      </c>
      <c r="N737" s="5"/>
      <c r="O737" s="8"/>
      <c r="P737" s="22"/>
      <c r="Q737" s="5" t="s">
        <v>773</v>
      </c>
      <c r="R737" s="5" t="s">
        <v>557</v>
      </c>
      <c r="S737" s="5" t="s">
        <v>582</v>
      </c>
      <c r="T737" s="8">
        <v>46298</v>
      </c>
    </row>
    <row r="738" spans="1:20" ht="24" customHeight="1" x14ac:dyDescent="0.35">
      <c r="A738" s="1" t="s">
        <v>2396</v>
      </c>
      <c r="B738" s="1" t="s">
        <v>2397</v>
      </c>
      <c r="C738" s="1" t="s">
        <v>2398</v>
      </c>
      <c r="D738" s="1" t="s">
        <v>785</v>
      </c>
      <c r="E738" s="10">
        <v>46238</v>
      </c>
      <c r="F738" s="1" t="s">
        <v>587</v>
      </c>
      <c r="G738" s="1" t="s">
        <v>588</v>
      </c>
      <c r="H738" s="23">
        <v>1500000</v>
      </c>
      <c r="I738" s="1" t="s">
        <v>589</v>
      </c>
      <c r="J738" s="1" t="s">
        <v>590</v>
      </c>
      <c r="K738" s="1" t="s">
        <v>548</v>
      </c>
      <c r="L738" s="1" t="s">
        <v>591</v>
      </c>
      <c r="M738" s="1" t="s">
        <v>581</v>
      </c>
      <c r="N738" s="1"/>
      <c r="O738" s="10"/>
      <c r="P738" s="23"/>
      <c r="Q738" s="1"/>
      <c r="R738" s="1" t="s">
        <v>557</v>
      </c>
      <c r="S738" s="1" t="s">
        <v>582</v>
      </c>
      <c r="T738" s="10">
        <v>46298</v>
      </c>
    </row>
    <row r="739" spans="1:20" ht="24" customHeight="1" x14ac:dyDescent="0.35">
      <c r="A739" s="5" t="s">
        <v>2399</v>
      </c>
      <c r="B739" s="5" t="s">
        <v>2400</v>
      </c>
      <c r="C739" s="5" t="s">
        <v>2401</v>
      </c>
      <c r="D739" s="5" t="s">
        <v>1014</v>
      </c>
      <c r="E739" s="8">
        <v>46238</v>
      </c>
      <c r="F739" s="5" t="s">
        <v>771</v>
      </c>
      <c r="G739" s="5" t="s">
        <v>772</v>
      </c>
      <c r="H739" s="22"/>
      <c r="I739" s="5" t="s">
        <v>603</v>
      </c>
      <c r="J739" s="5" t="s">
        <v>590</v>
      </c>
      <c r="K739" s="5" t="s">
        <v>545</v>
      </c>
      <c r="L739" s="5" t="s">
        <v>591</v>
      </c>
      <c r="M739" s="5" t="s">
        <v>581</v>
      </c>
      <c r="N739" s="5"/>
      <c r="O739" s="8"/>
      <c r="P739" s="22"/>
      <c r="Q739" s="5" t="s">
        <v>1008</v>
      </c>
      <c r="R739" s="5" t="s">
        <v>557</v>
      </c>
      <c r="S739" s="5" t="s">
        <v>582</v>
      </c>
      <c r="T739" s="8">
        <v>46298</v>
      </c>
    </row>
    <row r="740" spans="1:20" ht="24" customHeight="1" x14ac:dyDescent="0.35">
      <c r="A740" s="1" t="s">
        <v>2402</v>
      </c>
      <c r="B740" s="1" t="s">
        <v>2403</v>
      </c>
      <c r="C740" s="1" t="s">
        <v>101</v>
      </c>
      <c r="D740" s="1" t="s">
        <v>1691</v>
      </c>
      <c r="E740" s="10">
        <v>46239</v>
      </c>
      <c r="F740" s="1" t="s">
        <v>578</v>
      </c>
      <c r="G740" s="1" t="s">
        <v>579</v>
      </c>
      <c r="H740" s="23"/>
      <c r="I740" s="1" t="s">
        <v>580</v>
      </c>
      <c r="J740" s="1" t="s">
        <v>544</v>
      </c>
      <c r="K740" s="1" t="s">
        <v>590</v>
      </c>
      <c r="L740" s="1" t="s">
        <v>640</v>
      </c>
      <c r="M740" s="1" t="s">
        <v>581</v>
      </c>
      <c r="N740" s="1"/>
      <c r="O740" s="10"/>
      <c r="P740" s="23"/>
      <c r="Q740" s="1"/>
      <c r="R740" s="1" t="s">
        <v>557</v>
      </c>
      <c r="S740" s="1" t="s">
        <v>582</v>
      </c>
      <c r="T740" s="10">
        <v>46298</v>
      </c>
    </row>
    <row r="741" spans="1:20" ht="24" customHeight="1" x14ac:dyDescent="0.35">
      <c r="A741" s="5" t="s">
        <v>2404</v>
      </c>
      <c r="B741" s="5" t="s">
        <v>2405</v>
      </c>
      <c r="C741" s="5" t="s">
        <v>651</v>
      </c>
      <c r="D741" s="5" t="s">
        <v>1378</v>
      </c>
      <c r="E741" s="8">
        <v>46232</v>
      </c>
      <c r="F741" s="5" t="s">
        <v>771</v>
      </c>
      <c r="G741" s="5" t="s">
        <v>772</v>
      </c>
      <c r="H741" s="22"/>
      <c r="I741" s="5" t="s">
        <v>603</v>
      </c>
      <c r="J741" s="5" t="s">
        <v>548</v>
      </c>
      <c r="K741" s="5" t="s">
        <v>545</v>
      </c>
      <c r="L741" s="5" t="s">
        <v>640</v>
      </c>
      <c r="M741" s="5" t="s">
        <v>581</v>
      </c>
      <c r="N741" s="5"/>
      <c r="O741" s="8"/>
      <c r="P741" s="22"/>
      <c r="Q741" s="5" t="s">
        <v>773</v>
      </c>
      <c r="R741" s="5" t="s">
        <v>557</v>
      </c>
      <c r="S741" s="5" t="s">
        <v>582</v>
      </c>
      <c r="T741" s="8">
        <v>46298</v>
      </c>
    </row>
    <row r="742" spans="1:20" ht="24" customHeight="1" x14ac:dyDescent="0.35">
      <c r="A742" s="1" t="s">
        <v>2406</v>
      </c>
      <c r="B742" s="1" t="s">
        <v>2407</v>
      </c>
      <c r="C742" s="1" t="s">
        <v>1129</v>
      </c>
      <c r="D742" s="1" t="s">
        <v>1378</v>
      </c>
      <c r="E742" s="10">
        <v>46239</v>
      </c>
      <c r="F742" s="1" t="s">
        <v>601</v>
      </c>
      <c r="G742" s="1" t="s">
        <v>602</v>
      </c>
      <c r="H742" s="23"/>
      <c r="I742" s="1" t="s">
        <v>603</v>
      </c>
      <c r="J742" s="1" t="s">
        <v>545</v>
      </c>
      <c r="K742" s="1" t="s">
        <v>545</v>
      </c>
      <c r="L742" s="1" t="s">
        <v>149</v>
      </c>
      <c r="M742" s="1" t="s">
        <v>581</v>
      </c>
      <c r="N742" s="1"/>
      <c r="O742" s="10"/>
      <c r="P742" s="23"/>
      <c r="Q742" s="1"/>
      <c r="R742" s="1" t="s">
        <v>557</v>
      </c>
      <c r="S742" s="1" t="s">
        <v>582</v>
      </c>
      <c r="T742" s="10">
        <v>46298</v>
      </c>
    </row>
    <row r="743" spans="1:20" ht="24" customHeight="1" x14ac:dyDescent="0.35">
      <c r="A743" s="5" t="s">
        <v>2408</v>
      </c>
      <c r="B743" s="5" t="s">
        <v>2409</v>
      </c>
      <c r="C743" s="5" t="s">
        <v>743</v>
      </c>
      <c r="D743" s="5" t="s">
        <v>2158</v>
      </c>
      <c r="E743" s="8">
        <v>46239</v>
      </c>
      <c r="F743" s="5" t="s">
        <v>578</v>
      </c>
      <c r="G743" s="5" t="s">
        <v>579</v>
      </c>
      <c r="H743" s="22"/>
      <c r="I743" s="5" t="s">
        <v>580</v>
      </c>
      <c r="J743" s="5" t="s">
        <v>545</v>
      </c>
      <c r="K743" s="5" t="s">
        <v>590</v>
      </c>
      <c r="L743" s="5" t="s">
        <v>149</v>
      </c>
      <c r="M743" s="5" t="s">
        <v>581</v>
      </c>
      <c r="N743" s="5"/>
      <c r="O743" s="8"/>
      <c r="P743" s="22"/>
      <c r="Q743" s="5"/>
      <c r="R743" s="5" t="s">
        <v>557</v>
      </c>
      <c r="S743" s="5" t="s">
        <v>582</v>
      </c>
      <c r="T743" s="8">
        <v>46298</v>
      </c>
    </row>
    <row r="744" spans="1:20" ht="24" customHeight="1" x14ac:dyDescent="0.35">
      <c r="A744" s="1" t="s">
        <v>2410</v>
      </c>
      <c r="B744" s="1" t="s">
        <v>2411</v>
      </c>
      <c r="C744" s="1" t="s">
        <v>782</v>
      </c>
      <c r="D744" s="1" t="s">
        <v>1083</v>
      </c>
      <c r="E744" s="10">
        <v>46239</v>
      </c>
      <c r="F744" s="1" t="s">
        <v>587</v>
      </c>
      <c r="G744" s="1" t="s">
        <v>588</v>
      </c>
      <c r="H744" s="23">
        <v>20000000</v>
      </c>
      <c r="I744" s="1" t="s">
        <v>589</v>
      </c>
      <c r="J744" s="1" t="s">
        <v>590</v>
      </c>
      <c r="K744" s="1" t="s">
        <v>544</v>
      </c>
      <c r="L744" s="1" t="s">
        <v>172</v>
      </c>
      <c r="M744" s="1" t="s">
        <v>581</v>
      </c>
      <c r="N744" s="1"/>
      <c r="O744" s="10"/>
      <c r="P744" s="23"/>
      <c r="Q744" s="1"/>
      <c r="R744" s="1" t="s">
        <v>557</v>
      </c>
      <c r="S744" s="1" t="s">
        <v>582</v>
      </c>
      <c r="T744" s="10">
        <v>46298</v>
      </c>
    </row>
    <row r="745" spans="1:20" ht="24" customHeight="1" x14ac:dyDescent="0.35">
      <c r="A745" s="5" t="s">
        <v>2412</v>
      </c>
      <c r="B745" s="5" t="s">
        <v>2413</v>
      </c>
      <c r="C745" s="5" t="s">
        <v>174</v>
      </c>
      <c r="D745" s="5" t="s">
        <v>685</v>
      </c>
      <c r="E745" s="8">
        <v>46239</v>
      </c>
      <c r="F745" s="5" t="s">
        <v>587</v>
      </c>
      <c r="G745" s="5" t="s">
        <v>588</v>
      </c>
      <c r="H745" s="22">
        <v>25700000</v>
      </c>
      <c r="I745" s="5" t="s">
        <v>589</v>
      </c>
      <c r="J745" s="5" t="s">
        <v>546</v>
      </c>
      <c r="K745" s="5" t="s">
        <v>547</v>
      </c>
      <c r="L745" s="5" t="s">
        <v>149</v>
      </c>
      <c r="M745" s="5" t="s">
        <v>581</v>
      </c>
      <c r="N745" s="5"/>
      <c r="O745" s="8"/>
      <c r="P745" s="22"/>
      <c r="Q745" s="5"/>
      <c r="R745" s="5" t="s">
        <v>557</v>
      </c>
      <c r="S745" s="5" t="s">
        <v>582</v>
      </c>
      <c r="T745" s="8">
        <v>46298</v>
      </c>
    </row>
    <row r="746" spans="1:20" ht="24" customHeight="1" x14ac:dyDescent="0.35">
      <c r="A746" s="1" t="s">
        <v>2414</v>
      </c>
      <c r="B746" s="1" t="s">
        <v>2415</v>
      </c>
      <c r="C746" s="1" t="s">
        <v>2416</v>
      </c>
      <c r="D746" s="1" t="s">
        <v>863</v>
      </c>
      <c r="E746" s="10">
        <v>46239</v>
      </c>
      <c r="F746" s="1" t="s">
        <v>578</v>
      </c>
      <c r="G746" s="1" t="s">
        <v>579</v>
      </c>
      <c r="H746" s="23"/>
      <c r="I746" s="1" t="s">
        <v>580</v>
      </c>
      <c r="J746" s="1" t="s">
        <v>590</v>
      </c>
      <c r="K746" s="1" t="s">
        <v>548</v>
      </c>
      <c r="L746" s="1" t="s">
        <v>608</v>
      </c>
      <c r="M746" s="1" t="s">
        <v>581</v>
      </c>
      <c r="N746" s="1"/>
      <c r="O746" s="10"/>
      <c r="P746" s="23"/>
      <c r="Q746" s="1"/>
      <c r="R746" s="1" t="s">
        <v>557</v>
      </c>
      <c r="S746" s="1" t="s">
        <v>582</v>
      </c>
      <c r="T746" s="10">
        <v>46298</v>
      </c>
    </row>
    <row r="747" spans="1:20" ht="24" customHeight="1" x14ac:dyDescent="0.35">
      <c r="A747" s="5" t="s">
        <v>2417</v>
      </c>
      <c r="B747" s="5" t="s">
        <v>2418</v>
      </c>
      <c r="C747" s="5" t="s">
        <v>614</v>
      </c>
      <c r="D747" s="5" t="s">
        <v>884</v>
      </c>
      <c r="E747" s="8">
        <v>46239</v>
      </c>
      <c r="F747" s="5" t="s">
        <v>771</v>
      </c>
      <c r="G747" s="5" t="s">
        <v>772</v>
      </c>
      <c r="H747" s="22"/>
      <c r="I747" s="5" t="s">
        <v>603</v>
      </c>
      <c r="J747" s="5" t="s">
        <v>546</v>
      </c>
      <c r="K747" s="5" t="s">
        <v>590</v>
      </c>
      <c r="L747" s="5" t="s">
        <v>608</v>
      </c>
      <c r="M747" s="5" t="s">
        <v>581</v>
      </c>
      <c r="N747" s="5"/>
      <c r="O747" s="8"/>
      <c r="P747" s="22"/>
      <c r="Q747" s="5" t="s">
        <v>773</v>
      </c>
      <c r="R747" s="5" t="s">
        <v>557</v>
      </c>
      <c r="S747" s="5" t="s">
        <v>582</v>
      </c>
      <c r="T747" s="8">
        <v>46298</v>
      </c>
    </row>
    <row r="748" spans="1:20" ht="24" customHeight="1" x14ac:dyDescent="0.35">
      <c r="A748" s="1" t="s">
        <v>2419</v>
      </c>
      <c r="B748" s="1" t="s">
        <v>2420</v>
      </c>
      <c r="C748" s="1" t="s">
        <v>160</v>
      </c>
      <c r="D748" s="1" t="s">
        <v>2421</v>
      </c>
      <c r="E748" s="10">
        <v>46239</v>
      </c>
      <c r="F748" s="1" t="s">
        <v>578</v>
      </c>
      <c r="G748" s="1" t="s">
        <v>579</v>
      </c>
      <c r="H748" s="23"/>
      <c r="I748" s="1" t="s">
        <v>580</v>
      </c>
      <c r="J748" s="1" t="s">
        <v>544</v>
      </c>
      <c r="K748" s="1" t="s">
        <v>590</v>
      </c>
      <c r="L748" s="1" t="s">
        <v>149</v>
      </c>
      <c r="M748" s="1" t="s">
        <v>581</v>
      </c>
      <c r="N748" s="1"/>
      <c r="O748" s="10"/>
      <c r="P748" s="23"/>
      <c r="Q748" s="1"/>
      <c r="R748" s="1" t="s">
        <v>557</v>
      </c>
      <c r="S748" s="1" t="s">
        <v>582</v>
      </c>
      <c r="T748" s="10">
        <v>46298</v>
      </c>
    </row>
    <row r="749" spans="1:20" ht="24" customHeight="1" x14ac:dyDescent="0.35">
      <c r="A749" s="5" t="s">
        <v>2422</v>
      </c>
      <c r="B749" s="5" t="s">
        <v>2423</v>
      </c>
      <c r="C749" s="5" t="s">
        <v>1034</v>
      </c>
      <c r="D749" s="5" t="s">
        <v>2424</v>
      </c>
      <c r="E749" s="8">
        <v>46207</v>
      </c>
      <c r="F749" s="5" t="s">
        <v>587</v>
      </c>
      <c r="G749" s="5" t="s">
        <v>588</v>
      </c>
      <c r="H749" s="22">
        <v>400000</v>
      </c>
      <c r="I749" s="5" t="s">
        <v>589</v>
      </c>
      <c r="J749" s="5" t="s">
        <v>546</v>
      </c>
      <c r="K749" s="5" t="s">
        <v>590</v>
      </c>
      <c r="L749" s="5" t="s">
        <v>640</v>
      </c>
      <c r="M749" s="5" t="s">
        <v>581</v>
      </c>
      <c r="N749" s="5"/>
      <c r="O749" s="8"/>
      <c r="P749" s="22"/>
      <c r="Q749" s="5"/>
      <c r="R749" s="5" t="s">
        <v>557</v>
      </c>
      <c r="S749" s="5" t="s">
        <v>582</v>
      </c>
      <c r="T749" s="8">
        <v>46298</v>
      </c>
    </row>
    <row r="750" spans="1:20" ht="24" customHeight="1" x14ac:dyDescent="0.35">
      <c r="A750" s="1" t="s">
        <v>2425</v>
      </c>
      <c r="B750" s="1" t="s">
        <v>2426</v>
      </c>
      <c r="C750" s="1" t="s">
        <v>1034</v>
      </c>
      <c r="D750" s="1" t="s">
        <v>1691</v>
      </c>
      <c r="E750" s="10">
        <v>46178</v>
      </c>
      <c r="F750" s="1" t="s">
        <v>578</v>
      </c>
      <c r="G750" s="1" t="s">
        <v>579</v>
      </c>
      <c r="H750" s="23"/>
      <c r="I750" s="1" t="s">
        <v>580</v>
      </c>
      <c r="J750" s="1" t="s">
        <v>546</v>
      </c>
      <c r="K750" s="1" t="s">
        <v>590</v>
      </c>
      <c r="L750" s="1" t="s">
        <v>608</v>
      </c>
      <c r="M750" s="1" t="s">
        <v>581</v>
      </c>
      <c r="N750" s="1"/>
      <c r="O750" s="10"/>
      <c r="P750" s="23"/>
      <c r="Q750" s="1"/>
      <c r="R750" s="1" t="s">
        <v>557</v>
      </c>
      <c r="S750" s="1" t="s">
        <v>582</v>
      </c>
      <c r="T750" s="10">
        <v>46298</v>
      </c>
    </row>
    <row r="751" spans="1:20" ht="24" customHeight="1" x14ac:dyDescent="0.35">
      <c r="A751" s="5" t="s">
        <v>2427</v>
      </c>
      <c r="B751" s="5" t="s">
        <v>2428</v>
      </c>
      <c r="C751" s="5" t="s">
        <v>1034</v>
      </c>
      <c r="D751" s="5" t="s">
        <v>1014</v>
      </c>
      <c r="E751" s="8">
        <v>46238</v>
      </c>
      <c r="F751" s="5" t="s">
        <v>771</v>
      </c>
      <c r="G751" s="5" t="s">
        <v>772</v>
      </c>
      <c r="H751" s="22"/>
      <c r="I751" s="5" t="s">
        <v>603</v>
      </c>
      <c r="J751" s="5" t="s">
        <v>546</v>
      </c>
      <c r="K751" s="5" t="s">
        <v>545</v>
      </c>
      <c r="L751" s="5" t="s">
        <v>608</v>
      </c>
      <c r="M751" s="5" t="s">
        <v>581</v>
      </c>
      <c r="N751" s="5"/>
      <c r="O751" s="8"/>
      <c r="P751" s="22"/>
      <c r="Q751" s="5" t="s">
        <v>1008</v>
      </c>
      <c r="R751" s="5" t="s">
        <v>557</v>
      </c>
      <c r="S751" s="5" t="s">
        <v>582</v>
      </c>
      <c r="T751" s="8">
        <v>46298</v>
      </c>
    </row>
    <row r="752" spans="1:20" ht="24" customHeight="1" x14ac:dyDescent="0.35">
      <c r="A752" s="1" t="s">
        <v>2429</v>
      </c>
      <c r="B752" s="1" t="s">
        <v>2430</v>
      </c>
      <c r="C752" s="1" t="s">
        <v>1034</v>
      </c>
      <c r="D752" s="1" t="s">
        <v>2431</v>
      </c>
      <c r="E752" s="10">
        <v>46218</v>
      </c>
      <c r="F752" s="1" t="s">
        <v>771</v>
      </c>
      <c r="G752" s="1" t="s">
        <v>772</v>
      </c>
      <c r="H752" s="23"/>
      <c r="I752" s="1" t="s">
        <v>603</v>
      </c>
      <c r="J752" s="1" t="s">
        <v>546</v>
      </c>
      <c r="K752" s="1" t="s">
        <v>590</v>
      </c>
      <c r="L752" s="1" t="s">
        <v>608</v>
      </c>
      <c r="M752" s="1" t="s">
        <v>581</v>
      </c>
      <c r="N752" s="1"/>
      <c r="O752" s="10"/>
      <c r="P752" s="23"/>
      <c r="Q752" s="1" t="s">
        <v>773</v>
      </c>
      <c r="R752" s="1" t="s">
        <v>557</v>
      </c>
      <c r="S752" s="1" t="s">
        <v>582</v>
      </c>
      <c r="T752" s="10">
        <v>46298</v>
      </c>
    </row>
    <row r="753" spans="1:20" ht="24" customHeight="1" x14ac:dyDescent="0.35">
      <c r="A753" s="5" t="s">
        <v>2432</v>
      </c>
      <c r="B753" s="5" t="s">
        <v>2433</v>
      </c>
      <c r="C753" s="5" t="s">
        <v>1034</v>
      </c>
      <c r="D753" s="5" t="s">
        <v>2434</v>
      </c>
      <c r="E753" s="8">
        <v>46230</v>
      </c>
      <c r="F753" s="5" t="s">
        <v>771</v>
      </c>
      <c r="G753" s="5" t="s">
        <v>772</v>
      </c>
      <c r="H753" s="22"/>
      <c r="I753" s="5" t="s">
        <v>603</v>
      </c>
      <c r="J753" s="5" t="s">
        <v>546</v>
      </c>
      <c r="K753" s="5" t="s">
        <v>590</v>
      </c>
      <c r="L753" s="5" t="s">
        <v>640</v>
      </c>
      <c r="M753" s="5" t="s">
        <v>581</v>
      </c>
      <c r="N753" s="5"/>
      <c r="O753" s="8"/>
      <c r="P753" s="22"/>
      <c r="Q753" s="5" t="s">
        <v>773</v>
      </c>
      <c r="R753" s="5" t="s">
        <v>557</v>
      </c>
      <c r="S753" s="5" t="s">
        <v>582</v>
      </c>
      <c r="T753" s="8">
        <v>46298</v>
      </c>
    </row>
    <row r="754" spans="1:20" ht="24" customHeight="1" x14ac:dyDescent="0.35">
      <c r="A754" s="1" t="s">
        <v>2435</v>
      </c>
      <c r="B754" s="1" t="s">
        <v>2436</v>
      </c>
      <c r="C754" s="1" t="s">
        <v>1034</v>
      </c>
      <c r="D754" s="1" t="s">
        <v>2437</v>
      </c>
      <c r="E754" s="10">
        <v>46222</v>
      </c>
      <c r="F754" s="1" t="s">
        <v>771</v>
      </c>
      <c r="G754" s="1" t="s">
        <v>772</v>
      </c>
      <c r="H754" s="23"/>
      <c r="I754" s="1" t="s">
        <v>603</v>
      </c>
      <c r="J754" s="1" t="s">
        <v>546</v>
      </c>
      <c r="K754" s="1" t="s">
        <v>590</v>
      </c>
      <c r="L754" s="1" t="s">
        <v>608</v>
      </c>
      <c r="M754" s="1" t="s">
        <v>581</v>
      </c>
      <c r="N754" s="1"/>
      <c r="O754" s="10"/>
      <c r="P754" s="23"/>
      <c r="Q754" s="1" t="s">
        <v>773</v>
      </c>
      <c r="R754" s="1" t="s">
        <v>557</v>
      </c>
      <c r="S754" s="1" t="s">
        <v>582</v>
      </c>
      <c r="T754" s="10">
        <v>46298</v>
      </c>
    </row>
    <row r="755" spans="1:20" ht="24" customHeight="1" x14ac:dyDescent="0.35">
      <c r="A755" s="5" t="s">
        <v>2438</v>
      </c>
      <c r="B755" s="5" t="s">
        <v>2439</v>
      </c>
      <c r="C755" s="5" t="s">
        <v>1034</v>
      </c>
      <c r="D755" s="5" t="s">
        <v>2440</v>
      </c>
      <c r="E755" s="8">
        <v>46211</v>
      </c>
      <c r="F755" s="5" t="s">
        <v>771</v>
      </c>
      <c r="G755" s="5" t="s">
        <v>772</v>
      </c>
      <c r="H755" s="22"/>
      <c r="I755" s="5" t="s">
        <v>603</v>
      </c>
      <c r="J755" s="5" t="s">
        <v>546</v>
      </c>
      <c r="K755" s="5" t="s">
        <v>590</v>
      </c>
      <c r="L755" s="5" t="s">
        <v>149</v>
      </c>
      <c r="M755" s="5" t="s">
        <v>581</v>
      </c>
      <c r="N755" s="5"/>
      <c r="O755" s="8"/>
      <c r="P755" s="22"/>
      <c r="Q755" s="5" t="s">
        <v>773</v>
      </c>
      <c r="R755" s="5" t="s">
        <v>557</v>
      </c>
      <c r="S755" s="5" t="s">
        <v>582</v>
      </c>
      <c r="T755" s="8">
        <v>46298</v>
      </c>
    </row>
    <row r="756" spans="1:20" ht="24" customHeight="1" x14ac:dyDescent="0.35">
      <c r="A756" s="1" t="s">
        <v>2441</v>
      </c>
      <c r="B756" s="1" t="s">
        <v>2442</v>
      </c>
      <c r="C756" s="1" t="s">
        <v>1034</v>
      </c>
      <c r="D756" s="1" t="s">
        <v>1931</v>
      </c>
      <c r="E756" s="10">
        <v>46227</v>
      </c>
      <c r="F756" s="1" t="s">
        <v>771</v>
      </c>
      <c r="G756" s="1" t="s">
        <v>772</v>
      </c>
      <c r="H756" s="23"/>
      <c r="I756" s="1" t="s">
        <v>603</v>
      </c>
      <c r="J756" s="1" t="s">
        <v>546</v>
      </c>
      <c r="K756" s="1" t="s">
        <v>590</v>
      </c>
      <c r="L756" s="1" t="s">
        <v>172</v>
      </c>
      <c r="M756" s="1" t="s">
        <v>581</v>
      </c>
      <c r="N756" s="1"/>
      <c r="O756" s="10"/>
      <c r="P756" s="23"/>
      <c r="Q756" s="1" t="s">
        <v>773</v>
      </c>
      <c r="R756" s="1" t="s">
        <v>557</v>
      </c>
      <c r="S756" s="1" t="s">
        <v>582</v>
      </c>
      <c r="T756" s="10">
        <v>46298</v>
      </c>
    </row>
    <row r="757" spans="1:20" ht="24" customHeight="1" x14ac:dyDescent="0.35">
      <c r="A757" s="5" t="s">
        <v>2443</v>
      </c>
      <c r="B757" s="5" t="s">
        <v>2444</v>
      </c>
      <c r="C757" s="5" t="s">
        <v>1034</v>
      </c>
      <c r="D757" s="5" t="s">
        <v>1232</v>
      </c>
      <c r="E757" s="8">
        <v>46210</v>
      </c>
      <c r="F757" s="5" t="s">
        <v>771</v>
      </c>
      <c r="G757" s="5" t="s">
        <v>772</v>
      </c>
      <c r="H757" s="22"/>
      <c r="I757" s="5" t="s">
        <v>603</v>
      </c>
      <c r="J757" s="5" t="s">
        <v>546</v>
      </c>
      <c r="K757" s="5" t="s">
        <v>590</v>
      </c>
      <c r="L757" s="5" t="s">
        <v>149</v>
      </c>
      <c r="M757" s="5" t="s">
        <v>581</v>
      </c>
      <c r="N757" s="5"/>
      <c r="O757" s="8"/>
      <c r="P757" s="22"/>
      <c r="Q757" s="5" t="s">
        <v>773</v>
      </c>
      <c r="R757" s="5" t="s">
        <v>557</v>
      </c>
      <c r="S757" s="5" t="s">
        <v>582</v>
      </c>
      <c r="T757" s="8">
        <v>46298</v>
      </c>
    </row>
    <row r="758" spans="1:20" ht="24" customHeight="1" x14ac:dyDescent="0.35">
      <c r="A758" s="1" t="s">
        <v>2445</v>
      </c>
      <c r="B758" s="1" t="s">
        <v>2446</v>
      </c>
      <c r="C758" s="1" t="s">
        <v>425</v>
      </c>
      <c r="D758" s="1" t="s">
        <v>1928</v>
      </c>
      <c r="E758" s="10">
        <v>46239</v>
      </c>
      <c r="F758" s="1" t="s">
        <v>771</v>
      </c>
      <c r="G758" s="1" t="s">
        <v>772</v>
      </c>
      <c r="H758" s="23"/>
      <c r="I758" s="1" t="s">
        <v>603</v>
      </c>
      <c r="J758" s="1" t="s">
        <v>544</v>
      </c>
      <c r="K758" s="1" t="s">
        <v>590</v>
      </c>
      <c r="L758" s="1" t="s">
        <v>608</v>
      </c>
      <c r="M758" s="1" t="s">
        <v>581</v>
      </c>
      <c r="N758" s="1"/>
      <c r="O758" s="10"/>
      <c r="P758" s="23"/>
      <c r="Q758" s="1" t="s">
        <v>773</v>
      </c>
      <c r="R758" s="1" t="s">
        <v>557</v>
      </c>
      <c r="S758" s="1" t="s">
        <v>582</v>
      </c>
      <c r="T758" s="10">
        <v>46298</v>
      </c>
    </row>
    <row r="759" spans="1:20" ht="24" customHeight="1" x14ac:dyDescent="0.35">
      <c r="A759" s="5" t="s">
        <v>2447</v>
      </c>
      <c r="B759" s="5" t="s">
        <v>2448</v>
      </c>
      <c r="C759" s="5" t="s">
        <v>1083</v>
      </c>
      <c r="D759" s="5" t="s">
        <v>2449</v>
      </c>
      <c r="E759" s="8">
        <v>46240</v>
      </c>
      <c r="F759" s="5" t="s">
        <v>771</v>
      </c>
      <c r="G759" s="5" t="s">
        <v>772</v>
      </c>
      <c r="H759" s="22"/>
      <c r="I759" s="5" t="s">
        <v>603</v>
      </c>
      <c r="J759" s="5" t="s">
        <v>544</v>
      </c>
      <c r="K759" s="5" t="s">
        <v>590</v>
      </c>
      <c r="L759" s="5" t="s">
        <v>172</v>
      </c>
      <c r="M759" s="5" t="s">
        <v>581</v>
      </c>
      <c r="N759" s="5"/>
      <c r="O759" s="8"/>
      <c r="P759" s="22"/>
      <c r="Q759" s="5" t="s">
        <v>773</v>
      </c>
      <c r="R759" s="5" t="s">
        <v>557</v>
      </c>
      <c r="S759" s="5" t="s">
        <v>582</v>
      </c>
      <c r="T759" s="8">
        <v>46298</v>
      </c>
    </row>
    <row r="760" spans="1:20" ht="24" customHeight="1" x14ac:dyDescent="0.35">
      <c r="A760" s="1" t="s">
        <v>2450</v>
      </c>
      <c r="B760" s="1" t="s">
        <v>2451</v>
      </c>
      <c r="C760" s="1" t="s">
        <v>200</v>
      </c>
      <c r="D760" s="1" t="s">
        <v>1223</v>
      </c>
      <c r="E760" s="10">
        <v>46240</v>
      </c>
      <c r="F760" s="1" t="s">
        <v>601</v>
      </c>
      <c r="G760" s="1" t="s">
        <v>602</v>
      </c>
      <c r="H760" s="23"/>
      <c r="I760" s="1" t="s">
        <v>603</v>
      </c>
      <c r="J760" s="1" t="s">
        <v>544</v>
      </c>
      <c r="K760" s="1" t="s">
        <v>590</v>
      </c>
      <c r="L760" s="1" t="s">
        <v>149</v>
      </c>
      <c r="M760" s="1" t="s">
        <v>581</v>
      </c>
      <c r="N760" s="1"/>
      <c r="O760" s="10"/>
      <c r="P760" s="23"/>
      <c r="Q760" s="1"/>
      <c r="R760" s="1" t="s">
        <v>557</v>
      </c>
      <c r="S760" s="1" t="s">
        <v>582</v>
      </c>
      <c r="T760" s="10">
        <v>46298</v>
      </c>
    </row>
    <row r="761" spans="1:20" ht="24" customHeight="1" x14ac:dyDescent="0.35">
      <c r="A761" s="5" t="s">
        <v>2452</v>
      </c>
      <c r="B761" s="5" t="s">
        <v>2453</v>
      </c>
      <c r="C761" s="5" t="s">
        <v>599</v>
      </c>
      <c r="D761" s="5" t="s">
        <v>611</v>
      </c>
      <c r="E761" s="8">
        <v>46240</v>
      </c>
      <c r="F761" s="5" t="s">
        <v>587</v>
      </c>
      <c r="G761" s="5" t="s">
        <v>588</v>
      </c>
      <c r="H761" s="22">
        <v>100000</v>
      </c>
      <c r="I761" s="5" t="s">
        <v>589</v>
      </c>
      <c r="J761" s="5" t="s">
        <v>544</v>
      </c>
      <c r="K761" s="5" t="s">
        <v>590</v>
      </c>
      <c r="L761" s="5" t="s">
        <v>591</v>
      </c>
      <c r="M761" s="5" t="s">
        <v>581</v>
      </c>
      <c r="N761" s="5"/>
      <c r="O761" s="8"/>
      <c r="P761" s="22"/>
      <c r="Q761" s="5"/>
      <c r="R761" s="5" t="s">
        <v>557</v>
      </c>
      <c r="S761" s="5" t="s">
        <v>582</v>
      </c>
      <c r="T761" s="8">
        <v>46298</v>
      </c>
    </row>
    <row r="762" spans="1:20" ht="24" customHeight="1" x14ac:dyDescent="0.35">
      <c r="A762" s="1" t="s">
        <v>2454</v>
      </c>
      <c r="B762" s="1" t="s">
        <v>2455</v>
      </c>
      <c r="C762" s="1" t="s">
        <v>707</v>
      </c>
      <c r="D762" s="1" t="s">
        <v>200</v>
      </c>
      <c r="E762" s="10">
        <v>46240</v>
      </c>
      <c r="F762" s="1" t="s">
        <v>587</v>
      </c>
      <c r="G762" s="1" t="s">
        <v>588</v>
      </c>
      <c r="H762" s="23">
        <v>11100000</v>
      </c>
      <c r="I762" s="1" t="s">
        <v>589</v>
      </c>
      <c r="J762" s="1" t="s">
        <v>545</v>
      </c>
      <c r="K762" s="1" t="s">
        <v>544</v>
      </c>
      <c r="L762" s="1" t="s">
        <v>149</v>
      </c>
      <c r="M762" s="1" t="s">
        <v>581</v>
      </c>
      <c r="N762" s="1"/>
      <c r="O762" s="10"/>
      <c r="P762" s="23"/>
      <c r="Q762" s="1"/>
      <c r="R762" s="1" t="s">
        <v>557</v>
      </c>
      <c r="S762" s="1" t="s">
        <v>582</v>
      </c>
      <c r="T762" s="10">
        <v>46298</v>
      </c>
    </row>
    <row r="763" spans="1:20" ht="24" customHeight="1" x14ac:dyDescent="0.35">
      <c r="A763" s="5" t="s">
        <v>2456</v>
      </c>
      <c r="B763" s="5" t="s">
        <v>2457</v>
      </c>
      <c r="C763" s="5" t="s">
        <v>126</v>
      </c>
      <c r="D763" s="5" t="s">
        <v>160</v>
      </c>
      <c r="E763" s="8">
        <v>46239</v>
      </c>
      <c r="F763" s="5" t="s">
        <v>587</v>
      </c>
      <c r="G763" s="5" t="s">
        <v>588</v>
      </c>
      <c r="H763" s="22">
        <v>7000000</v>
      </c>
      <c r="I763" s="5" t="s">
        <v>589</v>
      </c>
      <c r="J763" s="5" t="s">
        <v>544</v>
      </c>
      <c r="K763" s="5" t="s">
        <v>544</v>
      </c>
      <c r="L763" s="5" t="s">
        <v>608</v>
      </c>
      <c r="M763" s="5" t="s">
        <v>581</v>
      </c>
      <c r="N763" s="5"/>
      <c r="O763" s="8"/>
      <c r="P763" s="22"/>
      <c r="Q763" s="5"/>
      <c r="R763" s="5" t="s">
        <v>557</v>
      </c>
      <c r="S763" s="5" t="s">
        <v>582</v>
      </c>
      <c r="T763" s="8">
        <v>46298</v>
      </c>
    </row>
    <row r="764" spans="1:20" ht="24" customHeight="1" x14ac:dyDescent="0.35">
      <c r="A764" s="1" t="s">
        <v>2458</v>
      </c>
      <c r="B764" s="1" t="s">
        <v>2459</v>
      </c>
      <c r="C764" s="1" t="s">
        <v>355</v>
      </c>
      <c r="D764" s="1" t="s">
        <v>425</v>
      </c>
      <c r="E764" s="10">
        <v>46240</v>
      </c>
      <c r="F764" s="1" t="s">
        <v>587</v>
      </c>
      <c r="G764" s="1" t="s">
        <v>588</v>
      </c>
      <c r="H764" s="23">
        <v>40500000</v>
      </c>
      <c r="I764" s="1" t="s">
        <v>589</v>
      </c>
      <c r="J764" s="1" t="s">
        <v>544</v>
      </c>
      <c r="K764" s="1" t="s">
        <v>544</v>
      </c>
      <c r="L764" s="1" t="s">
        <v>172</v>
      </c>
      <c r="M764" s="1" t="s">
        <v>581</v>
      </c>
      <c r="N764" s="1"/>
      <c r="O764" s="10"/>
      <c r="P764" s="23"/>
      <c r="Q764" s="1"/>
      <c r="R764" s="1" t="s">
        <v>557</v>
      </c>
      <c r="S764" s="1" t="s">
        <v>582</v>
      </c>
      <c r="T764" s="10">
        <v>46298</v>
      </c>
    </row>
    <row r="765" spans="1:20" ht="24" customHeight="1" x14ac:dyDescent="0.35">
      <c r="A765" s="5" t="s">
        <v>2460</v>
      </c>
      <c r="B765" s="5" t="s">
        <v>2461</v>
      </c>
      <c r="C765" s="5" t="s">
        <v>2462</v>
      </c>
      <c r="D765" s="5" t="s">
        <v>469</v>
      </c>
      <c r="E765" s="8">
        <v>46240</v>
      </c>
      <c r="F765" s="5" t="s">
        <v>587</v>
      </c>
      <c r="G765" s="5" t="s">
        <v>588</v>
      </c>
      <c r="H765" s="22">
        <v>700000</v>
      </c>
      <c r="I765" s="5" t="s">
        <v>589</v>
      </c>
      <c r="J765" s="5" t="s">
        <v>590</v>
      </c>
      <c r="K765" s="5" t="s">
        <v>544</v>
      </c>
      <c r="L765" s="5" t="s">
        <v>608</v>
      </c>
      <c r="M765" s="5" t="s">
        <v>581</v>
      </c>
      <c r="N765" s="5"/>
      <c r="O765" s="8"/>
      <c r="P765" s="22"/>
      <c r="Q765" s="5"/>
      <c r="R765" s="5" t="s">
        <v>557</v>
      </c>
      <c r="S765" s="5" t="s">
        <v>582</v>
      </c>
      <c r="T765" s="8">
        <v>46298</v>
      </c>
    </row>
    <row r="766" spans="1:20" ht="24" customHeight="1" x14ac:dyDescent="0.35">
      <c r="A766" s="1" t="s">
        <v>2463</v>
      </c>
      <c r="B766" s="1" t="s">
        <v>2464</v>
      </c>
      <c r="C766" s="1" t="s">
        <v>176</v>
      </c>
      <c r="D766" s="1" t="s">
        <v>756</v>
      </c>
      <c r="E766" s="10">
        <v>46238</v>
      </c>
      <c r="F766" s="1" t="s">
        <v>587</v>
      </c>
      <c r="G766" s="1" t="s">
        <v>588</v>
      </c>
      <c r="H766" s="23">
        <v>900000</v>
      </c>
      <c r="I766" s="1" t="s">
        <v>589</v>
      </c>
      <c r="J766" s="1" t="s">
        <v>546</v>
      </c>
      <c r="K766" s="1" t="s">
        <v>590</v>
      </c>
      <c r="L766" s="1" t="s">
        <v>149</v>
      </c>
      <c r="M766" s="1" t="s">
        <v>581</v>
      </c>
      <c r="N766" s="1"/>
      <c r="O766" s="10"/>
      <c r="P766" s="23"/>
      <c r="Q766" s="1"/>
      <c r="R766" s="1" t="s">
        <v>557</v>
      </c>
      <c r="S766" s="1" t="s">
        <v>582</v>
      </c>
      <c r="T766" s="10">
        <v>46298</v>
      </c>
    </row>
    <row r="767" spans="1:20" ht="24" customHeight="1" x14ac:dyDescent="0.35">
      <c r="A767" s="5" t="s">
        <v>2465</v>
      </c>
      <c r="B767" s="5" t="s">
        <v>2466</v>
      </c>
      <c r="C767" s="5" t="s">
        <v>401</v>
      </c>
      <c r="D767" s="5" t="s">
        <v>423</v>
      </c>
      <c r="E767" s="8">
        <v>46240</v>
      </c>
      <c r="F767" s="5" t="s">
        <v>771</v>
      </c>
      <c r="G767" s="5" t="s">
        <v>772</v>
      </c>
      <c r="H767" s="22"/>
      <c r="I767" s="5" t="s">
        <v>603</v>
      </c>
      <c r="J767" s="5" t="s">
        <v>547</v>
      </c>
      <c r="K767" s="5" t="s">
        <v>546</v>
      </c>
      <c r="L767" s="5" t="s">
        <v>149</v>
      </c>
      <c r="M767" s="5" t="s">
        <v>581</v>
      </c>
      <c r="N767" s="5"/>
      <c r="O767" s="8"/>
      <c r="P767" s="22"/>
      <c r="Q767" s="5" t="s">
        <v>773</v>
      </c>
      <c r="R767" s="5" t="s">
        <v>557</v>
      </c>
      <c r="S767" s="5" t="s">
        <v>582</v>
      </c>
      <c r="T767" s="8">
        <v>46298</v>
      </c>
    </row>
    <row r="768" spans="1:20" ht="24" customHeight="1" x14ac:dyDescent="0.35">
      <c r="A768" s="1" t="s">
        <v>2467</v>
      </c>
      <c r="B768" s="1" t="s">
        <v>2468</v>
      </c>
      <c r="C768" s="1" t="s">
        <v>856</v>
      </c>
      <c r="D768" s="1" t="s">
        <v>423</v>
      </c>
      <c r="E768" s="10">
        <v>46238</v>
      </c>
      <c r="F768" s="1" t="s">
        <v>601</v>
      </c>
      <c r="G768" s="1" t="s">
        <v>602</v>
      </c>
      <c r="H768" s="23"/>
      <c r="I768" s="1" t="s">
        <v>603</v>
      </c>
      <c r="J768" s="1" t="s">
        <v>546</v>
      </c>
      <c r="K768" s="1" t="s">
        <v>546</v>
      </c>
      <c r="L768" s="1" t="s">
        <v>640</v>
      </c>
      <c r="M768" s="1" t="s">
        <v>581</v>
      </c>
      <c r="N768" s="1"/>
      <c r="O768" s="10"/>
      <c r="P768" s="23"/>
      <c r="Q768" s="1"/>
      <c r="R768" s="1" t="s">
        <v>557</v>
      </c>
      <c r="S768" s="1" t="s">
        <v>582</v>
      </c>
      <c r="T768" s="10">
        <v>46298</v>
      </c>
    </row>
    <row r="769" spans="1:20" ht="24" customHeight="1" x14ac:dyDescent="0.35">
      <c r="A769" s="5" t="s">
        <v>2469</v>
      </c>
      <c r="B769" s="5" t="s">
        <v>2470</v>
      </c>
      <c r="C769" s="5" t="s">
        <v>707</v>
      </c>
      <c r="D769" s="5" t="s">
        <v>1034</v>
      </c>
      <c r="E769" s="8">
        <v>46240</v>
      </c>
      <c r="F769" s="5" t="s">
        <v>587</v>
      </c>
      <c r="G769" s="5" t="s">
        <v>588</v>
      </c>
      <c r="H769" s="22">
        <v>3400000</v>
      </c>
      <c r="I769" s="5" t="s">
        <v>589</v>
      </c>
      <c r="J769" s="5" t="s">
        <v>545</v>
      </c>
      <c r="K769" s="5" t="s">
        <v>546</v>
      </c>
      <c r="L769" s="5" t="s">
        <v>608</v>
      </c>
      <c r="M769" s="5" t="s">
        <v>581</v>
      </c>
      <c r="N769" s="5"/>
      <c r="O769" s="8"/>
      <c r="P769" s="22"/>
      <c r="Q769" s="5"/>
      <c r="R769" s="5" t="s">
        <v>557</v>
      </c>
      <c r="S769" s="5" t="s">
        <v>582</v>
      </c>
      <c r="T769" s="8">
        <v>46298</v>
      </c>
    </row>
    <row r="770" spans="1:20" ht="24" customHeight="1" x14ac:dyDescent="0.35">
      <c r="A770" s="1" t="s">
        <v>2471</v>
      </c>
      <c r="B770" s="1" t="s">
        <v>2472</v>
      </c>
      <c r="C770" s="1" t="s">
        <v>802</v>
      </c>
      <c r="D770" s="1" t="s">
        <v>684</v>
      </c>
      <c r="E770" s="10">
        <v>46239</v>
      </c>
      <c r="F770" s="1" t="s">
        <v>601</v>
      </c>
      <c r="G770" s="1" t="s">
        <v>602</v>
      </c>
      <c r="H770" s="23"/>
      <c r="I770" s="1" t="s">
        <v>603</v>
      </c>
      <c r="J770" s="1" t="s">
        <v>546</v>
      </c>
      <c r="K770" s="1" t="s">
        <v>590</v>
      </c>
      <c r="L770" s="1" t="s">
        <v>172</v>
      </c>
      <c r="M770" s="1" t="s">
        <v>581</v>
      </c>
      <c r="N770" s="1"/>
      <c r="O770" s="10"/>
      <c r="P770" s="23"/>
      <c r="Q770" s="1"/>
      <c r="R770" s="1" t="s">
        <v>557</v>
      </c>
      <c r="S770" s="1" t="s">
        <v>582</v>
      </c>
      <c r="T770" s="10">
        <v>46298</v>
      </c>
    </row>
    <row r="771" spans="1:20" ht="24" customHeight="1" x14ac:dyDescent="0.35">
      <c r="A771" s="5" t="s">
        <v>2473</v>
      </c>
      <c r="B771" s="5" t="s">
        <v>2474</v>
      </c>
      <c r="C771" s="5" t="s">
        <v>2475</v>
      </c>
      <c r="D771" s="5" t="s">
        <v>614</v>
      </c>
      <c r="E771" s="8">
        <v>46240</v>
      </c>
      <c r="F771" s="5" t="s">
        <v>578</v>
      </c>
      <c r="G771" s="5" t="s">
        <v>579</v>
      </c>
      <c r="H771" s="22"/>
      <c r="I771" s="5" t="s">
        <v>580</v>
      </c>
      <c r="J771" s="5" t="s">
        <v>590</v>
      </c>
      <c r="K771" s="5" t="s">
        <v>546</v>
      </c>
      <c r="L771" s="5" t="s">
        <v>172</v>
      </c>
      <c r="M771" s="5" t="s">
        <v>581</v>
      </c>
      <c r="N771" s="5"/>
      <c r="O771" s="8"/>
      <c r="P771" s="22"/>
      <c r="Q771" s="5"/>
      <c r="R771" s="5" t="s">
        <v>557</v>
      </c>
      <c r="S771" s="5" t="s">
        <v>582</v>
      </c>
      <c r="T771" s="8">
        <v>46298</v>
      </c>
    </row>
    <row r="772" spans="1:20" ht="24" customHeight="1" x14ac:dyDescent="0.35">
      <c r="A772" s="1" t="s">
        <v>2476</v>
      </c>
      <c r="B772" s="1" t="s">
        <v>2477</v>
      </c>
      <c r="C772" s="1" t="s">
        <v>749</v>
      </c>
      <c r="D772" s="1" t="s">
        <v>1519</v>
      </c>
      <c r="E772" s="10">
        <v>46240</v>
      </c>
      <c r="F772" s="1" t="s">
        <v>587</v>
      </c>
      <c r="G772" s="1" t="s">
        <v>588</v>
      </c>
      <c r="H772" s="23">
        <v>3600000</v>
      </c>
      <c r="I772" s="1" t="s">
        <v>589</v>
      </c>
      <c r="J772" s="1" t="s">
        <v>547</v>
      </c>
      <c r="K772" s="1" t="s">
        <v>590</v>
      </c>
      <c r="L772" s="1" t="s">
        <v>149</v>
      </c>
      <c r="M772" s="1" t="s">
        <v>581</v>
      </c>
      <c r="N772" s="1"/>
      <c r="O772" s="10"/>
      <c r="P772" s="23"/>
      <c r="Q772" s="1"/>
      <c r="R772" s="1" t="s">
        <v>557</v>
      </c>
      <c r="S772" s="1" t="s">
        <v>582</v>
      </c>
      <c r="T772" s="10">
        <v>46298</v>
      </c>
    </row>
    <row r="773" spans="1:20" ht="24" customHeight="1" x14ac:dyDescent="0.35">
      <c r="A773" s="5" t="s">
        <v>2478</v>
      </c>
      <c r="B773" s="5" t="s">
        <v>2479</v>
      </c>
      <c r="C773" s="5" t="s">
        <v>607</v>
      </c>
      <c r="D773" s="5" t="s">
        <v>2480</v>
      </c>
      <c r="E773" s="8">
        <v>46238</v>
      </c>
      <c r="F773" s="5" t="s">
        <v>771</v>
      </c>
      <c r="G773" s="5" t="s">
        <v>772</v>
      </c>
      <c r="H773" s="22"/>
      <c r="I773" s="5" t="s">
        <v>603</v>
      </c>
      <c r="J773" s="5" t="s">
        <v>547</v>
      </c>
      <c r="K773" s="5" t="s">
        <v>590</v>
      </c>
      <c r="L773" s="5" t="s">
        <v>591</v>
      </c>
      <c r="M773" s="5" t="s">
        <v>581</v>
      </c>
      <c r="N773" s="5"/>
      <c r="O773" s="8"/>
      <c r="P773" s="22"/>
      <c r="Q773" s="5" t="s">
        <v>773</v>
      </c>
      <c r="R773" s="5" t="s">
        <v>557</v>
      </c>
      <c r="S773" s="5" t="s">
        <v>582</v>
      </c>
      <c r="T773" s="8">
        <v>46298</v>
      </c>
    </row>
    <row r="774" spans="1:20" ht="24" customHeight="1" x14ac:dyDescent="0.35">
      <c r="A774" s="1" t="s">
        <v>2481</v>
      </c>
      <c r="B774" s="1" t="s">
        <v>2482</v>
      </c>
      <c r="C774" s="1" t="s">
        <v>655</v>
      </c>
      <c r="D774" s="1" t="s">
        <v>91</v>
      </c>
      <c r="E774" s="10">
        <v>46238</v>
      </c>
      <c r="F774" s="1" t="s">
        <v>587</v>
      </c>
      <c r="G774" s="1" t="s">
        <v>588</v>
      </c>
      <c r="H774" s="23">
        <v>7300000</v>
      </c>
      <c r="I774" s="1" t="s">
        <v>589</v>
      </c>
      <c r="J774" s="1" t="s">
        <v>590</v>
      </c>
      <c r="K774" s="1" t="s">
        <v>545</v>
      </c>
      <c r="L774" s="1" t="s">
        <v>591</v>
      </c>
      <c r="M774" s="1" t="s">
        <v>581</v>
      </c>
      <c r="N774" s="1"/>
      <c r="O774" s="10"/>
      <c r="P774" s="23"/>
      <c r="Q774" s="1"/>
      <c r="R774" s="1" t="s">
        <v>557</v>
      </c>
      <c r="S774" s="1" t="s">
        <v>582</v>
      </c>
      <c r="T774" s="10">
        <v>46298</v>
      </c>
    </row>
    <row r="775" spans="1:20" ht="24" customHeight="1" x14ac:dyDescent="0.35">
      <c r="A775" s="5" t="s">
        <v>2483</v>
      </c>
      <c r="B775" s="5" t="s">
        <v>2484</v>
      </c>
      <c r="C775" s="5" t="s">
        <v>1014</v>
      </c>
      <c r="D775" s="5" t="s">
        <v>1129</v>
      </c>
      <c r="E775" s="8">
        <v>46240</v>
      </c>
      <c r="F775" s="5" t="s">
        <v>771</v>
      </c>
      <c r="G775" s="5" t="s">
        <v>772</v>
      </c>
      <c r="H775" s="22"/>
      <c r="I775" s="5" t="s">
        <v>603</v>
      </c>
      <c r="J775" s="5" t="s">
        <v>545</v>
      </c>
      <c r="K775" s="5" t="s">
        <v>545</v>
      </c>
      <c r="L775" s="5" t="s">
        <v>149</v>
      </c>
      <c r="M775" s="5" t="s">
        <v>581</v>
      </c>
      <c r="N775" s="5"/>
      <c r="O775" s="8"/>
      <c r="P775" s="22"/>
      <c r="Q775" s="5" t="s">
        <v>773</v>
      </c>
      <c r="R775" s="5" t="s">
        <v>557</v>
      </c>
      <c r="S775" s="5" t="s">
        <v>582</v>
      </c>
      <c r="T775" s="8">
        <v>46298</v>
      </c>
    </row>
    <row r="776" spans="1:20" ht="24" customHeight="1" x14ac:dyDescent="0.35">
      <c r="A776" s="1" t="s">
        <v>2485</v>
      </c>
      <c r="B776" s="1" t="s">
        <v>2486</v>
      </c>
      <c r="C776" s="1" t="s">
        <v>198</v>
      </c>
      <c r="D776" s="1" t="s">
        <v>1210</v>
      </c>
      <c r="E776" s="10">
        <v>46239</v>
      </c>
      <c r="F776" s="1" t="s">
        <v>771</v>
      </c>
      <c r="G776" s="1" t="s">
        <v>772</v>
      </c>
      <c r="H776" s="23"/>
      <c r="I776" s="1" t="s">
        <v>603</v>
      </c>
      <c r="J776" s="1" t="s">
        <v>546</v>
      </c>
      <c r="K776" s="1" t="s">
        <v>545</v>
      </c>
      <c r="L776" s="1" t="s">
        <v>149</v>
      </c>
      <c r="M776" s="1" t="s">
        <v>581</v>
      </c>
      <c r="N776" s="1"/>
      <c r="O776" s="10"/>
      <c r="P776" s="23"/>
      <c r="Q776" s="1" t="s">
        <v>1008</v>
      </c>
      <c r="R776" s="1" t="s">
        <v>557</v>
      </c>
      <c r="S776" s="1" t="s">
        <v>582</v>
      </c>
      <c r="T776" s="10">
        <v>46298</v>
      </c>
    </row>
    <row r="777" spans="1:20" ht="24" customHeight="1" x14ac:dyDescent="0.35">
      <c r="A777" s="5" t="s">
        <v>2487</v>
      </c>
      <c r="B777" s="5" t="s">
        <v>2488</v>
      </c>
      <c r="C777" s="5" t="s">
        <v>1004</v>
      </c>
      <c r="D777" s="5" t="s">
        <v>627</v>
      </c>
      <c r="E777" s="8">
        <v>46240</v>
      </c>
      <c r="F777" s="5" t="s">
        <v>587</v>
      </c>
      <c r="G777" s="5" t="s">
        <v>588</v>
      </c>
      <c r="H777" s="22">
        <v>1300000</v>
      </c>
      <c r="I777" s="5" t="s">
        <v>589</v>
      </c>
      <c r="J777" s="5" t="s">
        <v>545</v>
      </c>
      <c r="K777" s="5" t="s">
        <v>545</v>
      </c>
      <c r="L777" s="5" t="s">
        <v>608</v>
      </c>
      <c r="M777" s="5" t="s">
        <v>581</v>
      </c>
      <c r="N777" s="5"/>
      <c r="O777" s="8"/>
      <c r="P777" s="22"/>
      <c r="Q777" s="5"/>
      <c r="R777" s="5" t="s">
        <v>557</v>
      </c>
      <c r="S777" s="5" t="s">
        <v>582</v>
      </c>
      <c r="T777" s="8">
        <v>46298</v>
      </c>
    </row>
    <row r="778" spans="1:20" ht="24" customHeight="1" x14ac:dyDescent="0.35">
      <c r="A778" s="1" t="s">
        <v>2489</v>
      </c>
      <c r="B778" s="1" t="s">
        <v>2490</v>
      </c>
      <c r="C778" s="1" t="s">
        <v>469</v>
      </c>
      <c r="D778" s="1" t="s">
        <v>1014</v>
      </c>
      <c r="E778" s="10">
        <v>46241</v>
      </c>
      <c r="F778" s="1" t="s">
        <v>771</v>
      </c>
      <c r="G778" s="1" t="s">
        <v>772</v>
      </c>
      <c r="H778" s="23"/>
      <c r="I778" s="1" t="s">
        <v>603</v>
      </c>
      <c r="J778" s="1" t="s">
        <v>544</v>
      </c>
      <c r="K778" s="1" t="s">
        <v>545</v>
      </c>
      <c r="L778" s="1" t="s">
        <v>172</v>
      </c>
      <c r="M778" s="1" t="s">
        <v>581</v>
      </c>
      <c r="N778" s="1"/>
      <c r="O778" s="10"/>
      <c r="P778" s="23"/>
      <c r="Q778" s="1" t="s">
        <v>773</v>
      </c>
      <c r="R778" s="1" t="s">
        <v>557</v>
      </c>
      <c r="S778" s="1" t="s">
        <v>582</v>
      </c>
      <c r="T778" s="10">
        <v>46298</v>
      </c>
    </row>
    <row r="779" spans="1:20" ht="24" customHeight="1" x14ac:dyDescent="0.35">
      <c r="A779" s="5" t="s">
        <v>2491</v>
      </c>
      <c r="B779" s="5" t="s">
        <v>2492</v>
      </c>
      <c r="C779" s="5" t="s">
        <v>160</v>
      </c>
      <c r="D779" s="5" t="s">
        <v>1112</v>
      </c>
      <c r="E779" s="8">
        <v>46241</v>
      </c>
      <c r="F779" s="5" t="s">
        <v>578</v>
      </c>
      <c r="G779" s="5" t="s">
        <v>579</v>
      </c>
      <c r="H779" s="22"/>
      <c r="I779" s="5" t="s">
        <v>580</v>
      </c>
      <c r="J779" s="5" t="s">
        <v>544</v>
      </c>
      <c r="K779" s="5" t="s">
        <v>590</v>
      </c>
      <c r="L779" s="5" t="s">
        <v>608</v>
      </c>
      <c r="M779" s="5" t="s">
        <v>581</v>
      </c>
      <c r="N779" s="5"/>
      <c r="O779" s="8"/>
      <c r="P779" s="22"/>
      <c r="Q779" s="5"/>
      <c r="R779" s="5" t="s">
        <v>557</v>
      </c>
      <c r="S779" s="5" t="s">
        <v>582</v>
      </c>
      <c r="T779" s="8">
        <v>46298</v>
      </c>
    </row>
    <row r="780" spans="1:20" ht="24" customHeight="1" x14ac:dyDescent="0.35">
      <c r="A780" s="1" t="s">
        <v>2493</v>
      </c>
      <c r="B780" s="1" t="s">
        <v>2494</v>
      </c>
      <c r="C780" s="1" t="s">
        <v>200</v>
      </c>
      <c r="D780" s="1" t="s">
        <v>2495</v>
      </c>
      <c r="E780" s="10">
        <v>46241</v>
      </c>
      <c r="F780" s="1" t="s">
        <v>771</v>
      </c>
      <c r="G780" s="1" t="s">
        <v>772</v>
      </c>
      <c r="H780" s="23"/>
      <c r="I780" s="1" t="s">
        <v>603</v>
      </c>
      <c r="J780" s="1" t="s">
        <v>544</v>
      </c>
      <c r="K780" s="1" t="s">
        <v>590</v>
      </c>
      <c r="L780" s="1" t="s">
        <v>149</v>
      </c>
      <c r="M780" s="1" t="s">
        <v>581</v>
      </c>
      <c r="N780" s="1"/>
      <c r="O780" s="10"/>
      <c r="P780" s="23"/>
      <c r="Q780" s="1" t="s">
        <v>773</v>
      </c>
      <c r="R780" s="1" t="s">
        <v>557</v>
      </c>
      <c r="S780" s="1" t="s">
        <v>582</v>
      </c>
      <c r="T780" s="10">
        <v>46298</v>
      </c>
    </row>
    <row r="781" spans="1:20" ht="24" customHeight="1" x14ac:dyDescent="0.35">
      <c r="A781" s="5" t="s">
        <v>2496</v>
      </c>
      <c r="B781" s="5" t="s">
        <v>2497</v>
      </c>
      <c r="C781" s="5" t="s">
        <v>176</v>
      </c>
      <c r="D781" s="5" t="s">
        <v>797</v>
      </c>
      <c r="E781" s="8">
        <v>46241</v>
      </c>
      <c r="F781" s="5" t="s">
        <v>771</v>
      </c>
      <c r="G781" s="5" t="s">
        <v>772</v>
      </c>
      <c r="H781" s="22"/>
      <c r="I781" s="5" t="s">
        <v>603</v>
      </c>
      <c r="J781" s="5" t="s">
        <v>546</v>
      </c>
      <c r="K781" s="5" t="s">
        <v>546</v>
      </c>
      <c r="L781" s="5" t="s">
        <v>640</v>
      </c>
      <c r="M781" s="5" t="s">
        <v>581</v>
      </c>
      <c r="N781" s="5"/>
      <c r="O781" s="8"/>
      <c r="P781" s="22"/>
      <c r="Q781" s="5" t="s">
        <v>773</v>
      </c>
      <c r="R781" s="5" t="s">
        <v>557</v>
      </c>
      <c r="S781" s="5" t="s">
        <v>582</v>
      </c>
      <c r="T781" s="8">
        <v>46298</v>
      </c>
    </row>
    <row r="782" spans="1:20" ht="24" customHeight="1" x14ac:dyDescent="0.35">
      <c r="A782" s="1" t="s">
        <v>2498</v>
      </c>
      <c r="B782" s="1" t="s">
        <v>2499</v>
      </c>
      <c r="C782" s="1" t="s">
        <v>114</v>
      </c>
      <c r="D782" s="1" t="s">
        <v>157</v>
      </c>
      <c r="E782" s="10">
        <v>46241</v>
      </c>
      <c r="F782" s="1" t="s">
        <v>771</v>
      </c>
      <c r="G782" s="1" t="s">
        <v>772</v>
      </c>
      <c r="H782" s="23"/>
      <c r="I782" s="1" t="s">
        <v>603</v>
      </c>
      <c r="J782" s="1" t="s">
        <v>545</v>
      </c>
      <c r="K782" s="1" t="s">
        <v>546</v>
      </c>
      <c r="L782" s="1" t="s">
        <v>608</v>
      </c>
      <c r="M782" s="1" t="s">
        <v>581</v>
      </c>
      <c r="N782" s="1"/>
      <c r="O782" s="10"/>
      <c r="P782" s="23"/>
      <c r="Q782" s="1" t="s">
        <v>773</v>
      </c>
      <c r="R782" s="1" t="s">
        <v>557</v>
      </c>
      <c r="S782" s="1" t="s">
        <v>582</v>
      </c>
      <c r="T782" s="10">
        <v>46298</v>
      </c>
    </row>
    <row r="783" spans="1:20" ht="24" customHeight="1" x14ac:dyDescent="0.35">
      <c r="A783" s="5" t="s">
        <v>2500</v>
      </c>
      <c r="B783" s="5" t="s">
        <v>2501</v>
      </c>
      <c r="C783" s="5" t="s">
        <v>144</v>
      </c>
      <c r="D783" s="5" t="s">
        <v>210</v>
      </c>
      <c r="E783" s="8">
        <v>46241</v>
      </c>
      <c r="F783" s="5" t="s">
        <v>578</v>
      </c>
      <c r="G783" s="5" t="s">
        <v>579</v>
      </c>
      <c r="H783" s="22"/>
      <c r="I783" s="5" t="s">
        <v>580</v>
      </c>
      <c r="J783" s="5" t="s">
        <v>590</v>
      </c>
      <c r="K783" s="5" t="s">
        <v>544</v>
      </c>
      <c r="L783" s="5" t="s">
        <v>149</v>
      </c>
      <c r="M783" s="5" t="s">
        <v>581</v>
      </c>
      <c r="N783" s="5"/>
      <c r="O783" s="8"/>
      <c r="P783" s="22"/>
      <c r="Q783" s="5"/>
      <c r="R783" s="5" t="s">
        <v>557</v>
      </c>
      <c r="S783" s="5" t="s">
        <v>582</v>
      </c>
      <c r="T783" s="8">
        <v>46298</v>
      </c>
    </row>
    <row r="784" spans="1:20" ht="24" customHeight="1" x14ac:dyDescent="0.35">
      <c r="A784" s="1" t="s">
        <v>2502</v>
      </c>
      <c r="B784" s="1" t="s">
        <v>2503</v>
      </c>
      <c r="C784" s="1" t="s">
        <v>469</v>
      </c>
      <c r="D784" s="1" t="s">
        <v>2504</v>
      </c>
      <c r="E784" s="10">
        <v>46241</v>
      </c>
      <c r="F784" s="1" t="s">
        <v>601</v>
      </c>
      <c r="G784" s="1" t="s">
        <v>602</v>
      </c>
      <c r="H784" s="23"/>
      <c r="I784" s="1" t="s">
        <v>603</v>
      </c>
      <c r="J784" s="1" t="s">
        <v>544</v>
      </c>
      <c r="K784" s="1" t="s">
        <v>590</v>
      </c>
      <c r="L784" s="1" t="s">
        <v>149</v>
      </c>
      <c r="M784" s="1" t="s">
        <v>581</v>
      </c>
      <c r="N784" s="1"/>
      <c r="O784" s="10"/>
      <c r="P784" s="23"/>
      <c r="Q784" s="1"/>
      <c r="R784" s="1" t="s">
        <v>557</v>
      </c>
      <c r="S784" s="1" t="s">
        <v>582</v>
      </c>
      <c r="T784" s="10">
        <v>46298</v>
      </c>
    </row>
    <row r="785" spans="1:20" ht="24" customHeight="1" x14ac:dyDescent="0.35">
      <c r="A785" s="5" t="s">
        <v>2505</v>
      </c>
      <c r="B785" s="5" t="s">
        <v>2506</v>
      </c>
      <c r="C785" s="5" t="s">
        <v>448</v>
      </c>
      <c r="D785" s="5" t="s">
        <v>721</v>
      </c>
      <c r="E785" s="8">
        <v>46241</v>
      </c>
      <c r="F785" s="5" t="s">
        <v>587</v>
      </c>
      <c r="G785" s="5" t="s">
        <v>588</v>
      </c>
      <c r="H785" s="22">
        <v>600000</v>
      </c>
      <c r="I785" s="5" t="s">
        <v>589</v>
      </c>
      <c r="J785" s="5" t="s">
        <v>547</v>
      </c>
      <c r="K785" s="5" t="s">
        <v>547</v>
      </c>
      <c r="L785" s="5" t="s">
        <v>149</v>
      </c>
      <c r="M785" s="5" t="s">
        <v>581</v>
      </c>
      <c r="N785" s="5"/>
      <c r="O785" s="8"/>
      <c r="P785" s="22"/>
      <c r="Q785" s="5" t="s">
        <v>1005</v>
      </c>
      <c r="R785" s="5" t="s">
        <v>557</v>
      </c>
      <c r="S785" s="5" t="s">
        <v>582</v>
      </c>
      <c r="T785" s="8">
        <v>46298</v>
      </c>
    </row>
    <row r="786" spans="1:20" ht="24" customHeight="1" x14ac:dyDescent="0.35">
      <c r="A786" s="1" t="s">
        <v>2507</v>
      </c>
      <c r="B786" s="1" t="s">
        <v>2508</v>
      </c>
      <c r="C786" s="1" t="s">
        <v>111</v>
      </c>
      <c r="D786" s="1" t="s">
        <v>630</v>
      </c>
      <c r="E786" s="10">
        <v>46241</v>
      </c>
      <c r="F786" s="1" t="s">
        <v>601</v>
      </c>
      <c r="G786" s="1" t="s">
        <v>602</v>
      </c>
      <c r="H786" s="23"/>
      <c r="I786" s="1" t="s">
        <v>603</v>
      </c>
      <c r="J786" s="1" t="s">
        <v>590</v>
      </c>
      <c r="K786" s="1" t="s">
        <v>547</v>
      </c>
      <c r="L786" s="1" t="s">
        <v>608</v>
      </c>
      <c r="M786" s="1" t="s">
        <v>581</v>
      </c>
      <c r="N786" s="1"/>
      <c r="O786" s="10"/>
      <c r="P786" s="23"/>
      <c r="Q786" s="1"/>
      <c r="R786" s="1" t="s">
        <v>557</v>
      </c>
      <c r="S786" s="1" t="s">
        <v>582</v>
      </c>
      <c r="T786" s="10">
        <v>46298</v>
      </c>
    </row>
    <row r="787" spans="1:20" ht="24" customHeight="1" x14ac:dyDescent="0.35">
      <c r="A787" s="5" t="s">
        <v>2509</v>
      </c>
      <c r="B787" s="5" t="s">
        <v>2510</v>
      </c>
      <c r="C787" s="5" t="s">
        <v>240</v>
      </c>
      <c r="D787" s="5" t="s">
        <v>733</v>
      </c>
      <c r="E787" s="8">
        <v>46241</v>
      </c>
      <c r="F787" s="5" t="s">
        <v>771</v>
      </c>
      <c r="G787" s="5" t="s">
        <v>772</v>
      </c>
      <c r="H787" s="22"/>
      <c r="I787" s="5" t="s">
        <v>603</v>
      </c>
      <c r="J787" s="5" t="s">
        <v>548</v>
      </c>
      <c r="K787" s="5" t="s">
        <v>545</v>
      </c>
      <c r="L787" s="5" t="s">
        <v>608</v>
      </c>
      <c r="M787" s="5" t="s">
        <v>581</v>
      </c>
      <c r="N787" s="5"/>
      <c r="O787" s="8"/>
      <c r="P787" s="22"/>
      <c r="Q787" s="5" t="s">
        <v>773</v>
      </c>
      <c r="R787" s="5" t="s">
        <v>557</v>
      </c>
      <c r="S787" s="5" t="s">
        <v>582</v>
      </c>
      <c r="T787" s="8">
        <v>46298</v>
      </c>
    </row>
    <row r="788" spans="1:20" ht="24" customHeight="1" x14ac:dyDescent="0.35">
      <c r="A788" s="1" t="s">
        <v>2511</v>
      </c>
      <c r="B788" s="1" t="s">
        <v>2512</v>
      </c>
      <c r="C788" s="1" t="s">
        <v>639</v>
      </c>
      <c r="D788" s="1" t="s">
        <v>778</v>
      </c>
      <c r="E788" s="10">
        <v>46241</v>
      </c>
      <c r="F788" s="1" t="s">
        <v>771</v>
      </c>
      <c r="G788" s="1" t="s">
        <v>772</v>
      </c>
      <c r="H788" s="23"/>
      <c r="I788" s="1" t="s">
        <v>603</v>
      </c>
      <c r="J788" s="1" t="s">
        <v>548</v>
      </c>
      <c r="K788" s="1" t="s">
        <v>590</v>
      </c>
      <c r="L788" s="1" t="s">
        <v>149</v>
      </c>
      <c r="M788" s="1" t="s">
        <v>581</v>
      </c>
      <c r="N788" s="1"/>
      <c r="O788" s="10"/>
      <c r="P788" s="23"/>
      <c r="Q788" s="1" t="s">
        <v>1008</v>
      </c>
      <c r="R788" s="1" t="s">
        <v>557</v>
      </c>
      <c r="S788" s="1" t="s">
        <v>582</v>
      </c>
      <c r="T788" s="10">
        <v>46298</v>
      </c>
    </row>
    <row r="789" spans="1:20" ht="24" customHeight="1" x14ac:dyDescent="0.35">
      <c r="A789" s="5" t="s">
        <v>2513</v>
      </c>
      <c r="B789" s="5" t="s">
        <v>2514</v>
      </c>
      <c r="C789" s="5" t="s">
        <v>2515</v>
      </c>
      <c r="D789" s="5" t="s">
        <v>1083</v>
      </c>
      <c r="E789" s="8">
        <v>46241</v>
      </c>
      <c r="F789" s="5" t="s">
        <v>587</v>
      </c>
      <c r="G789" s="5" t="s">
        <v>588</v>
      </c>
      <c r="H789" s="22">
        <v>10000000</v>
      </c>
      <c r="I789" s="5" t="s">
        <v>589</v>
      </c>
      <c r="J789" s="5" t="s">
        <v>590</v>
      </c>
      <c r="K789" s="5" t="s">
        <v>544</v>
      </c>
      <c r="L789" s="5" t="s">
        <v>608</v>
      </c>
      <c r="M789" s="5" t="s">
        <v>581</v>
      </c>
      <c r="N789" s="5"/>
      <c r="O789" s="8"/>
      <c r="P789" s="22"/>
      <c r="Q789" s="5"/>
      <c r="R789" s="5" t="s">
        <v>557</v>
      </c>
      <c r="S789" s="5" t="s">
        <v>582</v>
      </c>
      <c r="T789" s="8">
        <v>46298</v>
      </c>
    </row>
    <row r="790" spans="1:20" ht="24" customHeight="1" x14ac:dyDescent="0.35">
      <c r="A790" s="1" t="s">
        <v>2516</v>
      </c>
      <c r="B790" s="1" t="s">
        <v>2517</v>
      </c>
      <c r="C790" s="1" t="s">
        <v>157</v>
      </c>
      <c r="D790" s="1" t="s">
        <v>2518</v>
      </c>
      <c r="E790" s="10">
        <v>46241</v>
      </c>
      <c r="F790" s="1" t="s">
        <v>601</v>
      </c>
      <c r="G790" s="1" t="s">
        <v>602</v>
      </c>
      <c r="H790" s="23"/>
      <c r="I790" s="1" t="s">
        <v>603</v>
      </c>
      <c r="J790" s="1" t="s">
        <v>546</v>
      </c>
      <c r="K790" s="1" t="s">
        <v>590</v>
      </c>
      <c r="L790" s="1" t="s">
        <v>608</v>
      </c>
      <c r="M790" s="1" t="s">
        <v>581</v>
      </c>
      <c r="N790" s="1"/>
      <c r="O790" s="10"/>
      <c r="P790" s="23"/>
      <c r="Q790" s="1"/>
      <c r="R790" s="1" t="s">
        <v>557</v>
      </c>
      <c r="S790" s="1" t="s">
        <v>582</v>
      </c>
      <c r="T790" s="10">
        <v>46298</v>
      </c>
    </row>
    <row r="791" spans="1:20" ht="24" customHeight="1" x14ac:dyDescent="0.35">
      <c r="A791" s="5" t="s">
        <v>2519</v>
      </c>
      <c r="B791" s="5" t="s">
        <v>2520</v>
      </c>
      <c r="C791" s="5" t="s">
        <v>856</v>
      </c>
      <c r="D791" s="5" t="s">
        <v>2518</v>
      </c>
      <c r="E791" s="8">
        <v>46241</v>
      </c>
      <c r="F791" s="5" t="s">
        <v>771</v>
      </c>
      <c r="G791" s="5" t="s">
        <v>772</v>
      </c>
      <c r="H791" s="22"/>
      <c r="I791" s="5" t="s">
        <v>603</v>
      </c>
      <c r="J791" s="5" t="s">
        <v>546</v>
      </c>
      <c r="K791" s="5" t="s">
        <v>590</v>
      </c>
      <c r="L791" s="5" t="s">
        <v>149</v>
      </c>
      <c r="M791" s="5" t="s">
        <v>581</v>
      </c>
      <c r="N791" s="5"/>
      <c r="O791" s="8"/>
      <c r="P791" s="22"/>
      <c r="Q791" s="5" t="s">
        <v>773</v>
      </c>
      <c r="R791" s="5" t="s">
        <v>557</v>
      </c>
      <c r="S791" s="5" t="s">
        <v>582</v>
      </c>
      <c r="T791" s="8">
        <v>46298</v>
      </c>
    </row>
    <row r="792" spans="1:20" ht="24" customHeight="1" x14ac:dyDescent="0.35">
      <c r="A792" s="1" t="s">
        <v>2521</v>
      </c>
      <c r="B792" s="1" t="s">
        <v>2522</v>
      </c>
      <c r="C792" s="1" t="s">
        <v>661</v>
      </c>
      <c r="D792" s="1" t="s">
        <v>1414</v>
      </c>
      <c r="E792" s="10">
        <v>46234</v>
      </c>
      <c r="F792" s="1" t="s">
        <v>771</v>
      </c>
      <c r="G792" s="1" t="s">
        <v>772</v>
      </c>
      <c r="H792" s="23"/>
      <c r="I792" s="1" t="s">
        <v>603</v>
      </c>
      <c r="J792" s="1" t="s">
        <v>546</v>
      </c>
      <c r="K792" s="1" t="s">
        <v>590</v>
      </c>
      <c r="L792" s="1" t="s">
        <v>149</v>
      </c>
      <c r="M792" s="1" t="s">
        <v>581</v>
      </c>
      <c r="N792" s="1"/>
      <c r="O792" s="10"/>
      <c r="P792" s="23"/>
      <c r="Q792" s="1" t="s">
        <v>773</v>
      </c>
      <c r="R792" s="1" t="s">
        <v>557</v>
      </c>
      <c r="S792" s="1" t="s">
        <v>582</v>
      </c>
      <c r="T792" s="10">
        <v>46298</v>
      </c>
    </row>
    <row r="793" spans="1:20" ht="24" customHeight="1" x14ac:dyDescent="0.35">
      <c r="A793" s="5" t="s">
        <v>2523</v>
      </c>
      <c r="B793" s="5" t="s">
        <v>2524</v>
      </c>
      <c r="C793" s="5" t="s">
        <v>174</v>
      </c>
      <c r="D793" s="5" t="s">
        <v>2525</v>
      </c>
      <c r="E793" s="8">
        <v>46235</v>
      </c>
      <c r="F793" s="5" t="s">
        <v>578</v>
      </c>
      <c r="G793" s="5" t="s">
        <v>579</v>
      </c>
      <c r="H793" s="22"/>
      <c r="I793" s="5" t="s">
        <v>580</v>
      </c>
      <c r="J793" s="5" t="s">
        <v>546</v>
      </c>
      <c r="K793" s="5" t="s">
        <v>590</v>
      </c>
      <c r="L793" s="5" t="s">
        <v>608</v>
      </c>
      <c r="M793" s="5" t="s">
        <v>581</v>
      </c>
      <c r="N793" s="5"/>
      <c r="O793" s="8"/>
      <c r="P793" s="22"/>
      <c r="Q793" s="5"/>
      <c r="R793" s="5" t="s">
        <v>557</v>
      </c>
      <c r="S793" s="5" t="s">
        <v>582</v>
      </c>
      <c r="T793" s="8">
        <v>46298</v>
      </c>
    </row>
    <row r="794" spans="1:20" ht="24" customHeight="1" x14ac:dyDescent="0.35">
      <c r="A794" s="1" t="s">
        <v>2526</v>
      </c>
      <c r="B794" s="1" t="s">
        <v>2527</v>
      </c>
      <c r="C794" s="1" t="s">
        <v>157</v>
      </c>
      <c r="D794" s="1" t="s">
        <v>1569</v>
      </c>
      <c r="E794" s="10">
        <v>46234</v>
      </c>
      <c r="F794" s="1" t="s">
        <v>578</v>
      </c>
      <c r="G794" s="1" t="s">
        <v>579</v>
      </c>
      <c r="H794" s="23"/>
      <c r="I794" s="1" t="s">
        <v>580</v>
      </c>
      <c r="J794" s="1" t="s">
        <v>546</v>
      </c>
      <c r="K794" s="1" t="s">
        <v>590</v>
      </c>
      <c r="L794" s="1" t="s">
        <v>608</v>
      </c>
      <c r="M794" s="1" t="s">
        <v>581</v>
      </c>
      <c r="N794" s="1"/>
      <c r="O794" s="10"/>
      <c r="P794" s="23"/>
      <c r="Q794" s="1"/>
      <c r="R794" s="1" t="s">
        <v>557</v>
      </c>
      <c r="S794" s="1" t="s">
        <v>582</v>
      </c>
      <c r="T794" s="10">
        <v>46298</v>
      </c>
    </row>
    <row r="795" spans="1:20" ht="24" customHeight="1" x14ac:dyDescent="0.35">
      <c r="A795" s="5" t="s">
        <v>2528</v>
      </c>
      <c r="B795" s="5" t="s">
        <v>2529</v>
      </c>
      <c r="C795" s="5" t="s">
        <v>391</v>
      </c>
      <c r="D795" s="5" t="s">
        <v>707</v>
      </c>
      <c r="E795" s="8">
        <v>46204</v>
      </c>
      <c r="F795" s="5" t="s">
        <v>1477</v>
      </c>
      <c r="G795" s="5" t="s">
        <v>772</v>
      </c>
      <c r="H795" s="22"/>
      <c r="I795" s="5" t="s">
        <v>603</v>
      </c>
      <c r="J795" s="5" t="s">
        <v>544</v>
      </c>
      <c r="K795" s="5" t="s">
        <v>545</v>
      </c>
      <c r="L795" s="5" t="s">
        <v>172</v>
      </c>
      <c r="M795" s="5" t="s">
        <v>581</v>
      </c>
      <c r="N795" s="5"/>
      <c r="O795" s="8"/>
      <c r="P795" s="22"/>
      <c r="Q795" s="5"/>
      <c r="R795" s="5" t="s">
        <v>557</v>
      </c>
      <c r="S795" s="5" t="s">
        <v>582</v>
      </c>
      <c r="T795" s="8">
        <v>46298</v>
      </c>
    </row>
    <row r="796" spans="1:20" ht="24" customHeight="1" x14ac:dyDescent="0.35">
      <c r="A796" s="1" t="s">
        <v>2530</v>
      </c>
      <c r="B796" s="1" t="s">
        <v>2531</v>
      </c>
      <c r="C796" s="1" t="s">
        <v>643</v>
      </c>
      <c r="D796" s="1" t="s">
        <v>469</v>
      </c>
      <c r="E796" s="10">
        <v>46223</v>
      </c>
      <c r="F796" s="1" t="s">
        <v>587</v>
      </c>
      <c r="G796" s="1" t="s">
        <v>588</v>
      </c>
      <c r="H796" s="23">
        <v>4000000</v>
      </c>
      <c r="I796" s="1" t="s">
        <v>589</v>
      </c>
      <c r="J796" s="1" t="s">
        <v>544</v>
      </c>
      <c r="K796" s="1" t="s">
        <v>544</v>
      </c>
      <c r="L796" s="1" t="s">
        <v>591</v>
      </c>
      <c r="M796" s="1" t="s">
        <v>581</v>
      </c>
      <c r="N796" s="1"/>
      <c r="O796" s="10"/>
      <c r="P796" s="23"/>
      <c r="Q796" s="1" t="s">
        <v>1005</v>
      </c>
      <c r="R796" s="1" t="s">
        <v>557</v>
      </c>
      <c r="S796" s="1" t="s">
        <v>582</v>
      </c>
      <c r="T796" s="10">
        <v>46298</v>
      </c>
    </row>
    <row r="797" spans="1:20" ht="24" customHeight="1" x14ac:dyDescent="0.35">
      <c r="A797" s="5" t="s">
        <v>2532</v>
      </c>
      <c r="B797" s="5" t="s">
        <v>303</v>
      </c>
      <c r="C797" s="5" t="s">
        <v>469</v>
      </c>
      <c r="D797" s="5" t="s">
        <v>1691</v>
      </c>
      <c r="E797" s="8">
        <v>46210</v>
      </c>
      <c r="F797" s="5" t="s">
        <v>1477</v>
      </c>
      <c r="G797" s="5" t="s">
        <v>772</v>
      </c>
      <c r="H797" s="22"/>
      <c r="I797" s="5" t="s">
        <v>603</v>
      </c>
      <c r="J797" s="5" t="s">
        <v>544</v>
      </c>
      <c r="K797" s="5" t="s">
        <v>590</v>
      </c>
      <c r="L797" s="5" t="s">
        <v>172</v>
      </c>
      <c r="M797" s="5" t="s">
        <v>581</v>
      </c>
      <c r="N797" s="5"/>
      <c r="O797" s="8"/>
      <c r="P797" s="22"/>
      <c r="Q797" s="5"/>
      <c r="R797" s="5" t="s">
        <v>557</v>
      </c>
      <c r="S797" s="5" t="s">
        <v>582</v>
      </c>
      <c r="T797" s="8">
        <v>46298</v>
      </c>
    </row>
    <row r="798" spans="1:20" ht="24" customHeight="1" x14ac:dyDescent="0.35">
      <c r="A798" s="1" t="s">
        <v>2533</v>
      </c>
      <c r="B798" s="1" t="s">
        <v>1346</v>
      </c>
      <c r="C798" s="1" t="s">
        <v>355</v>
      </c>
      <c r="D798" s="1" t="s">
        <v>1735</v>
      </c>
      <c r="E798" s="10">
        <v>46213</v>
      </c>
      <c r="F798" s="1" t="s">
        <v>771</v>
      </c>
      <c r="G798" s="1" t="s">
        <v>772</v>
      </c>
      <c r="H798" s="23"/>
      <c r="I798" s="1" t="s">
        <v>603</v>
      </c>
      <c r="J798" s="1" t="s">
        <v>544</v>
      </c>
      <c r="K798" s="1" t="s">
        <v>590</v>
      </c>
      <c r="L798" s="1" t="s">
        <v>172</v>
      </c>
      <c r="M798" s="1" t="s">
        <v>581</v>
      </c>
      <c r="N798" s="1"/>
      <c r="O798" s="10"/>
      <c r="P798" s="23"/>
      <c r="Q798" s="1" t="s">
        <v>2229</v>
      </c>
      <c r="R798" s="1" t="s">
        <v>557</v>
      </c>
      <c r="S798" s="1" t="s">
        <v>582</v>
      </c>
      <c r="T798" s="10">
        <v>46298</v>
      </c>
    </row>
    <row r="799" spans="1:20" ht="24" customHeight="1" x14ac:dyDescent="0.35">
      <c r="A799" s="5" t="s">
        <v>2534</v>
      </c>
      <c r="B799" s="5" t="s">
        <v>2535</v>
      </c>
      <c r="C799" s="5" t="s">
        <v>106</v>
      </c>
      <c r="D799" s="5" t="s">
        <v>643</v>
      </c>
      <c r="E799" s="8">
        <v>46210</v>
      </c>
      <c r="F799" s="5" t="s">
        <v>578</v>
      </c>
      <c r="G799" s="5" t="s">
        <v>579</v>
      </c>
      <c r="H799" s="22"/>
      <c r="I799" s="5" t="s">
        <v>580</v>
      </c>
      <c r="J799" s="5" t="s">
        <v>544</v>
      </c>
      <c r="K799" s="5" t="s">
        <v>544</v>
      </c>
      <c r="L799" s="5" t="s">
        <v>608</v>
      </c>
      <c r="M799" s="5" t="s">
        <v>581</v>
      </c>
      <c r="N799" s="5"/>
      <c r="O799" s="8"/>
      <c r="P799" s="22"/>
      <c r="Q799" s="5"/>
      <c r="R799" s="5" t="s">
        <v>557</v>
      </c>
      <c r="S799" s="5" t="s">
        <v>582</v>
      </c>
      <c r="T799" s="8">
        <v>46298</v>
      </c>
    </row>
    <row r="800" spans="1:20" ht="24" customHeight="1" x14ac:dyDescent="0.35">
      <c r="A800" s="1" t="s">
        <v>2536</v>
      </c>
      <c r="B800" s="1" t="s">
        <v>2537</v>
      </c>
      <c r="C800" s="1" t="s">
        <v>643</v>
      </c>
      <c r="D800" s="1" t="s">
        <v>2538</v>
      </c>
      <c r="E800" s="10">
        <v>46204</v>
      </c>
      <c r="F800" s="1" t="s">
        <v>771</v>
      </c>
      <c r="G800" s="1" t="s">
        <v>772</v>
      </c>
      <c r="H800" s="23"/>
      <c r="I800" s="1" t="s">
        <v>603</v>
      </c>
      <c r="J800" s="1" t="s">
        <v>544</v>
      </c>
      <c r="K800" s="1" t="s">
        <v>590</v>
      </c>
      <c r="L800" s="1" t="s">
        <v>172</v>
      </c>
      <c r="M800" s="1" t="s">
        <v>581</v>
      </c>
      <c r="N800" s="1"/>
      <c r="O800" s="10"/>
      <c r="P800" s="23"/>
      <c r="Q800" s="1" t="s">
        <v>773</v>
      </c>
      <c r="R800" s="1" t="s">
        <v>557</v>
      </c>
      <c r="S800" s="1" t="s">
        <v>582</v>
      </c>
      <c r="T800" s="10">
        <v>46298</v>
      </c>
    </row>
    <row r="801" spans="1:20" ht="24" customHeight="1" x14ac:dyDescent="0.35">
      <c r="A801" s="5" t="s">
        <v>2539</v>
      </c>
      <c r="B801" s="5" t="s">
        <v>2540</v>
      </c>
      <c r="C801" s="5" t="s">
        <v>391</v>
      </c>
      <c r="D801" s="5" t="s">
        <v>2541</v>
      </c>
      <c r="E801" s="8">
        <v>46176</v>
      </c>
      <c r="F801" s="5" t="s">
        <v>601</v>
      </c>
      <c r="G801" s="5" t="s">
        <v>602</v>
      </c>
      <c r="H801" s="22"/>
      <c r="I801" s="5" t="s">
        <v>603</v>
      </c>
      <c r="J801" s="5" t="s">
        <v>544</v>
      </c>
      <c r="K801" s="5" t="s">
        <v>590</v>
      </c>
      <c r="L801" s="5" t="s">
        <v>608</v>
      </c>
      <c r="M801" s="5" t="s">
        <v>581</v>
      </c>
      <c r="N801" s="5"/>
      <c r="O801" s="8"/>
      <c r="P801" s="22"/>
      <c r="Q801" s="5"/>
      <c r="R801" s="5" t="s">
        <v>557</v>
      </c>
      <c r="S801" s="5" t="s">
        <v>582</v>
      </c>
      <c r="T801" s="8">
        <v>46298</v>
      </c>
    </row>
    <row r="802" spans="1:20" ht="24" customHeight="1" x14ac:dyDescent="0.35">
      <c r="A802" s="1" t="s">
        <v>2542</v>
      </c>
      <c r="B802" s="1" t="s">
        <v>2543</v>
      </c>
      <c r="C802" s="1" t="s">
        <v>1083</v>
      </c>
      <c r="D802" s="1" t="s">
        <v>586</v>
      </c>
      <c r="E802" s="10">
        <v>46204</v>
      </c>
      <c r="F802" s="1" t="s">
        <v>587</v>
      </c>
      <c r="G802" s="1" t="s">
        <v>588</v>
      </c>
      <c r="H802" s="23">
        <v>2500000</v>
      </c>
      <c r="I802" s="1" t="s">
        <v>589</v>
      </c>
      <c r="J802" s="1" t="s">
        <v>544</v>
      </c>
      <c r="K802" s="1" t="s">
        <v>590</v>
      </c>
      <c r="L802" s="1" t="s">
        <v>608</v>
      </c>
      <c r="M802" s="1" t="s">
        <v>581</v>
      </c>
      <c r="N802" s="1"/>
      <c r="O802" s="10"/>
      <c r="P802" s="23"/>
      <c r="Q802" s="1"/>
      <c r="R802" s="1" t="s">
        <v>557</v>
      </c>
      <c r="S802" s="1" t="s">
        <v>582</v>
      </c>
      <c r="T802" s="10">
        <v>46298</v>
      </c>
    </row>
    <row r="803" spans="1:20" ht="24" customHeight="1" x14ac:dyDescent="0.35">
      <c r="A803" s="5" t="s">
        <v>2544</v>
      </c>
      <c r="B803" s="5" t="s">
        <v>2545</v>
      </c>
      <c r="C803" s="5" t="s">
        <v>2475</v>
      </c>
      <c r="D803" s="5" t="s">
        <v>1083</v>
      </c>
      <c r="E803" s="8">
        <v>46210</v>
      </c>
      <c r="F803" s="5" t="s">
        <v>578</v>
      </c>
      <c r="G803" s="5" t="s">
        <v>579</v>
      </c>
      <c r="H803" s="22"/>
      <c r="I803" s="5" t="s">
        <v>580</v>
      </c>
      <c r="J803" s="5" t="s">
        <v>590</v>
      </c>
      <c r="K803" s="5" t="s">
        <v>544</v>
      </c>
      <c r="L803" s="5" t="s">
        <v>149</v>
      </c>
      <c r="M803" s="5" t="s">
        <v>581</v>
      </c>
      <c r="N803" s="5"/>
      <c r="O803" s="8"/>
      <c r="P803" s="22"/>
      <c r="Q803" s="5"/>
      <c r="R803" s="5" t="s">
        <v>557</v>
      </c>
      <c r="S803" s="5" t="s">
        <v>582</v>
      </c>
      <c r="T803" s="8">
        <v>46298</v>
      </c>
    </row>
    <row r="804" spans="1:20" ht="24" customHeight="1" x14ac:dyDescent="0.35">
      <c r="A804" s="1" t="s">
        <v>2546</v>
      </c>
      <c r="B804" s="1" t="s">
        <v>2547</v>
      </c>
      <c r="C804" s="1" t="s">
        <v>2548</v>
      </c>
      <c r="D804" s="1" t="s">
        <v>999</v>
      </c>
      <c r="E804" s="10">
        <v>46241</v>
      </c>
      <c r="F804" s="1" t="s">
        <v>587</v>
      </c>
      <c r="G804" s="1" t="s">
        <v>588</v>
      </c>
      <c r="H804" s="23">
        <v>23000000</v>
      </c>
      <c r="I804" s="1" t="s">
        <v>589</v>
      </c>
      <c r="J804" s="1" t="s">
        <v>590</v>
      </c>
      <c r="K804" s="1" t="s">
        <v>544</v>
      </c>
      <c r="L804" s="1" t="s">
        <v>608</v>
      </c>
      <c r="M804" s="1" t="s">
        <v>581</v>
      </c>
      <c r="N804" s="1"/>
      <c r="O804" s="10"/>
      <c r="P804" s="23"/>
      <c r="Q804" s="1"/>
      <c r="R804" s="1" t="s">
        <v>557</v>
      </c>
      <c r="S804" s="1" t="s">
        <v>582</v>
      </c>
      <c r="T804" s="10">
        <v>46298</v>
      </c>
    </row>
    <row r="805" spans="1:20" ht="24" customHeight="1" x14ac:dyDescent="0.35">
      <c r="A805" s="5" t="s">
        <v>2549</v>
      </c>
      <c r="B805" s="5" t="s">
        <v>2550</v>
      </c>
      <c r="C805" s="5" t="s">
        <v>643</v>
      </c>
      <c r="D805" s="5" t="s">
        <v>2551</v>
      </c>
      <c r="E805" s="8">
        <v>46241</v>
      </c>
      <c r="F805" s="5" t="s">
        <v>771</v>
      </c>
      <c r="G805" s="5" t="s">
        <v>772</v>
      </c>
      <c r="H805" s="22"/>
      <c r="I805" s="5" t="s">
        <v>603</v>
      </c>
      <c r="J805" s="5" t="s">
        <v>544</v>
      </c>
      <c r="K805" s="5" t="s">
        <v>590</v>
      </c>
      <c r="L805" s="5" t="s">
        <v>608</v>
      </c>
      <c r="M805" s="5" t="s">
        <v>581</v>
      </c>
      <c r="N805" s="5"/>
      <c r="O805" s="8"/>
      <c r="P805" s="22"/>
      <c r="Q805" s="5" t="s">
        <v>773</v>
      </c>
      <c r="R805" s="5" t="s">
        <v>557</v>
      </c>
      <c r="S805" s="5" t="s">
        <v>582</v>
      </c>
      <c r="T805" s="8">
        <v>46298</v>
      </c>
    </row>
    <row r="806" spans="1:20" ht="24" customHeight="1" x14ac:dyDescent="0.35">
      <c r="A806" s="1" t="s">
        <v>2552</v>
      </c>
      <c r="B806" s="1" t="s">
        <v>2553</v>
      </c>
      <c r="C806" s="1" t="s">
        <v>655</v>
      </c>
      <c r="D806" s="1" t="s">
        <v>743</v>
      </c>
      <c r="E806" s="10">
        <v>46236</v>
      </c>
      <c r="F806" s="1" t="s">
        <v>587</v>
      </c>
      <c r="G806" s="1" t="s">
        <v>588</v>
      </c>
      <c r="H806" s="23">
        <v>2100000</v>
      </c>
      <c r="I806" s="1" t="s">
        <v>589</v>
      </c>
      <c r="J806" s="1" t="s">
        <v>590</v>
      </c>
      <c r="K806" s="1" t="s">
        <v>545</v>
      </c>
      <c r="L806" s="1" t="s">
        <v>640</v>
      </c>
      <c r="M806" s="1" t="s">
        <v>581</v>
      </c>
      <c r="N806" s="1"/>
      <c r="O806" s="10"/>
      <c r="P806" s="23"/>
      <c r="Q806" s="1"/>
      <c r="R806" s="1" t="s">
        <v>557</v>
      </c>
      <c r="S806" s="1" t="s">
        <v>582</v>
      </c>
      <c r="T806" s="10">
        <v>46298</v>
      </c>
    </row>
    <row r="807" spans="1:20" ht="24" customHeight="1" x14ac:dyDescent="0.35">
      <c r="A807" s="5" t="s">
        <v>2554</v>
      </c>
      <c r="B807" s="5" t="s">
        <v>2555</v>
      </c>
      <c r="C807" s="5" t="s">
        <v>743</v>
      </c>
      <c r="D807" s="5" t="s">
        <v>1004</v>
      </c>
      <c r="E807" s="8">
        <v>46238</v>
      </c>
      <c r="F807" s="5" t="s">
        <v>601</v>
      </c>
      <c r="G807" s="5" t="s">
        <v>602</v>
      </c>
      <c r="H807" s="22"/>
      <c r="I807" s="5" t="s">
        <v>603</v>
      </c>
      <c r="J807" s="5" t="s">
        <v>545</v>
      </c>
      <c r="K807" s="5" t="s">
        <v>545</v>
      </c>
      <c r="L807" s="5" t="s">
        <v>608</v>
      </c>
      <c r="M807" s="5" t="s">
        <v>581</v>
      </c>
      <c r="N807" s="5"/>
      <c r="O807" s="8"/>
      <c r="P807" s="22"/>
      <c r="Q807" s="5"/>
      <c r="R807" s="5" t="s">
        <v>557</v>
      </c>
      <c r="S807" s="5" t="s">
        <v>582</v>
      </c>
      <c r="T807" s="8">
        <v>46298</v>
      </c>
    </row>
    <row r="808" spans="1:20" ht="24" customHeight="1" x14ac:dyDescent="0.35">
      <c r="A808" s="1" t="s">
        <v>2556</v>
      </c>
      <c r="B808" s="1" t="s">
        <v>2557</v>
      </c>
      <c r="C808" s="1" t="s">
        <v>599</v>
      </c>
      <c r="D808" s="1" t="s">
        <v>1497</v>
      </c>
      <c r="E808" s="10">
        <v>46241</v>
      </c>
      <c r="F808" s="1" t="s">
        <v>771</v>
      </c>
      <c r="G808" s="1" t="s">
        <v>772</v>
      </c>
      <c r="H808" s="23"/>
      <c r="I808" s="1" t="s">
        <v>603</v>
      </c>
      <c r="J808" s="1" t="s">
        <v>544</v>
      </c>
      <c r="K808" s="1" t="s">
        <v>590</v>
      </c>
      <c r="L808" s="1" t="s">
        <v>608</v>
      </c>
      <c r="M808" s="1" t="s">
        <v>581</v>
      </c>
      <c r="N808" s="1"/>
      <c r="O808" s="10"/>
      <c r="P808" s="23"/>
      <c r="Q808" s="1" t="s">
        <v>773</v>
      </c>
      <c r="R808" s="1" t="s">
        <v>557</v>
      </c>
      <c r="S808" s="1" t="s">
        <v>582</v>
      </c>
      <c r="T808" s="10">
        <v>46298</v>
      </c>
    </row>
    <row r="809" spans="1:20" ht="24" customHeight="1" x14ac:dyDescent="0.35">
      <c r="A809" s="5" t="s">
        <v>2558</v>
      </c>
      <c r="B809" s="5" t="s">
        <v>2559</v>
      </c>
      <c r="C809" s="5" t="s">
        <v>847</v>
      </c>
      <c r="D809" s="5" t="s">
        <v>2560</v>
      </c>
      <c r="E809" s="8">
        <v>46236</v>
      </c>
      <c r="F809" s="5" t="s">
        <v>771</v>
      </c>
      <c r="G809" s="5" t="s">
        <v>772</v>
      </c>
      <c r="H809" s="22"/>
      <c r="I809" s="5" t="s">
        <v>603</v>
      </c>
      <c r="J809" s="5" t="s">
        <v>545</v>
      </c>
      <c r="K809" s="5" t="s">
        <v>590</v>
      </c>
      <c r="L809" s="5" t="s">
        <v>608</v>
      </c>
      <c r="M809" s="5" t="s">
        <v>581</v>
      </c>
      <c r="N809" s="5"/>
      <c r="O809" s="8"/>
      <c r="P809" s="22"/>
      <c r="Q809" s="5" t="s">
        <v>773</v>
      </c>
      <c r="R809" s="5" t="s">
        <v>557</v>
      </c>
      <c r="S809" s="5" t="s">
        <v>582</v>
      </c>
      <c r="T809" s="8">
        <v>46298</v>
      </c>
    </row>
    <row r="810" spans="1:20" ht="24" customHeight="1" x14ac:dyDescent="0.35">
      <c r="A810" s="1" t="s">
        <v>2561</v>
      </c>
      <c r="B810" s="1" t="s">
        <v>2562</v>
      </c>
      <c r="C810" s="1" t="s">
        <v>1183</v>
      </c>
      <c r="D810" s="1" t="s">
        <v>2031</v>
      </c>
      <c r="E810" s="10">
        <v>46241</v>
      </c>
      <c r="F810" s="1" t="s">
        <v>587</v>
      </c>
      <c r="G810" s="1" t="s">
        <v>588</v>
      </c>
      <c r="H810" s="23">
        <v>300000</v>
      </c>
      <c r="I810" s="1" t="s">
        <v>589</v>
      </c>
      <c r="J810" s="1" t="s">
        <v>545</v>
      </c>
      <c r="K810" s="1" t="s">
        <v>590</v>
      </c>
      <c r="L810" s="1" t="s">
        <v>640</v>
      </c>
      <c r="M810" s="1" t="s">
        <v>581</v>
      </c>
      <c r="N810" s="1"/>
      <c r="O810" s="10"/>
      <c r="P810" s="23"/>
      <c r="Q810" s="1"/>
      <c r="R810" s="1" t="s">
        <v>557</v>
      </c>
      <c r="S810" s="1" t="s">
        <v>582</v>
      </c>
      <c r="T810" s="10">
        <v>46298</v>
      </c>
    </row>
    <row r="811" spans="1:20" ht="24" customHeight="1" x14ac:dyDescent="0.35">
      <c r="A811" s="5" t="s">
        <v>2563</v>
      </c>
      <c r="B811" s="5" t="s">
        <v>2564</v>
      </c>
      <c r="C811" s="5" t="s">
        <v>1183</v>
      </c>
      <c r="D811" s="5" t="s">
        <v>1314</v>
      </c>
      <c r="E811" s="8">
        <v>46239</v>
      </c>
      <c r="F811" s="5" t="s">
        <v>578</v>
      </c>
      <c r="G811" s="5" t="s">
        <v>579</v>
      </c>
      <c r="H811" s="22"/>
      <c r="I811" s="5" t="s">
        <v>580</v>
      </c>
      <c r="J811" s="5" t="s">
        <v>545</v>
      </c>
      <c r="K811" s="5" t="s">
        <v>590</v>
      </c>
      <c r="L811" s="5" t="s">
        <v>640</v>
      </c>
      <c r="M811" s="5" t="s">
        <v>581</v>
      </c>
      <c r="N811" s="5"/>
      <c r="O811" s="8"/>
      <c r="P811" s="22"/>
      <c r="Q811" s="5"/>
      <c r="R811" s="5" t="s">
        <v>557</v>
      </c>
      <c r="S811" s="5" t="s">
        <v>582</v>
      </c>
      <c r="T811" s="8">
        <v>46298</v>
      </c>
    </row>
    <row r="812" spans="1:20" ht="24" customHeight="1" x14ac:dyDescent="0.35">
      <c r="A812" s="1" t="s">
        <v>2565</v>
      </c>
      <c r="B812" s="1" t="s">
        <v>2566</v>
      </c>
      <c r="C812" s="1" t="s">
        <v>190</v>
      </c>
      <c r="D812" s="1" t="s">
        <v>2082</v>
      </c>
      <c r="E812" s="10">
        <v>46241</v>
      </c>
      <c r="F812" s="1" t="s">
        <v>601</v>
      </c>
      <c r="G812" s="1" t="s">
        <v>602</v>
      </c>
      <c r="H812" s="23"/>
      <c r="I812" s="1" t="s">
        <v>603</v>
      </c>
      <c r="J812" s="1" t="s">
        <v>544</v>
      </c>
      <c r="K812" s="1" t="s">
        <v>590</v>
      </c>
      <c r="L812" s="1" t="s">
        <v>640</v>
      </c>
      <c r="M812" s="1" t="s">
        <v>581</v>
      </c>
      <c r="N812" s="1"/>
      <c r="O812" s="10"/>
      <c r="P812" s="23"/>
      <c r="Q812" s="1"/>
      <c r="R812" s="1" t="s">
        <v>557</v>
      </c>
      <c r="S812" s="1" t="s">
        <v>582</v>
      </c>
      <c r="T812" s="10">
        <v>46298</v>
      </c>
    </row>
    <row r="813" spans="1:20" ht="24" customHeight="1" x14ac:dyDescent="0.35">
      <c r="A813" s="5" t="s">
        <v>2567</v>
      </c>
      <c r="B813" s="5" t="s">
        <v>2568</v>
      </c>
      <c r="C813" s="5" t="s">
        <v>128</v>
      </c>
      <c r="D813" s="5" t="s">
        <v>627</v>
      </c>
      <c r="E813" s="8">
        <v>46241</v>
      </c>
      <c r="F813" s="5" t="s">
        <v>771</v>
      </c>
      <c r="G813" s="5" t="s">
        <v>772</v>
      </c>
      <c r="H813" s="22"/>
      <c r="I813" s="5" t="s">
        <v>603</v>
      </c>
      <c r="J813" s="5" t="s">
        <v>544</v>
      </c>
      <c r="K813" s="5" t="s">
        <v>545</v>
      </c>
      <c r="L813" s="5" t="s">
        <v>608</v>
      </c>
      <c r="M813" s="5" t="s">
        <v>581</v>
      </c>
      <c r="N813" s="5"/>
      <c r="O813" s="8"/>
      <c r="P813" s="22"/>
      <c r="Q813" s="5" t="s">
        <v>773</v>
      </c>
      <c r="R813" s="5" t="s">
        <v>557</v>
      </c>
      <c r="S813" s="5" t="s">
        <v>582</v>
      </c>
      <c r="T813" s="8">
        <v>46298</v>
      </c>
    </row>
    <row r="814" spans="1:20" ht="24" customHeight="1" x14ac:dyDescent="0.35">
      <c r="A814" s="1" t="s">
        <v>2569</v>
      </c>
      <c r="B814" s="1" t="s">
        <v>2570</v>
      </c>
      <c r="C814" s="1" t="s">
        <v>162</v>
      </c>
      <c r="D814" s="1" t="s">
        <v>1272</v>
      </c>
      <c r="E814" s="10">
        <v>46240</v>
      </c>
      <c r="F814" s="1" t="s">
        <v>771</v>
      </c>
      <c r="G814" s="1" t="s">
        <v>772</v>
      </c>
      <c r="H814" s="23"/>
      <c r="I814" s="1" t="s">
        <v>603</v>
      </c>
      <c r="J814" s="1" t="s">
        <v>590</v>
      </c>
      <c r="K814" s="1" t="s">
        <v>548</v>
      </c>
      <c r="L814" s="1" t="s">
        <v>608</v>
      </c>
      <c r="M814" s="1" t="s">
        <v>581</v>
      </c>
      <c r="N814" s="1"/>
      <c r="O814" s="10"/>
      <c r="P814" s="23"/>
      <c r="Q814" s="1" t="s">
        <v>1008</v>
      </c>
      <c r="R814" s="1" t="s">
        <v>557</v>
      </c>
      <c r="S814" s="1" t="s">
        <v>582</v>
      </c>
      <c r="T814" s="10">
        <v>46298</v>
      </c>
    </row>
    <row r="815" spans="1:20" ht="24" customHeight="1" x14ac:dyDescent="0.35">
      <c r="A815" s="5" t="s">
        <v>2571</v>
      </c>
      <c r="B815" s="5" t="s">
        <v>2572</v>
      </c>
      <c r="C815" s="5" t="s">
        <v>137</v>
      </c>
      <c r="D815" s="5" t="s">
        <v>2271</v>
      </c>
      <c r="E815" s="8">
        <v>46241</v>
      </c>
      <c r="F815" s="5" t="s">
        <v>601</v>
      </c>
      <c r="G815" s="5" t="s">
        <v>602</v>
      </c>
      <c r="H815" s="22"/>
      <c r="I815" s="5" t="s">
        <v>603</v>
      </c>
      <c r="J815" s="5" t="s">
        <v>548</v>
      </c>
      <c r="K815" s="5" t="s">
        <v>590</v>
      </c>
      <c r="L815" s="5" t="s">
        <v>591</v>
      </c>
      <c r="M815" s="5" t="s">
        <v>581</v>
      </c>
      <c r="N815" s="5"/>
      <c r="O815" s="8"/>
      <c r="P815" s="22"/>
      <c r="Q815" s="5"/>
      <c r="R815" s="5" t="s">
        <v>557</v>
      </c>
      <c r="S815" s="5" t="s">
        <v>582</v>
      </c>
      <c r="T815" s="8">
        <v>46298</v>
      </c>
    </row>
    <row r="816" spans="1:20" ht="24" customHeight="1" x14ac:dyDescent="0.35">
      <c r="A816" s="1" t="s">
        <v>2573</v>
      </c>
      <c r="B816" s="1" t="s">
        <v>393</v>
      </c>
      <c r="C816" s="1" t="s">
        <v>95</v>
      </c>
      <c r="D816" s="1" t="s">
        <v>365</v>
      </c>
      <c r="E816" s="10">
        <v>46240</v>
      </c>
      <c r="F816" s="1" t="s">
        <v>587</v>
      </c>
      <c r="G816" s="1" t="s">
        <v>588</v>
      </c>
      <c r="H816" s="23">
        <v>42800000</v>
      </c>
      <c r="I816" s="1" t="s">
        <v>589</v>
      </c>
      <c r="J816" s="1" t="s">
        <v>548</v>
      </c>
      <c r="K816" s="1" t="s">
        <v>548</v>
      </c>
      <c r="L816" s="1" t="s">
        <v>608</v>
      </c>
      <c r="M816" s="1" t="s">
        <v>581</v>
      </c>
      <c r="N816" s="1"/>
      <c r="O816" s="10"/>
      <c r="P816" s="23"/>
      <c r="Q816" s="1"/>
      <c r="R816" s="1" t="s">
        <v>557</v>
      </c>
      <c r="S816" s="1" t="s">
        <v>582</v>
      </c>
      <c r="T816" s="10">
        <v>46298</v>
      </c>
    </row>
    <row r="817" spans="1:20" ht="24" customHeight="1" x14ac:dyDescent="0.35">
      <c r="A817" s="5" t="s">
        <v>2574</v>
      </c>
      <c r="B817" s="5" t="s">
        <v>2575</v>
      </c>
      <c r="C817" s="5" t="s">
        <v>2576</v>
      </c>
      <c r="D817" s="5" t="s">
        <v>596</v>
      </c>
      <c r="E817" s="8">
        <v>46241</v>
      </c>
      <c r="F817" s="5" t="s">
        <v>587</v>
      </c>
      <c r="G817" s="5" t="s">
        <v>588</v>
      </c>
      <c r="H817" s="22">
        <v>3400000</v>
      </c>
      <c r="I817" s="5" t="s">
        <v>589</v>
      </c>
      <c r="J817" s="5" t="s">
        <v>590</v>
      </c>
      <c r="K817" s="5" t="s">
        <v>548</v>
      </c>
      <c r="L817" s="5" t="s">
        <v>640</v>
      </c>
      <c r="M817" s="5" t="s">
        <v>581</v>
      </c>
      <c r="N817" s="5"/>
      <c r="O817" s="8"/>
      <c r="P817" s="22"/>
      <c r="Q817" s="5"/>
      <c r="R817" s="5" t="s">
        <v>557</v>
      </c>
      <c r="S817" s="5" t="s">
        <v>582</v>
      </c>
      <c r="T817" s="8">
        <v>46298</v>
      </c>
    </row>
    <row r="818" spans="1:20" ht="24" customHeight="1" x14ac:dyDescent="0.35">
      <c r="A818" s="1" t="s">
        <v>2577</v>
      </c>
      <c r="B818" s="1" t="s">
        <v>2578</v>
      </c>
      <c r="C818" s="1" t="s">
        <v>292</v>
      </c>
      <c r="D818" s="1" t="s">
        <v>599</v>
      </c>
      <c r="E818" s="10">
        <v>46242</v>
      </c>
      <c r="F818" s="1" t="s">
        <v>587</v>
      </c>
      <c r="G818" s="1" t="s">
        <v>588</v>
      </c>
      <c r="H818" s="23">
        <v>9000000</v>
      </c>
      <c r="I818" s="1" t="s">
        <v>589</v>
      </c>
      <c r="J818" s="1" t="s">
        <v>544</v>
      </c>
      <c r="K818" s="1" t="s">
        <v>544</v>
      </c>
      <c r="L818" s="1" t="s">
        <v>608</v>
      </c>
      <c r="M818" s="1" t="s">
        <v>581</v>
      </c>
      <c r="N818" s="1"/>
      <c r="O818" s="10"/>
      <c r="P818" s="23"/>
      <c r="Q818" s="1"/>
      <c r="R818" s="1" t="s">
        <v>557</v>
      </c>
      <c r="S818" s="1" t="s">
        <v>582</v>
      </c>
      <c r="T818" s="10">
        <v>46298</v>
      </c>
    </row>
    <row r="819" spans="1:20" ht="24" customHeight="1" x14ac:dyDescent="0.35">
      <c r="A819" s="5" t="s">
        <v>2579</v>
      </c>
      <c r="B819" s="5" t="s">
        <v>2580</v>
      </c>
      <c r="C819" s="5" t="s">
        <v>198</v>
      </c>
      <c r="D819" s="5" t="s">
        <v>1163</v>
      </c>
      <c r="E819" s="8">
        <v>46241</v>
      </c>
      <c r="F819" s="5" t="s">
        <v>771</v>
      </c>
      <c r="G819" s="5" t="s">
        <v>772</v>
      </c>
      <c r="H819" s="22"/>
      <c r="I819" s="5" t="s">
        <v>603</v>
      </c>
      <c r="J819" s="5" t="s">
        <v>546</v>
      </c>
      <c r="K819" s="5" t="s">
        <v>545</v>
      </c>
      <c r="L819" s="5" t="s">
        <v>149</v>
      </c>
      <c r="M819" s="5" t="s">
        <v>581</v>
      </c>
      <c r="N819" s="5"/>
      <c r="O819" s="8"/>
      <c r="P819" s="22"/>
      <c r="Q819" s="5" t="s">
        <v>773</v>
      </c>
      <c r="R819" s="5" t="s">
        <v>557</v>
      </c>
      <c r="S819" s="5" t="s">
        <v>582</v>
      </c>
      <c r="T819" s="8">
        <v>46298</v>
      </c>
    </row>
    <row r="820" spans="1:20" ht="24" customHeight="1" x14ac:dyDescent="0.35">
      <c r="A820" s="1" t="s">
        <v>2581</v>
      </c>
      <c r="B820" s="1" t="s">
        <v>2582</v>
      </c>
      <c r="C820" s="1" t="s">
        <v>157</v>
      </c>
      <c r="D820" s="1" t="s">
        <v>706</v>
      </c>
      <c r="E820" s="10">
        <v>46241</v>
      </c>
      <c r="F820" s="1" t="s">
        <v>587</v>
      </c>
      <c r="G820" s="1" t="s">
        <v>588</v>
      </c>
      <c r="H820" s="23">
        <v>2600000</v>
      </c>
      <c r="I820" s="1" t="s">
        <v>589</v>
      </c>
      <c r="J820" s="1" t="s">
        <v>546</v>
      </c>
      <c r="K820" s="1" t="s">
        <v>545</v>
      </c>
      <c r="L820" s="1" t="s">
        <v>149</v>
      </c>
      <c r="M820" s="1" t="s">
        <v>581</v>
      </c>
      <c r="N820" s="1"/>
      <c r="O820" s="10"/>
      <c r="P820" s="23"/>
      <c r="Q820" s="1"/>
      <c r="R820" s="1" t="s">
        <v>557</v>
      </c>
      <c r="S820" s="1" t="s">
        <v>582</v>
      </c>
      <c r="T820" s="10">
        <v>46298</v>
      </c>
    </row>
    <row r="821" spans="1:20" ht="24" customHeight="1" x14ac:dyDescent="0.35">
      <c r="A821" s="5" t="s">
        <v>2583</v>
      </c>
      <c r="B821" s="5" t="s">
        <v>2584</v>
      </c>
      <c r="C821" s="5" t="s">
        <v>91</v>
      </c>
      <c r="D821" s="5" t="s">
        <v>1014</v>
      </c>
      <c r="E821" s="8">
        <v>46239</v>
      </c>
      <c r="F821" s="5" t="s">
        <v>601</v>
      </c>
      <c r="G821" s="5" t="s">
        <v>602</v>
      </c>
      <c r="H821" s="22"/>
      <c r="I821" s="5" t="s">
        <v>603</v>
      </c>
      <c r="J821" s="5" t="s">
        <v>545</v>
      </c>
      <c r="K821" s="5" t="s">
        <v>545</v>
      </c>
      <c r="L821" s="5" t="s">
        <v>149</v>
      </c>
      <c r="M821" s="5" t="s">
        <v>581</v>
      </c>
      <c r="N821" s="5"/>
      <c r="O821" s="8"/>
      <c r="P821" s="22"/>
      <c r="Q821" s="5"/>
      <c r="R821" s="5" t="s">
        <v>557</v>
      </c>
      <c r="S821" s="5" t="s">
        <v>582</v>
      </c>
      <c r="T821" s="8">
        <v>46298</v>
      </c>
    </row>
    <row r="822" spans="1:20" ht="24" customHeight="1" x14ac:dyDescent="0.35">
      <c r="A822" s="1" t="s">
        <v>2585</v>
      </c>
      <c r="B822" s="1" t="s">
        <v>2586</v>
      </c>
      <c r="C822" s="1" t="s">
        <v>469</v>
      </c>
      <c r="D822" s="1" t="s">
        <v>1094</v>
      </c>
      <c r="E822" s="10">
        <v>46242</v>
      </c>
      <c r="F822" s="1" t="s">
        <v>587</v>
      </c>
      <c r="G822" s="1" t="s">
        <v>588</v>
      </c>
      <c r="H822" s="23">
        <v>14000000</v>
      </c>
      <c r="I822" s="1" t="s">
        <v>589</v>
      </c>
      <c r="J822" s="1" t="s">
        <v>544</v>
      </c>
      <c r="K822" s="1" t="s">
        <v>590</v>
      </c>
      <c r="L822" s="1" t="s">
        <v>172</v>
      </c>
      <c r="M822" s="1" t="s">
        <v>581</v>
      </c>
      <c r="N822" s="1"/>
      <c r="O822" s="10"/>
      <c r="P822" s="23"/>
      <c r="Q822" s="1"/>
      <c r="R822" s="1" t="s">
        <v>557</v>
      </c>
      <c r="S822" s="1" t="s">
        <v>582</v>
      </c>
      <c r="T822" s="10">
        <v>46298</v>
      </c>
    </row>
    <row r="823" spans="1:20" ht="24" customHeight="1" x14ac:dyDescent="0.35">
      <c r="A823" s="5" t="s">
        <v>2587</v>
      </c>
      <c r="B823" s="5" t="s">
        <v>2588</v>
      </c>
      <c r="C823" s="5" t="s">
        <v>797</v>
      </c>
      <c r="D823" s="5" t="s">
        <v>1768</v>
      </c>
      <c r="E823" s="8">
        <v>46240</v>
      </c>
      <c r="F823" s="5" t="s">
        <v>771</v>
      </c>
      <c r="G823" s="5" t="s">
        <v>772</v>
      </c>
      <c r="H823" s="22"/>
      <c r="I823" s="5" t="s">
        <v>603</v>
      </c>
      <c r="J823" s="5" t="s">
        <v>546</v>
      </c>
      <c r="K823" s="5" t="s">
        <v>590</v>
      </c>
      <c r="L823" s="5" t="s">
        <v>640</v>
      </c>
      <c r="M823" s="5" t="s">
        <v>581</v>
      </c>
      <c r="N823" s="5"/>
      <c r="O823" s="8"/>
      <c r="P823" s="22"/>
      <c r="Q823" s="5" t="s">
        <v>773</v>
      </c>
      <c r="R823" s="5" t="s">
        <v>557</v>
      </c>
      <c r="S823" s="5" t="s">
        <v>582</v>
      </c>
      <c r="T823" s="8">
        <v>46298</v>
      </c>
    </row>
    <row r="824" spans="1:20" ht="24" customHeight="1" x14ac:dyDescent="0.35">
      <c r="A824" s="1" t="s">
        <v>2589</v>
      </c>
      <c r="B824" s="1" t="s">
        <v>2590</v>
      </c>
      <c r="C824" s="1" t="s">
        <v>1004</v>
      </c>
      <c r="D824" s="1" t="s">
        <v>831</v>
      </c>
      <c r="E824" s="10">
        <v>46242</v>
      </c>
      <c r="F824" s="1" t="s">
        <v>587</v>
      </c>
      <c r="G824" s="1" t="s">
        <v>588</v>
      </c>
      <c r="H824" s="23">
        <v>17200000</v>
      </c>
      <c r="I824" s="1" t="s">
        <v>589</v>
      </c>
      <c r="J824" s="1" t="s">
        <v>545</v>
      </c>
      <c r="K824" s="1" t="s">
        <v>590</v>
      </c>
      <c r="L824" s="1" t="s">
        <v>608</v>
      </c>
      <c r="M824" s="1" t="s">
        <v>581</v>
      </c>
      <c r="N824" s="1"/>
      <c r="O824" s="10"/>
      <c r="P824" s="23"/>
      <c r="Q824" s="1"/>
      <c r="R824" s="1" t="s">
        <v>557</v>
      </c>
      <c r="S824" s="1" t="s">
        <v>582</v>
      </c>
      <c r="T824" s="10">
        <v>46298</v>
      </c>
    </row>
    <row r="825" spans="1:20" ht="24" customHeight="1" x14ac:dyDescent="0.35">
      <c r="A825" s="5" t="s">
        <v>2591</v>
      </c>
      <c r="B825" s="5" t="s">
        <v>2592</v>
      </c>
      <c r="C825" s="5" t="s">
        <v>162</v>
      </c>
      <c r="D825" s="5" t="s">
        <v>1311</v>
      </c>
      <c r="E825" s="8">
        <v>46241</v>
      </c>
      <c r="F825" s="5" t="s">
        <v>771</v>
      </c>
      <c r="G825" s="5" t="s">
        <v>772</v>
      </c>
      <c r="H825" s="22"/>
      <c r="I825" s="5" t="s">
        <v>603</v>
      </c>
      <c r="J825" s="5" t="s">
        <v>590</v>
      </c>
      <c r="K825" s="5" t="s">
        <v>546</v>
      </c>
      <c r="L825" s="5" t="s">
        <v>591</v>
      </c>
      <c r="M825" s="5" t="s">
        <v>581</v>
      </c>
      <c r="N825" s="5"/>
      <c r="O825" s="8"/>
      <c r="P825" s="22"/>
      <c r="Q825" s="5" t="s">
        <v>773</v>
      </c>
      <c r="R825" s="5" t="s">
        <v>557</v>
      </c>
      <c r="S825" s="5" t="s">
        <v>582</v>
      </c>
      <c r="T825" s="8">
        <v>46298</v>
      </c>
    </row>
    <row r="826" spans="1:20" ht="24" customHeight="1" x14ac:dyDescent="0.35">
      <c r="A826" s="1" t="s">
        <v>2593</v>
      </c>
      <c r="B826" s="1" t="s">
        <v>2594</v>
      </c>
      <c r="C826" s="1" t="s">
        <v>365</v>
      </c>
      <c r="D826" s="1" t="s">
        <v>636</v>
      </c>
      <c r="E826" s="10">
        <v>46242</v>
      </c>
      <c r="F826" s="1" t="s">
        <v>601</v>
      </c>
      <c r="G826" s="1" t="s">
        <v>602</v>
      </c>
      <c r="H826" s="23"/>
      <c r="I826" s="1" t="s">
        <v>603</v>
      </c>
      <c r="J826" s="1" t="s">
        <v>548</v>
      </c>
      <c r="K826" s="1" t="s">
        <v>590</v>
      </c>
      <c r="L826" s="1" t="s">
        <v>591</v>
      </c>
      <c r="M826" s="1" t="s">
        <v>581</v>
      </c>
      <c r="N826" s="1"/>
      <c r="O826" s="10"/>
      <c r="P826" s="23"/>
      <c r="Q826" s="1"/>
      <c r="R826" s="1" t="s">
        <v>557</v>
      </c>
      <c r="S826" s="1" t="s">
        <v>582</v>
      </c>
      <c r="T826" s="10">
        <v>46298</v>
      </c>
    </row>
    <row r="827" spans="1:20" ht="24" customHeight="1" x14ac:dyDescent="0.35">
      <c r="A827" s="5" t="s">
        <v>2595</v>
      </c>
      <c r="B827" s="5" t="s">
        <v>2596</v>
      </c>
      <c r="C827" s="5" t="s">
        <v>999</v>
      </c>
      <c r="D827" s="5" t="s">
        <v>2597</v>
      </c>
      <c r="E827" s="8">
        <v>46242</v>
      </c>
      <c r="F827" s="5" t="s">
        <v>601</v>
      </c>
      <c r="G827" s="5" t="s">
        <v>602</v>
      </c>
      <c r="H827" s="22"/>
      <c r="I827" s="5" t="s">
        <v>603</v>
      </c>
      <c r="J827" s="5" t="s">
        <v>544</v>
      </c>
      <c r="K827" s="5" t="s">
        <v>590</v>
      </c>
      <c r="L827" s="5" t="s">
        <v>591</v>
      </c>
      <c r="M827" s="5" t="s">
        <v>581</v>
      </c>
      <c r="N827" s="5"/>
      <c r="O827" s="8"/>
      <c r="P827" s="22"/>
      <c r="Q827" s="5"/>
      <c r="R827" s="5" t="s">
        <v>557</v>
      </c>
      <c r="S827" s="5" t="s">
        <v>582</v>
      </c>
      <c r="T827" s="8">
        <v>46298</v>
      </c>
    </row>
    <row r="828" spans="1:20" ht="24" customHeight="1" x14ac:dyDescent="0.35">
      <c r="A828" s="1" t="s">
        <v>2598</v>
      </c>
      <c r="B828" s="1" t="s">
        <v>2599</v>
      </c>
      <c r="C828" s="1" t="s">
        <v>685</v>
      </c>
      <c r="D828" s="1" t="s">
        <v>1157</v>
      </c>
      <c r="E828" s="10">
        <v>46242</v>
      </c>
      <c r="F828" s="1" t="s">
        <v>771</v>
      </c>
      <c r="G828" s="1" t="s">
        <v>772</v>
      </c>
      <c r="H828" s="23"/>
      <c r="I828" s="1" t="s">
        <v>603</v>
      </c>
      <c r="J828" s="1" t="s">
        <v>547</v>
      </c>
      <c r="K828" s="1" t="s">
        <v>548</v>
      </c>
      <c r="L828" s="1" t="s">
        <v>608</v>
      </c>
      <c r="M828" s="1" t="s">
        <v>581</v>
      </c>
      <c r="N828" s="1"/>
      <c r="O828" s="10"/>
      <c r="P828" s="23"/>
      <c r="Q828" s="1" t="s">
        <v>773</v>
      </c>
      <c r="R828" s="1" t="s">
        <v>557</v>
      </c>
      <c r="S828" s="1" t="s">
        <v>582</v>
      </c>
      <c r="T828" s="10">
        <v>46298</v>
      </c>
    </row>
    <row r="829" spans="1:20" ht="24" customHeight="1" x14ac:dyDescent="0.35">
      <c r="A829" s="5" t="s">
        <v>2600</v>
      </c>
      <c r="B829" s="5" t="s">
        <v>2601</v>
      </c>
      <c r="C829" s="5" t="s">
        <v>423</v>
      </c>
      <c r="D829" s="5" t="s">
        <v>2602</v>
      </c>
      <c r="E829" s="8">
        <v>46242</v>
      </c>
      <c r="F829" s="5" t="s">
        <v>578</v>
      </c>
      <c r="G829" s="5" t="s">
        <v>579</v>
      </c>
      <c r="H829" s="22"/>
      <c r="I829" s="5" t="s">
        <v>580</v>
      </c>
      <c r="J829" s="5" t="s">
        <v>546</v>
      </c>
      <c r="K829" s="5" t="s">
        <v>590</v>
      </c>
      <c r="L829" s="5" t="s">
        <v>608</v>
      </c>
      <c r="M829" s="5" t="s">
        <v>581</v>
      </c>
      <c r="N829" s="5"/>
      <c r="O829" s="8"/>
      <c r="P829" s="22"/>
      <c r="Q829" s="5"/>
      <c r="R829" s="5" t="s">
        <v>557</v>
      </c>
      <c r="S829" s="5" t="s">
        <v>582</v>
      </c>
      <c r="T829" s="8">
        <v>46298</v>
      </c>
    </row>
    <row r="830" spans="1:20" ht="24" customHeight="1" x14ac:dyDescent="0.35">
      <c r="A830" s="1" t="s">
        <v>2603</v>
      </c>
      <c r="B830" s="1" t="s">
        <v>2604</v>
      </c>
      <c r="C830" s="1" t="s">
        <v>749</v>
      </c>
      <c r="D830" s="1" t="s">
        <v>2605</v>
      </c>
      <c r="E830" s="10">
        <v>46243</v>
      </c>
      <c r="F830" s="1" t="s">
        <v>771</v>
      </c>
      <c r="G830" s="1" t="s">
        <v>772</v>
      </c>
      <c r="H830" s="23"/>
      <c r="I830" s="1" t="s">
        <v>603</v>
      </c>
      <c r="J830" s="1" t="s">
        <v>547</v>
      </c>
      <c r="K830" s="1" t="s">
        <v>590</v>
      </c>
      <c r="L830" s="1" t="s">
        <v>591</v>
      </c>
      <c r="M830" s="1" t="s">
        <v>581</v>
      </c>
      <c r="N830" s="1"/>
      <c r="O830" s="10"/>
      <c r="P830" s="23"/>
      <c r="Q830" s="1" t="s">
        <v>773</v>
      </c>
      <c r="R830" s="1" t="s">
        <v>557</v>
      </c>
      <c r="S830" s="1" t="s">
        <v>582</v>
      </c>
      <c r="T830" s="10">
        <v>46298</v>
      </c>
    </row>
    <row r="831" spans="1:20" ht="24" customHeight="1" x14ac:dyDescent="0.35">
      <c r="A831" s="5" t="s">
        <v>2606</v>
      </c>
      <c r="B831" s="5" t="s">
        <v>2607</v>
      </c>
      <c r="C831" s="5" t="s">
        <v>721</v>
      </c>
      <c r="D831" s="5" t="s">
        <v>2608</v>
      </c>
      <c r="E831" s="8">
        <v>46241</v>
      </c>
      <c r="F831" s="5" t="s">
        <v>601</v>
      </c>
      <c r="G831" s="5" t="s">
        <v>602</v>
      </c>
      <c r="H831" s="22"/>
      <c r="I831" s="5" t="s">
        <v>603</v>
      </c>
      <c r="J831" s="5" t="s">
        <v>547</v>
      </c>
      <c r="K831" s="5" t="s">
        <v>590</v>
      </c>
      <c r="L831" s="5" t="s">
        <v>608</v>
      </c>
      <c r="M831" s="5" t="s">
        <v>581</v>
      </c>
      <c r="N831" s="5"/>
      <c r="O831" s="8"/>
      <c r="P831" s="22"/>
      <c r="Q831" s="5"/>
      <c r="R831" s="5" t="s">
        <v>557</v>
      </c>
      <c r="S831" s="5" t="s">
        <v>582</v>
      </c>
      <c r="T831" s="8">
        <v>46298</v>
      </c>
    </row>
    <row r="832" spans="1:20" ht="24" customHeight="1" x14ac:dyDescent="0.35">
      <c r="A832" s="1" t="s">
        <v>2609</v>
      </c>
      <c r="B832" s="1" t="s">
        <v>2610</v>
      </c>
      <c r="C832" s="1" t="s">
        <v>176</v>
      </c>
      <c r="D832" s="1" t="s">
        <v>661</v>
      </c>
      <c r="E832" s="10">
        <v>46243</v>
      </c>
      <c r="F832" s="1" t="s">
        <v>771</v>
      </c>
      <c r="G832" s="1" t="s">
        <v>772</v>
      </c>
      <c r="H832" s="23"/>
      <c r="I832" s="1" t="s">
        <v>603</v>
      </c>
      <c r="J832" s="1" t="s">
        <v>546</v>
      </c>
      <c r="K832" s="1" t="s">
        <v>546</v>
      </c>
      <c r="L832" s="1" t="s">
        <v>608</v>
      </c>
      <c r="M832" s="1" t="s">
        <v>581</v>
      </c>
      <c r="N832" s="1"/>
      <c r="O832" s="10"/>
      <c r="P832" s="23"/>
      <c r="Q832" s="1" t="s">
        <v>1008</v>
      </c>
      <c r="R832" s="1" t="s">
        <v>557</v>
      </c>
      <c r="S832" s="1" t="s">
        <v>582</v>
      </c>
      <c r="T832" s="10">
        <v>46298</v>
      </c>
    </row>
    <row r="833" spans="1:20" ht="24" customHeight="1" x14ac:dyDescent="0.35">
      <c r="A833" s="5" t="s">
        <v>2611</v>
      </c>
      <c r="B833" s="5" t="s">
        <v>2612</v>
      </c>
      <c r="C833" s="5" t="s">
        <v>1099</v>
      </c>
      <c r="D833" s="5" t="s">
        <v>2613</v>
      </c>
      <c r="E833" s="8">
        <v>46242</v>
      </c>
      <c r="F833" s="5" t="s">
        <v>771</v>
      </c>
      <c r="G833" s="5" t="s">
        <v>772</v>
      </c>
      <c r="H833" s="22"/>
      <c r="I833" s="5" t="s">
        <v>603</v>
      </c>
      <c r="J833" s="5" t="s">
        <v>545</v>
      </c>
      <c r="K833" s="5" t="s">
        <v>590</v>
      </c>
      <c r="L833" s="5" t="s">
        <v>640</v>
      </c>
      <c r="M833" s="5" t="s">
        <v>581</v>
      </c>
      <c r="N833" s="5"/>
      <c r="O833" s="8"/>
      <c r="P833" s="22"/>
      <c r="Q833" s="5" t="s">
        <v>1008</v>
      </c>
      <c r="R833" s="5" t="s">
        <v>557</v>
      </c>
      <c r="S833" s="5" t="s">
        <v>582</v>
      </c>
      <c r="T833" s="8">
        <v>46298</v>
      </c>
    </row>
    <row r="834" spans="1:20" ht="24" customHeight="1" x14ac:dyDescent="0.35">
      <c r="A834" s="1" t="s">
        <v>2614</v>
      </c>
      <c r="B834" s="1" t="s">
        <v>2615</v>
      </c>
      <c r="C834" s="1" t="s">
        <v>620</v>
      </c>
      <c r="D834" s="1" t="s">
        <v>927</v>
      </c>
      <c r="E834" s="10">
        <v>46240</v>
      </c>
      <c r="F834" s="1" t="s">
        <v>771</v>
      </c>
      <c r="G834" s="1" t="s">
        <v>772</v>
      </c>
      <c r="H834" s="23"/>
      <c r="I834" s="1" t="s">
        <v>603</v>
      </c>
      <c r="J834" s="1" t="s">
        <v>546</v>
      </c>
      <c r="K834" s="1" t="s">
        <v>590</v>
      </c>
      <c r="L834" s="1" t="s">
        <v>149</v>
      </c>
      <c r="M834" s="1" t="s">
        <v>581</v>
      </c>
      <c r="N834" s="1"/>
      <c r="O834" s="10"/>
      <c r="P834" s="23"/>
      <c r="Q834" s="1" t="s">
        <v>1008</v>
      </c>
      <c r="R834" s="1" t="s">
        <v>557</v>
      </c>
      <c r="S834" s="1" t="s">
        <v>582</v>
      </c>
      <c r="T834" s="10">
        <v>46298</v>
      </c>
    </row>
    <row r="835" spans="1:20" ht="24" customHeight="1" x14ac:dyDescent="0.35">
      <c r="A835" s="5" t="s">
        <v>2616</v>
      </c>
      <c r="B835" s="5" t="s">
        <v>2617</v>
      </c>
      <c r="C835" s="5" t="s">
        <v>620</v>
      </c>
      <c r="D835" s="5" t="s">
        <v>1414</v>
      </c>
      <c r="E835" s="8">
        <v>46241</v>
      </c>
      <c r="F835" s="5" t="s">
        <v>601</v>
      </c>
      <c r="G835" s="5" t="s">
        <v>602</v>
      </c>
      <c r="H835" s="22"/>
      <c r="I835" s="5" t="s">
        <v>603</v>
      </c>
      <c r="J835" s="5" t="s">
        <v>546</v>
      </c>
      <c r="K835" s="5" t="s">
        <v>590</v>
      </c>
      <c r="L835" s="5" t="s">
        <v>608</v>
      </c>
      <c r="M835" s="5" t="s">
        <v>581</v>
      </c>
      <c r="N835" s="5"/>
      <c r="O835" s="8"/>
      <c r="P835" s="22"/>
      <c r="Q835" s="5"/>
      <c r="R835" s="5" t="s">
        <v>557</v>
      </c>
      <c r="S835" s="5" t="s">
        <v>582</v>
      </c>
      <c r="T835" s="8">
        <v>46298</v>
      </c>
    </row>
    <row r="836" spans="1:20" ht="24" customHeight="1" x14ac:dyDescent="0.35">
      <c r="A836" s="1" t="s">
        <v>2618</v>
      </c>
      <c r="B836" s="1" t="s">
        <v>2619</v>
      </c>
      <c r="C836" s="1" t="s">
        <v>620</v>
      </c>
      <c r="D836" s="1" t="s">
        <v>2620</v>
      </c>
      <c r="E836" s="10">
        <v>46241</v>
      </c>
      <c r="F836" s="1" t="s">
        <v>601</v>
      </c>
      <c r="G836" s="1" t="s">
        <v>602</v>
      </c>
      <c r="H836" s="23"/>
      <c r="I836" s="1" t="s">
        <v>603</v>
      </c>
      <c r="J836" s="1" t="s">
        <v>546</v>
      </c>
      <c r="K836" s="1" t="s">
        <v>590</v>
      </c>
      <c r="L836" s="1" t="s">
        <v>591</v>
      </c>
      <c r="M836" s="1" t="s">
        <v>581</v>
      </c>
      <c r="N836" s="1"/>
      <c r="O836" s="10"/>
      <c r="P836" s="23"/>
      <c r="Q836" s="1"/>
      <c r="R836" s="1" t="s">
        <v>557</v>
      </c>
      <c r="S836" s="1" t="s">
        <v>582</v>
      </c>
      <c r="T836" s="10">
        <v>46298</v>
      </c>
    </row>
    <row r="837" spans="1:20" ht="24" customHeight="1" x14ac:dyDescent="0.35">
      <c r="A837" s="5" t="s">
        <v>2621</v>
      </c>
      <c r="B837" s="5" t="s">
        <v>2622</v>
      </c>
      <c r="C837" s="5" t="s">
        <v>2623</v>
      </c>
      <c r="D837" s="5" t="s">
        <v>1083</v>
      </c>
      <c r="E837" s="8">
        <v>46243</v>
      </c>
      <c r="F837" s="5" t="s">
        <v>587</v>
      </c>
      <c r="G837" s="5" t="s">
        <v>588</v>
      </c>
      <c r="H837" s="22">
        <v>3000000</v>
      </c>
      <c r="I837" s="5" t="s">
        <v>589</v>
      </c>
      <c r="J837" s="5" t="s">
        <v>590</v>
      </c>
      <c r="K837" s="5" t="s">
        <v>544</v>
      </c>
      <c r="L837" s="5" t="s">
        <v>149</v>
      </c>
      <c r="M837" s="5" t="s">
        <v>581</v>
      </c>
      <c r="N837" s="5"/>
      <c r="O837" s="8"/>
      <c r="P837" s="22"/>
      <c r="Q837" s="5"/>
      <c r="R837" s="5" t="s">
        <v>557</v>
      </c>
      <c r="S837" s="5" t="s">
        <v>582</v>
      </c>
      <c r="T837" s="8">
        <v>46298</v>
      </c>
    </row>
    <row r="838" spans="1:20" ht="24" customHeight="1" x14ac:dyDescent="0.35">
      <c r="A838" s="1" t="s">
        <v>2624</v>
      </c>
      <c r="B838" s="1" t="s">
        <v>2625</v>
      </c>
      <c r="C838" s="1" t="s">
        <v>103</v>
      </c>
      <c r="D838" s="1" t="s">
        <v>423</v>
      </c>
      <c r="E838" s="10">
        <v>46243</v>
      </c>
      <c r="F838" s="1" t="s">
        <v>587</v>
      </c>
      <c r="G838" s="1" t="s">
        <v>588</v>
      </c>
      <c r="H838" s="23">
        <v>25700000</v>
      </c>
      <c r="I838" s="1" t="s">
        <v>589</v>
      </c>
      <c r="J838" s="1" t="s">
        <v>544</v>
      </c>
      <c r="K838" s="1" t="s">
        <v>546</v>
      </c>
      <c r="L838" s="1" t="s">
        <v>149</v>
      </c>
      <c r="M838" s="1" t="s">
        <v>581</v>
      </c>
      <c r="N838" s="1"/>
      <c r="O838" s="10"/>
      <c r="P838" s="23"/>
      <c r="Q838" s="1"/>
      <c r="R838" s="1" t="s">
        <v>557</v>
      </c>
      <c r="S838" s="1" t="s">
        <v>582</v>
      </c>
      <c r="T838" s="10">
        <v>46298</v>
      </c>
    </row>
    <row r="839" spans="1:20" ht="24" customHeight="1" x14ac:dyDescent="0.35">
      <c r="A839" s="5" t="s">
        <v>2626</v>
      </c>
      <c r="B839" s="5" t="s">
        <v>2627</v>
      </c>
      <c r="C839" s="5" t="s">
        <v>106</v>
      </c>
      <c r="D839" s="5" t="s">
        <v>365</v>
      </c>
      <c r="E839" s="8">
        <v>46243</v>
      </c>
      <c r="F839" s="5" t="s">
        <v>587</v>
      </c>
      <c r="G839" s="5" t="s">
        <v>588</v>
      </c>
      <c r="H839" s="22">
        <v>8500000</v>
      </c>
      <c r="I839" s="5" t="s">
        <v>589</v>
      </c>
      <c r="J839" s="5" t="s">
        <v>544</v>
      </c>
      <c r="K839" s="5" t="s">
        <v>548</v>
      </c>
      <c r="L839" s="5" t="s">
        <v>149</v>
      </c>
      <c r="M839" s="5" t="s">
        <v>581</v>
      </c>
      <c r="N839" s="5"/>
      <c r="O839" s="8"/>
      <c r="P839" s="22"/>
      <c r="Q839" s="5"/>
      <c r="R839" s="5" t="s">
        <v>557</v>
      </c>
      <c r="S839" s="5" t="s">
        <v>582</v>
      </c>
      <c r="T839" s="8">
        <v>46298</v>
      </c>
    </row>
    <row r="840" spans="1:20" ht="24" customHeight="1" x14ac:dyDescent="0.35">
      <c r="A840" s="1" t="s">
        <v>2628</v>
      </c>
      <c r="B840" s="1" t="s">
        <v>2629</v>
      </c>
      <c r="C840" s="1" t="s">
        <v>606</v>
      </c>
      <c r="D840" s="1" t="s">
        <v>607</v>
      </c>
      <c r="E840" s="10">
        <v>46244</v>
      </c>
      <c r="F840" s="1" t="s">
        <v>771</v>
      </c>
      <c r="G840" s="1" t="s">
        <v>772</v>
      </c>
      <c r="H840" s="23"/>
      <c r="I840" s="1" t="s">
        <v>603</v>
      </c>
      <c r="J840" s="1" t="s">
        <v>547</v>
      </c>
      <c r="K840" s="1" t="s">
        <v>547</v>
      </c>
      <c r="L840" s="1" t="s">
        <v>640</v>
      </c>
      <c r="M840" s="1" t="s">
        <v>581</v>
      </c>
      <c r="N840" s="1"/>
      <c r="O840" s="10"/>
      <c r="P840" s="23"/>
      <c r="Q840" s="1" t="s">
        <v>773</v>
      </c>
      <c r="R840" s="1" t="s">
        <v>557</v>
      </c>
      <c r="S840" s="1" t="s">
        <v>582</v>
      </c>
      <c r="T840" s="10">
        <v>46298</v>
      </c>
    </row>
    <row r="841" spans="1:20" ht="24" customHeight="1" x14ac:dyDescent="0.35">
      <c r="A841" s="5" t="s">
        <v>2630</v>
      </c>
      <c r="B841" s="5" t="s">
        <v>2631</v>
      </c>
      <c r="C841" s="5" t="s">
        <v>1083</v>
      </c>
      <c r="D841" s="5" t="s">
        <v>2632</v>
      </c>
      <c r="E841" s="8">
        <v>46244</v>
      </c>
      <c r="F841" s="5" t="s">
        <v>587</v>
      </c>
      <c r="G841" s="5" t="s">
        <v>588</v>
      </c>
      <c r="H841" s="22">
        <v>2500000</v>
      </c>
      <c r="I841" s="5" t="s">
        <v>589</v>
      </c>
      <c r="J841" s="5" t="s">
        <v>544</v>
      </c>
      <c r="K841" s="5" t="s">
        <v>590</v>
      </c>
      <c r="L841" s="5" t="s">
        <v>591</v>
      </c>
      <c r="M841" s="5" t="s">
        <v>581</v>
      </c>
      <c r="N841" s="5"/>
      <c r="O841" s="8"/>
      <c r="P841" s="22"/>
      <c r="Q841" s="5"/>
      <c r="R841" s="5" t="s">
        <v>557</v>
      </c>
      <c r="S841" s="5" t="s">
        <v>582</v>
      </c>
      <c r="T841" s="8">
        <v>46298</v>
      </c>
    </row>
    <row r="842" spans="1:20" ht="24" customHeight="1" x14ac:dyDescent="0.35">
      <c r="A842" s="1" t="s">
        <v>2633</v>
      </c>
      <c r="B842" s="1" t="s">
        <v>2634</v>
      </c>
      <c r="C842" s="1" t="s">
        <v>184</v>
      </c>
      <c r="D842" s="1" t="s">
        <v>186</v>
      </c>
      <c r="E842" s="10">
        <v>46244</v>
      </c>
      <c r="F842" s="1" t="s">
        <v>587</v>
      </c>
      <c r="G842" s="1" t="s">
        <v>588</v>
      </c>
      <c r="H842" s="23">
        <v>21400000</v>
      </c>
      <c r="I842" s="1" t="s">
        <v>589</v>
      </c>
      <c r="J842" s="1" t="s">
        <v>590</v>
      </c>
      <c r="K842" s="1" t="s">
        <v>547</v>
      </c>
      <c r="L842" s="1" t="s">
        <v>640</v>
      </c>
      <c r="M842" s="1" t="s">
        <v>581</v>
      </c>
      <c r="N842" s="1"/>
      <c r="O842" s="10"/>
      <c r="P842" s="23"/>
      <c r="Q842" s="1"/>
      <c r="R842" s="1" t="s">
        <v>557</v>
      </c>
      <c r="S842" s="1" t="s">
        <v>582</v>
      </c>
      <c r="T842" s="10">
        <v>46298</v>
      </c>
    </row>
    <row r="843" spans="1:20" ht="24" customHeight="1" x14ac:dyDescent="0.35">
      <c r="A843" s="5" t="s">
        <v>2635</v>
      </c>
      <c r="B843" s="5" t="s">
        <v>2636</v>
      </c>
      <c r="C843" s="5" t="s">
        <v>785</v>
      </c>
      <c r="D843" s="5" t="s">
        <v>661</v>
      </c>
      <c r="E843" s="8">
        <v>46244</v>
      </c>
      <c r="F843" s="5" t="s">
        <v>771</v>
      </c>
      <c r="G843" s="5" t="s">
        <v>772</v>
      </c>
      <c r="H843" s="22"/>
      <c r="I843" s="5" t="s">
        <v>603</v>
      </c>
      <c r="J843" s="5" t="s">
        <v>548</v>
      </c>
      <c r="K843" s="5" t="s">
        <v>546</v>
      </c>
      <c r="L843" s="5" t="s">
        <v>640</v>
      </c>
      <c r="M843" s="5" t="s">
        <v>581</v>
      </c>
      <c r="N843" s="5"/>
      <c r="O843" s="8"/>
      <c r="P843" s="22"/>
      <c r="Q843" s="5" t="s">
        <v>1008</v>
      </c>
      <c r="R843" s="5" t="s">
        <v>557</v>
      </c>
      <c r="S843" s="5" t="s">
        <v>582</v>
      </c>
      <c r="T843" s="8">
        <v>46298</v>
      </c>
    </row>
    <row r="844" spans="1:20" ht="24" customHeight="1" x14ac:dyDescent="0.35">
      <c r="A844" s="1" t="s">
        <v>2637</v>
      </c>
      <c r="B844" s="1" t="s">
        <v>2638</v>
      </c>
      <c r="C844" s="1" t="s">
        <v>2639</v>
      </c>
      <c r="D844" s="1" t="s">
        <v>142</v>
      </c>
      <c r="E844" s="10">
        <v>46244</v>
      </c>
      <c r="F844" s="1" t="s">
        <v>587</v>
      </c>
      <c r="G844" s="1" t="s">
        <v>588</v>
      </c>
      <c r="H844" s="23">
        <v>3000000</v>
      </c>
      <c r="I844" s="1" t="s">
        <v>589</v>
      </c>
      <c r="J844" s="1" t="s">
        <v>590</v>
      </c>
      <c r="K844" s="1" t="s">
        <v>547</v>
      </c>
      <c r="L844" s="1" t="s">
        <v>608</v>
      </c>
      <c r="M844" s="1" t="s">
        <v>581</v>
      </c>
      <c r="N844" s="1"/>
      <c r="O844" s="10"/>
      <c r="P844" s="23"/>
      <c r="Q844" s="1"/>
      <c r="R844" s="1" t="s">
        <v>557</v>
      </c>
      <c r="S844" s="1" t="s">
        <v>582</v>
      </c>
      <c r="T844" s="10">
        <v>46298</v>
      </c>
    </row>
    <row r="845" spans="1:20" ht="24" customHeight="1" x14ac:dyDescent="0.35">
      <c r="A845" s="5" t="s">
        <v>2640</v>
      </c>
      <c r="B845" s="5" t="s">
        <v>2641</v>
      </c>
      <c r="C845" s="5" t="s">
        <v>630</v>
      </c>
      <c r="D845" s="5" t="s">
        <v>2642</v>
      </c>
      <c r="E845" s="8">
        <v>46244</v>
      </c>
      <c r="F845" s="5" t="s">
        <v>601</v>
      </c>
      <c r="G845" s="5" t="s">
        <v>602</v>
      </c>
      <c r="H845" s="22"/>
      <c r="I845" s="5" t="s">
        <v>603</v>
      </c>
      <c r="J845" s="5" t="s">
        <v>547</v>
      </c>
      <c r="K845" s="5" t="s">
        <v>590</v>
      </c>
      <c r="L845" s="5" t="s">
        <v>640</v>
      </c>
      <c r="M845" s="5" t="s">
        <v>581</v>
      </c>
      <c r="N845" s="5"/>
      <c r="O845" s="8"/>
      <c r="P845" s="22"/>
      <c r="Q845" s="5"/>
      <c r="R845" s="5" t="s">
        <v>557</v>
      </c>
      <c r="S845" s="5" t="s">
        <v>582</v>
      </c>
      <c r="T845" s="8">
        <v>46298</v>
      </c>
    </row>
    <row r="846" spans="1:20" ht="24" customHeight="1" x14ac:dyDescent="0.35">
      <c r="A846" s="1" t="s">
        <v>2643</v>
      </c>
      <c r="B846" s="1" t="s">
        <v>2644</v>
      </c>
      <c r="C846" s="1" t="s">
        <v>1034</v>
      </c>
      <c r="D846" s="1" t="s">
        <v>819</v>
      </c>
      <c r="E846" s="10">
        <v>46244</v>
      </c>
      <c r="F846" s="1" t="s">
        <v>771</v>
      </c>
      <c r="G846" s="1" t="s">
        <v>772</v>
      </c>
      <c r="H846" s="23"/>
      <c r="I846" s="1" t="s">
        <v>603</v>
      </c>
      <c r="J846" s="1" t="s">
        <v>546</v>
      </c>
      <c r="K846" s="1" t="s">
        <v>546</v>
      </c>
      <c r="L846" s="1" t="s">
        <v>608</v>
      </c>
      <c r="M846" s="1" t="s">
        <v>581</v>
      </c>
      <c r="N846" s="1"/>
      <c r="O846" s="10"/>
      <c r="P846" s="23"/>
      <c r="Q846" s="1" t="s">
        <v>1008</v>
      </c>
      <c r="R846" s="1" t="s">
        <v>557</v>
      </c>
      <c r="S846" s="1" t="s">
        <v>582</v>
      </c>
      <c r="T846" s="10">
        <v>46298</v>
      </c>
    </row>
    <row r="847" spans="1:20" ht="24" customHeight="1" x14ac:dyDescent="0.35">
      <c r="A847" s="5" t="s">
        <v>2645</v>
      </c>
      <c r="B847" s="5" t="s">
        <v>2646</v>
      </c>
      <c r="C847" s="5" t="s">
        <v>2647</v>
      </c>
      <c r="D847" s="5" t="s">
        <v>664</v>
      </c>
      <c r="E847" s="8">
        <v>46244</v>
      </c>
      <c r="F847" s="5" t="s">
        <v>578</v>
      </c>
      <c r="G847" s="5" t="s">
        <v>579</v>
      </c>
      <c r="H847" s="22"/>
      <c r="I847" s="5" t="s">
        <v>580</v>
      </c>
      <c r="J847" s="5" t="s">
        <v>590</v>
      </c>
      <c r="K847" s="5" t="s">
        <v>547</v>
      </c>
      <c r="L847" s="5" t="s">
        <v>640</v>
      </c>
      <c r="M847" s="5" t="s">
        <v>581</v>
      </c>
      <c r="N847" s="5"/>
      <c r="O847" s="8"/>
      <c r="P847" s="22"/>
      <c r="Q847" s="5"/>
      <c r="R847" s="5" t="s">
        <v>557</v>
      </c>
      <c r="S847" s="5" t="s">
        <v>582</v>
      </c>
      <c r="T847" s="8">
        <v>46298</v>
      </c>
    </row>
    <row r="848" spans="1:20" ht="24" customHeight="1" x14ac:dyDescent="0.35">
      <c r="A848" s="1" t="s">
        <v>2648</v>
      </c>
      <c r="B848" s="1" t="s">
        <v>2649</v>
      </c>
      <c r="C848" s="1" t="s">
        <v>91</v>
      </c>
      <c r="D848" s="1" t="s">
        <v>101</v>
      </c>
      <c r="E848" s="10">
        <v>46244</v>
      </c>
      <c r="F848" s="1" t="s">
        <v>771</v>
      </c>
      <c r="G848" s="1" t="s">
        <v>772</v>
      </c>
      <c r="H848" s="23"/>
      <c r="I848" s="1" t="s">
        <v>603</v>
      </c>
      <c r="J848" s="1" t="s">
        <v>545</v>
      </c>
      <c r="K848" s="1" t="s">
        <v>544</v>
      </c>
      <c r="L848" s="1" t="s">
        <v>149</v>
      </c>
      <c r="M848" s="1" t="s">
        <v>581</v>
      </c>
      <c r="N848" s="1"/>
      <c r="O848" s="10"/>
      <c r="P848" s="23"/>
      <c r="Q848" s="1" t="s">
        <v>773</v>
      </c>
      <c r="R848" s="1" t="s">
        <v>557</v>
      </c>
      <c r="S848" s="1" t="s">
        <v>582</v>
      </c>
      <c r="T848" s="10">
        <v>46298</v>
      </c>
    </row>
    <row r="849" spans="1:20" ht="24" customHeight="1" x14ac:dyDescent="0.35">
      <c r="A849" s="5" t="s">
        <v>2650</v>
      </c>
      <c r="B849" s="5" t="s">
        <v>2651</v>
      </c>
      <c r="C849" s="5" t="s">
        <v>643</v>
      </c>
      <c r="D849" s="5" t="s">
        <v>408</v>
      </c>
      <c r="E849" s="8">
        <v>46244</v>
      </c>
      <c r="F849" s="5" t="s">
        <v>587</v>
      </c>
      <c r="G849" s="5" t="s">
        <v>588</v>
      </c>
      <c r="H849" s="22">
        <v>5000000</v>
      </c>
      <c r="I849" s="5" t="s">
        <v>589</v>
      </c>
      <c r="J849" s="5" t="s">
        <v>544</v>
      </c>
      <c r="K849" s="5" t="s">
        <v>590</v>
      </c>
      <c r="L849" s="5" t="s">
        <v>591</v>
      </c>
      <c r="M849" s="5" t="s">
        <v>581</v>
      </c>
      <c r="N849" s="5"/>
      <c r="O849" s="8"/>
      <c r="P849" s="22"/>
      <c r="Q849" s="5"/>
      <c r="R849" s="5" t="s">
        <v>557</v>
      </c>
      <c r="S849" s="5" t="s">
        <v>582</v>
      </c>
      <c r="T849" s="8">
        <v>46298</v>
      </c>
    </row>
    <row r="850" spans="1:20" ht="24" customHeight="1" x14ac:dyDescent="0.35">
      <c r="A850" s="1" t="s">
        <v>2652</v>
      </c>
      <c r="B850" s="1" t="s">
        <v>2653</v>
      </c>
      <c r="C850" s="1" t="s">
        <v>1509</v>
      </c>
      <c r="D850" s="1" t="s">
        <v>661</v>
      </c>
      <c r="E850" s="10">
        <v>46244</v>
      </c>
      <c r="F850" s="1" t="s">
        <v>587</v>
      </c>
      <c r="G850" s="1" t="s">
        <v>588</v>
      </c>
      <c r="H850" s="23">
        <v>700000</v>
      </c>
      <c r="I850" s="1" t="s">
        <v>589</v>
      </c>
      <c r="J850" s="1" t="s">
        <v>590</v>
      </c>
      <c r="K850" s="1" t="s">
        <v>546</v>
      </c>
      <c r="L850" s="1" t="s">
        <v>149</v>
      </c>
      <c r="M850" s="1" t="s">
        <v>581</v>
      </c>
      <c r="N850" s="1"/>
      <c r="O850" s="10"/>
      <c r="P850" s="23"/>
      <c r="Q850" s="1"/>
      <c r="R850" s="1" t="s">
        <v>557</v>
      </c>
      <c r="S850" s="1" t="s">
        <v>582</v>
      </c>
      <c r="T850" s="10">
        <v>46298</v>
      </c>
    </row>
    <row r="851" spans="1:20" ht="24" customHeight="1" x14ac:dyDescent="0.35">
      <c r="A851" s="5" t="s">
        <v>2654</v>
      </c>
      <c r="B851" s="5" t="s">
        <v>2655</v>
      </c>
      <c r="C851" s="5" t="s">
        <v>130</v>
      </c>
      <c r="D851" s="5" t="s">
        <v>797</v>
      </c>
      <c r="E851" s="8">
        <v>46244</v>
      </c>
      <c r="F851" s="5" t="s">
        <v>601</v>
      </c>
      <c r="G851" s="5" t="s">
        <v>602</v>
      </c>
      <c r="H851" s="22"/>
      <c r="I851" s="5" t="s">
        <v>603</v>
      </c>
      <c r="J851" s="5" t="s">
        <v>546</v>
      </c>
      <c r="K851" s="5" t="s">
        <v>546</v>
      </c>
      <c r="L851" s="5" t="s">
        <v>640</v>
      </c>
      <c r="M851" s="5" t="s">
        <v>581</v>
      </c>
      <c r="N851" s="5"/>
      <c r="O851" s="8"/>
      <c r="P851" s="22"/>
      <c r="Q851" s="5"/>
      <c r="R851" s="5" t="s">
        <v>557</v>
      </c>
      <c r="S851" s="5" t="s">
        <v>582</v>
      </c>
      <c r="T851" s="8">
        <v>46298</v>
      </c>
    </row>
    <row r="852" spans="1:20" ht="24" customHeight="1" x14ac:dyDescent="0.35">
      <c r="A852" s="1" t="s">
        <v>2656</v>
      </c>
      <c r="B852" s="1" t="s">
        <v>2657</v>
      </c>
      <c r="C852" s="1" t="s">
        <v>850</v>
      </c>
      <c r="D852" s="1" t="s">
        <v>2658</v>
      </c>
      <c r="E852" s="10">
        <v>46244</v>
      </c>
      <c r="F852" s="1" t="s">
        <v>578</v>
      </c>
      <c r="G852" s="1" t="s">
        <v>579</v>
      </c>
      <c r="H852" s="23"/>
      <c r="I852" s="1" t="s">
        <v>580</v>
      </c>
      <c r="J852" s="1" t="s">
        <v>544</v>
      </c>
      <c r="K852" s="1" t="s">
        <v>590</v>
      </c>
      <c r="L852" s="1" t="s">
        <v>149</v>
      </c>
      <c r="M852" s="1" t="s">
        <v>581</v>
      </c>
      <c r="N852" s="1"/>
      <c r="O852" s="10"/>
      <c r="P852" s="23"/>
      <c r="Q852" s="1"/>
      <c r="R852" s="1" t="s">
        <v>557</v>
      </c>
      <c r="S852" s="1" t="s">
        <v>582</v>
      </c>
      <c r="T852" s="10">
        <v>46298</v>
      </c>
    </row>
    <row r="853" spans="1:20" ht="24" customHeight="1" x14ac:dyDescent="0.35">
      <c r="A853" s="5" t="s">
        <v>2659</v>
      </c>
      <c r="B853" s="5" t="s">
        <v>2660</v>
      </c>
      <c r="C853" s="5" t="s">
        <v>171</v>
      </c>
      <c r="D853" s="5" t="s">
        <v>1378</v>
      </c>
      <c r="E853" s="8">
        <v>46244</v>
      </c>
      <c r="F853" s="5" t="s">
        <v>601</v>
      </c>
      <c r="G853" s="5" t="s">
        <v>602</v>
      </c>
      <c r="H853" s="22"/>
      <c r="I853" s="5" t="s">
        <v>603</v>
      </c>
      <c r="J853" s="5" t="s">
        <v>545</v>
      </c>
      <c r="K853" s="5" t="s">
        <v>545</v>
      </c>
      <c r="L853" s="5" t="s">
        <v>172</v>
      </c>
      <c r="M853" s="5" t="s">
        <v>581</v>
      </c>
      <c r="N853" s="5"/>
      <c r="O853" s="8"/>
      <c r="P853" s="22"/>
      <c r="Q853" s="5"/>
      <c r="R853" s="5" t="s">
        <v>557</v>
      </c>
      <c r="S853" s="5" t="s">
        <v>582</v>
      </c>
      <c r="T853" s="8">
        <v>46298</v>
      </c>
    </row>
    <row r="854" spans="1:20" ht="24" customHeight="1" x14ac:dyDescent="0.35">
      <c r="A854" s="1" t="s">
        <v>2661</v>
      </c>
      <c r="B854" s="1" t="s">
        <v>2662</v>
      </c>
      <c r="C854" s="1" t="s">
        <v>707</v>
      </c>
      <c r="D854" s="1" t="s">
        <v>1599</v>
      </c>
      <c r="E854" s="10">
        <v>46244</v>
      </c>
      <c r="F854" s="1" t="s">
        <v>578</v>
      </c>
      <c r="G854" s="1" t="s">
        <v>579</v>
      </c>
      <c r="H854" s="23"/>
      <c r="I854" s="1" t="s">
        <v>580</v>
      </c>
      <c r="J854" s="1" t="s">
        <v>545</v>
      </c>
      <c r="K854" s="1" t="s">
        <v>590</v>
      </c>
      <c r="L854" s="1" t="s">
        <v>608</v>
      </c>
      <c r="M854" s="1" t="s">
        <v>581</v>
      </c>
      <c r="N854" s="1"/>
      <c r="O854" s="10"/>
      <c r="P854" s="23"/>
      <c r="Q854" s="1"/>
      <c r="R854" s="1" t="s">
        <v>557</v>
      </c>
      <c r="S854" s="1" t="s">
        <v>582</v>
      </c>
      <c r="T854" s="10">
        <v>46298</v>
      </c>
    </row>
    <row r="855" spans="1:20" ht="24" customHeight="1" x14ac:dyDescent="0.35">
      <c r="A855" s="5" t="s">
        <v>2663</v>
      </c>
      <c r="B855" s="5" t="s">
        <v>2664</v>
      </c>
      <c r="C855" s="5" t="s">
        <v>707</v>
      </c>
      <c r="D855" s="5" t="s">
        <v>2665</v>
      </c>
      <c r="E855" s="8">
        <v>46244</v>
      </c>
      <c r="F855" s="5" t="s">
        <v>578</v>
      </c>
      <c r="G855" s="5" t="s">
        <v>579</v>
      </c>
      <c r="H855" s="22"/>
      <c r="I855" s="5" t="s">
        <v>580</v>
      </c>
      <c r="J855" s="5" t="s">
        <v>545</v>
      </c>
      <c r="K855" s="5" t="s">
        <v>590</v>
      </c>
      <c r="L855" s="5" t="s">
        <v>172</v>
      </c>
      <c r="M855" s="5" t="s">
        <v>581</v>
      </c>
      <c r="N855" s="5"/>
      <c r="O855" s="8"/>
      <c r="P855" s="22"/>
      <c r="Q855" s="5"/>
      <c r="R855" s="5" t="s">
        <v>557</v>
      </c>
      <c r="S855" s="5" t="s">
        <v>582</v>
      </c>
      <c r="T855" s="8">
        <v>46298</v>
      </c>
    </row>
    <row r="856" spans="1:20" ht="24" customHeight="1" x14ac:dyDescent="0.35">
      <c r="A856" s="1" t="s">
        <v>2666</v>
      </c>
      <c r="B856" s="1" t="s">
        <v>2667</v>
      </c>
      <c r="C856" s="1" t="s">
        <v>176</v>
      </c>
      <c r="D856" s="1" t="s">
        <v>2668</v>
      </c>
      <c r="E856" s="10">
        <v>46244</v>
      </c>
      <c r="F856" s="1" t="s">
        <v>771</v>
      </c>
      <c r="G856" s="1" t="s">
        <v>772</v>
      </c>
      <c r="H856" s="23"/>
      <c r="I856" s="1" t="s">
        <v>603</v>
      </c>
      <c r="J856" s="1" t="s">
        <v>546</v>
      </c>
      <c r="K856" s="1" t="s">
        <v>590</v>
      </c>
      <c r="L856" s="1" t="s">
        <v>149</v>
      </c>
      <c r="M856" s="1" t="s">
        <v>581</v>
      </c>
      <c r="N856" s="1"/>
      <c r="O856" s="10"/>
      <c r="P856" s="23"/>
      <c r="Q856" s="1" t="s">
        <v>1008</v>
      </c>
      <c r="R856" s="1" t="s">
        <v>557</v>
      </c>
      <c r="S856" s="1" t="s">
        <v>582</v>
      </c>
      <c r="T856" s="10">
        <v>46298</v>
      </c>
    </row>
    <row r="857" spans="1:20" ht="24" customHeight="1" x14ac:dyDescent="0.35">
      <c r="A857" s="5" t="s">
        <v>2669</v>
      </c>
      <c r="B857" s="5" t="s">
        <v>2670</v>
      </c>
      <c r="C857" s="5" t="s">
        <v>215</v>
      </c>
      <c r="D857" s="5" t="s">
        <v>374</v>
      </c>
      <c r="E857" s="8">
        <v>46245</v>
      </c>
      <c r="F857" s="5" t="s">
        <v>587</v>
      </c>
      <c r="G857" s="5" t="s">
        <v>588</v>
      </c>
      <c r="H857" s="22">
        <v>34200000</v>
      </c>
      <c r="I857" s="5" t="s">
        <v>589</v>
      </c>
      <c r="J857" s="5" t="s">
        <v>590</v>
      </c>
      <c r="K857" s="5" t="s">
        <v>544</v>
      </c>
      <c r="L857" s="5" t="s">
        <v>149</v>
      </c>
      <c r="M857" s="5" t="s">
        <v>581</v>
      </c>
      <c r="N857" s="5"/>
      <c r="O857" s="8"/>
      <c r="P857" s="22"/>
      <c r="Q857" s="5"/>
      <c r="R857" s="5" t="s">
        <v>557</v>
      </c>
      <c r="S857" s="5" t="s">
        <v>582</v>
      </c>
      <c r="T857" s="8">
        <v>46298</v>
      </c>
    </row>
    <row r="858" spans="1:20" ht="24" customHeight="1" x14ac:dyDescent="0.35">
      <c r="A858" s="1" t="s">
        <v>2671</v>
      </c>
      <c r="B858" s="1" t="s">
        <v>2672</v>
      </c>
      <c r="C858" s="1" t="s">
        <v>162</v>
      </c>
      <c r="D858" s="1" t="s">
        <v>292</v>
      </c>
      <c r="E858" s="10">
        <v>46245</v>
      </c>
      <c r="F858" s="1" t="s">
        <v>587</v>
      </c>
      <c r="G858" s="1" t="s">
        <v>588</v>
      </c>
      <c r="H858" s="23">
        <v>30000000</v>
      </c>
      <c r="I858" s="1" t="s">
        <v>589</v>
      </c>
      <c r="J858" s="1" t="s">
        <v>590</v>
      </c>
      <c r="K858" s="1" t="s">
        <v>544</v>
      </c>
      <c r="L858" s="1" t="s">
        <v>608</v>
      </c>
      <c r="M858" s="1" t="s">
        <v>581</v>
      </c>
      <c r="N858" s="1"/>
      <c r="O858" s="10"/>
      <c r="P858" s="23"/>
      <c r="Q858" s="1"/>
      <c r="R858" s="1" t="s">
        <v>557</v>
      </c>
      <c r="S858" s="1" t="s">
        <v>582</v>
      </c>
      <c r="T858" s="10">
        <v>46298</v>
      </c>
    </row>
    <row r="859" spans="1:20" ht="24" customHeight="1" x14ac:dyDescent="0.35">
      <c r="A859" s="5" t="s">
        <v>2673</v>
      </c>
      <c r="B859" s="5" t="s">
        <v>2674</v>
      </c>
      <c r="C859" s="5" t="s">
        <v>103</v>
      </c>
      <c r="D859" s="5" t="s">
        <v>639</v>
      </c>
      <c r="E859" s="8">
        <v>46245</v>
      </c>
      <c r="F859" s="5" t="s">
        <v>771</v>
      </c>
      <c r="G859" s="5" t="s">
        <v>772</v>
      </c>
      <c r="H859" s="22"/>
      <c r="I859" s="5" t="s">
        <v>603</v>
      </c>
      <c r="J859" s="5" t="s">
        <v>544</v>
      </c>
      <c r="K859" s="5" t="s">
        <v>548</v>
      </c>
      <c r="L859" s="5" t="s">
        <v>172</v>
      </c>
      <c r="M859" s="5" t="s">
        <v>581</v>
      </c>
      <c r="N859" s="5"/>
      <c r="O859" s="8"/>
      <c r="P859" s="22"/>
      <c r="Q859" s="5" t="s">
        <v>773</v>
      </c>
      <c r="R859" s="5" t="s">
        <v>557</v>
      </c>
      <c r="S859" s="5" t="s">
        <v>582</v>
      </c>
      <c r="T859" s="8">
        <v>46298</v>
      </c>
    </row>
    <row r="860" spans="1:20" ht="24" customHeight="1" x14ac:dyDescent="0.35">
      <c r="A860" s="1" t="s">
        <v>2675</v>
      </c>
      <c r="B860" s="1" t="s">
        <v>280</v>
      </c>
      <c r="C860" s="1" t="s">
        <v>210</v>
      </c>
      <c r="D860" s="1" t="s">
        <v>160</v>
      </c>
      <c r="E860" s="10">
        <v>46245</v>
      </c>
      <c r="F860" s="1" t="s">
        <v>2676</v>
      </c>
      <c r="G860" s="1" t="s">
        <v>2676</v>
      </c>
      <c r="H860" s="23"/>
      <c r="I860" s="1" t="s">
        <v>603</v>
      </c>
      <c r="J860" s="1" t="s">
        <v>544</v>
      </c>
      <c r="K860" s="1" t="s">
        <v>544</v>
      </c>
      <c r="L860" s="1" t="s">
        <v>640</v>
      </c>
      <c r="M860" s="1" t="s">
        <v>581</v>
      </c>
      <c r="N860" s="1"/>
      <c r="O860" s="10"/>
      <c r="P860" s="23"/>
      <c r="Q860" s="1"/>
      <c r="R860" s="1" t="s">
        <v>557</v>
      </c>
      <c r="S860" s="1" t="s">
        <v>582</v>
      </c>
      <c r="T860" s="10">
        <v>46298</v>
      </c>
    </row>
    <row r="861" spans="1:20" ht="24" customHeight="1" x14ac:dyDescent="0.35">
      <c r="A861" s="5" t="s">
        <v>2677</v>
      </c>
      <c r="B861" s="5" t="s">
        <v>2678</v>
      </c>
      <c r="C861" s="5" t="s">
        <v>160</v>
      </c>
      <c r="D861" s="5" t="s">
        <v>210</v>
      </c>
      <c r="E861" s="8">
        <v>46245</v>
      </c>
      <c r="F861" s="5" t="s">
        <v>2676</v>
      </c>
      <c r="G861" s="5" t="s">
        <v>2676</v>
      </c>
      <c r="H861" s="22"/>
      <c r="I861" s="5" t="s">
        <v>603</v>
      </c>
      <c r="J861" s="5" t="s">
        <v>544</v>
      </c>
      <c r="K861" s="5" t="s">
        <v>544</v>
      </c>
      <c r="L861" s="5" t="s">
        <v>591</v>
      </c>
      <c r="M861" s="5" t="s">
        <v>581</v>
      </c>
      <c r="N861" s="5"/>
      <c r="O861" s="8"/>
      <c r="P861" s="22"/>
      <c r="Q861" s="5"/>
      <c r="R861" s="5" t="s">
        <v>557</v>
      </c>
      <c r="S861" s="5" t="s">
        <v>582</v>
      </c>
      <c r="T861" s="8">
        <v>46298</v>
      </c>
    </row>
    <row r="862" spans="1:20" ht="24" customHeight="1" x14ac:dyDescent="0.35">
      <c r="A862" s="1" t="s">
        <v>2679</v>
      </c>
      <c r="B862" s="1" t="s">
        <v>2680</v>
      </c>
      <c r="C862" s="1" t="s">
        <v>391</v>
      </c>
      <c r="D862" s="1" t="s">
        <v>1688</v>
      </c>
      <c r="E862" s="10">
        <v>46245</v>
      </c>
      <c r="F862" s="1" t="s">
        <v>771</v>
      </c>
      <c r="G862" s="1" t="s">
        <v>772</v>
      </c>
      <c r="H862" s="23"/>
      <c r="I862" s="1" t="s">
        <v>603</v>
      </c>
      <c r="J862" s="1" t="s">
        <v>544</v>
      </c>
      <c r="K862" s="1" t="s">
        <v>590</v>
      </c>
      <c r="L862" s="1" t="s">
        <v>149</v>
      </c>
      <c r="M862" s="1" t="s">
        <v>581</v>
      </c>
      <c r="N862" s="1"/>
      <c r="O862" s="10"/>
      <c r="P862" s="23"/>
      <c r="Q862" s="1" t="s">
        <v>773</v>
      </c>
      <c r="R862" s="1" t="s">
        <v>557</v>
      </c>
      <c r="S862" s="1" t="s">
        <v>582</v>
      </c>
      <c r="T862" s="10">
        <v>46298</v>
      </c>
    </row>
    <row r="863" spans="1:20" ht="24" customHeight="1" x14ac:dyDescent="0.35">
      <c r="A863" s="5" t="s">
        <v>2681</v>
      </c>
      <c r="B863" s="5" t="s">
        <v>2682</v>
      </c>
      <c r="C863" s="5" t="s">
        <v>355</v>
      </c>
      <c r="D863" s="5" t="s">
        <v>162</v>
      </c>
      <c r="E863" s="8">
        <v>46245</v>
      </c>
      <c r="F863" s="5" t="s">
        <v>771</v>
      </c>
      <c r="G863" s="5" t="s">
        <v>772</v>
      </c>
      <c r="H863" s="22"/>
      <c r="I863" s="5" t="s">
        <v>603</v>
      </c>
      <c r="J863" s="5" t="s">
        <v>544</v>
      </c>
      <c r="K863" s="5" t="s">
        <v>590</v>
      </c>
      <c r="L863" s="5" t="s">
        <v>640</v>
      </c>
      <c r="M863" s="5" t="s">
        <v>581</v>
      </c>
      <c r="N863" s="5"/>
      <c r="O863" s="8"/>
      <c r="P863" s="22"/>
      <c r="Q863" s="5" t="s">
        <v>773</v>
      </c>
      <c r="R863" s="5" t="s">
        <v>557</v>
      </c>
      <c r="S863" s="5" t="s">
        <v>582</v>
      </c>
      <c r="T863" s="8">
        <v>46298</v>
      </c>
    </row>
    <row r="864" spans="1:20" ht="24" customHeight="1" x14ac:dyDescent="0.35">
      <c r="A864" s="1" t="s">
        <v>2683</v>
      </c>
      <c r="B864" s="1" t="s">
        <v>2684</v>
      </c>
      <c r="C864" s="1" t="s">
        <v>176</v>
      </c>
      <c r="D864" s="1" t="s">
        <v>1945</v>
      </c>
      <c r="E864" s="10">
        <v>46244</v>
      </c>
      <c r="F864" s="1" t="s">
        <v>587</v>
      </c>
      <c r="G864" s="1" t="s">
        <v>588</v>
      </c>
      <c r="H864" s="23">
        <v>2600000</v>
      </c>
      <c r="I864" s="1" t="s">
        <v>589</v>
      </c>
      <c r="J864" s="1" t="s">
        <v>546</v>
      </c>
      <c r="K864" s="1" t="s">
        <v>590</v>
      </c>
      <c r="L864" s="1" t="s">
        <v>149</v>
      </c>
      <c r="M864" s="1" t="s">
        <v>581</v>
      </c>
      <c r="N864" s="1"/>
      <c r="O864" s="10"/>
      <c r="P864" s="23"/>
      <c r="Q864" s="1"/>
      <c r="R864" s="1" t="s">
        <v>557</v>
      </c>
      <c r="S864" s="1" t="s">
        <v>582</v>
      </c>
      <c r="T864" s="10">
        <v>46298</v>
      </c>
    </row>
    <row r="865" spans="1:20" ht="24" customHeight="1" x14ac:dyDescent="0.35">
      <c r="A865" s="5" t="s">
        <v>2685</v>
      </c>
      <c r="B865" s="5" t="s">
        <v>2686</v>
      </c>
      <c r="C865" s="5" t="s">
        <v>2687</v>
      </c>
      <c r="D865" s="5" t="s">
        <v>707</v>
      </c>
      <c r="E865" s="8">
        <v>46245</v>
      </c>
      <c r="F865" s="5" t="s">
        <v>587</v>
      </c>
      <c r="G865" s="5" t="s">
        <v>588</v>
      </c>
      <c r="H865" s="22">
        <v>5600000</v>
      </c>
      <c r="I865" s="5" t="s">
        <v>589</v>
      </c>
      <c r="J865" s="5" t="s">
        <v>590</v>
      </c>
      <c r="K865" s="5" t="s">
        <v>545</v>
      </c>
      <c r="L865" s="5" t="s">
        <v>640</v>
      </c>
      <c r="M865" s="5" t="s">
        <v>581</v>
      </c>
      <c r="N865" s="5"/>
      <c r="O865" s="8"/>
      <c r="P865" s="22"/>
      <c r="Q865" s="5"/>
      <c r="R865" s="5" t="s">
        <v>557</v>
      </c>
      <c r="S865" s="5" t="s">
        <v>582</v>
      </c>
      <c r="T865" s="8">
        <v>46298</v>
      </c>
    </row>
    <row r="866" spans="1:20" ht="24" customHeight="1" x14ac:dyDescent="0.35">
      <c r="A866" s="1" t="s">
        <v>2688</v>
      </c>
      <c r="B866" s="1" t="s">
        <v>2689</v>
      </c>
      <c r="C866" s="1" t="s">
        <v>1014</v>
      </c>
      <c r="D866" s="1" t="s">
        <v>1379</v>
      </c>
      <c r="E866" s="10">
        <v>46245</v>
      </c>
      <c r="F866" s="1" t="s">
        <v>771</v>
      </c>
      <c r="G866" s="1" t="s">
        <v>772</v>
      </c>
      <c r="H866" s="23"/>
      <c r="I866" s="1" t="s">
        <v>603</v>
      </c>
      <c r="J866" s="1" t="s">
        <v>545</v>
      </c>
      <c r="K866" s="1" t="s">
        <v>590</v>
      </c>
      <c r="L866" s="1" t="s">
        <v>149</v>
      </c>
      <c r="M866" s="1" t="s">
        <v>581</v>
      </c>
      <c r="N866" s="1"/>
      <c r="O866" s="10"/>
      <c r="P866" s="23"/>
      <c r="Q866" s="1" t="s">
        <v>773</v>
      </c>
      <c r="R866" s="1" t="s">
        <v>557</v>
      </c>
      <c r="S866" s="1" t="s">
        <v>582</v>
      </c>
      <c r="T866" s="10">
        <v>46298</v>
      </c>
    </row>
    <row r="867" spans="1:20" ht="24" customHeight="1" x14ac:dyDescent="0.35">
      <c r="A867" s="5" t="s">
        <v>2690</v>
      </c>
      <c r="B867" s="5" t="s">
        <v>2691</v>
      </c>
      <c r="C867" s="5" t="s">
        <v>103</v>
      </c>
      <c r="D867" s="5" t="s">
        <v>2692</v>
      </c>
      <c r="E867" s="8">
        <v>46245</v>
      </c>
      <c r="F867" s="5" t="s">
        <v>771</v>
      </c>
      <c r="G867" s="5" t="s">
        <v>772</v>
      </c>
      <c r="H867" s="22"/>
      <c r="I867" s="5" t="s">
        <v>603</v>
      </c>
      <c r="J867" s="5" t="s">
        <v>544</v>
      </c>
      <c r="K867" s="5" t="s">
        <v>590</v>
      </c>
      <c r="L867" s="5" t="s">
        <v>149</v>
      </c>
      <c r="M867" s="5" t="s">
        <v>581</v>
      </c>
      <c r="N867" s="5"/>
      <c r="O867" s="8"/>
      <c r="P867" s="22"/>
      <c r="Q867" s="5" t="s">
        <v>773</v>
      </c>
      <c r="R867" s="5" t="s">
        <v>557</v>
      </c>
      <c r="S867" s="5" t="s">
        <v>582</v>
      </c>
      <c r="T867" s="8">
        <v>46298</v>
      </c>
    </row>
    <row r="868" spans="1:20" ht="24" customHeight="1" x14ac:dyDescent="0.35">
      <c r="A868" s="1" t="s">
        <v>2693</v>
      </c>
      <c r="B868" s="1" t="s">
        <v>2694</v>
      </c>
      <c r="C868" s="1" t="s">
        <v>160</v>
      </c>
      <c r="D868" s="1" t="s">
        <v>1928</v>
      </c>
      <c r="E868" s="10">
        <v>46245</v>
      </c>
      <c r="F868" s="1" t="s">
        <v>578</v>
      </c>
      <c r="G868" s="1" t="s">
        <v>579</v>
      </c>
      <c r="H868" s="23"/>
      <c r="I868" s="1" t="s">
        <v>580</v>
      </c>
      <c r="J868" s="1" t="s">
        <v>544</v>
      </c>
      <c r="K868" s="1" t="s">
        <v>590</v>
      </c>
      <c r="L868" s="1" t="s">
        <v>149</v>
      </c>
      <c r="M868" s="1" t="s">
        <v>581</v>
      </c>
      <c r="N868" s="1"/>
      <c r="O868" s="10"/>
      <c r="P868" s="23"/>
      <c r="Q868" s="1"/>
      <c r="R868" s="1" t="s">
        <v>557</v>
      </c>
      <c r="S868" s="1" t="s">
        <v>582</v>
      </c>
      <c r="T868" s="10">
        <v>46298</v>
      </c>
    </row>
    <row r="869" spans="1:20" ht="24" customHeight="1" x14ac:dyDescent="0.35">
      <c r="A869" s="5" t="s">
        <v>2695</v>
      </c>
      <c r="B869" s="5" t="s">
        <v>2696</v>
      </c>
      <c r="C869" s="5" t="s">
        <v>1563</v>
      </c>
      <c r="D869" s="5" t="s">
        <v>685</v>
      </c>
      <c r="E869" s="8">
        <v>46245</v>
      </c>
      <c r="F869" s="5" t="s">
        <v>587</v>
      </c>
      <c r="G869" s="5" t="s">
        <v>588</v>
      </c>
      <c r="H869" s="22">
        <v>19700000</v>
      </c>
      <c r="I869" s="5" t="s">
        <v>589</v>
      </c>
      <c r="J869" s="5" t="s">
        <v>548</v>
      </c>
      <c r="K869" s="5" t="s">
        <v>547</v>
      </c>
      <c r="L869" s="5" t="s">
        <v>149</v>
      </c>
      <c r="M869" s="5" t="s">
        <v>581</v>
      </c>
      <c r="N869" s="5"/>
      <c r="O869" s="8"/>
      <c r="P869" s="22"/>
      <c r="Q869" s="5"/>
      <c r="R869" s="5" t="s">
        <v>557</v>
      </c>
      <c r="S869" s="5" t="s">
        <v>582</v>
      </c>
      <c r="T869" s="8">
        <v>46298</v>
      </c>
    </row>
    <row r="870" spans="1:20" ht="24" customHeight="1" x14ac:dyDescent="0.35">
      <c r="A870" s="1" t="s">
        <v>2697</v>
      </c>
      <c r="B870" s="1" t="s">
        <v>2698</v>
      </c>
      <c r="C870" s="1" t="s">
        <v>1044</v>
      </c>
      <c r="D870" s="1" t="s">
        <v>123</v>
      </c>
      <c r="E870" s="10">
        <v>46245</v>
      </c>
      <c r="F870" s="1" t="s">
        <v>771</v>
      </c>
      <c r="G870" s="1" t="s">
        <v>772</v>
      </c>
      <c r="H870" s="23"/>
      <c r="I870" s="1" t="s">
        <v>603</v>
      </c>
      <c r="J870" s="1" t="s">
        <v>590</v>
      </c>
      <c r="K870" s="1" t="s">
        <v>546</v>
      </c>
      <c r="L870" s="1" t="s">
        <v>640</v>
      </c>
      <c r="M870" s="1" t="s">
        <v>581</v>
      </c>
      <c r="N870" s="1"/>
      <c r="O870" s="10"/>
      <c r="P870" s="23"/>
      <c r="Q870" s="1" t="s">
        <v>773</v>
      </c>
      <c r="R870" s="1" t="s">
        <v>557</v>
      </c>
      <c r="S870" s="1" t="s">
        <v>582</v>
      </c>
      <c r="T870" s="10">
        <v>46298</v>
      </c>
    </row>
    <row r="871" spans="1:20" ht="24" customHeight="1" x14ac:dyDescent="0.35">
      <c r="A871" s="5" t="s">
        <v>2699</v>
      </c>
      <c r="B871" s="5" t="s">
        <v>2700</v>
      </c>
      <c r="C871" s="5" t="s">
        <v>1183</v>
      </c>
      <c r="D871" s="5" t="s">
        <v>1645</v>
      </c>
      <c r="E871" s="8">
        <v>46245</v>
      </c>
      <c r="F871" s="5" t="s">
        <v>771</v>
      </c>
      <c r="G871" s="5" t="s">
        <v>772</v>
      </c>
      <c r="H871" s="22"/>
      <c r="I871" s="5" t="s">
        <v>603</v>
      </c>
      <c r="J871" s="5" t="s">
        <v>545</v>
      </c>
      <c r="K871" s="5" t="s">
        <v>590</v>
      </c>
      <c r="L871" s="5" t="s">
        <v>640</v>
      </c>
      <c r="M871" s="5" t="s">
        <v>581</v>
      </c>
      <c r="N871" s="5"/>
      <c r="O871" s="8"/>
      <c r="P871" s="22"/>
      <c r="Q871" s="5" t="s">
        <v>773</v>
      </c>
      <c r="R871" s="5" t="s">
        <v>557</v>
      </c>
      <c r="S871" s="5" t="s">
        <v>582</v>
      </c>
      <c r="T871" s="8">
        <v>46298</v>
      </c>
    </row>
    <row r="872" spans="1:20" ht="24" customHeight="1" x14ac:dyDescent="0.35">
      <c r="A872" s="1" t="s">
        <v>2701</v>
      </c>
      <c r="B872" s="1" t="s">
        <v>2702</v>
      </c>
      <c r="C872" s="1" t="s">
        <v>1563</v>
      </c>
      <c r="D872" s="1" t="s">
        <v>355</v>
      </c>
      <c r="E872" s="10">
        <v>46246</v>
      </c>
      <c r="F872" s="1" t="s">
        <v>587</v>
      </c>
      <c r="G872" s="1" t="s">
        <v>588</v>
      </c>
      <c r="H872" s="23">
        <v>1700000</v>
      </c>
      <c r="I872" s="1" t="s">
        <v>589</v>
      </c>
      <c r="J872" s="1" t="s">
        <v>548</v>
      </c>
      <c r="K872" s="1" t="s">
        <v>544</v>
      </c>
      <c r="L872" s="1" t="s">
        <v>172</v>
      </c>
      <c r="M872" s="1" t="s">
        <v>581</v>
      </c>
      <c r="N872" s="1"/>
      <c r="O872" s="10"/>
      <c r="P872" s="23"/>
      <c r="Q872" s="1"/>
      <c r="R872" s="1" t="s">
        <v>557</v>
      </c>
      <c r="S872" s="1" t="s">
        <v>582</v>
      </c>
      <c r="T872" s="10">
        <v>46298</v>
      </c>
    </row>
    <row r="873" spans="1:20" ht="24" customHeight="1" x14ac:dyDescent="0.35">
      <c r="A873" s="5" t="s">
        <v>2703</v>
      </c>
      <c r="B873" s="5" t="s">
        <v>2704</v>
      </c>
      <c r="C873" s="5" t="s">
        <v>1163</v>
      </c>
      <c r="D873" s="5" t="s">
        <v>103</v>
      </c>
      <c r="E873" s="8">
        <v>46246</v>
      </c>
      <c r="F873" s="5" t="s">
        <v>587</v>
      </c>
      <c r="G873" s="5" t="s">
        <v>588</v>
      </c>
      <c r="H873" s="22">
        <v>16300000</v>
      </c>
      <c r="I873" s="5" t="s">
        <v>589</v>
      </c>
      <c r="J873" s="5" t="s">
        <v>545</v>
      </c>
      <c r="K873" s="5" t="s">
        <v>544</v>
      </c>
      <c r="L873" s="5" t="s">
        <v>149</v>
      </c>
      <c r="M873" s="5" t="s">
        <v>581</v>
      </c>
      <c r="N873" s="5"/>
      <c r="O873" s="8"/>
      <c r="P873" s="22"/>
      <c r="Q873" s="5"/>
      <c r="R873" s="5" t="s">
        <v>557</v>
      </c>
      <c r="S873" s="5" t="s">
        <v>582</v>
      </c>
      <c r="T873" s="8">
        <v>46298</v>
      </c>
    </row>
    <row r="874" spans="1:20" ht="24" customHeight="1" x14ac:dyDescent="0.35">
      <c r="A874" s="1" t="s">
        <v>2705</v>
      </c>
      <c r="B874" s="1" t="s">
        <v>2706</v>
      </c>
      <c r="C874" s="1" t="s">
        <v>791</v>
      </c>
      <c r="D874" s="1" t="s">
        <v>863</v>
      </c>
      <c r="E874" s="10">
        <v>46246</v>
      </c>
      <c r="F874" s="1" t="s">
        <v>578</v>
      </c>
      <c r="G874" s="1" t="s">
        <v>579</v>
      </c>
      <c r="H874" s="23"/>
      <c r="I874" s="1" t="s">
        <v>580</v>
      </c>
      <c r="J874" s="1" t="s">
        <v>548</v>
      </c>
      <c r="K874" s="1" t="s">
        <v>548</v>
      </c>
      <c r="L874" s="1" t="s">
        <v>149</v>
      </c>
      <c r="M874" s="1" t="s">
        <v>581</v>
      </c>
      <c r="N874" s="1"/>
      <c r="O874" s="10"/>
      <c r="P874" s="23"/>
      <c r="Q874" s="1"/>
      <c r="R874" s="1" t="s">
        <v>557</v>
      </c>
      <c r="S874" s="1" t="s">
        <v>582</v>
      </c>
      <c r="T874" s="10">
        <v>46298</v>
      </c>
    </row>
    <row r="875" spans="1:20" ht="24" customHeight="1" x14ac:dyDescent="0.35">
      <c r="A875" s="5" t="s">
        <v>2707</v>
      </c>
      <c r="B875" s="5" t="s">
        <v>2708</v>
      </c>
      <c r="C875" s="5" t="s">
        <v>106</v>
      </c>
      <c r="D875" s="5" t="s">
        <v>210</v>
      </c>
      <c r="E875" s="8">
        <v>46246</v>
      </c>
      <c r="F875" s="5" t="s">
        <v>771</v>
      </c>
      <c r="G875" s="5" t="s">
        <v>772</v>
      </c>
      <c r="H875" s="22"/>
      <c r="I875" s="5" t="s">
        <v>603</v>
      </c>
      <c r="J875" s="5" t="s">
        <v>544</v>
      </c>
      <c r="K875" s="5" t="s">
        <v>544</v>
      </c>
      <c r="L875" s="5" t="s">
        <v>640</v>
      </c>
      <c r="M875" s="5" t="s">
        <v>581</v>
      </c>
      <c r="N875" s="5"/>
      <c r="O875" s="8"/>
      <c r="P875" s="22"/>
      <c r="Q875" s="5" t="s">
        <v>1008</v>
      </c>
      <c r="R875" s="5" t="s">
        <v>557</v>
      </c>
      <c r="S875" s="5" t="s">
        <v>582</v>
      </c>
      <c r="T875" s="8">
        <v>46298</v>
      </c>
    </row>
    <row r="876" spans="1:20" ht="24" customHeight="1" x14ac:dyDescent="0.35">
      <c r="A876" s="1" t="s">
        <v>2709</v>
      </c>
      <c r="B876" s="1" t="s">
        <v>2710</v>
      </c>
      <c r="C876" s="1" t="s">
        <v>733</v>
      </c>
      <c r="D876" s="1" t="s">
        <v>847</v>
      </c>
      <c r="E876" s="10">
        <v>46246</v>
      </c>
      <c r="F876" s="1" t="s">
        <v>578</v>
      </c>
      <c r="G876" s="1" t="s">
        <v>579</v>
      </c>
      <c r="H876" s="23"/>
      <c r="I876" s="1" t="s">
        <v>580</v>
      </c>
      <c r="J876" s="1" t="s">
        <v>545</v>
      </c>
      <c r="K876" s="1" t="s">
        <v>545</v>
      </c>
      <c r="L876" s="1" t="s">
        <v>149</v>
      </c>
      <c r="M876" s="1" t="s">
        <v>581</v>
      </c>
      <c r="N876" s="1"/>
      <c r="O876" s="10"/>
      <c r="P876" s="23"/>
      <c r="Q876" s="1"/>
      <c r="R876" s="1" t="s">
        <v>557</v>
      </c>
      <c r="S876" s="1" t="s">
        <v>582</v>
      </c>
      <c r="T876" s="10">
        <v>46298</v>
      </c>
    </row>
    <row r="877" spans="1:20" ht="24" customHeight="1" x14ac:dyDescent="0.35">
      <c r="A877" s="5" t="s">
        <v>2711</v>
      </c>
      <c r="B877" s="5" t="s">
        <v>2712</v>
      </c>
      <c r="C877" s="5" t="s">
        <v>1299</v>
      </c>
      <c r="D877" s="5" t="s">
        <v>999</v>
      </c>
      <c r="E877" s="8">
        <v>46246</v>
      </c>
      <c r="F877" s="5" t="s">
        <v>587</v>
      </c>
      <c r="G877" s="5" t="s">
        <v>588</v>
      </c>
      <c r="H877" s="22">
        <v>6000000</v>
      </c>
      <c r="I877" s="5" t="s">
        <v>589</v>
      </c>
      <c r="J877" s="5" t="s">
        <v>590</v>
      </c>
      <c r="K877" s="5" t="s">
        <v>544</v>
      </c>
      <c r="L877" s="5" t="s">
        <v>608</v>
      </c>
      <c r="M877" s="5" t="s">
        <v>581</v>
      </c>
      <c r="N877" s="5"/>
      <c r="O877" s="8"/>
      <c r="P877" s="22"/>
      <c r="Q877" s="5"/>
      <c r="R877" s="5" t="s">
        <v>557</v>
      </c>
      <c r="S877" s="5" t="s">
        <v>582</v>
      </c>
      <c r="T877" s="8">
        <v>46298</v>
      </c>
    </row>
    <row r="878" spans="1:20" ht="24" customHeight="1" x14ac:dyDescent="0.35">
      <c r="A878" s="1" t="s">
        <v>2713</v>
      </c>
      <c r="B878" s="1" t="s">
        <v>2714</v>
      </c>
      <c r="C878" s="1" t="s">
        <v>1004</v>
      </c>
      <c r="D878" s="1" t="s">
        <v>198</v>
      </c>
      <c r="E878" s="10">
        <v>46246</v>
      </c>
      <c r="F878" s="1" t="s">
        <v>587</v>
      </c>
      <c r="G878" s="1" t="s">
        <v>588</v>
      </c>
      <c r="H878" s="23">
        <v>11100000</v>
      </c>
      <c r="I878" s="1" t="s">
        <v>589</v>
      </c>
      <c r="J878" s="1" t="s">
        <v>545</v>
      </c>
      <c r="K878" s="1" t="s">
        <v>546</v>
      </c>
      <c r="L878" s="1" t="s">
        <v>149</v>
      </c>
      <c r="M878" s="1" t="s">
        <v>581</v>
      </c>
      <c r="N878" s="1"/>
      <c r="O878" s="10"/>
      <c r="P878" s="23"/>
      <c r="Q878" s="1"/>
      <c r="R878" s="1" t="s">
        <v>557</v>
      </c>
      <c r="S878" s="1" t="s">
        <v>582</v>
      </c>
      <c r="T878" s="10">
        <v>46298</v>
      </c>
    </row>
    <row r="879" spans="1:20" ht="24" customHeight="1" x14ac:dyDescent="0.35">
      <c r="A879" s="5" t="s">
        <v>2715</v>
      </c>
      <c r="B879" s="5" t="s">
        <v>2716</v>
      </c>
      <c r="C879" s="5" t="s">
        <v>423</v>
      </c>
      <c r="D879" s="5" t="s">
        <v>692</v>
      </c>
      <c r="E879" s="8">
        <v>46246</v>
      </c>
      <c r="F879" s="5" t="s">
        <v>587</v>
      </c>
      <c r="G879" s="5" t="s">
        <v>588</v>
      </c>
      <c r="H879" s="22">
        <v>3400000</v>
      </c>
      <c r="I879" s="5" t="s">
        <v>589</v>
      </c>
      <c r="J879" s="5" t="s">
        <v>546</v>
      </c>
      <c r="K879" s="5" t="s">
        <v>547</v>
      </c>
      <c r="L879" s="5" t="s">
        <v>149</v>
      </c>
      <c r="M879" s="5" t="s">
        <v>581</v>
      </c>
      <c r="N879" s="5"/>
      <c r="O879" s="8"/>
      <c r="P879" s="22"/>
      <c r="Q879" s="5"/>
      <c r="R879" s="5" t="s">
        <v>557</v>
      </c>
      <c r="S879" s="5" t="s">
        <v>582</v>
      </c>
      <c r="T879" s="8">
        <v>46298</v>
      </c>
    </row>
    <row r="880" spans="1:20" ht="24" customHeight="1" x14ac:dyDescent="0.35">
      <c r="A880" s="1" t="s">
        <v>2717</v>
      </c>
      <c r="B880" s="1" t="s">
        <v>2718</v>
      </c>
      <c r="C880" s="1" t="s">
        <v>2719</v>
      </c>
      <c r="D880" s="1" t="s">
        <v>1083</v>
      </c>
      <c r="E880" s="10">
        <v>46246</v>
      </c>
      <c r="F880" s="1" t="s">
        <v>587</v>
      </c>
      <c r="G880" s="1" t="s">
        <v>588</v>
      </c>
      <c r="H880" s="23">
        <v>17100000</v>
      </c>
      <c r="I880" s="1" t="s">
        <v>589</v>
      </c>
      <c r="J880" s="1" t="s">
        <v>590</v>
      </c>
      <c r="K880" s="1" t="s">
        <v>544</v>
      </c>
      <c r="L880" s="1" t="s">
        <v>149</v>
      </c>
      <c r="M880" s="1" t="s">
        <v>581</v>
      </c>
      <c r="N880" s="1"/>
      <c r="O880" s="10"/>
      <c r="P880" s="23"/>
      <c r="Q880" s="1"/>
      <c r="R880" s="1" t="s">
        <v>557</v>
      </c>
      <c r="S880" s="1" t="s">
        <v>582</v>
      </c>
      <c r="T880" s="10">
        <v>46298</v>
      </c>
    </row>
    <row r="881" spans="1:20" ht="24" customHeight="1" x14ac:dyDescent="0.35">
      <c r="A881" s="5" t="s">
        <v>2720</v>
      </c>
      <c r="B881" s="5" t="s">
        <v>129</v>
      </c>
      <c r="C881" s="5" t="s">
        <v>174</v>
      </c>
      <c r="D881" s="5" t="s">
        <v>1213</v>
      </c>
      <c r="E881" s="8">
        <v>46246</v>
      </c>
      <c r="F881" s="5" t="s">
        <v>587</v>
      </c>
      <c r="G881" s="5" t="s">
        <v>588</v>
      </c>
      <c r="H881" s="22">
        <v>5100000</v>
      </c>
      <c r="I881" s="5" t="s">
        <v>589</v>
      </c>
      <c r="J881" s="5" t="s">
        <v>546</v>
      </c>
      <c r="K881" s="5" t="s">
        <v>590</v>
      </c>
      <c r="L881" s="5" t="s">
        <v>640</v>
      </c>
      <c r="M881" s="5" t="s">
        <v>581</v>
      </c>
      <c r="N881" s="5"/>
      <c r="O881" s="8"/>
      <c r="P881" s="22"/>
      <c r="Q881" s="5"/>
      <c r="R881" s="5" t="s">
        <v>557</v>
      </c>
      <c r="S881" s="5" t="s">
        <v>582</v>
      </c>
      <c r="T881" s="8">
        <v>46298</v>
      </c>
    </row>
    <row r="882" spans="1:20" ht="24" customHeight="1" x14ac:dyDescent="0.35">
      <c r="A882" s="1" t="s">
        <v>2721</v>
      </c>
      <c r="B882" s="1" t="s">
        <v>2004</v>
      </c>
      <c r="C882" s="1" t="s">
        <v>1163</v>
      </c>
      <c r="D882" s="1" t="s">
        <v>1083</v>
      </c>
      <c r="E882" s="10">
        <v>46246</v>
      </c>
      <c r="F882" s="1" t="s">
        <v>587</v>
      </c>
      <c r="G882" s="1" t="s">
        <v>588</v>
      </c>
      <c r="H882" s="23">
        <v>20000000</v>
      </c>
      <c r="I882" s="1" t="s">
        <v>589</v>
      </c>
      <c r="J882" s="1" t="s">
        <v>545</v>
      </c>
      <c r="K882" s="1" t="s">
        <v>544</v>
      </c>
      <c r="L882" s="1" t="s">
        <v>149</v>
      </c>
      <c r="M882" s="1" t="s">
        <v>581</v>
      </c>
      <c r="N882" s="1"/>
      <c r="O882" s="10"/>
      <c r="P882" s="23"/>
      <c r="Q882" s="1"/>
      <c r="R882" s="1" t="s">
        <v>557</v>
      </c>
      <c r="S882" s="1" t="s">
        <v>582</v>
      </c>
      <c r="T882" s="10">
        <v>46298</v>
      </c>
    </row>
    <row r="883" spans="1:20" ht="24" customHeight="1" x14ac:dyDescent="0.35">
      <c r="A883" s="5" t="s">
        <v>2722</v>
      </c>
      <c r="B883" s="5" t="s">
        <v>2723</v>
      </c>
      <c r="C883" s="5" t="s">
        <v>643</v>
      </c>
      <c r="D883" s="5" t="s">
        <v>1030</v>
      </c>
      <c r="E883" s="8">
        <v>46246</v>
      </c>
      <c r="F883" s="5" t="s">
        <v>771</v>
      </c>
      <c r="G883" s="5" t="s">
        <v>772</v>
      </c>
      <c r="H883" s="22"/>
      <c r="I883" s="5" t="s">
        <v>603</v>
      </c>
      <c r="J883" s="5" t="s">
        <v>544</v>
      </c>
      <c r="K883" s="5" t="s">
        <v>590</v>
      </c>
      <c r="L883" s="5" t="s">
        <v>591</v>
      </c>
      <c r="M883" s="5" t="s">
        <v>581</v>
      </c>
      <c r="N883" s="5"/>
      <c r="O883" s="8"/>
      <c r="P883" s="22"/>
      <c r="Q883" s="5" t="s">
        <v>773</v>
      </c>
      <c r="R883" s="5" t="s">
        <v>557</v>
      </c>
      <c r="S883" s="5" t="s">
        <v>582</v>
      </c>
      <c r="T883" s="8">
        <v>46298</v>
      </c>
    </row>
    <row r="884" spans="1:20" ht="24" customHeight="1" x14ac:dyDescent="0.35">
      <c r="A884" s="1" t="s">
        <v>2724</v>
      </c>
      <c r="B884" s="1" t="s">
        <v>2725</v>
      </c>
      <c r="C884" s="1" t="s">
        <v>850</v>
      </c>
      <c r="D884" s="1" t="s">
        <v>2208</v>
      </c>
      <c r="E884" s="10">
        <v>46245</v>
      </c>
      <c r="F884" s="1" t="s">
        <v>587</v>
      </c>
      <c r="G884" s="1" t="s">
        <v>588</v>
      </c>
      <c r="H884" s="23">
        <v>8000000</v>
      </c>
      <c r="I884" s="1" t="s">
        <v>589</v>
      </c>
      <c r="J884" s="1" t="s">
        <v>544</v>
      </c>
      <c r="K884" s="1" t="s">
        <v>590</v>
      </c>
      <c r="L884" s="1" t="s">
        <v>172</v>
      </c>
      <c r="M884" s="1" t="s">
        <v>581</v>
      </c>
      <c r="N884" s="1"/>
      <c r="O884" s="10"/>
      <c r="P884" s="23"/>
      <c r="Q884" s="1"/>
      <c r="R884" s="1" t="s">
        <v>557</v>
      </c>
      <c r="S884" s="1" t="s">
        <v>582</v>
      </c>
      <c r="T884" s="10">
        <v>46298</v>
      </c>
    </row>
    <row r="885" spans="1:20" ht="24" customHeight="1" x14ac:dyDescent="0.35">
      <c r="A885" s="5" t="s">
        <v>2726</v>
      </c>
      <c r="B885" s="5" t="s">
        <v>2727</v>
      </c>
      <c r="C885" s="5" t="s">
        <v>850</v>
      </c>
      <c r="D885" s="5" t="s">
        <v>2334</v>
      </c>
      <c r="E885" s="8">
        <v>46245</v>
      </c>
      <c r="F885" s="5" t="s">
        <v>601</v>
      </c>
      <c r="G885" s="5" t="s">
        <v>602</v>
      </c>
      <c r="H885" s="22"/>
      <c r="I885" s="5" t="s">
        <v>603</v>
      </c>
      <c r="J885" s="5" t="s">
        <v>544</v>
      </c>
      <c r="K885" s="5" t="s">
        <v>590</v>
      </c>
      <c r="L885" s="5" t="s">
        <v>149</v>
      </c>
      <c r="M885" s="5" t="s">
        <v>581</v>
      </c>
      <c r="N885" s="5"/>
      <c r="O885" s="8"/>
      <c r="P885" s="22"/>
      <c r="Q885" s="5"/>
      <c r="R885" s="5" t="s">
        <v>557</v>
      </c>
      <c r="S885" s="5" t="s">
        <v>582</v>
      </c>
      <c r="T885" s="8">
        <v>46298</v>
      </c>
    </row>
    <row r="886" spans="1:20" ht="24" customHeight="1" x14ac:dyDescent="0.35">
      <c r="A886" s="1" t="s">
        <v>2728</v>
      </c>
      <c r="B886" s="1" t="s">
        <v>2729</v>
      </c>
      <c r="C886" s="1" t="s">
        <v>707</v>
      </c>
      <c r="D886" s="1" t="s">
        <v>2730</v>
      </c>
      <c r="E886" s="10">
        <v>46245</v>
      </c>
      <c r="F886" s="1" t="s">
        <v>578</v>
      </c>
      <c r="G886" s="1" t="s">
        <v>579</v>
      </c>
      <c r="H886" s="23"/>
      <c r="I886" s="1" t="s">
        <v>580</v>
      </c>
      <c r="J886" s="1" t="s">
        <v>545</v>
      </c>
      <c r="K886" s="1" t="s">
        <v>590</v>
      </c>
      <c r="L886" s="1" t="s">
        <v>640</v>
      </c>
      <c r="M886" s="1" t="s">
        <v>581</v>
      </c>
      <c r="N886" s="1"/>
      <c r="O886" s="10"/>
      <c r="P886" s="23"/>
      <c r="Q886" s="1"/>
      <c r="R886" s="1" t="s">
        <v>557</v>
      </c>
      <c r="S886" s="1" t="s">
        <v>582</v>
      </c>
      <c r="T886" s="10">
        <v>46298</v>
      </c>
    </row>
    <row r="887" spans="1:20" ht="24" customHeight="1" x14ac:dyDescent="0.35">
      <c r="A887" s="5" t="s">
        <v>2731</v>
      </c>
      <c r="B887" s="5" t="s">
        <v>2732</v>
      </c>
      <c r="C887" s="5" t="s">
        <v>617</v>
      </c>
      <c r="D887" s="5" t="s">
        <v>401</v>
      </c>
      <c r="E887" s="8">
        <v>46246</v>
      </c>
      <c r="F887" s="5" t="s">
        <v>587</v>
      </c>
      <c r="G887" s="5" t="s">
        <v>588</v>
      </c>
      <c r="H887" s="22">
        <v>6000000</v>
      </c>
      <c r="I887" s="5" t="s">
        <v>589</v>
      </c>
      <c r="J887" s="5" t="s">
        <v>590</v>
      </c>
      <c r="K887" s="5" t="s">
        <v>547</v>
      </c>
      <c r="L887" s="5" t="s">
        <v>149</v>
      </c>
      <c r="M887" s="5" t="s">
        <v>581</v>
      </c>
      <c r="N887" s="5"/>
      <c r="O887" s="8"/>
      <c r="P887" s="22"/>
      <c r="Q887" s="5"/>
      <c r="R887" s="5" t="s">
        <v>557</v>
      </c>
      <c r="S887" s="5" t="s">
        <v>582</v>
      </c>
      <c r="T887" s="8">
        <v>46298</v>
      </c>
    </row>
    <row r="888" spans="1:20" ht="24" customHeight="1" x14ac:dyDescent="0.35">
      <c r="A888" s="1" t="s">
        <v>2733</v>
      </c>
      <c r="B888" s="1" t="s">
        <v>2734</v>
      </c>
      <c r="C888" s="1" t="s">
        <v>856</v>
      </c>
      <c r="D888" s="1" t="s">
        <v>614</v>
      </c>
      <c r="E888" s="10">
        <v>46245</v>
      </c>
      <c r="F888" s="1" t="s">
        <v>771</v>
      </c>
      <c r="G888" s="1" t="s">
        <v>772</v>
      </c>
      <c r="H888" s="23"/>
      <c r="I888" s="1" t="s">
        <v>603</v>
      </c>
      <c r="J888" s="1" t="s">
        <v>546</v>
      </c>
      <c r="K888" s="1" t="s">
        <v>546</v>
      </c>
      <c r="L888" s="1" t="s">
        <v>591</v>
      </c>
      <c r="M888" s="1" t="s">
        <v>581</v>
      </c>
      <c r="N888" s="1"/>
      <c r="O888" s="10"/>
      <c r="P888" s="23"/>
      <c r="Q888" s="1" t="s">
        <v>773</v>
      </c>
      <c r="R888" s="1" t="s">
        <v>557</v>
      </c>
      <c r="S888" s="1" t="s">
        <v>582</v>
      </c>
      <c r="T888" s="10">
        <v>46298</v>
      </c>
    </row>
    <row r="889" spans="1:20" ht="24" customHeight="1" x14ac:dyDescent="0.35">
      <c r="A889" s="5" t="s">
        <v>2735</v>
      </c>
      <c r="B889" s="5" t="s">
        <v>2736</v>
      </c>
      <c r="C889" s="5" t="s">
        <v>1183</v>
      </c>
      <c r="D889" s="5" t="s">
        <v>743</v>
      </c>
      <c r="E889" s="8">
        <v>46245</v>
      </c>
      <c r="F889" s="5" t="s">
        <v>771</v>
      </c>
      <c r="G889" s="5" t="s">
        <v>772</v>
      </c>
      <c r="H889" s="22"/>
      <c r="I889" s="5" t="s">
        <v>603</v>
      </c>
      <c r="J889" s="5" t="s">
        <v>545</v>
      </c>
      <c r="K889" s="5" t="s">
        <v>545</v>
      </c>
      <c r="L889" s="5" t="s">
        <v>591</v>
      </c>
      <c r="M889" s="5" t="s">
        <v>581</v>
      </c>
      <c r="N889" s="5"/>
      <c r="O889" s="8"/>
      <c r="P889" s="22"/>
      <c r="Q889" s="5" t="s">
        <v>773</v>
      </c>
      <c r="R889" s="5" t="s">
        <v>557</v>
      </c>
      <c r="S889" s="5" t="s">
        <v>582</v>
      </c>
      <c r="T889" s="8">
        <v>46298</v>
      </c>
    </row>
    <row r="890" spans="1:20" ht="24" customHeight="1" x14ac:dyDescent="0.35">
      <c r="A890" s="1" t="s">
        <v>2737</v>
      </c>
      <c r="B890" s="1" t="s">
        <v>2738</v>
      </c>
      <c r="C890" s="1" t="s">
        <v>157</v>
      </c>
      <c r="D890" s="1" t="s">
        <v>1091</v>
      </c>
      <c r="E890" s="10">
        <v>46245</v>
      </c>
      <c r="F890" s="1" t="s">
        <v>587</v>
      </c>
      <c r="G890" s="1" t="s">
        <v>588</v>
      </c>
      <c r="H890" s="23">
        <v>900000</v>
      </c>
      <c r="I890" s="1" t="s">
        <v>589</v>
      </c>
      <c r="J890" s="1" t="s">
        <v>546</v>
      </c>
      <c r="K890" s="1" t="s">
        <v>590</v>
      </c>
      <c r="L890" s="1" t="s">
        <v>640</v>
      </c>
      <c r="M890" s="1" t="s">
        <v>581</v>
      </c>
      <c r="N890" s="1"/>
      <c r="O890" s="10"/>
      <c r="P890" s="23"/>
      <c r="Q890" s="1"/>
      <c r="R890" s="1" t="s">
        <v>557</v>
      </c>
      <c r="S890" s="1" t="s">
        <v>582</v>
      </c>
      <c r="T890" s="10">
        <v>46298</v>
      </c>
    </row>
    <row r="891" spans="1:20" ht="24" customHeight="1" x14ac:dyDescent="0.35">
      <c r="A891" s="5" t="s">
        <v>2739</v>
      </c>
      <c r="B891" s="5" t="s">
        <v>2740</v>
      </c>
      <c r="C891" s="5" t="s">
        <v>614</v>
      </c>
      <c r="D891" s="5" t="s">
        <v>1822</v>
      </c>
      <c r="E891" s="8">
        <v>46245</v>
      </c>
      <c r="F891" s="5" t="s">
        <v>771</v>
      </c>
      <c r="G891" s="5" t="s">
        <v>772</v>
      </c>
      <c r="H891" s="22"/>
      <c r="I891" s="5" t="s">
        <v>603</v>
      </c>
      <c r="J891" s="5" t="s">
        <v>546</v>
      </c>
      <c r="K891" s="5" t="s">
        <v>590</v>
      </c>
      <c r="L891" s="5" t="s">
        <v>608</v>
      </c>
      <c r="M891" s="5" t="s">
        <v>581</v>
      </c>
      <c r="N891" s="5"/>
      <c r="O891" s="8"/>
      <c r="P891" s="22"/>
      <c r="Q891" s="5" t="s">
        <v>773</v>
      </c>
      <c r="R891" s="5" t="s">
        <v>557</v>
      </c>
      <c r="S891" s="5" t="s">
        <v>582</v>
      </c>
      <c r="T891" s="8">
        <v>46298</v>
      </c>
    </row>
    <row r="892" spans="1:20" ht="24" customHeight="1" x14ac:dyDescent="0.35">
      <c r="A892" s="1" t="s">
        <v>2741</v>
      </c>
      <c r="B892" s="1" t="s">
        <v>2742</v>
      </c>
      <c r="C892" s="1" t="s">
        <v>240</v>
      </c>
      <c r="D892" s="1" t="s">
        <v>2211</v>
      </c>
      <c r="E892" s="10">
        <v>46245</v>
      </c>
      <c r="F892" s="1" t="s">
        <v>771</v>
      </c>
      <c r="G892" s="1" t="s">
        <v>772</v>
      </c>
      <c r="H892" s="23"/>
      <c r="I892" s="1" t="s">
        <v>603</v>
      </c>
      <c r="J892" s="1" t="s">
        <v>548</v>
      </c>
      <c r="K892" s="1" t="s">
        <v>590</v>
      </c>
      <c r="L892" s="1" t="s">
        <v>640</v>
      </c>
      <c r="M892" s="1" t="s">
        <v>581</v>
      </c>
      <c r="N892" s="1"/>
      <c r="O892" s="10"/>
      <c r="P892" s="23"/>
      <c r="Q892" s="1" t="s">
        <v>773</v>
      </c>
      <c r="R892" s="1" t="s">
        <v>557</v>
      </c>
      <c r="S892" s="1" t="s">
        <v>582</v>
      </c>
      <c r="T892" s="10">
        <v>46298</v>
      </c>
    </row>
    <row r="893" spans="1:20" ht="24" customHeight="1" x14ac:dyDescent="0.35">
      <c r="A893" s="5" t="s">
        <v>2743</v>
      </c>
      <c r="B893" s="5" t="s">
        <v>2744</v>
      </c>
      <c r="C893" s="5" t="s">
        <v>123</v>
      </c>
      <c r="D893" s="5" t="s">
        <v>1152</v>
      </c>
      <c r="E893" s="8">
        <v>46246</v>
      </c>
      <c r="F893" s="5" t="s">
        <v>578</v>
      </c>
      <c r="G893" s="5" t="s">
        <v>579</v>
      </c>
      <c r="H893" s="22"/>
      <c r="I893" s="5" t="s">
        <v>580</v>
      </c>
      <c r="J893" s="5" t="s">
        <v>546</v>
      </c>
      <c r="K893" s="5" t="s">
        <v>590</v>
      </c>
      <c r="L893" s="5" t="s">
        <v>640</v>
      </c>
      <c r="M893" s="5" t="s">
        <v>581</v>
      </c>
      <c r="N893" s="5"/>
      <c r="O893" s="8"/>
      <c r="P893" s="22"/>
      <c r="Q893" s="5"/>
      <c r="R893" s="5" t="s">
        <v>557</v>
      </c>
      <c r="S893" s="5" t="s">
        <v>582</v>
      </c>
      <c r="T893" s="8">
        <v>46298</v>
      </c>
    </row>
    <row r="894" spans="1:20" ht="24" customHeight="1" x14ac:dyDescent="0.35">
      <c r="A894" s="1" t="s">
        <v>2745</v>
      </c>
      <c r="B894" s="1" t="s">
        <v>2746</v>
      </c>
      <c r="C894" s="1" t="s">
        <v>850</v>
      </c>
      <c r="D894" s="1" t="s">
        <v>1735</v>
      </c>
      <c r="E894" s="10">
        <v>46246</v>
      </c>
      <c r="F894" s="1" t="s">
        <v>578</v>
      </c>
      <c r="G894" s="1" t="s">
        <v>579</v>
      </c>
      <c r="H894" s="23"/>
      <c r="I894" s="1" t="s">
        <v>580</v>
      </c>
      <c r="J894" s="1" t="s">
        <v>544</v>
      </c>
      <c r="K894" s="1" t="s">
        <v>590</v>
      </c>
      <c r="L894" s="1" t="s">
        <v>149</v>
      </c>
      <c r="M894" s="1" t="s">
        <v>581</v>
      </c>
      <c r="N894" s="1"/>
      <c r="O894" s="10"/>
      <c r="P894" s="23"/>
      <c r="Q894" s="1"/>
      <c r="R894" s="1" t="s">
        <v>557</v>
      </c>
      <c r="S894" s="1" t="s">
        <v>582</v>
      </c>
      <c r="T894" s="10">
        <v>46298</v>
      </c>
    </row>
    <row r="895" spans="1:20" ht="24" customHeight="1" x14ac:dyDescent="0.35">
      <c r="A895" s="5" t="s">
        <v>2747</v>
      </c>
      <c r="B895" s="5" t="s">
        <v>2748</v>
      </c>
      <c r="C895" s="5" t="s">
        <v>924</v>
      </c>
      <c r="D895" s="5" t="s">
        <v>1163</v>
      </c>
      <c r="E895" s="8">
        <v>46247</v>
      </c>
      <c r="F895" s="5" t="s">
        <v>578</v>
      </c>
      <c r="G895" s="5" t="s">
        <v>579</v>
      </c>
      <c r="H895" s="22"/>
      <c r="I895" s="5" t="s">
        <v>580</v>
      </c>
      <c r="J895" s="5" t="s">
        <v>590</v>
      </c>
      <c r="K895" s="5" t="s">
        <v>545</v>
      </c>
      <c r="L895" s="5" t="s">
        <v>591</v>
      </c>
      <c r="M895" s="5" t="s">
        <v>581</v>
      </c>
      <c r="N895" s="5"/>
      <c r="O895" s="8"/>
      <c r="P895" s="22"/>
      <c r="Q895" s="5"/>
      <c r="R895" s="5" t="s">
        <v>557</v>
      </c>
      <c r="S895" s="5" t="s">
        <v>582</v>
      </c>
      <c r="T895" s="8">
        <v>46298</v>
      </c>
    </row>
    <row r="896" spans="1:20" ht="24" customHeight="1" x14ac:dyDescent="0.35">
      <c r="A896" s="1" t="s">
        <v>2749</v>
      </c>
      <c r="B896" s="1" t="s">
        <v>2750</v>
      </c>
      <c r="C896" s="1" t="s">
        <v>624</v>
      </c>
      <c r="D896" s="1" t="s">
        <v>819</v>
      </c>
      <c r="E896" s="10">
        <v>46246</v>
      </c>
      <c r="F896" s="1" t="s">
        <v>587</v>
      </c>
      <c r="G896" s="1" t="s">
        <v>588</v>
      </c>
      <c r="H896" s="23">
        <v>7300000</v>
      </c>
      <c r="I896" s="1" t="s">
        <v>589</v>
      </c>
      <c r="J896" s="1" t="s">
        <v>547</v>
      </c>
      <c r="K896" s="1" t="s">
        <v>546</v>
      </c>
      <c r="L896" s="1" t="s">
        <v>608</v>
      </c>
      <c r="M896" s="1" t="s">
        <v>581</v>
      </c>
      <c r="N896" s="1"/>
      <c r="O896" s="10"/>
      <c r="P896" s="23"/>
      <c r="Q896" s="1"/>
      <c r="R896" s="1" t="s">
        <v>557</v>
      </c>
      <c r="S896" s="1" t="s">
        <v>582</v>
      </c>
      <c r="T896" s="10">
        <v>46298</v>
      </c>
    </row>
    <row r="897" spans="1:20" ht="24" customHeight="1" x14ac:dyDescent="0.35">
      <c r="A897" s="5" t="s">
        <v>2751</v>
      </c>
      <c r="B897" s="5" t="s">
        <v>2752</v>
      </c>
      <c r="C897" s="5" t="s">
        <v>712</v>
      </c>
      <c r="D897" s="5" t="s">
        <v>819</v>
      </c>
      <c r="E897" s="8">
        <v>46246</v>
      </c>
      <c r="F897" s="5" t="s">
        <v>578</v>
      </c>
      <c r="G897" s="5" t="s">
        <v>579</v>
      </c>
      <c r="H897" s="22"/>
      <c r="I897" s="5" t="s">
        <v>580</v>
      </c>
      <c r="J897" s="5" t="s">
        <v>590</v>
      </c>
      <c r="K897" s="5" t="s">
        <v>546</v>
      </c>
      <c r="L897" s="5" t="s">
        <v>608</v>
      </c>
      <c r="M897" s="5" t="s">
        <v>581</v>
      </c>
      <c r="N897" s="5"/>
      <c r="O897" s="8"/>
      <c r="P897" s="22"/>
      <c r="Q897" s="5"/>
      <c r="R897" s="5" t="s">
        <v>557</v>
      </c>
      <c r="S897" s="5" t="s">
        <v>582</v>
      </c>
      <c r="T897" s="8">
        <v>46298</v>
      </c>
    </row>
    <row r="898" spans="1:20" ht="24" customHeight="1" x14ac:dyDescent="0.35">
      <c r="A898" s="1" t="s">
        <v>2753</v>
      </c>
      <c r="B898" s="1" t="s">
        <v>2754</v>
      </c>
      <c r="C898" s="1" t="s">
        <v>111</v>
      </c>
      <c r="D898" s="1" t="s">
        <v>585</v>
      </c>
      <c r="E898" s="10">
        <v>46246</v>
      </c>
      <c r="F898" s="1" t="s">
        <v>771</v>
      </c>
      <c r="G898" s="1" t="s">
        <v>772</v>
      </c>
      <c r="H898" s="23"/>
      <c r="I898" s="1" t="s">
        <v>603</v>
      </c>
      <c r="J898" s="1" t="s">
        <v>590</v>
      </c>
      <c r="K898" s="1" t="s">
        <v>548</v>
      </c>
      <c r="L898" s="1" t="s">
        <v>640</v>
      </c>
      <c r="M898" s="1" t="s">
        <v>581</v>
      </c>
      <c r="N898" s="1"/>
      <c r="O898" s="10"/>
      <c r="P898" s="23"/>
      <c r="Q898" s="1" t="s">
        <v>773</v>
      </c>
      <c r="R898" s="1" t="s">
        <v>557</v>
      </c>
      <c r="S898" s="1" t="s">
        <v>582</v>
      </c>
      <c r="T898" s="10">
        <v>46298</v>
      </c>
    </row>
    <row r="899" spans="1:20" ht="24" customHeight="1" x14ac:dyDescent="0.35">
      <c r="A899" s="5" t="s">
        <v>2755</v>
      </c>
      <c r="B899" s="5" t="s">
        <v>2756</v>
      </c>
      <c r="C899" s="5" t="s">
        <v>661</v>
      </c>
      <c r="D899" s="5" t="s">
        <v>1746</v>
      </c>
      <c r="E899" s="8">
        <v>46246</v>
      </c>
      <c r="F899" s="5" t="s">
        <v>771</v>
      </c>
      <c r="G899" s="5" t="s">
        <v>772</v>
      </c>
      <c r="H899" s="22"/>
      <c r="I899" s="5" t="s">
        <v>603</v>
      </c>
      <c r="J899" s="5" t="s">
        <v>546</v>
      </c>
      <c r="K899" s="5" t="s">
        <v>590</v>
      </c>
      <c r="L899" s="5" t="s">
        <v>149</v>
      </c>
      <c r="M899" s="5" t="s">
        <v>581</v>
      </c>
      <c r="N899" s="5"/>
      <c r="O899" s="8"/>
      <c r="P899" s="22"/>
      <c r="Q899" s="5" t="s">
        <v>773</v>
      </c>
      <c r="R899" s="5" t="s">
        <v>557</v>
      </c>
      <c r="S899" s="5" t="s">
        <v>582</v>
      </c>
      <c r="T899" s="8">
        <v>46298</v>
      </c>
    </row>
    <row r="900" spans="1:20" ht="24" customHeight="1" x14ac:dyDescent="0.35">
      <c r="A900" s="1" t="s">
        <v>2757</v>
      </c>
      <c r="B900" s="1" t="s">
        <v>2758</v>
      </c>
      <c r="C900" s="1" t="s">
        <v>707</v>
      </c>
      <c r="D900" s="1" t="s">
        <v>1817</v>
      </c>
      <c r="E900" s="10">
        <v>46246</v>
      </c>
      <c r="F900" s="1" t="s">
        <v>601</v>
      </c>
      <c r="G900" s="1" t="s">
        <v>602</v>
      </c>
      <c r="H900" s="23"/>
      <c r="I900" s="1" t="s">
        <v>603</v>
      </c>
      <c r="J900" s="1" t="s">
        <v>545</v>
      </c>
      <c r="K900" s="1" t="s">
        <v>590</v>
      </c>
      <c r="L900" s="1" t="s">
        <v>640</v>
      </c>
      <c r="M900" s="1" t="s">
        <v>581</v>
      </c>
      <c r="N900" s="1"/>
      <c r="O900" s="10"/>
      <c r="P900" s="23"/>
      <c r="Q900" s="1"/>
      <c r="R900" s="1" t="s">
        <v>557</v>
      </c>
      <c r="S900" s="1" t="s">
        <v>582</v>
      </c>
      <c r="T900" s="10">
        <v>46298</v>
      </c>
    </row>
    <row r="901" spans="1:20" ht="24" customHeight="1" x14ac:dyDescent="0.35">
      <c r="A901" s="5" t="s">
        <v>2759</v>
      </c>
      <c r="B901" s="5" t="s">
        <v>2760</v>
      </c>
      <c r="C901" s="5" t="s">
        <v>791</v>
      </c>
      <c r="D901" s="5" t="s">
        <v>930</v>
      </c>
      <c r="E901" s="8">
        <v>46246</v>
      </c>
      <c r="F901" s="5" t="s">
        <v>771</v>
      </c>
      <c r="G901" s="5" t="s">
        <v>772</v>
      </c>
      <c r="H901" s="22"/>
      <c r="I901" s="5" t="s">
        <v>603</v>
      </c>
      <c r="J901" s="5" t="s">
        <v>548</v>
      </c>
      <c r="K901" s="5" t="s">
        <v>590</v>
      </c>
      <c r="L901" s="5" t="s">
        <v>640</v>
      </c>
      <c r="M901" s="5" t="s">
        <v>581</v>
      </c>
      <c r="N901" s="5"/>
      <c r="O901" s="8"/>
      <c r="P901" s="22"/>
      <c r="Q901" s="5" t="s">
        <v>773</v>
      </c>
      <c r="R901" s="5" t="s">
        <v>557</v>
      </c>
      <c r="S901" s="5" t="s">
        <v>582</v>
      </c>
      <c r="T901" s="8">
        <v>46298</v>
      </c>
    </row>
    <row r="902" spans="1:20" ht="24" customHeight="1" x14ac:dyDescent="0.35">
      <c r="A902" s="1" t="s">
        <v>2761</v>
      </c>
      <c r="B902" s="1" t="s">
        <v>2762</v>
      </c>
      <c r="C902" s="1" t="s">
        <v>469</v>
      </c>
      <c r="D902" s="1" t="s">
        <v>853</v>
      </c>
      <c r="E902" s="10">
        <v>46247</v>
      </c>
      <c r="F902" s="1" t="s">
        <v>601</v>
      </c>
      <c r="G902" s="1" t="s">
        <v>602</v>
      </c>
      <c r="H902" s="23"/>
      <c r="I902" s="1" t="s">
        <v>603</v>
      </c>
      <c r="J902" s="1" t="s">
        <v>544</v>
      </c>
      <c r="K902" s="1" t="s">
        <v>590</v>
      </c>
      <c r="L902" s="1" t="s">
        <v>591</v>
      </c>
      <c r="M902" s="1" t="s">
        <v>581</v>
      </c>
      <c r="N902" s="1"/>
      <c r="O902" s="10"/>
      <c r="P902" s="23"/>
      <c r="Q902" s="1"/>
      <c r="R902" s="1" t="s">
        <v>557</v>
      </c>
      <c r="S902" s="1" t="s">
        <v>582</v>
      </c>
      <c r="T902" s="10">
        <v>46298</v>
      </c>
    </row>
    <row r="903" spans="1:20" ht="24" customHeight="1" x14ac:dyDescent="0.35">
      <c r="A903" s="5" t="s">
        <v>2763</v>
      </c>
      <c r="B903" s="5" t="s">
        <v>2764</v>
      </c>
      <c r="C903" s="5" t="s">
        <v>1034</v>
      </c>
      <c r="D903" s="5" t="s">
        <v>2765</v>
      </c>
      <c r="E903" s="8">
        <v>46246</v>
      </c>
      <c r="F903" s="5" t="s">
        <v>771</v>
      </c>
      <c r="G903" s="5" t="s">
        <v>772</v>
      </c>
      <c r="H903" s="22"/>
      <c r="I903" s="5" t="s">
        <v>603</v>
      </c>
      <c r="J903" s="5" t="s">
        <v>546</v>
      </c>
      <c r="K903" s="5" t="s">
        <v>590</v>
      </c>
      <c r="L903" s="5" t="s">
        <v>608</v>
      </c>
      <c r="M903" s="5" t="s">
        <v>581</v>
      </c>
      <c r="N903" s="5"/>
      <c r="O903" s="8"/>
      <c r="P903" s="22"/>
      <c r="Q903" s="5" t="s">
        <v>773</v>
      </c>
      <c r="R903" s="5" t="s">
        <v>557</v>
      </c>
      <c r="S903" s="5" t="s">
        <v>582</v>
      </c>
      <c r="T903" s="8">
        <v>46298</v>
      </c>
    </row>
    <row r="904" spans="1:20" ht="24" customHeight="1" x14ac:dyDescent="0.35">
      <c r="A904" s="1" t="s">
        <v>2766</v>
      </c>
      <c r="B904" s="1" t="s">
        <v>2767</v>
      </c>
      <c r="C904" s="1" t="s">
        <v>684</v>
      </c>
      <c r="D904" s="1" t="s">
        <v>863</v>
      </c>
      <c r="E904" s="10">
        <v>46247</v>
      </c>
      <c r="F904" s="1" t="s">
        <v>601</v>
      </c>
      <c r="G904" s="1" t="s">
        <v>602</v>
      </c>
      <c r="H904" s="23"/>
      <c r="I904" s="1" t="s">
        <v>603</v>
      </c>
      <c r="J904" s="1" t="s">
        <v>590</v>
      </c>
      <c r="K904" s="1" t="s">
        <v>548</v>
      </c>
      <c r="L904" s="1" t="s">
        <v>608</v>
      </c>
      <c r="M904" s="1" t="s">
        <v>581</v>
      </c>
      <c r="N904" s="1"/>
      <c r="O904" s="10"/>
      <c r="P904" s="23"/>
      <c r="Q904" s="1"/>
      <c r="R904" s="1" t="s">
        <v>557</v>
      </c>
      <c r="S904" s="1" t="s">
        <v>582</v>
      </c>
      <c r="T904" s="10">
        <v>46298</v>
      </c>
    </row>
    <row r="905" spans="1:20" ht="24" customHeight="1" x14ac:dyDescent="0.35">
      <c r="A905" s="5" t="s">
        <v>2768</v>
      </c>
      <c r="B905" s="5" t="s">
        <v>2769</v>
      </c>
      <c r="C905" s="5" t="s">
        <v>607</v>
      </c>
      <c r="D905" s="5" t="s">
        <v>1680</v>
      </c>
      <c r="E905" s="8">
        <v>46247</v>
      </c>
      <c r="F905" s="5" t="s">
        <v>587</v>
      </c>
      <c r="G905" s="5" t="s">
        <v>588</v>
      </c>
      <c r="H905" s="22">
        <v>6800000</v>
      </c>
      <c r="I905" s="5" t="s">
        <v>589</v>
      </c>
      <c r="J905" s="5" t="s">
        <v>547</v>
      </c>
      <c r="K905" s="5" t="s">
        <v>590</v>
      </c>
      <c r="L905" s="5" t="s">
        <v>608</v>
      </c>
      <c r="M905" s="5" t="s">
        <v>581</v>
      </c>
      <c r="N905" s="5"/>
      <c r="O905" s="8"/>
      <c r="P905" s="22"/>
      <c r="Q905" s="5"/>
      <c r="R905" s="5" t="s">
        <v>557</v>
      </c>
      <c r="S905" s="5" t="s">
        <v>582</v>
      </c>
      <c r="T905" s="8">
        <v>46298</v>
      </c>
    </row>
    <row r="906" spans="1:20" ht="24" customHeight="1" x14ac:dyDescent="0.35">
      <c r="A906" s="1" t="s">
        <v>2770</v>
      </c>
      <c r="B906" s="1" t="s">
        <v>2771</v>
      </c>
      <c r="C906" s="1" t="s">
        <v>200</v>
      </c>
      <c r="D906" s="1" t="s">
        <v>733</v>
      </c>
      <c r="E906" s="10">
        <v>46247</v>
      </c>
      <c r="F906" s="1" t="s">
        <v>578</v>
      </c>
      <c r="G906" s="1" t="s">
        <v>579</v>
      </c>
      <c r="H906" s="23"/>
      <c r="I906" s="1" t="s">
        <v>580</v>
      </c>
      <c r="J906" s="1" t="s">
        <v>544</v>
      </c>
      <c r="K906" s="1" t="s">
        <v>545</v>
      </c>
      <c r="L906" s="1" t="s">
        <v>640</v>
      </c>
      <c r="M906" s="1" t="s">
        <v>581</v>
      </c>
      <c r="N906" s="1"/>
      <c r="O906" s="10"/>
      <c r="P906" s="23"/>
      <c r="Q906" s="1" t="s">
        <v>1005</v>
      </c>
      <c r="R906" s="1" t="s">
        <v>557</v>
      </c>
      <c r="S906" s="1" t="s">
        <v>582</v>
      </c>
      <c r="T906" s="10">
        <v>46298</v>
      </c>
    </row>
    <row r="907" spans="1:20" ht="24" customHeight="1" x14ac:dyDescent="0.35">
      <c r="A907" s="5" t="s">
        <v>2772</v>
      </c>
      <c r="B907" s="5" t="s">
        <v>2773</v>
      </c>
      <c r="C907" s="5" t="s">
        <v>157</v>
      </c>
      <c r="D907" s="5" t="s">
        <v>856</v>
      </c>
      <c r="E907" s="8">
        <v>46247</v>
      </c>
      <c r="F907" s="5" t="s">
        <v>771</v>
      </c>
      <c r="G907" s="5" t="s">
        <v>772</v>
      </c>
      <c r="H907" s="22"/>
      <c r="I907" s="5" t="s">
        <v>603</v>
      </c>
      <c r="J907" s="5" t="s">
        <v>546</v>
      </c>
      <c r="K907" s="5" t="s">
        <v>546</v>
      </c>
      <c r="L907" s="5" t="s">
        <v>640</v>
      </c>
      <c r="M907" s="5" t="s">
        <v>581</v>
      </c>
      <c r="N907" s="5"/>
      <c r="O907" s="8"/>
      <c r="P907" s="22"/>
      <c r="Q907" s="5" t="s">
        <v>1107</v>
      </c>
      <c r="R907" s="5" t="s">
        <v>557</v>
      </c>
      <c r="S907" s="5" t="s">
        <v>582</v>
      </c>
      <c r="T907" s="8">
        <v>46298</v>
      </c>
    </row>
    <row r="908" spans="1:20" ht="24" customHeight="1" x14ac:dyDescent="0.35">
      <c r="A908" s="1" t="s">
        <v>2774</v>
      </c>
      <c r="B908" s="1" t="s">
        <v>2775</v>
      </c>
      <c r="C908" s="1" t="s">
        <v>797</v>
      </c>
      <c r="D908" s="1" t="s">
        <v>157</v>
      </c>
      <c r="E908" s="10">
        <v>46247</v>
      </c>
      <c r="F908" s="1" t="s">
        <v>587</v>
      </c>
      <c r="G908" s="1" t="s">
        <v>588</v>
      </c>
      <c r="H908" s="23">
        <v>19200000</v>
      </c>
      <c r="I908" s="1" t="s">
        <v>589</v>
      </c>
      <c r="J908" s="1" t="s">
        <v>546</v>
      </c>
      <c r="K908" s="1" t="s">
        <v>546</v>
      </c>
      <c r="L908" s="1" t="s">
        <v>640</v>
      </c>
      <c r="M908" s="1" t="s">
        <v>581</v>
      </c>
      <c r="N908" s="1"/>
      <c r="O908" s="10"/>
      <c r="P908" s="23"/>
      <c r="Q908" s="1"/>
      <c r="R908" s="1" t="s">
        <v>557</v>
      </c>
      <c r="S908" s="1" t="s">
        <v>582</v>
      </c>
      <c r="T908" s="10">
        <v>46298</v>
      </c>
    </row>
    <row r="909" spans="1:20" ht="24" customHeight="1" x14ac:dyDescent="0.35">
      <c r="A909" s="5" t="s">
        <v>2776</v>
      </c>
      <c r="B909" s="5" t="s">
        <v>2777</v>
      </c>
      <c r="C909" s="5" t="s">
        <v>788</v>
      </c>
      <c r="D909" s="5" t="s">
        <v>176</v>
      </c>
      <c r="E909" s="8">
        <v>46247</v>
      </c>
      <c r="F909" s="5" t="s">
        <v>771</v>
      </c>
      <c r="G909" s="5" t="s">
        <v>772</v>
      </c>
      <c r="H909" s="22"/>
      <c r="I909" s="5" t="s">
        <v>603</v>
      </c>
      <c r="J909" s="5" t="s">
        <v>546</v>
      </c>
      <c r="K909" s="5" t="s">
        <v>546</v>
      </c>
      <c r="L909" s="5" t="s">
        <v>149</v>
      </c>
      <c r="M909" s="5" t="s">
        <v>581</v>
      </c>
      <c r="N909" s="5"/>
      <c r="O909" s="8"/>
      <c r="P909" s="22"/>
      <c r="Q909" s="5" t="s">
        <v>1107</v>
      </c>
      <c r="R909" s="5" t="s">
        <v>557</v>
      </c>
      <c r="S909" s="5" t="s">
        <v>582</v>
      </c>
      <c r="T909" s="8">
        <v>46298</v>
      </c>
    </row>
    <row r="910" spans="1:20" ht="24" customHeight="1" x14ac:dyDescent="0.35">
      <c r="A910" s="1" t="s">
        <v>2778</v>
      </c>
      <c r="B910" s="1" t="s">
        <v>2779</v>
      </c>
      <c r="C910" s="1" t="s">
        <v>157</v>
      </c>
      <c r="D910" s="1" t="s">
        <v>176</v>
      </c>
      <c r="E910" s="10">
        <v>46246</v>
      </c>
      <c r="F910" s="1" t="s">
        <v>601</v>
      </c>
      <c r="G910" s="1" t="s">
        <v>602</v>
      </c>
      <c r="H910" s="23"/>
      <c r="I910" s="1" t="s">
        <v>603</v>
      </c>
      <c r="J910" s="1" t="s">
        <v>546</v>
      </c>
      <c r="K910" s="1" t="s">
        <v>546</v>
      </c>
      <c r="L910" s="1" t="s">
        <v>591</v>
      </c>
      <c r="M910" s="1" t="s">
        <v>581</v>
      </c>
      <c r="N910" s="1"/>
      <c r="O910" s="10"/>
      <c r="P910" s="23"/>
      <c r="Q910" s="1"/>
      <c r="R910" s="1" t="s">
        <v>557</v>
      </c>
      <c r="S910" s="1" t="s">
        <v>582</v>
      </c>
      <c r="T910" s="10">
        <v>46298</v>
      </c>
    </row>
    <row r="911" spans="1:20" ht="24" customHeight="1" x14ac:dyDescent="0.35">
      <c r="A911" s="5" t="s">
        <v>2780</v>
      </c>
      <c r="B911" s="5" t="s">
        <v>2781</v>
      </c>
      <c r="C911" s="5" t="s">
        <v>1209</v>
      </c>
      <c r="D911" s="5" t="s">
        <v>733</v>
      </c>
      <c r="E911" s="8">
        <v>46247</v>
      </c>
      <c r="F911" s="5" t="s">
        <v>587</v>
      </c>
      <c r="G911" s="5" t="s">
        <v>588</v>
      </c>
      <c r="H911" s="22">
        <v>400000</v>
      </c>
      <c r="I911" s="5" t="s">
        <v>589</v>
      </c>
      <c r="J911" s="5" t="s">
        <v>590</v>
      </c>
      <c r="K911" s="5" t="s">
        <v>545</v>
      </c>
      <c r="L911" s="5" t="s">
        <v>149</v>
      </c>
      <c r="M911" s="5" t="s">
        <v>581</v>
      </c>
      <c r="N911" s="5"/>
      <c r="O911" s="8"/>
      <c r="P911" s="22"/>
      <c r="Q911" s="5"/>
      <c r="R911" s="5" t="s">
        <v>557</v>
      </c>
      <c r="S911" s="5" t="s">
        <v>582</v>
      </c>
      <c r="T911" s="8">
        <v>46298</v>
      </c>
    </row>
    <row r="912" spans="1:20" ht="24" customHeight="1" x14ac:dyDescent="0.35">
      <c r="A912" s="1" t="s">
        <v>2782</v>
      </c>
      <c r="B912" s="1" t="s">
        <v>2783</v>
      </c>
      <c r="C912" s="1" t="s">
        <v>1184</v>
      </c>
      <c r="D912" s="1" t="s">
        <v>1822</v>
      </c>
      <c r="E912" s="10">
        <v>46247</v>
      </c>
      <c r="F912" s="1" t="s">
        <v>771</v>
      </c>
      <c r="G912" s="1" t="s">
        <v>772</v>
      </c>
      <c r="H912" s="23"/>
      <c r="I912" s="1" t="s">
        <v>603</v>
      </c>
      <c r="J912" s="1" t="s">
        <v>546</v>
      </c>
      <c r="K912" s="1" t="s">
        <v>590</v>
      </c>
      <c r="L912" s="1" t="s">
        <v>591</v>
      </c>
      <c r="M912" s="1" t="s">
        <v>581</v>
      </c>
      <c r="N912" s="1"/>
      <c r="O912" s="10"/>
      <c r="P912" s="23"/>
      <c r="Q912" s="1" t="s">
        <v>1008</v>
      </c>
      <c r="R912" s="1" t="s">
        <v>557</v>
      </c>
      <c r="S912" s="1" t="s">
        <v>582</v>
      </c>
      <c r="T912" s="10">
        <v>46298</v>
      </c>
    </row>
    <row r="913" spans="1:20" ht="24" customHeight="1" x14ac:dyDescent="0.35">
      <c r="A913" s="5" t="s">
        <v>2784</v>
      </c>
      <c r="B913" s="5" t="s">
        <v>2785</v>
      </c>
      <c r="C913" s="5" t="s">
        <v>1248</v>
      </c>
      <c r="D913" s="5" t="s">
        <v>863</v>
      </c>
      <c r="E913" s="8">
        <v>46247</v>
      </c>
      <c r="F913" s="5" t="s">
        <v>771</v>
      </c>
      <c r="G913" s="5" t="s">
        <v>772</v>
      </c>
      <c r="H913" s="22"/>
      <c r="I913" s="5" t="s">
        <v>603</v>
      </c>
      <c r="J913" s="5" t="s">
        <v>590</v>
      </c>
      <c r="K913" s="5" t="s">
        <v>548</v>
      </c>
      <c r="L913" s="5" t="s">
        <v>172</v>
      </c>
      <c r="M913" s="5" t="s">
        <v>581</v>
      </c>
      <c r="N913" s="5"/>
      <c r="O913" s="8"/>
      <c r="P913" s="22"/>
      <c r="Q913" s="5" t="s">
        <v>773</v>
      </c>
      <c r="R913" s="5" t="s">
        <v>557</v>
      </c>
      <c r="S913" s="5" t="s">
        <v>582</v>
      </c>
      <c r="T913" s="8">
        <v>46298</v>
      </c>
    </row>
    <row r="914" spans="1:20" ht="24" customHeight="1" x14ac:dyDescent="0.35">
      <c r="A914" s="1" t="s">
        <v>2786</v>
      </c>
      <c r="B914" s="1" t="s">
        <v>2787</v>
      </c>
      <c r="C914" s="1" t="s">
        <v>802</v>
      </c>
      <c r="D914" s="1" t="s">
        <v>2788</v>
      </c>
      <c r="E914" s="10">
        <v>46247</v>
      </c>
      <c r="F914" s="1" t="s">
        <v>771</v>
      </c>
      <c r="G914" s="1" t="s">
        <v>772</v>
      </c>
      <c r="H914" s="23"/>
      <c r="I914" s="1" t="s">
        <v>603</v>
      </c>
      <c r="J914" s="1" t="s">
        <v>546</v>
      </c>
      <c r="K914" s="1" t="s">
        <v>590</v>
      </c>
      <c r="L914" s="1" t="s">
        <v>149</v>
      </c>
      <c r="M914" s="1" t="s">
        <v>581</v>
      </c>
      <c r="N914" s="1"/>
      <c r="O914" s="10"/>
      <c r="P914" s="23"/>
      <c r="Q914" s="1" t="s">
        <v>773</v>
      </c>
      <c r="R914" s="1" t="s">
        <v>557</v>
      </c>
      <c r="S914" s="1" t="s">
        <v>582</v>
      </c>
      <c r="T914" s="10">
        <v>46298</v>
      </c>
    </row>
    <row r="915" spans="1:20" ht="24" customHeight="1" x14ac:dyDescent="0.35">
      <c r="A915" s="5" t="s">
        <v>2789</v>
      </c>
      <c r="B915" s="5" t="s">
        <v>2790</v>
      </c>
      <c r="C915" s="5" t="s">
        <v>2791</v>
      </c>
      <c r="D915" s="5" t="s">
        <v>627</v>
      </c>
      <c r="E915" s="8">
        <v>46247</v>
      </c>
      <c r="F915" s="5" t="s">
        <v>601</v>
      </c>
      <c r="G915" s="5" t="s">
        <v>602</v>
      </c>
      <c r="H915" s="22"/>
      <c r="I915" s="5" t="s">
        <v>603</v>
      </c>
      <c r="J915" s="5" t="s">
        <v>590</v>
      </c>
      <c r="K915" s="5" t="s">
        <v>545</v>
      </c>
      <c r="L915" s="5" t="s">
        <v>640</v>
      </c>
      <c r="M915" s="5" t="s">
        <v>581</v>
      </c>
      <c r="N915" s="5"/>
      <c r="O915" s="8"/>
      <c r="P915" s="22"/>
      <c r="Q915" s="5"/>
      <c r="R915" s="5" t="s">
        <v>557</v>
      </c>
      <c r="S915" s="5" t="s">
        <v>582</v>
      </c>
      <c r="T915" s="8">
        <v>46298</v>
      </c>
    </row>
    <row r="916" spans="1:20" ht="24" customHeight="1" x14ac:dyDescent="0.35">
      <c r="A916" s="1" t="s">
        <v>2792</v>
      </c>
      <c r="B916" s="1" t="s">
        <v>2790</v>
      </c>
      <c r="C916" s="1" t="s">
        <v>627</v>
      </c>
      <c r="D916" s="1" t="s">
        <v>2793</v>
      </c>
      <c r="E916" s="10">
        <v>46247</v>
      </c>
      <c r="F916" s="1" t="s">
        <v>771</v>
      </c>
      <c r="G916" s="1" t="s">
        <v>772</v>
      </c>
      <c r="H916" s="23"/>
      <c r="I916" s="1" t="s">
        <v>603</v>
      </c>
      <c r="J916" s="1" t="s">
        <v>545</v>
      </c>
      <c r="K916" s="1" t="s">
        <v>590</v>
      </c>
      <c r="L916" s="1" t="s">
        <v>640</v>
      </c>
      <c r="M916" s="1" t="s">
        <v>581</v>
      </c>
      <c r="N916" s="1"/>
      <c r="O916" s="10"/>
      <c r="P916" s="23"/>
      <c r="Q916" s="1" t="s">
        <v>773</v>
      </c>
      <c r="R916" s="1" t="s">
        <v>557</v>
      </c>
      <c r="S916" s="1" t="s">
        <v>582</v>
      </c>
      <c r="T916" s="10">
        <v>46298</v>
      </c>
    </row>
    <row r="917" spans="1:20" ht="24" customHeight="1" x14ac:dyDescent="0.35">
      <c r="A917" s="5" t="s">
        <v>2794</v>
      </c>
      <c r="B917" s="5" t="s">
        <v>2795</v>
      </c>
      <c r="C917" s="5" t="s">
        <v>128</v>
      </c>
      <c r="D917" s="5" t="s">
        <v>611</v>
      </c>
      <c r="E917" s="8">
        <v>46247</v>
      </c>
      <c r="F917" s="5" t="s">
        <v>771</v>
      </c>
      <c r="G917" s="5" t="s">
        <v>772</v>
      </c>
      <c r="H917" s="22"/>
      <c r="I917" s="5" t="s">
        <v>603</v>
      </c>
      <c r="J917" s="5" t="s">
        <v>544</v>
      </c>
      <c r="K917" s="5" t="s">
        <v>590</v>
      </c>
      <c r="L917" s="5" t="s">
        <v>608</v>
      </c>
      <c r="M917" s="5" t="s">
        <v>581</v>
      </c>
      <c r="N917" s="5"/>
      <c r="O917" s="8"/>
      <c r="P917" s="22"/>
      <c r="Q917" s="5" t="s">
        <v>773</v>
      </c>
      <c r="R917" s="5" t="s">
        <v>557</v>
      </c>
      <c r="S917" s="5" t="s">
        <v>582</v>
      </c>
      <c r="T917" s="8">
        <v>46298</v>
      </c>
    </row>
    <row r="918" spans="1:20" ht="24" customHeight="1" x14ac:dyDescent="0.35">
      <c r="A918" s="1" t="s">
        <v>2796</v>
      </c>
      <c r="B918" s="1" t="s">
        <v>2797</v>
      </c>
      <c r="C918" s="1" t="s">
        <v>142</v>
      </c>
      <c r="D918" s="1" t="s">
        <v>2798</v>
      </c>
      <c r="E918" s="10">
        <v>46247</v>
      </c>
      <c r="F918" s="1" t="s">
        <v>587</v>
      </c>
      <c r="G918" s="1" t="s">
        <v>588</v>
      </c>
      <c r="H918" s="23">
        <v>430000</v>
      </c>
      <c r="I918" s="1" t="s">
        <v>589</v>
      </c>
      <c r="J918" s="1" t="s">
        <v>547</v>
      </c>
      <c r="K918" s="1" t="s">
        <v>590</v>
      </c>
      <c r="L918" s="1" t="s">
        <v>640</v>
      </c>
      <c r="M918" s="1" t="s">
        <v>581</v>
      </c>
      <c r="N918" s="1"/>
      <c r="O918" s="10"/>
      <c r="P918" s="23"/>
      <c r="Q918" s="1"/>
      <c r="R918" s="1" t="s">
        <v>557</v>
      </c>
      <c r="S918" s="1" t="s">
        <v>582</v>
      </c>
      <c r="T918" s="10">
        <v>46298</v>
      </c>
    </row>
    <row r="919" spans="1:20" ht="24" customHeight="1" x14ac:dyDescent="0.35">
      <c r="A919" s="5" t="s">
        <v>2799</v>
      </c>
      <c r="B919" s="5" t="s">
        <v>2800</v>
      </c>
      <c r="C919" s="5" t="s">
        <v>797</v>
      </c>
      <c r="D919" s="5" t="s">
        <v>2541</v>
      </c>
      <c r="E919" s="8">
        <v>46248</v>
      </c>
      <c r="F919" s="5" t="s">
        <v>771</v>
      </c>
      <c r="G919" s="5" t="s">
        <v>772</v>
      </c>
      <c r="H919" s="22"/>
      <c r="I919" s="5" t="s">
        <v>603</v>
      </c>
      <c r="J919" s="5" t="s">
        <v>546</v>
      </c>
      <c r="K919" s="5" t="s">
        <v>590</v>
      </c>
      <c r="L919" s="5" t="s">
        <v>591</v>
      </c>
      <c r="M919" s="5" t="s">
        <v>581</v>
      </c>
      <c r="N919" s="5"/>
      <c r="O919" s="8"/>
      <c r="P919" s="22"/>
      <c r="Q919" s="5" t="s">
        <v>773</v>
      </c>
      <c r="R919" s="5" t="s">
        <v>557</v>
      </c>
      <c r="S919" s="5" t="s">
        <v>582</v>
      </c>
      <c r="T919" s="8">
        <v>46298</v>
      </c>
    </row>
    <row r="920" spans="1:20" ht="24" customHeight="1" x14ac:dyDescent="0.35">
      <c r="A920" s="1" t="s">
        <v>2801</v>
      </c>
      <c r="B920" s="1" t="s">
        <v>2802</v>
      </c>
      <c r="C920" s="1" t="s">
        <v>684</v>
      </c>
      <c r="D920" s="1" t="s">
        <v>819</v>
      </c>
      <c r="E920" s="10">
        <v>46248</v>
      </c>
      <c r="F920" s="1" t="s">
        <v>587</v>
      </c>
      <c r="G920" s="1" t="s">
        <v>588</v>
      </c>
      <c r="H920" s="23">
        <v>2100000</v>
      </c>
      <c r="I920" s="1" t="s">
        <v>589</v>
      </c>
      <c r="J920" s="1" t="s">
        <v>590</v>
      </c>
      <c r="K920" s="1" t="s">
        <v>546</v>
      </c>
      <c r="L920" s="1" t="s">
        <v>149</v>
      </c>
      <c r="M920" s="1" t="s">
        <v>581</v>
      </c>
      <c r="N920" s="1"/>
      <c r="O920" s="10"/>
      <c r="P920" s="23"/>
      <c r="Q920" s="1"/>
      <c r="R920" s="1" t="s">
        <v>557</v>
      </c>
      <c r="S920" s="1" t="s">
        <v>582</v>
      </c>
      <c r="T920" s="10">
        <v>46298</v>
      </c>
    </row>
    <row r="921" spans="1:20" ht="24" customHeight="1" x14ac:dyDescent="0.35">
      <c r="A921" s="5" t="s">
        <v>2803</v>
      </c>
      <c r="B921" s="5" t="s">
        <v>2804</v>
      </c>
      <c r="C921" s="5" t="s">
        <v>401</v>
      </c>
      <c r="D921" s="5" t="s">
        <v>1320</v>
      </c>
      <c r="E921" s="8">
        <v>46248</v>
      </c>
      <c r="F921" s="5" t="s">
        <v>771</v>
      </c>
      <c r="G921" s="5" t="s">
        <v>772</v>
      </c>
      <c r="H921" s="22"/>
      <c r="I921" s="5" t="s">
        <v>603</v>
      </c>
      <c r="J921" s="5" t="s">
        <v>547</v>
      </c>
      <c r="K921" s="5" t="s">
        <v>590</v>
      </c>
      <c r="L921" s="5" t="s">
        <v>149</v>
      </c>
      <c r="M921" s="5" t="s">
        <v>581</v>
      </c>
      <c r="N921" s="5"/>
      <c r="O921" s="8"/>
      <c r="P921" s="22"/>
      <c r="Q921" s="5" t="s">
        <v>773</v>
      </c>
      <c r="R921" s="5" t="s">
        <v>557</v>
      </c>
      <c r="S921" s="5" t="s">
        <v>582</v>
      </c>
      <c r="T921" s="8">
        <v>46298</v>
      </c>
    </row>
    <row r="922" spans="1:20" ht="24" customHeight="1" x14ac:dyDescent="0.35">
      <c r="A922" s="1" t="s">
        <v>2805</v>
      </c>
      <c r="B922" s="1" t="s">
        <v>2806</v>
      </c>
      <c r="C922" s="1" t="s">
        <v>423</v>
      </c>
      <c r="D922" s="1" t="s">
        <v>1044</v>
      </c>
      <c r="E922" s="10">
        <v>46248</v>
      </c>
      <c r="F922" s="1" t="s">
        <v>771</v>
      </c>
      <c r="G922" s="1" t="s">
        <v>772</v>
      </c>
      <c r="H922" s="23"/>
      <c r="I922" s="1" t="s">
        <v>603</v>
      </c>
      <c r="J922" s="1" t="s">
        <v>546</v>
      </c>
      <c r="K922" s="1" t="s">
        <v>590</v>
      </c>
      <c r="L922" s="1" t="s">
        <v>608</v>
      </c>
      <c r="M922" s="1" t="s">
        <v>581</v>
      </c>
      <c r="N922" s="1"/>
      <c r="O922" s="10"/>
      <c r="P922" s="23"/>
      <c r="Q922" s="1" t="s">
        <v>773</v>
      </c>
      <c r="R922" s="1" t="s">
        <v>557</v>
      </c>
      <c r="S922" s="1" t="s">
        <v>582</v>
      </c>
      <c r="T922" s="10">
        <v>46298</v>
      </c>
    </row>
    <row r="923" spans="1:20" ht="24" customHeight="1" x14ac:dyDescent="0.35">
      <c r="A923" s="5" t="s">
        <v>2807</v>
      </c>
      <c r="B923" s="5" t="s">
        <v>2808</v>
      </c>
      <c r="C923" s="5" t="s">
        <v>1083</v>
      </c>
      <c r="D923" s="5" t="s">
        <v>2658</v>
      </c>
      <c r="E923" s="8">
        <v>46248</v>
      </c>
      <c r="F923" s="5" t="s">
        <v>601</v>
      </c>
      <c r="G923" s="5" t="s">
        <v>602</v>
      </c>
      <c r="H923" s="22"/>
      <c r="I923" s="5" t="s">
        <v>603</v>
      </c>
      <c r="J923" s="5" t="s">
        <v>544</v>
      </c>
      <c r="K923" s="5" t="s">
        <v>590</v>
      </c>
      <c r="L923" s="5" t="s">
        <v>640</v>
      </c>
      <c r="M923" s="5" t="s">
        <v>581</v>
      </c>
      <c r="N923" s="5"/>
      <c r="O923" s="8"/>
      <c r="P923" s="22"/>
      <c r="Q923" s="5"/>
      <c r="R923" s="5" t="s">
        <v>557</v>
      </c>
      <c r="S923" s="5" t="s">
        <v>582</v>
      </c>
      <c r="T923" s="8">
        <v>46298</v>
      </c>
    </row>
    <row r="924" spans="1:20" ht="24" customHeight="1" x14ac:dyDescent="0.35">
      <c r="A924" s="1" t="s">
        <v>2809</v>
      </c>
      <c r="B924" s="1" t="s">
        <v>2810</v>
      </c>
      <c r="C924" s="1" t="s">
        <v>639</v>
      </c>
      <c r="D924" s="1" t="s">
        <v>2811</v>
      </c>
      <c r="E924" s="10">
        <v>46248</v>
      </c>
      <c r="F924" s="1" t="s">
        <v>771</v>
      </c>
      <c r="G924" s="1" t="s">
        <v>772</v>
      </c>
      <c r="H924" s="23"/>
      <c r="I924" s="1" t="s">
        <v>603</v>
      </c>
      <c r="J924" s="1" t="s">
        <v>548</v>
      </c>
      <c r="K924" s="1" t="s">
        <v>590</v>
      </c>
      <c r="L924" s="1" t="s">
        <v>591</v>
      </c>
      <c r="M924" s="1" t="s">
        <v>581</v>
      </c>
      <c r="N924" s="1"/>
      <c r="O924" s="10"/>
      <c r="P924" s="23"/>
      <c r="Q924" s="1" t="s">
        <v>773</v>
      </c>
      <c r="R924" s="1" t="s">
        <v>557</v>
      </c>
      <c r="S924" s="1" t="s">
        <v>582</v>
      </c>
      <c r="T924" s="10">
        <v>46298</v>
      </c>
    </row>
    <row r="925" spans="1:20" ht="24" customHeight="1" x14ac:dyDescent="0.35">
      <c r="A925" s="5" t="s">
        <v>2812</v>
      </c>
      <c r="B925" s="5" t="s">
        <v>2813</v>
      </c>
      <c r="C925" s="5" t="s">
        <v>614</v>
      </c>
      <c r="D925" s="5" t="s">
        <v>1885</v>
      </c>
      <c r="E925" s="8">
        <v>46248</v>
      </c>
      <c r="F925" s="5" t="s">
        <v>771</v>
      </c>
      <c r="G925" s="5" t="s">
        <v>772</v>
      </c>
      <c r="H925" s="22"/>
      <c r="I925" s="5" t="s">
        <v>603</v>
      </c>
      <c r="J925" s="5" t="s">
        <v>546</v>
      </c>
      <c r="K925" s="5" t="s">
        <v>590</v>
      </c>
      <c r="L925" s="5" t="s">
        <v>640</v>
      </c>
      <c r="M925" s="5" t="s">
        <v>581</v>
      </c>
      <c r="N925" s="5"/>
      <c r="O925" s="8"/>
      <c r="P925" s="22"/>
      <c r="Q925" s="5" t="s">
        <v>773</v>
      </c>
      <c r="R925" s="5" t="s">
        <v>557</v>
      </c>
      <c r="S925" s="5" t="s">
        <v>582</v>
      </c>
      <c r="T925" s="8">
        <v>46298</v>
      </c>
    </row>
    <row r="926" spans="1:20" ht="24" customHeight="1" x14ac:dyDescent="0.35">
      <c r="A926" s="1" t="s">
        <v>2814</v>
      </c>
      <c r="B926" s="1" t="s">
        <v>2815</v>
      </c>
      <c r="C926" s="1" t="s">
        <v>652</v>
      </c>
      <c r="D926" s="1" t="s">
        <v>639</v>
      </c>
      <c r="E926" s="10">
        <v>46248</v>
      </c>
      <c r="F926" s="1" t="s">
        <v>587</v>
      </c>
      <c r="G926" s="1" t="s">
        <v>588</v>
      </c>
      <c r="H926" s="23">
        <v>6000000</v>
      </c>
      <c r="I926" s="1" t="s">
        <v>589</v>
      </c>
      <c r="J926" s="1" t="s">
        <v>547</v>
      </c>
      <c r="K926" s="1" t="s">
        <v>548</v>
      </c>
      <c r="L926" s="1" t="s">
        <v>591</v>
      </c>
      <c r="M926" s="1" t="s">
        <v>581</v>
      </c>
      <c r="N926" s="1"/>
      <c r="O926" s="10"/>
      <c r="P926" s="23"/>
      <c r="Q926" s="1"/>
      <c r="R926" s="1" t="s">
        <v>557</v>
      </c>
      <c r="S926" s="1" t="s">
        <v>582</v>
      </c>
      <c r="T926" s="10">
        <v>46298</v>
      </c>
    </row>
    <row r="927" spans="1:20" ht="24" customHeight="1" x14ac:dyDescent="0.35">
      <c r="A927" s="5" t="s">
        <v>2816</v>
      </c>
      <c r="B927" s="5" t="s">
        <v>2817</v>
      </c>
      <c r="C927" s="5" t="s">
        <v>620</v>
      </c>
      <c r="D927" s="5" t="s">
        <v>2818</v>
      </c>
      <c r="E927" s="8">
        <v>46248</v>
      </c>
      <c r="F927" s="5" t="s">
        <v>601</v>
      </c>
      <c r="G927" s="5" t="s">
        <v>602</v>
      </c>
      <c r="H927" s="22"/>
      <c r="I927" s="5" t="s">
        <v>603</v>
      </c>
      <c r="J927" s="5" t="s">
        <v>546</v>
      </c>
      <c r="K927" s="5" t="s">
        <v>590</v>
      </c>
      <c r="L927" s="5" t="s">
        <v>149</v>
      </c>
      <c r="M927" s="5" t="s">
        <v>581</v>
      </c>
      <c r="N927" s="5"/>
      <c r="O927" s="8"/>
      <c r="P927" s="22"/>
      <c r="Q927" s="5"/>
      <c r="R927" s="5" t="s">
        <v>557</v>
      </c>
      <c r="S927" s="5" t="s">
        <v>582</v>
      </c>
      <c r="T927" s="8">
        <v>46298</v>
      </c>
    </row>
    <row r="928" spans="1:20" ht="24" customHeight="1" x14ac:dyDescent="0.35">
      <c r="A928" s="1" t="s">
        <v>2819</v>
      </c>
      <c r="B928" s="1" t="s">
        <v>2820</v>
      </c>
      <c r="C928" s="1" t="s">
        <v>2821</v>
      </c>
      <c r="D928" s="1" t="s">
        <v>797</v>
      </c>
      <c r="E928" s="10">
        <v>46248</v>
      </c>
      <c r="F928" s="1" t="s">
        <v>587</v>
      </c>
      <c r="G928" s="1" t="s">
        <v>588</v>
      </c>
      <c r="H928" s="23">
        <v>6000000</v>
      </c>
      <c r="I928" s="1" t="s">
        <v>589</v>
      </c>
      <c r="J928" s="1" t="s">
        <v>590</v>
      </c>
      <c r="K928" s="1" t="s">
        <v>546</v>
      </c>
      <c r="L928" s="1" t="s">
        <v>640</v>
      </c>
      <c r="M928" s="1" t="s">
        <v>581</v>
      </c>
      <c r="N928" s="1"/>
      <c r="O928" s="10"/>
      <c r="P928" s="23"/>
      <c r="Q928" s="1"/>
      <c r="R928" s="1" t="s">
        <v>557</v>
      </c>
      <c r="S928" s="1" t="s">
        <v>582</v>
      </c>
      <c r="T928" s="10">
        <v>46298</v>
      </c>
    </row>
    <row r="929" spans="1:20" ht="24" customHeight="1" x14ac:dyDescent="0.35">
      <c r="A929" s="5" t="s">
        <v>2822</v>
      </c>
      <c r="B929" s="5" t="s">
        <v>2823</v>
      </c>
      <c r="C929" s="5" t="s">
        <v>355</v>
      </c>
      <c r="D929" s="5" t="s">
        <v>1220</v>
      </c>
      <c r="E929" s="8">
        <v>46248</v>
      </c>
      <c r="F929" s="5" t="s">
        <v>771</v>
      </c>
      <c r="G929" s="5" t="s">
        <v>772</v>
      </c>
      <c r="H929" s="22"/>
      <c r="I929" s="5" t="s">
        <v>603</v>
      </c>
      <c r="J929" s="5" t="s">
        <v>544</v>
      </c>
      <c r="K929" s="5" t="s">
        <v>590</v>
      </c>
      <c r="L929" s="5" t="s">
        <v>591</v>
      </c>
      <c r="M929" s="5" t="s">
        <v>581</v>
      </c>
      <c r="N929" s="5"/>
      <c r="O929" s="8"/>
      <c r="P929" s="22"/>
      <c r="Q929" s="5" t="s">
        <v>773</v>
      </c>
      <c r="R929" s="5" t="s">
        <v>557</v>
      </c>
      <c r="S929" s="5" t="s">
        <v>582</v>
      </c>
      <c r="T929" s="8">
        <v>46298</v>
      </c>
    </row>
    <row r="930" spans="1:20" ht="24" customHeight="1" x14ac:dyDescent="0.35">
      <c r="A930" s="1" t="s">
        <v>2824</v>
      </c>
      <c r="B930" s="1" t="s">
        <v>2825</v>
      </c>
      <c r="C930" s="1" t="s">
        <v>103</v>
      </c>
      <c r="D930" s="1" t="s">
        <v>2632</v>
      </c>
      <c r="E930" s="10">
        <v>46248</v>
      </c>
      <c r="F930" s="1" t="s">
        <v>771</v>
      </c>
      <c r="G930" s="1" t="s">
        <v>772</v>
      </c>
      <c r="H930" s="23"/>
      <c r="I930" s="1" t="s">
        <v>603</v>
      </c>
      <c r="J930" s="1" t="s">
        <v>544</v>
      </c>
      <c r="K930" s="1" t="s">
        <v>590</v>
      </c>
      <c r="L930" s="1" t="s">
        <v>591</v>
      </c>
      <c r="M930" s="1" t="s">
        <v>581</v>
      </c>
      <c r="N930" s="1"/>
      <c r="O930" s="10"/>
      <c r="P930" s="23"/>
      <c r="Q930" s="1" t="s">
        <v>773</v>
      </c>
      <c r="R930" s="1" t="s">
        <v>557</v>
      </c>
      <c r="S930" s="1" t="s">
        <v>582</v>
      </c>
      <c r="T930" s="10">
        <v>46298</v>
      </c>
    </row>
    <row r="931" spans="1:20" ht="24" customHeight="1" x14ac:dyDescent="0.35">
      <c r="A931" s="5" t="s">
        <v>2826</v>
      </c>
      <c r="B931" s="5" t="s">
        <v>2827</v>
      </c>
      <c r="C931" s="5" t="s">
        <v>355</v>
      </c>
      <c r="D931" s="5" t="s">
        <v>2828</v>
      </c>
      <c r="E931" s="8">
        <v>46248</v>
      </c>
      <c r="F931" s="5" t="s">
        <v>771</v>
      </c>
      <c r="G931" s="5" t="s">
        <v>772</v>
      </c>
      <c r="H931" s="22"/>
      <c r="I931" s="5" t="s">
        <v>603</v>
      </c>
      <c r="J931" s="5" t="s">
        <v>544</v>
      </c>
      <c r="K931" s="5" t="s">
        <v>590</v>
      </c>
      <c r="L931" s="5" t="s">
        <v>149</v>
      </c>
      <c r="M931" s="5" t="s">
        <v>581</v>
      </c>
      <c r="N931" s="5"/>
      <c r="O931" s="8"/>
      <c r="P931" s="22"/>
      <c r="Q931" s="5" t="s">
        <v>773</v>
      </c>
      <c r="R931" s="5" t="s">
        <v>557</v>
      </c>
      <c r="S931" s="5" t="s">
        <v>582</v>
      </c>
      <c r="T931" s="8">
        <v>46298</v>
      </c>
    </row>
    <row r="932" spans="1:20" ht="24" customHeight="1" x14ac:dyDescent="0.35">
      <c r="A932" s="1" t="s">
        <v>2829</v>
      </c>
      <c r="B932" s="1" t="s">
        <v>2830</v>
      </c>
      <c r="C932" s="1" t="s">
        <v>355</v>
      </c>
      <c r="D932" s="1" t="s">
        <v>1223</v>
      </c>
      <c r="E932" s="10">
        <v>46248</v>
      </c>
      <c r="F932" s="1" t="s">
        <v>601</v>
      </c>
      <c r="G932" s="1" t="s">
        <v>602</v>
      </c>
      <c r="H932" s="23"/>
      <c r="I932" s="1" t="s">
        <v>603</v>
      </c>
      <c r="J932" s="1" t="s">
        <v>544</v>
      </c>
      <c r="K932" s="1" t="s">
        <v>590</v>
      </c>
      <c r="L932" s="1" t="s">
        <v>149</v>
      </c>
      <c r="M932" s="1" t="s">
        <v>581</v>
      </c>
      <c r="N932" s="1"/>
      <c r="O932" s="10"/>
      <c r="P932" s="23"/>
      <c r="Q932" s="1"/>
      <c r="R932" s="1" t="s">
        <v>557</v>
      </c>
      <c r="S932" s="1" t="s">
        <v>582</v>
      </c>
      <c r="T932" s="10">
        <v>46298</v>
      </c>
    </row>
    <row r="933" spans="1:20" ht="24" customHeight="1" x14ac:dyDescent="0.35">
      <c r="A933" s="5" t="s">
        <v>2831</v>
      </c>
      <c r="B933" s="5" t="s">
        <v>2832</v>
      </c>
      <c r="C933" s="5" t="s">
        <v>355</v>
      </c>
      <c r="D933" s="5" t="s">
        <v>919</v>
      </c>
      <c r="E933" s="8">
        <v>46248</v>
      </c>
      <c r="F933" s="5" t="s">
        <v>771</v>
      </c>
      <c r="G933" s="5" t="s">
        <v>772</v>
      </c>
      <c r="H933" s="22"/>
      <c r="I933" s="5" t="s">
        <v>603</v>
      </c>
      <c r="J933" s="5" t="s">
        <v>544</v>
      </c>
      <c r="K933" s="5" t="s">
        <v>590</v>
      </c>
      <c r="L933" s="5" t="s">
        <v>149</v>
      </c>
      <c r="M933" s="5" t="s">
        <v>581</v>
      </c>
      <c r="N933" s="5"/>
      <c r="O933" s="8"/>
      <c r="P933" s="22"/>
      <c r="Q933" s="5" t="s">
        <v>773</v>
      </c>
      <c r="R933" s="5" t="s">
        <v>557</v>
      </c>
      <c r="S933" s="5" t="s">
        <v>582</v>
      </c>
      <c r="T933" s="8">
        <v>46298</v>
      </c>
    </row>
    <row r="934" spans="1:20" ht="24" customHeight="1" x14ac:dyDescent="0.35">
      <c r="A934" s="1" t="s">
        <v>2833</v>
      </c>
      <c r="B934" s="1" t="s">
        <v>2834</v>
      </c>
      <c r="C934" s="1" t="s">
        <v>103</v>
      </c>
      <c r="D934" s="1" t="s">
        <v>919</v>
      </c>
      <c r="E934" s="10">
        <v>46248</v>
      </c>
      <c r="F934" s="1" t="s">
        <v>771</v>
      </c>
      <c r="G934" s="1" t="s">
        <v>772</v>
      </c>
      <c r="H934" s="23"/>
      <c r="I934" s="1" t="s">
        <v>603</v>
      </c>
      <c r="J934" s="1" t="s">
        <v>544</v>
      </c>
      <c r="K934" s="1" t="s">
        <v>590</v>
      </c>
      <c r="L934" s="1" t="s">
        <v>640</v>
      </c>
      <c r="M934" s="1" t="s">
        <v>581</v>
      </c>
      <c r="N934" s="1"/>
      <c r="O934" s="10"/>
      <c r="P934" s="23"/>
      <c r="Q934" s="1" t="s">
        <v>773</v>
      </c>
      <c r="R934" s="1" t="s">
        <v>557</v>
      </c>
      <c r="S934" s="1" t="s">
        <v>582</v>
      </c>
      <c r="T934" s="10">
        <v>46298</v>
      </c>
    </row>
    <row r="935" spans="1:20" ht="24" customHeight="1" x14ac:dyDescent="0.35">
      <c r="A935" s="5" t="s">
        <v>2835</v>
      </c>
      <c r="B935" s="5" t="s">
        <v>2836</v>
      </c>
      <c r="C935" s="5" t="s">
        <v>106</v>
      </c>
      <c r="D935" s="5" t="s">
        <v>1084</v>
      </c>
      <c r="E935" s="8">
        <v>46248</v>
      </c>
      <c r="F935" s="5" t="s">
        <v>771</v>
      </c>
      <c r="G935" s="5" t="s">
        <v>772</v>
      </c>
      <c r="H935" s="22"/>
      <c r="I935" s="5" t="s">
        <v>603</v>
      </c>
      <c r="J935" s="5" t="s">
        <v>544</v>
      </c>
      <c r="K935" s="5" t="s">
        <v>590</v>
      </c>
      <c r="L935" s="5" t="s">
        <v>591</v>
      </c>
      <c r="M935" s="5" t="s">
        <v>581</v>
      </c>
      <c r="N935" s="5"/>
      <c r="O935" s="8"/>
      <c r="P935" s="22"/>
      <c r="Q935" s="5" t="s">
        <v>773</v>
      </c>
      <c r="R935" s="5" t="s">
        <v>557</v>
      </c>
      <c r="S935" s="5" t="s">
        <v>582</v>
      </c>
      <c r="T935" s="8">
        <v>46298</v>
      </c>
    </row>
    <row r="936" spans="1:20" ht="24" customHeight="1" x14ac:dyDescent="0.35">
      <c r="A936" s="1" t="s">
        <v>2837</v>
      </c>
      <c r="B936" s="1" t="s">
        <v>2838</v>
      </c>
      <c r="C936" s="1" t="s">
        <v>599</v>
      </c>
      <c r="D936" s="1" t="s">
        <v>1329</v>
      </c>
      <c r="E936" s="10">
        <v>46248</v>
      </c>
      <c r="F936" s="1" t="s">
        <v>587</v>
      </c>
      <c r="G936" s="1" t="s">
        <v>588</v>
      </c>
      <c r="H936" s="23">
        <v>3500000</v>
      </c>
      <c r="I936" s="1" t="s">
        <v>589</v>
      </c>
      <c r="J936" s="1" t="s">
        <v>544</v>
      </c>
      <c r="K936" s="1" t="s">
        <v>590</v>
      </c>
      <c r="L936" s="1" t="s">
        <v>149</v>
      </c>
      <c r="M936" s="1" t="s">
        <v>581</v>
      </c>
      <c r="N936" s="1"/>
      <c r="O936" s="10"/>
      <c r="P936" s="23"/>
      <c r="Q936" s="1"/>
      <c r="R936" s="1" t="s">
        <v>557</v>
      </c>
      <c r="S936" s="1" t="s">
        <v>582</v>
      </c>
      <c r="T936" s="10">
        <v>46298</v>
      </c>
    </row>
    <row r="937" spans="1:20" ht="24" customHeight="1" x14ac:dyDescent="0.35">
      <c r="A937" s="5" t="s">
        <v>2839</v>
      </c>
      <c r="B937" s="5" t="s">
        <v>2840</v>
      </c>
      <c r="C937" s="5" t="s">
        <v>655</v>
      </c>
      <c r="D937" s="5" t="s">
        <v>624</v>
      </c>
      <c r="E937" s="8">
        <v>46248</v>
      </c>
      <c r="F937" s="5" t="s">
        <v>578</v>
      </c>
      <c r="G937" s="5" t="s">
        <v>579</v>
      </c>
      <c r="H937" s="22"/>
      <c r="I937" s="5" t="s">
        <v>580</v>
      </c>
      <c r="J937" s="5" t="s">
        <v>590</v>
      </c>
      <c r="K937" s="5" t="s">
        <v>547</v>
      </c>
      <c r="L937" s="5" t="s">
        <v>608</v>
      </c>
      <c r="M937" s="5" t="s">
        <v>581</v>
      </c>
      <c r="N937" s="5"/>
      <c r="O937" s="8"/>
      <c r="P937" s="22"/>
      <c r="Q937" s="5"/>
      <c r="R937" s="5" t="s">
        <v>557</v>
      </c>
      <c r="S937" s="5" t="s">
        <v>582</v>
      </c>
      <c r="T937" s="8">
        <v>46298</v>
      </c>
    </row>
    <row r="938" spans="1:20" ht="24" customHeight="1" x14ac:dyDescent="0.35">
      <c r="A938" s="1" t="s">
        <v>2841</v>
      </c>
      <c r="B938" s="1" t="s">
        <v>2842</v>
      </c>
      <c r="C938" s="1" t="s">
        <v>779</v>
      </c>
      <c r="D938" s="1" t="s">
        <v>982</v>
      </c>
      <c r="E938" s="10">
        <v>46248</v>
      </c>
      <c r="F938" s="1" t="s">
        <v>771</v>
      </c>
      <c r="G938" s="1" t="s">
        <v>772</v>
      </c>
      <c r="H938" s="23"/>
      <c r="I938" s="1" t="s">
        <v>603</v>
      </c>
      <c r="J938" s="1" t="s">
        <v>548</v>
      </c>
      <c r="K938" s="1" t="s">
        <v>590</v>
      </c>
      <c r="L938" s="1" t="s">
        <v>608</v>
      </c>
      <c r="M938" s="1" t="s">
        <v>581</v>
      </c>
      <c r="N938" s="1"/>
      <c r="O938" s="10"/>
      <c r="P938" s="23"/>
      <c r="Q938" s="1" t="s">
        <v>773</v>
      </c>
      <c r="R938" s="1" t="s">
        <v>557</v>
      </c>
      <c r="S938" s="1" t="s">
        <v>582</v>
      </c>
      <c r="T938" s="10">
        <v>46298</v>
      </c>
    </row>
    <row r="939" spans="1:20" ht="24" customHeight="1" x14ac:dyDescent="0.35">
      <c r="A939" s="5" t="s">
        <v>2843</v>
      </c>
      <c r="B939" s="5" t="s">
        <v>2844</v>
      </c>
      <c r="C939" s="5" t="s">
        <v>2845</v>
      </c>
      <c r="D939" s="5" t="s">
        <v>1129</v>
      </c>
      <c r="E939" s="8">
        <v>46248</v>
      </c>
      <c r="F939" s="5" t="s">
        <v>771</v>
      </c>
      <c r="G939" s="5" t="s">
        <v>772</v>
      </c>
      <c r="H939" s="22"/>
      <c r="I939" s="5" t="s">
        <v>603</v>
      </c>
      <c r="J939" s="5" t="s">
        <v>590</v>
      </c>
      <c r="K939" s="5" t="s">
        <v>545</v>
      </c>
      <c r="L939" s="5" t="s">
        <v>149</v>
      </c>
      <c r="M939" s="5" t="s">
        <v>581</v>
      </c>
      <c r="N939" s="5"/>
      <c r="O939" s="8"/>
      <c r="P939" s="22"/>
      <c r="Q939" s="5" t="s">
        <v>773</v>
      </c>
      <c r="R939" s="5" t="s">
        <v>557</v>
      </c>
      <c r="S939" s="5" t="s">
        <v>582</v>
      </c>
      <c r="T939" s="8">
        <v>46298</v>
      </c>
    </row>
    <row r="940" spans="1:20" ht="24" customHeight="1" x14ac:dyDescent="0.35">
      <c r="A940" s="1" t="s">
        <v>2846</v>
      </c>
      <c r="B940" s="1" t="s">
        <v>2847</v>
      </c>
      <c r="C940" s="1" t="s">
        <v>606</v>
      </c>
      <c r="D940" s="1" t="s">
        <v>684</v>
      </c>
      <c r="E940" s="10">
        <v>46248</v>
      </c>
      <c r="F940" s="1" t="s">
        <v>771</v>
      </c>
      <c r="G940" s="1" t="s">
        <v>772</v>
      </c>
      <c r="H940" s="23"/>
      <c r="I940" s="1" t="s">
        <v>603</v>
      </c>
      <c r="J940" s="1" t="s">
        <v>547</v>
      </c>
      <c r="K940" s="1" t="s">
        <v>590</v>
      </c>
      <c r="L940" s="1" t="s">
        <v>608</v>
      </c>
      <c r="M940" s="1" t="s">
        <v>581</v>
      </c>
      <c r="N940" s="1"/>
      <c r="O940" s="10"/>
      <c r="P940" s="23"/>
      <c r="Q940" s="1" t="s">
        <v>773</v>
      </c>
      <c r="R940" s="1" t="s">
        <v>557</v>
      </c>
      <c r="S940" s="1" t="s">
        <v>582</v>
      </c>
      <c r="T940" s="10">
        <v>46298</v>
      </c>
    </row>
    <row r="941" spans="1:20" ht="24" customHeight="1" x14ac:dyDescent="0.35">
      <c r="A941" s="5" t="s">
        <v>2848</v>
      </c>
      <c r="B941" s="5" t="s">
        <v>286</v>
      </c>
      <c r="C941" s="5" t="s">
        <v>643</v>
      </c>
      <c r="D941" s="5" t="s">
        <v>1004</v>
      </c>
      <c r="E941" s="8">
        <v>46249</v>
      </c>
      <c r="F941" s="5" t="s">
        <v>587</v>
      </c>
      <c r="G941" s="5" t="s">
        <v>588</v>
      </c>
      <c r="H941" s="22">
        <v>34100000</v>
      </c>
      <c r="I941" s="5" t="s">
        <v>589</v>
      </c>
      <c r="J941" s="5" t="s">
        <v>544</v>
      </c>
      <c r="K941" s="5" t="s">
        <v>545</v>
      </c>
      <c r="L941" s="5" t="s">
        <v>149</v>
      </c>
      <c r="M941" s="5" t="s">
        <v>581</v>
      </c>
      <c r="N941" s="5"/>
      <c r="O941" s="8"/>
      <c r="P941" s="22"/>
      <c r="Q941" s="5"/>
      <c r="R941" s="5" t="s">
        <v>557</v>
      </c>
      <c r="S941" s="5" t="s">
        <v>582</v>
      </c>
      <c r="T941" s="8">
        <v>46298</v>
      </c>
    </row>
    <row r="942" spans="1:20" ht="24" customHeight="1" x14ac:dyDescent="0.35">
      <c r="A942" s="1" t="s">
        <v>2849</v>
      </c>
      <c r="B942" s="1" t="s">
        <v>284</v>
      </c>
      <c r="C942" s="1" t="s">
        <v>91</v>
      </c>
      <c r="D942" s="1" t="s">
        <v>365</v>
      </c>
      <c r="E942" s="10">
        <v>46249</v>
      </c>
      <c r="F942" s="1" t="s">
        <v>587</v>
      </c>
      <c r="G942" s="1" t="s">
        <v>588</v>
      </c>
      <c r="H942" s="23">
        <v>42800000</v>
      </c>
      <c r="I942" s="1" t="s">
        <v>589</v>
      </c>
      <c r="J942" s="1" t="s">
        <v>545</v>
      </c>
      <c r="K942" s="1" t="s">
        <v>548</v>
      </c>
      <c r="L942" s="1" t="s">
        <v>640</v>
      </c>
      <c r="M942" s="1" t="s">
        <v>581</v>
      </c>
      <c r="N942" s="1"/>
      <c r="O942" s="10"/>
      <c r="P942" s="23"/>
      <c r="Q942" s="1"/>
      <c r="R942" s="1" t="s">
        <v>557</v>
      </c>
      <c r="S942" s="1" t="s">
        <v>582</v>
      </c>
      <c r="T942" s="10">
        <v>46298</v>
      </c>
    </row>
    <row r="943" spans="1:20" ht="24" customHeight="1" x14ac:dyDescent="0.35">
      <c r="A943" s="5" t="s">
        <v>2850</v>
      </c>
      <c r="B943" s="5" t="s">
        <v>2851</v>
      </c>
      <c r="C943" s="5" t="s">
        <v>643</v>
      </c>
      <c r="D943" s="5" t="s">
        <v>1094</v>
      </c>
      <c r="E943" s="8">
        <v>46249</v>
      </c>
      <c r="F943" s="5" t="s">
        <v>587</v>
      </c>
      <c r="G943" s="5" t="s">
        <v>588</v>
      </c>
      <c r="H943" s="22">
        <v>7000000</v>
      </c>
      <c r="I943" s="5" t="s">
        <v>589</v>
      </c>
      <c r="J943" s="5" t="s">
        <v>544</v>
      </c>
      <c r="K943" s="5" t="s">
        <v>590</v>
      </c>
      <c r="L943" s="5" t="s">
        <v>149</v>
      </c>
      <c r="M943" s="5" t="s">
        <v>581</v>
      </c>
      <c r="N943" s="5"/>
      <c r="O943" s="8"/>
      <c r="P943" s="22"/>
      <c r="Q943" s="5"/>
      <c r="R943" s="5" t="s">
        <v>557</v>
      </c>
      <c r="S943" s="5" t="s">
        <v>582</v>
      </c>
      <c r="T943" s="8">
        <v>46298</v>
      </c>
    </row>
    <row r="944" spans="1:20" ht="24" customHeight="1" x14ac:dyDescent="0.35">
      <c r="A944" s="1" t="s">
        <v>2852</v>
      </c>
      <c r="B944" s="1" t="s">
        <v>2853</v>
      </c>
      <c r="C944" s="1" t="s">
        <v>292</v>
      </c>
      <c r="D944" s="1" t="s">
        <v>374</v>
      </c>
      <c r="E944" s="10">
        <v>46249</v>
      </c>
      <c r="F944" s="1" t="s">
        <v>578</v>
      </c>
      <c r="G944" s="1" t="s">
        <v>579</v>
      </c>
      <c r="H944" s="23"/>
      <c r="I944" s="1" t="s">
        <v>580</v>
      </c>
      <c r="J944" s="1" t="s">
        <v>544</v>
      </c>
      <c r="K944" s="1" t="s">
        <v>544</v>
      </c>
      <c r="L944" s="1" t="s">
        <v>172</v>
      </c>
      <c r="M944" s="1" t="s">
        <v>581</v>
      </c>
      <c r="N944" s="1"/>
      <c r="O944" s="10"/>
      <c r="P944" s="23"/>
      <c r="Q944" s="1"/>
      <c r="R944" s="1" t="s">
        <v>557</v>
      </c>
      <c r="S944" s="1" t="s">
        <v>582</v>
      </c>
      <c r="T944" s="10">
        <v>46298</v>
      </c>
    </row>
    <row r="945" spans="1:20" ht="24" customHeight="1" x14ac:dyDescent="0.35">
      <c r="A945" s="5" t="s">
        <v>2854</v>
      </c>
      <c r="B945" s="5" t="s">
        <v>2855</v>
      </c>
      <c r="C945" s="5" t="s">
        <v>425</v>
      </c>
      <c r="D945" s="5" t="s">
        <v>1083</v>
      </c>
      <c r="E945" s="8">
        <v>46249</v>
      </c>
      <c r="F945" s="5" t="s">
        <v>587</v>
      </c>
      <c r="G945" s="5" t="s">
        <v>588</v>
      </c>
      <c r="H945" s="22">
        <v>6500000</v>
      </c>
      <c r="I945" s="5" t="s">
        <v>589</v>
      </c>
      <c r="J945" s="5" t="s">
        <v>544</v>
      </c>
      <c r="K945" s="5" t="s">
        <v>544</v>
      </c>
      <c r="L945" s="5" t="s">
        <v>640</v>
      </c>
      <c r="M945" s="5" t="s">
        <v>581</v>
      </c>
      <c r="N945" s="5"/>
      <c r="O945" s="8"/>
      <c r="P945" s="22"/>
      <c r="Q945" s="5"/>
      <c r="R945" s="5" t="s">
        <v>557</v>
      </c>
      <c r="S945" s="5" t="s">
        <v>582</v>
      </c>
      <c r="T945" s="8">
        <v>46298</v>
      </c>
    </row>
    <row r="946" spans="1:20" ht="24" customHeight="1" x14ac:dyDescent="0.35">
      <c r="A946" s="1" t="s">
        <v>2856</v>
      </c>
      <c r="B946" s="1" t="s">
        <v>2857</v>
      </c>
      <c r="C946" s="1" t="s">
        <v>614</v>
      </c>
      <c r="D946" s="1" t="s">
        <v>1438</v>
      </c>
      <c r="E946" s="10">
        <v>46249</v>
      </c>
      <c r="F946" s="1" t="s">
        <v>771</v>
      </c>
      <c r="G946" s="1" t="s">
        <v>772</v>
      </c>
      <c r="H946" s="23"/>
      <c r="I946" s="1" t="s">
        <v>603</v>
      </c>
      <c r="J946" s="1" t="s">
        <v>546</v>
      </c>
      <c r="K946" s="1" t="s">
        <v>590</v>
      </c>
      <c r="L946" s="1" t="s">
        <v>640</v>
      </c>
      <c r="M946" s="1" t="s">
        <v>581</v>
      </c>
      <c r="N946" s="1"/>
      <c r="O946" s="10"/>
      <c r="P946" s="23"/>
      <c r="Q946" s="1" t="s">
        <v>1008</v>
      </c>
      <c r="R946" s="1" t="s">
        <v>557</v>
      </c>
      <c r="S946" s="1" t="s">
        <v>582</v>
      </c>
      <c r="T946" s="10">
        <v>46298</v>
      </c>
    </row>
    <row r="947" spans="1:20" ht="24" customHeight="1" x14ac:dyDescent="0.35">
      <c r="A947" s="5" t="s">
        <v>2858</v>
      </c>
      <c r="B947" s="5" t="s">
        <v>2859</v>
      </c>
      <c r="C947" s="5" t="s">
        <v>684</v>
      </c>
      <c r="D947" s="5" t="s">
        <v>1083</v>
      </c>
      <c r="E947" s="8">
        <v>46249</v>
      </c>
      <c r="F947" s="5" t="s">
        <v>587</v>
      </c>
      <c r="G947" s="5" t="s">
        <v>588</v>
      </c>
      <c r="H947" s="22">
        <v>3400000</v>
      </c>
      <c r="I947" s="5" t="s">
        <v>589</v>
      </c>
      <c r="J947" s="5" t="s">
        <v>590</v>
      </c>
      <c r="K947" s="5" t="s">
        <v>544</v>
      </c>
      <c r="L947" s="5" t="s">
        <v>608</v>
      </c>
      <c r="M947" s="5" t="s">
        <v>581</v>
      </c>
      <c r="N947" s="5"/>
      <c r="O947" s="8"/>
      <c r="P947" s="22"/>
      <c r="Q947" s="5"/>
      <c r="R947" s="5" t="s">
        <v>557</v>
      </c>
      <c r="S947" s="5" t="s">
        <v>582</v>
      </c>
      <c r="T947" s="8">
        <v>46298</v>
      </c>
    </row>
    <row r="948" spans="1:20" ht="24" customHeight="1" x14ac:dyDescent="0.35">
      <c r="A948" s="1" t="s">
        <v>2860</v>
      </c>
      <c r="B948" s="1" t="s">
        <v>2861</v>
      </c>
      <c r="C948" s="1" t="s">
        <v>2058</v>
      </c>
      <c r="D948" s="1" t="s">
        <v>210</v>
      </c>
      <c r="E948" s="10">
        <v>46249</v>
      </c>
      <c r="F948" s="1" t="s">
        <v>587</v>
      </c>
      <c r="G948" s="1" t="s">
        <v>588</v>
      </c>
      <c r="H948" s="23">
        <v>21000000</v>
      </c>
      <c r="I948" s="1" t="s">
        <v>589</v>
      </c>
      <c r="J948" s="1" t="s">
        <v>590</v>
      </c>
      <c r="K948" s="1" t="s">
        <v>544</v>
      </c>
      <c r="L948" s="1" t="s">
        <v>591</v>
      </c>
      <c r="M948" s="1" t="s">
        <v>581</v>
      </c>
      <c r="N948" s="1"/>
      <c r="O948" s="10"/>
      <c r="P948" s="23"/>
      <c r="Q948" s="1"/>
      <c r="R948" s="1" t="s">
        <v>557</v>
      </c>
      <c r="S948" s="1" t="s">
        <v>582</v>
      </c>
      <c r="T948" s="10">
        <v>46298</v>
      </c>
    </row>
    <row r="949" spans="1:20" ht="24" customHeight="1" x14ac:dyDescent="0.35">
      <c r="A949" s="5" t="s">
        <v>2862</v>
      </c>
      <c r="B949" s="5" t="s">
        <v>2863</v>
      </c>
      <c r="C949" s="5" t="s">
        <v>614</v>
      </c>
      <c r="D949" s="5" t="s">
        <v>2864</v>
      </c>
      <c r="E949" s="8">
        <v>46248</v>
      </c>
      <c r="F949" s="5" t="s">
        <v>771</v>
      </c>
      <c r="G949" s="5" t="s">
        <v>772</v>
      </c>
      <c r="H949" s="22"/>
      <c r="I949" s="5" t="s">
        <v>603</v>
      </c>
      <c r="J949" s="5" t="s">
        <v>546</v>
      </c>
      <c r="K949" s="5" t="s">
        <v>590</v>
      </c>
      <c r="L949" s="5" t="s">
        <v>640</v>
      </c>
      <c r="M949" s="5" t="s">
        <v>581</v>
      </c>
      <c r="N949" s="5"/>
      <c r="O949" s="8"/>
      <c r="P949" s="22"/>
      <c r="Q949" s="5" t="s">
        <v>773</v>
      </c>
      <c r="R949" s="5" t="s">
        <v>557</v>
      </c>
      <c r="S949" s="5" t="s">
        <v>582</v>
      </c>
      <c r="T949" s="8">
        <v>46298</v>
      </c>
    </row>
    <row r="950" spans="1:20" ht="24" customHeight="1" x14ac:dyDescent="0.35">
      <c r="A950" s="1" t="s">
        <v>2865</v>
      </c>
      <c r="B950" s="1" t="s">
        <v>2866</v>
      </c>
      <c r="C950" s="1" t="s">
        <v>130</v>
      </c>
      <c r="D950" s="1" t="s">
        <v>1184</v>
      </c>
      <c r="E950" s="10">
        <v>46248</v>
      </c>
      <c r="F950" s="1" t="s">
        <v>771</v>
      </c>
      <c r="G950" s="1" t="s">
        <v>772</v>
      </c>
      <c r="H950" s="23"/>
      <c r="I950" s="1" t="s">
        <v>603</v>
      </c>
      <c r="J950" s="1" t="s">
        <v>546</v>
      </c>
      <c r="K950" s="1" t="s">
        <v>546</v>
      </c>
      <c r="L950" s="1" t="s">
        <v>608</v>
      </c>
      <c r="M950" s="1" t="s">
        <v>581</v>
      </c>
      <c r="N950" s="1"/>
      <c r="O950" s="10"/>
      <c r="P950" s="23"/>
      <c r="Q950" s="1" t="s">
        <v>773</v>
      </c>
      <c r="R950" s="1" t="s">
        <v>557</v>
      </c>
      <c r="S950" s="1" t="s">
        <v>582</v>
      </c>
      <c r="T950" s="10">
        <v>46298</v>
      </c>
    </row>
    <row r="951" spans="1:20" ht="24" customHeight="1" x14ac:dyDescent="0.35">
      <c r="A951" s="5" t="s">
        <v>2867</v>
      </c>
      <c r="B951" s="5" t="s">
        <v>2868</v>
      </c>
      <c r="C951" s="5" t="s">
        <v>847</v>
      </c>
      <c r="D951" s="5" t="s">
        <v>2869</v>
      </c>
      <c r="E951" s="8">
        <v>46248</v>
      </c>
      <c r="F951" s="5" t="s">
        <v>587</v>
      </c>
      <c r="G951" s="5" t="s">
        <v>588</v>
      </c>
      <c r="H951" s="22">
        <v>510000</v>
      </c>
      <c r="I951" s="5" t="s">
        <v>589</v>
      </c>
      <c r="J951" s="5" t="s">
        <v>545</v>
      </c>
      <c r="K951" s="5" t="s">
        <v>590</v>
      </c>
      <c r="L951" s="5" t="s">
        <v>591</v>
      </c>
      <c r="M951" s="5" t="s">
        <v>581</v>
      </c>
      <c r="N951" s="5"/>
      <c r="O951" s="8"/>
      <c r="P951" s="22"/>
      <c r="Q951" s="5" t="s">
        <v>631</v>
      </c>
      <c r="R951" s="5" t="s">
        <v>557</v>
      </c>
      <c r="S951" s="5" t="s">
        <v>582</v>
      </c>
      <c r="T951" s="8">
        <v>46298</v>
      </c>
    </row>
    <row r="952" spans="1:20" ht="24" customHeight="1" x14ac:dyDescent="0.35">
      <c r="A952" s="1" t="s">
        <v>2870</v>
      </c>
      <c r="B952" s="1" t="s">
        <v>2871</v>
      </c>
      <c r="C952" s="1" t="s">
        <v>111</v>
      </c>
      <c r="D952" s="1" t="s">
        <v>614</v>
      </c>
      <c r="E952" s="10">
        <v>46248</v>
      </c>
      <c r="F952" s="1" t="s">
        <v>771</v>
      </c>
      <c r="G952" s="1" t="s">
        <v>772</v>
      </c>
      <c r="H952" s="23"/>
      <c r="I952" s="1" t="s">
        <v>603</v>
      </c>
      <c r="J952" s="1" t="s">
        <v>590</v>
      </c>
      <c r="K952" s="1" t="s">
        <v>546</v>
      </c>
      <c r="L952" s="1" t="s">
        <v>149</v>
      </c>
      <c r="M952" s="1" t="s">
        <v>581</v>
      </c>
      <c r="N952" s="1"/>
      <c r="O952" s="10"/>
      <c r="P952" s="23"/>
      <c r="Q952" s="1" t="s">
        <v>773</v>
      </c>
      <c r="R952" s="1" t="s">
        <v>557</v>
      </c>
      <c r="S952" s="1" t="s">
        <v>582</v>
      </c>
      <c r="T952" s="10">
        <v>46298</v>
      </c>
    </row>
    <row r="953" spans="1:20" ht="24" customHeight="1" x14ac:dyDescent="0.35">
      <c r="A953" s="5" t="s">
        <v>2872</v>
      </c>
      <c r="B953" s="5" t="s">
        <v>2873</v>
      </c>
      <c r="C953" s="5" t="s">
        <v>448</v>
      </c>
      <c r="D953" s="5" t="s">
        <v>664</v>
      </c>
      <c r="E953" s="8">
        <v>46249</v>
      </c>
      <c r="F953" s="5" t="s">
        <v>771</v>
      </c>
      <c r="G953" s="5" t="s">
        <v>772</v>
      </c>
      <c r="H953" s="22"/>
      <c r="I953" s="5" t="s">
        <v>603</v>
      </c>
      <c r="J953" s="5" t="s">
        <v>547</v>
      </c>
      <c r="K953" s="5" t="s">
        <v>547</v>
      </c>
      <c r="L953" s="5" t="s">
        <v>640</v>
      </c>
      <c r="M953" s="5" t="s">
        <v>581</v>
      </c>
      <c r="N953" s="5"/>
      <c r="O953" s="8"/>
      <c r="P953" s="22"/>
      <c r="Q953" s="5" t="s">
        <v>773</v>
      </c>
      <c r="R953" s="5" t="s">
        <v>557</v>
      </c>
      <c r="S953" s="5" t="s">
        <v>582</v>
      </c>
      <c r="T953" s="8">
        <v>46298</v>
      </c>
    </row>
    <row r="954" spans="1:20" ht="24" customHeight="1" x14ac:dyDescent="0.35">
      <c r="A954" s="1" t="s">
        <v>2874</v>
      </c>
      <c r="B954" s="1" t="s">
        <v>2875</v>
      </c>
      <c r="C954" s="1" t="s">
        <v>643</v>
      </c>
      <c r="D954" s="1" t="s">
        <v>130</v>
      </c>
      <c r="E954" s="10">
        <v>46249</v>
      </c>
      <c r="F954" s="1" t="s">
        <v>587</v>
      </c>
      <c r="G954" s="1" t="s">
        <v>588</v>
      </c>
      <c r="H954" s="23">
        <v>25600000</v>
      </c>
      <c r="I954" s="1" t="s">
        <v>589</v>
      </c>
      <c r="J954" s="1" t="s">
        <v>544</v>
      </c>
      <c r="K954" s="1" t="s">
        <v>546</v>
      </c>
      <c r="L954" s="1" t="s">
        <v>149</v>
      </c>
      <c r="M954" s="1" t="s">
        <v>581</v>
      </c>
      <c r="N954" s="1"/>
      <c r="O954" s="10"/>
      <c r="P954" s="23"/>
      <c r="Q954" s="1"/>
      <c r="R954" s="1" t="s">
        <v>557</v>
      </c>
      <c r="S954" s="1" t="s">
        <v>582</v>
      </c>
      <c r="T954" s="10">
        <v>46298</v>
      </c>
    </row>
    <row r="955" spans="1:20" ht="24" customHeight="1" x14ac:dyDescent="0.35">
      <c r="A955" s="5" t="s">
        <v>2876</v>
      </c>
      <c r="B955" s="5" t="s">
        <v>2877</v>
      </c>
      <c r="C955" s="5" t="s">
        <v>144</v>
      </c>
      <c r="D955" s="5" t="s">
        <v>365</v>
      </c>
      <c r="E955" s="8">
        <v>46249</v>
      </c>
      <c r="F955" s="5" t="s">
        <v>587</v>
      </c>
      <c r="G955" s="5" t="s">
        <v>588</v>
      </c>
      <c r="H955" s="22">
        <v>47000000</v>
      </c>
      <c r="I955" s="5" t="s">
        <v>589</v>
      </c>
      <c r="J955" s="5" t="s">
        <v>590</v>
      </c>
      <c r="K955" s="5" t="s">
        <v>548</v>
      </c>
      <c r="L955" s="5" t="s">
        <v>591</v>
      </c>
      <c r="M955" s="5" t="s">
        <v>581</v>
      </c>
      <c r="N955" s="5"/>
      <c r="O955" s="8"/>
      <c r="P955" s="22"/>
      <c r="Q955" s="5"/>
      <c r="R955" s="5" t="s">
        <v>557</v>
      </c>
      <c r="S955" s="5" t="s">
        <v>582</v>
      </c>
      <c r="T955" s="8">
        <v>46298</v>
      </c>
    </row>
    <row r="956" spans="1:20" ht="24" customHeight="1" x14ac:dyDescent="0.35">
      <c r="A956" s="1" t="s">
        <v>2878</v>
      </c>
      <c r="B956" s="1" t="s">
        <v>2879</v>
      </c>
      <c r="C956" s="1" t="s">
        <v>186</v>
      </c>
      <c r="D956" s="1" t="s">
        <v>607</v>
      </c>
      <c r="E956" s="10">
        <v>46250</v>
      </c>
      <c r="F956" s="1" t="s">
        <v>771</v>
      </c>
      <c r="G956" s="1" t="s">
        <v>772</v>
      </c>
      <c r="H956" s="23"/>
      <c r="I956" s="1" t="s">
        <v>603</v>
      </c>
      <c r="J956" s="1" t="s">
        <v>547</v>
      </c>
      <c r="K956" s="1" t="s">
        <v>547</v>
      </c>
      <c r="L956" s="1" t="s">
        <v>608</v>
      </c>
      <c r="M956" s="1" t="s">
        <v>581</v>
      </c>
      <c r="N956" s="1"/>
      <c r="O956" s="10"/>
      <c r="P956" s="23"/>
      <c r="Q956" s="1" t="s">
        <v>773</v>
      </c>
      <c r="R956" s="1" t="s">
        <v>557</v>
      </c>
      <c r="S956" s="1" t="s">
        <v>582</v>
      </c>
      <c r="T956" s="10">
        <v>46298</v>
      </c>
    </row>
    <row r="957" spans="1:20" ht="24" customHeight="1" x14ac:dyDescent="0.35">
      <c r="A957" s="5" t="s">
        <v>2880</v>
      </c>
      <c r="B957" s="5" t="s">
        <v>2881</v>
      </c>
      <c r="C957" s="5" t="s">
        <v>101</v>
      </c>
      <c r="D957" s="5" t="s">
        <v>2882</v>
      </c>
      <c r="E957" s="8">
        <v>46249</v>
      </c>
      <c r="F957" s="5" t="s">
        <v>771</v>
      </c>
      <c r="G957" s="5" t="s">
        <v>772</v>
      </c>
      <c r="H957" s="22"/>
      <c r="I957" s="5" t="s">
        <v>603</v>
      </c>
      <c r="J957" s="5" t="s">
        <v>544</v>
      </c>
      <c r="K957" s="5" t="s">
        <v>590</v>
      </c>
      <c r="L957" s="5" t="s">
        <v>149</v>
      </c>
      <c r="M957" s="5" t="s">
        <v>581</v>
      </c>
      <c r="N957" s="5"/>
      <c r="O957" s="8"/>
      <c r="P957" s="22"/>
      <c r="Q957" s="5" t="s">
        <v>773</v>
      </c>
      <c r="R957" s="5" t="s">
        <v>557</v>
      </c>
      <c r="S957" s="5" t="s">
        <v>582</v>
      </c>
      <c r="T957" s="8">
        <v>46298</v>
      </c>
    </row>
    <row r="958" spans="1:20" ht="24" customHeight="1" x14ac:dyDescent="0.35">
      <c r="A958" s="1" t="s">
        <v>2883</v>
      </c>
      <c r="B958" s="1" t="s">
        <v>2884</v>
      </c>
      <c r="C958" s="1" t="s">
        <v>639</v>
      </c>
      <c r="D958" s="1" t="s">
        <v>599</v>
      </c>
      <c r="E958" s="10">
        <v>46251</v>
      </c>
      <c r="F958" s="1" t="s">
        <v>587</v>
      </c>
      <c r="G958" s="1" t="s">
        <v>588</v>
      </c>
      <c r="H958" s="23">
        <v>17000000</v>
      </c>
      <c r="I958" s="1" t="s">
        <v>589</v>
      </c>
      <c r="J958" s="1" t="s">
        <v>548</v>
      </c>
      <c r="K958" s="1" t="s">
        <v>544</v>
      </c>
      <c r="L958" s="1" t="s">
        <v>608</v>
      </c>
      <c r="M958" s="1" t="s">
        <v>581</v>
      </c>
      <c r="N958" s="1"/>
      <c r="O958" s="10"/>
      <c r="P958" s="23"/>
      <c r="Q958" s="1"/>
      <c r="R958" s="1" t="s">
        <v>557</v>
      </c>
      <c r="S958" s="1" t="s">
        <v>582</v>
      </c>
      <c r="T958" s="10">
        <v>46298</v>
      </c>
    </row>
    <row r="959" spans="1:20" ht="24" customHeight="1" x14ac:dyDescent="0.35">
      <c r="A959" s="5" t="s">
        <v>2885</v>
      </c>
      <c r="B959" s="5" t="s">
        <v>2886</v>
      </c>
      <c r="C959" s="5" t="s">
        <v>391</v>
      </c>
      <c r="D959" s="5" t="s">
        <v>1178</v>
      </c>
      <c r="E959" s="8">
        <v>46251</v>
      </c>
      <c r="F959" s="5" t="s">
        <v>771</v>
      </c>
      <c r="G959" s="5" t="s">
        <v>772</v>
      </c>
      <c r="H959" s="22"/>
      <c r="I959" s="5" t="s">
        <v>603</v>
      </c>
      <c r="J959" s="5" t="s">
        <v>544</v>
      </c>
      <c r="K959" s="5" t="s">
        <v>590</v>
      </c>
      <c r="L959" s="5" t="s">
        <v>608</v>
      </c>
      <c r="M959" s="5" t="s">
        <v>581</v>
      </c>
      <c r="N959" s="5"/>
      <c r="O959" s="8"/>
      <c r="P959" s="22"/>
      <c r="Q959" s="5" t="s">
        <v>773</v>
      </c>
      <c r="R959" s="5" t="s">
        <v>557</v>
      </c>
      <c r="S959" s="5" t="s">
        <v>582</v>
      </c>
      <c r="T959" s="8">
        <v>46298</v>
      </c>
    </row>
    <row r="960" spans="1:20" ht="24" customHeight="1" x14ac:dyDescent="0.35">
      <c r="A960" s="1" t="s">
        <v>2887</v>
      </c>
      <c r="B960" s="1" t="s">
        <v>2888</v>
      </c>
      <c r="C960" s="1" t="s">
        <v>639</v>
      </c>
      <c r="D960" s="1" t="s">
        <v>599</v>
      </c>
      <c r="E960" s="10">
        <v>46251</v>
      </c>
      <c r="F960" s="1" t="s">
        <v>587</v>
      </c>
      <c r="G960" s="1" t="s">
        <v>588</v>
      </c>
      <c r="H960" s="23">
        <v>26000000</v>
      </c>
      <c r="I960" s="1" t="s">
        <v>589</v>
      </c>
      <c r="J960" s="1" t="s">
        <v>548</v>
      </c>
      <c r="K960" s="1" t="s">
        <v>544</v>
      </c>
      <c r="L960" s="1" t="s">
        <v>640</v>
      </c>
      <c r="M960" s="1" t="s">
        <v>581</v>
      </c>
      <c r="N960" s="1"/>
      <c r="O960" s="10"/>
      <c r="P960" s="23"/>
      <c r="Q960" s="1"/>
      <c r="R960" s="1" t="s">
        <v>557</v>
      </c>
      <c r="S960" s="1" t="s">
        <v>582</v>
      </c>
      <c r="T960" s="10">
        <v>46298</v>
      </c>
    </row>
    <row r="961" spans="1:20" ht="24" customHeight="1" x14ac:dyDescent="0.35">
      <c r="A961" s="5" t="s">
        <v>2889</v>
      </c>
      <c r="B961" s="5" t="s">
        <v>2890</v>
      </c>
      <c r="C961" s="5" t="s">
        <v>374</v>
      </c>
      <c r="D961" s="5" t="s">
        <v>999</v>
      </c>
      <c r="E961" s="8">
        <v>46251</v>
      </c>
      <c r="F961" s="5" t="s">
        <v>587</v>
      </c>
      <c r="G961" s="5" t="s">
        <v>588</v>
      </c>
      <c r="H961" s="22">
        <v>9000000</v>
      </c>
      <c r="I961" s="5" t="s">
        <v>589</v>
      </c>
      <c r="J961" s="5" t="s">
        <v>544</v>
      </c>
      <c r="K961" s="5" t="s">
        <v>544</v>
      </c>
      <c r="L961" s="5" t="s">
        <v>640</v>
      </c>
      <c r="M961" s="5" t="s">
        <v>581</v>
      </c>
      <c r="N961" s="5"/>
      <c r="O961" s="8"/>
      <c r="P961" s="22"/>
      <c r="Q961" s="5"/>
      <c r="R961" s="5" t="s">
        <v>557</v>
      </c>
      <c r="S961" s="5" t="s">
        <v>582</v>
      </c>
      <c r="T961" s="8">
        <v>46298</v>
      </c>
    </row>
    <row r="962" spans="1:20" ht="24" customHeight="1" x14ac:dyDescent="0.35">
      <c r="A962" s="1" t="s">
        <v>2891</v>
      </c>
      <c r="B962" s="1" t="s">
        <v>2892</v>
      </c>
      <c r="C962" s="1" t="s">
        <v>448</v>
      </c>
      <c r="D962" s="1" t="s">
        <v>2393</v>
      </c>
      <c r="E962" s="10">
        <v>46251</v>
      </c>
      <c r="F962" s="1" t="s">
        <v>601</v>
      </c>
      <c r="G962" s="1" t="s">
        <v>602</v>
      </c>
      <c r="H962" s="23"/>
      <c r="I962" s="1" t="s">
        <v>603</v>
      </c>
      <c r="J962" s="1" t="s">
        <v>547</v>
      </c>
      <c r="K962" s="1" t="s">
        <v>590</v>
      </c>
      <c r="L962" s="1" t="s">
        <v>640</v>
      </c>
      <c r="M962" s="1" t="s">
        <v>581</v>
      </c>
      <c r="N962" s="1"/>
      <c r="O962" s="10"/>
      <c r="P962" s="23"/>
      <c r="Q962" s="1"/>
      <c r="R962" s="1" t="s">
        <v>557</v>
      </c>
      <c r="S962" s="1" t="s">
        <v>582</v>
      </c>
      <c r="T962" s="10">
        <v>46298</v>
      </c>
    </row>
    <row r="963" spans="1:20" ht="24" customHeight="1" x14ac:dyDescent="0.35">
      <c r="A963" s="5" t="s">
        <v>2893</v>
      </c>
      <c r="B963" s="5" t="s">
        <v>2894</v>
      </c>
      <c r="C963" s="5" t="s">
        <v>1519</v>
      </c>
      <c r="D963" s="5" t="s">
        <v>401</v>
      </c>
      <c r="E963" s="8">
        <v>46251</v>
      </c>
      <c r="F963" s="5" t="s">
        <v>587</v>
      </c>
      <c r="G963" s="5" t="s">
        <v>588</v>
      </c>
      <c r="H963" s="22">
        <v>22200000</v>
      </c>
      <c r="I963" s="5" t="s">
        <v>589</v>
      </c>
      <c r="J963" s="5" t="s">
        <v>590</v>
      </c>
      <c r="K963" s="5" t="s">
        <v>547</v>
      </c>
      <c r="L963" s="5" t="s">
        <v>608</v>
      </c>
      <c r="M963" s="5" t="s">
        <v>581</v>
      </c>
      <c r="N963" s="5"/>
      <c r="O963" s="8"/>
      <c r="P963" s="22"/>
      <c r="Q963" s="5"/>
      <c r="R963" s="5" t="s">
        <v>557</v>
      </c>
      <c r="S963" s="5" t="s">
        <v>582</v>
      </c>
      <c r="T963" s="8">
        <v>46298</v>
      </c>
    </row>
    <row r="964" spans="1:20" ht="24" customHeight="1" x14ac:dyDescent="0.35">
      <c r="A964" s="1" t="s">
        <v>2895</v>
      </c>
      <c r="B964" s="1" t="s">
        <v>2896</v>
      </c>
      <c r="C964" s="1" t="s">
        <v>856</v>
      </c>
      <c r="D964" s="1" t="s">
        <v>123</v>
      </c>
      <c r="E964" s="10">
        <v>46251</v>
      </c>
      <c r="F964" s="1" t="s">
        <v>587</v>
      </c>
      <c r="G964" s="1" t="s">
        <v>588</v>
      </c>
      <c r="H964" s="23">
        <v>17200000</v>
      </c>
      <c r="I964" s="1" t="s">
        <v>589</v>
      </c>
      <c r="J964" s="1" t="s">
        <v>546</v>
      </c>
      <c r="K964" s="1" t="s">
        <v>546</v>
      </c>
      <c r="L964" s="1" t="s">
        <v>149</v>
      </c>
      <c r="M964" s="1" t="s">
        <v>581</v>
      </c>
      <c r="N964" s="1"/>
      <c r="O964" s="10"/>
      <c r="P964" s="23"/>
      <c r="Q964" s="1"/>
      <c r="R964" s="1" t="s">
        <v>557</v>
      </c>
      <c r="S964" s="1" t="s">
        <v>582</v>
      </c>
      <c r="T964" s="10">
        <v>46298</v>
      </c>
    </row>
    <row r="965" spans="1:20" ht="24" customHeight="1" x14ac:dyDescent="0.35">
      <c r="A965" s="5" t="s">
        <v>2897</v>
      </c>
      <c r="B965" s="5" t="s">
        <v>2898</v>
      </c>
      <c r="C965" s="5" t="s">
        <v>114</v>
      </c>
      <c r="D965" s="5" t="s">
        <v>639</v>
      </c>
      <c r="E965" s="8">
        <v>46251</v>
      </c>
      <c r="F965" s="5" t="s">
        <v>587</v>
      </c>
      <c r="G965" s="5" t="s">
        <v>588</v>
      </c>
      <c r="H965" s="22">
        <v>8600000</v>
      </c>
      <c r="I965" s="5" t="s">
        <v>589</v>
      </c>
      <c r="J965" s="5" t="s">
        <v>545</v>
      </c>
      <c r="K965" s="5" t="s">
        <v>548</v>
      </c>
      <c r="L965" s="5" t="s">
        <v>640</v>
      </c>
      <c r="M965" s="5" t="s">
        <v>581</v>
      </c>
      <c r="N965" s="5"/>
      <c r="O965" s="8"/>
      <c r="P965" s="22"/>
      <c r="Q965" s="5"/>
      <c r="R965" s="5" t="s">
        <v>557</v>
      </c>
      <c r="S965" s="5" t="s">
        <v>582</v>
      </c>
      <c r="T965" s="8">
        <v>46298</v>
      </c>
    </row>
    <row r="966" spans="1:20" ht="24" customHeight="1" x14ac:dyDescent="0.35">
      <c r="A966" s="1" t="s">
        <v>2899</v>
      </c>
      <c r="B966" s="1" t="s">
        <v>2900</v>
      </c>
      <c r="C966" s="1" t="s">
        <v>856</v>
      </c>
      <c r="D966" s="1" t="s">
        <v>782</v>
      </c>
      <c r="E966" s="10">
        <v>46251</v>
      </c>
      <c r="F966" s="1" t="s">
        <v>578</v>
      </c>
      <c r="G966" s="1" t="s">
        <v>579</v>
      </c>
      <c r="H966" s="23"/>
      <c r="I966" s="1" t="s">
        <v>580</v>
      </c>
      <c r="J966" s="1" t="s">
        <v>546</v>
      </c>
      <c r="K966" s="1" t="s">
        <v>590</v>
      </c>
      <c r="L966" s="1" t="s">
        <v>608</v>
      </c>
      <c r="M966" s="1" t="s">
        <v>581</v>
      </c>
      <c r="N966" s="1"/>
      <c r="O966" s="10"/>
      <c r="P966" s="23"/>
      <c r="Q966" s="1"/>
      <c r="R966" s="1" t="s">
        <v>557</v>
      </c>
      <c r="S966" s="1" t="s">
        <v>582</v>
      </c>
      <c r="T966" s="10">
        <v>46298</v>
      </c>
    </row>
    <row r="967" spans="1:20" ht="24" customHeight="1" x14ac:dyDescent="0.35">
      <c r="A967" s="5" t="s">
        <v>2901</v>
      </c>
      <c r="B967" s="5" t="s">
        <v>2902</v>
      </c>
      <c r="C967" s="5" t="s">
        <v>401</v>
      </c>
      <c r="D967" s="5" t="s">
        <v>1609</v>
      </c>
      <c r="E967" s="8">
        <v>46251</v>
      </c>
      <c r="F967" s="5" t="s">
        <v>771</v>
      </c>
      <c r="G967" s="5" t="s">
        <v>772</v>
      </c>
      <c r="H967" s="22"/>
      <c r="I967" s="5" t="s">
        <v>603</v>
      </c>
      <c r="J967" s="5" t="s">
        <v>547</v>
      </c>
      <c r="K967" s="5" t="s">
        <v>590</v>
      </c>
      <c r="L967" s="5" t="s">
        <v>172</v>
      </c>
      <c r="M967" s="5" t="s">
        <v>581</v>
      </c>
      <c r="N967" s="5"/>
      <c r="O967" s="8"/>
      <c r="P967" s="22"/>
      <c r="Q967" s="5" t="s">
        <v>1008</v>
      </c>
      <c r="R967" s="5" t="s">
        <v>557</v>
      </c>
      <c r="S967" s="5" t="s">
        <v>582</v>
      </c>
      <c r="T967" s="8">
        <v>46298</v>
      </c>
    </row>
    <row r="968" spans="1:20" ht="24" customHeight="1" x14ac:dyDescent="0.35">
      <c r="A968" s="1" t="s">
        <v>2903</v>
      </c>
      <c r="B968" s="1" t="s">
        <v>2904</v>
      </c>
      <c r="C968" s="1" t="s">
        <v>677</v>
      </c>
      <c r="D968" s="1" t="s">
        <v>624</v>
      </c>
      <c r="E968" s="10">
        <v>46251</v>
      </c>
      <c r="F968" s="1" t="s">
        <v>771</v>
      </c>
      <c r="G968" s="1" t="s">
        <v>772</v>
      </c>
      <c r="H968" s="23"/>
      <c r="I968" s="1" t="s">
        <v>603</v>
      </c>
      <c r="J968" s="1" t="s">
        <v>547</v>
      </c>
      <c r="K968" s="1" t="s">
        <v>547</v>
      </c>
      <c r="L968" s="1" t="s">
        <v>591</v>
      </c>
      <c r="M968" s="1" t="s">
        <v>581</v>
      </c>
      <c r="N968" s="1"/>
      <c r="O968" s="10"/>
      <c r="P968" s="23"/>
      <c r="Q968" s="1" t="s">
        <v>773</v>
      </c>
      <c r="R968" s="1" t="s">
        <v>557</v>
      </c>
      <c r="S968" s="1" t="s">
        <v>582</v>
      </c>
      <c r="T968" s="10">
        <v>46298</v>
      </c>
    </row>
    <row r="969" spans="1:20" ht="24" customHeight="1" x14ac:dyDescent="0.35">
      <c r="A969" s="5" t="s">
        <v>2905</v>
      </c>
      <c r="B969" s="5" t="s">
        <v>2906</v>
      </c>
      <c r="C969" s="5" t="s">
        <v>1143</v>
      </c>
      <c r="D969" s="5" t="s">
        <v>953</v>
      </c>
      <c r="E969" s="8">
        <v>46251</v>
      </c>
      <c r="F969" s="5" t="s">
        <v>771</v>
      </c>
      <c r="G969" s="5" t="s">
        <v>772</v>
      </c>
      <c r="H969" s="22"/>
      <c r="I969" s="5" t="s">
        <v>603</v>
      </c>
      <c r="J969" s="5" t="s">
        <v>590</v>
      </c>
      <c r="K969" s="5" t="s">
        <v>548</v>
      </c>
      <c r="L969" s="5" t="s">
        <v>591</v>
      </c>
      <c r="M969" s="5" t="s">
        <v>581</v>
      </c>
      <c r="N969" s="5"/>
      <c r="O969" s="8"/>
      <c r="P969" s="22"/>
      <c r="Q969" s="5" t="s">
        <v>1008</v>
      </c>
      <c r="R969" s="5" t="s">
        <v>557</v>
      </c>
      <c r="S969" s="5" t="s">
        <v>582</v>
      </c>
      <c r="T969" s="8">
        <v>46298</v>
      </c>
    </row>
    <row r="970" spans="1:20" ht="24" customHeight="1" x14ac:dyDescent="0.35">
      <c r="A970" s="1" t="s">
        <v>2907</v>
      </c>
      <c r="B970" s="1" t="s">
        <v>2908</v>
      </c>
      <c r="C970" s="1" t="s">
        <v>91</v>
      </c>
      <c r="D970" s="1" t="s">
        <v>144</v>
      </c>
      <c r="E970" s="10">
        <v>46251</v>
      </c>
      <c r="F970" s="1" t="s">
        <v>587</v>
      </c>
      <c r="G970" s="1" t="s">
        <v>588</v>
      </c>
      <c r="H970" s="23">
        <v>4300000</v>
      </c>
      <c r="I970" s="1" t="s">
        <v>589</v>
      </c>
      <c r="J970" s="1" t="s">
        <v>545</v>
      </c>
      <c r="K970" s="1" t="s">
        <v>590</v>
      </c>
      <c r="L970" s="1" t="s">
        <v>149</v>
      </c>
      <c r="M970" s="1" t="s">
        <v>581</v>
      </c>
      <c r="N970" s="1"/>
      <c r="O970" s="10"/>
      <c r="P970" s="23"/>
      <c r="Q970" s="1"/>
      <c r="R970" s="1" t="s">
        <v>557</v>
      </c>
      <c r="S970" s="1" t="s">
        <v>582</v>
      </c>
      <c r="T970" s="10">
        <v>46298</v>
      </c>
    </row>
    <row r="971" spans="1:20" ht="24" customHeight="1" x14ac:dyDescent="0.35">
      <c r="A971" s="5" t="s">
        <v>2909</v>
      </c>
      <c r="B971" s="5" t="s">
        <v>2910</v>
      </c>
      <c r="C971" s="5" t="s">
        <v>856</v>
      </c>
      <c r="D971" s="5" t="s">
        <v>630</v>
      </c>
      <c r="E971" s="8">
        <v>46251</v>
      </c>
      <c r="F971" s="5" t="s">
        <v>771</v>
      </c>
      <c r="G971" s="5" t="s">
        <v>772</v>
      </c>
      <c r="H971" s="22"/>
      <c r="I971" s="5" t="s">
        <v>603</v>
      </c>
      <c r="J971" s="5" t="s">
        <v>546</v>
      </c>
      <c r="K971" s="5" t="s">
        <v>547</v>
      </c>
      <c r="L971" s="5" t="s">
        <v>640</v>
      </c>
      <c r="M971" s="5" t="s">
        <v>581</v>
      </c>
      <c r="N971" s="5"/>
      <c r="O971" s="8"/>
      <c r="P971" s="22"/>
      <c r="Q971" s="5" t="s">
        <v>773</v>
      </c>
      <c r="R971" s="5" t="s">
        <v>557</v>
      </c>
      <c r="S971" s="5" t="s">
        <v>582</v>
      </c>
      <c r="T971" s="8">
        <v>46298</v>
      </c>
    </row>
    <row r="972" spans="1:20" ht="24" customHeight="1" x14ac:dyDescent="0.35">
      <c r="A972" s="1" t="s">
        <v>2911</v>
      </c>
      <c r="B972" s="1" t="s">
        <v>2912</v>
      </c>
      <c r="C972" s="1" t="s">
        <v>529</v>
      </c>
      <c r="D972" s="1" t="s">
        <v>785</v>
      </c>
      <c r="E972" s="10">
        <v>46251</v>
      </c>
      <c r="F972" s="1" t="s">
        <v>578</v>
      </c>
      <c r="G972" s="1" t="s">
        <v>579</v>
      </c>
      <c r="H972" s="23"/>
      <c r="I972" s="1" t="s">
        <v>580</v>
      </c>
      <c r="J972" s="1" t="s">
        <v>547</v>
      </c>
      <c r="K972" s="1" t="s">
        <v>548</v>
      </c>
      <c r="L972" s="1" t="s">
        <v>591</v>
      </c>
      <c r="M972" s="1" t="s">
        <v>581</v>
      </c>
      <c r="N972" s="1"/>
      <c r="O972" s="10"/>
      <c r="P972" s="23"/>
      <c r="Q972" s="1"/>
      <c r="R972" s="1" t="s">
        <v>557</v>
      </c>
      <c r="S972" s="1" t="s">
        <v>582</v>
      </c>
      <c r="T972" s="10">
        <v>46298</v>
      </c>
    </row>
    <row r="973" spans="1:20" ht="24" customHeight="1" x14ac:dyDescent="0.35">
      <c r="A973" s="5" t="s">
        <v>2913</v>
      </c>
      <c r="B973" s="5" t="s">
        <v>2914</v>
      </c>
      <c r="C973" s="5" t="s">
        <v>743</v>
      </c>
      <c r="D973" s="5" t="s">
        <v>2915</v>
      </c>
      <c r="E973" s="8">
        <v>46251</v>
      </c>
      <c r="F973" s="5" t="s">
        <v>587</v>
      </c>
      <c r="G973" s="5" t="s">
        <v>588</v>
      </c>
      <c r="H973" s="22">
        <v>2600000</v>
      </c>
      <c r="I973" s="5" t="s">
        <v>589</v>
      </c>
      <c r="J973" s="5" t="s">
        <v>545</v>
      </c>
      <c r="K973" s="5" t="s">
        <v>590</v>
      </c>
      <c r="L973" s="5" t="s">
        <v>608</v>
      </c>
      <c r="M973" s="5" t="s">
        <v>581</v>
      </c>
      <c r="N973" s="5"/>
      <c r="O973" s="8"/>
      <c r="P973" s="22"/>
      <c r="Q973" s="5"/>
      <c r="R973" s="5" t="s">
        <v>557</v>
      </c>
      <c r="S973" s="5" t="s">
        <v>582</v>
      </c>
      <c r="T973" s="8">
        <v>46298</v>
      </c>
    </row>
    <row r="974" spans="1:20" ht="24" customHeight="1" x14ac:dyDescent="0.35">
      <c r="A974" s="1" t="s">
        <v>2916</v>
      </c>
      <c r="B974" s="1" t="s">
        <v>2917</v>
      </c>
      <c r="C974" s="1" t="s">
        <v>178</v>
      </c>
      <c r="D974" s="1" t="s">
        <v>860</v>
      </c>
      <c r="E974" s="10">
        <v>46251</v>
      </c>
      <c r="F974" s="1" t="s">
        <v>771</v>
      </c>
      <c r="G974" s="1" t="s">
        <v>772</v>
      </c>
      <c r="H974" s="23"/>
      <c r="I974" s="1" t="s">
        <v>603</v>
      </c>
      <c r="J974" s="1" t="s">
        <v>545</v>
      </c>
      <c r="K974" s="1" t="s">
        <v>590</v>
      </c>
      <c r="L974" s="1" t="s">
        <v>149</v>
      </c>
      <c r="M974" s="1" t="s">
        <v>581</v>
      </c>
      <c r="N974" s="1"/>
      <c r="O974" s="10"/>
      <c r="P974" s="23"/>
      <c r="Q974" s="1" t="s">
        <v>1008</v>
      </c>
      <c r="R974" s="1" t="s">
        <v>557</v>
      </c>
      <c r="S974" s="1" t="s">
        <v>582</v>
      </c>
      <c r="T974" s="10">
        <v>46298</v>
      </c>
    </row>
    <row r="975" spans="1:20" ht="24" customHeight="1" x14ac:dyDescent="0.35">
      <c r="A975" s="5" t="s">
        <v>2918</v>
      </c>
      <c r="B975" s="5" t="s">
        <v>2919</v>
      </c>
      <c r="C975" s="5" t="s">
        <v>137</v>
      </c>
      <c r="D975" s="5" t="s">
        <v>742</v>
      </c>
      <c r="E975" s="8">
        <v>46251</v>
      </c>
      <c r="F975" s="5" t="s">
        <v>771</v>
      </c>
      <c r="G975" s="5" t="s">
        <v>772</v>
      </c>
      <c r="H975" s="22"/>
      <c r="I975" s="5" t="s">
        <v>603</v>
      </c>
      <c r="J975" s="5" t="s">
        <v>548</v>
      </c>
      <c r="K975" s="5" t="s">
        <v>590</v>
      </c>
      <c r="L975" s="5" t="s">
        <v>149</v>
      </c>
      <c r="M975" s="5" t="s">
        <v>581</v>
      </c>
      <c r="N975" s="5"/>
      <c r="O975" s="8"/>
      <c r="P975" s="22"/>
      <c r="Q975" s="5" t="s">
        <v>773</v>
      </c>
      <c r="R975" s="5" t="s">
        <v>557</v>
      </c>
      <c r="S975" s="5" t="s">
        <v>582</v>
      </c>
      <c r="T975" s="8">
        <v>46298</v>
      </c>
    </row>
    <row r="976" spans="1:20" ht="24" customHeight="1" x14ac:dyDescent="0.35">
      <c r="A976" s="1" t="s">
        <v>2920</v>
      </c>
      <c r="B976" s="1" t="s">
        <v>2921</v>
      </c>
      <c r="C976" s="1" t="s">
        <v>111</v>
      </c>
      <c r="D976" s="1" t="s">
        <v>391</v>
      </c>
      <c r="E976" s="10">
        <v>46252</v>
      </c>
      <c r="F976" s="1" t="s">
        <v>587</v>
      </c>
      <c r="G976" s="1" t="s">
        <v>588</v>
      </c>
      <c r="H976" s="23">
        <v>29500000</v>
      </c>
      <c r="I976" s="1" t="s">
        <v>589</v>
      </c>
      <c r="J976" s="1" t="s">
        <v>590</v>
      </c>
      <c r="K976" s="1" t="s">
        <v>544</v>
      </c>
      <c r="L976" s="1" t="s">
        <v>149</v>
      </c>
      <c r="M976" s="1" t="s">
        <v>581</v>
      </c>
      <c r="N976" s="1"/>
      <c r="O976" s="10"/>
      <c r="P976" s="23"/>
      <c r="Q976" s="1"/>
      <c r="R976" s="1" t="s">
        <v>557</v>
      </c>
      <c r="S976" s="1" t="s">
        <v>582</v>
      </c>
      <c r="T976" s="10">
        <v>46298</v>
      </c>
    </row>
    <row r="977" spans="1:20" ht="24" customHeight="1" x14ac:dyDescent="0.35">
      <c r="A977" s="5" t="s">
        <v>2922</v>
      </c>
      <c r="B977" s="5" t="s">
        <v>2923</v>
      </c>
      <c r="C977" s="5" t="s">
        <v>643</v>
      </c>
      <c r="D977" s="5" t="s">
        <v>123</v>
      </c>
      <c r="E977" s="8">
        <v>46252</v>
      </c>
      <c r="F977" s="5" t="s">
        <v>771</v>
      </c>
      <c r="G977" s="5" t="s">
        <v>772</v>
      </c>
      <c r="H977" s="22"/>
      <c r="I977" s="5" t="s">
        <v>603</v>
      </c>
      <c r="J977" s="5" t="s">
        <v>544</v>
      </c>
      <c r="K977" s="5" t="s">
        <v>546</v>
      </c>
      <c r="L977" s="5" t="s">
        <v>172</v>
      </c>
      <c r="M977" s="5" t="s">
        <v>581</v>
      </c>
      <c r="N977" s="5"/>
      <c r="O977" s="8"/>
      <c r="P977" s="22"/>
      <c r="Q977" s="5" t="s">
        <v>1008</v>
      </c>
      <c r="R977" s="5" t="s">
        <v>557</v>
      </c>
      <c r="S977" s="5" t="s">
        <v>582</v>
      </c>
      <c r="T977" s="8">
        <v>46298</v>
      </c>
    </row>
    <row r="978" spans="1:20" ht="24" customHeight="1" x14ac:dyDescent="0.35">
      <c r="A978" s="1" t="s">
        <v>2924</v>
      </c>
      <c r="B978" s="1" t="s">
        <v>2925</v>
      </c>
      <c r="C978" s="1" t="s">
        <v>596</v>
      </c>
      <c r="D978" s="1" t="s">
        <v>1272</v>
      </c>
      <c r="E978" s="10">
        <v>46252</v>
      </c>
      <c r="F978" s="1" t="s">
        <v>578</v>
      </c>
      <c r="G978" s="1" t="s">
        <v>579</v>
      </c>
      <c r="H978" s="23"/>
      <c r="I978" s="1" t="s">
        <v>580</v>
      </c>
      <c r="J978" s="1" t="s">
        <v>548</v>
      </c>
      <c r="K978" s="1" t="s">
        <v>548</v>
      </c>
      <c r="L978" s="1" t="s">
        <v>149</v>
      </c>
      <c r="M978" s="1" t="s">
        <v>581</v>
      </c>
      <c r="N978" s="1"/>
      <c r="O978" s="10"/>
      <c r="P978" s="23"/>
      <c r="Q978" s="1"/>
      <c r="R978" s="1" t="s">
        <v>557</v>
      </c>
      <c r="S978" s="1" t="s">
        <v>582</v>
      </c>
      <c r="T978" s="10">
        <v>46298</v>
      </c>
    </row>
    <row r="979" spans="1:20" ht="24" customHeight="1" x14ac:dyDescent="0.35">
      <c r="A979" s="5" t="s">
        <v>2926</v>
      </c>
      <c r="B979" s="5" t="s">
        <v>2927</v>
      </c>
      <c r="C979" s="5" t="s">
        <v>423</v>
      </c>
      <c r="D979" s="5" t="s">
        <v>1414</v>
      </c>
      <c r="E979" s="8">
        <v>46252</v>
      </c>
      <c r="F979" s="5" t="s">
        <v>771</v>
      </c>
      <c r="G979" s="5" t="s">
        <v>772</v>
      </c>
      <c r="H979" s="22"/>
      <c r="I979" s="5" t="s">
        <v>603</v>
      </c>
      <c r="J979" s="5" t="s">
        <v>546</v>
      </c>
      <c r="K979" s="5" t="s">
        <v>590</v>
      </c>
      <c r="L979" s="5" t="s">
        <v>608</v>
      </c>
      <c r="M979" s="5" t="s">
        <v>581</v>
      </c>
      <c r="N979" s="5"/>
      <c r="O979" s="8"/>
      <c r="P979" s="22"/>
      <c r="Q979" s="5" t="s">
        <v>773</v>
      </c>
      <c r="R979" s="5" t="s">
        <v>557</v>
      </c>
      <c r="S979" s="5" t="s">
        <v>582</v>
      </c>
      <c r="T979" s="8">
        <v>46298</v>
      </c>
    </row>
    <row r="980" spans="1:20" ht="24" customHeight="1" x14ac:dyDescent="0.35">
      <c r="A980" s="1" t="s">
        <v>2928</v>
      </c>
      <c r="B980" s="1" t="s">
        <v>2929</v>
      </c>
      <c r="C980" s="1" t="s">
        <v>198</v>
      </c>
      <c r="D980" s="1" t="s">
        <v>2930</v>
      </c>
      <c r="E980" s="10">
        <v>46252</v>
      </c>
      <c r="F980" s="1" t="s">
        <v>771</v>
      </c>
      <c r="G980" s="1" t="s">
        <v>772</v>
      </c>
      <c r="H980" s="23"/>
      <c r="I980" s="1" t="s">
        <v>603</v>
      </c>
      <c r="J980" s="1" t="s">
        <v>546</v>
      </c>
      <c r="K980" s="1" t="s">
        <v>590</v>
      </c>
      <c r="L980" s="1" t="s">
        <v>591</v>
      </c>
      <c r="M980" s="1" t="s">
        <v>581</v>
      </c>
      <c r="N980" s="1"/>
      <c r="O980" s="10"/>
      <c r="P980" s="23"/>
      <c r="Q980" s="1" t="s">
        <v>773</v>
      </c>
      <c r="R980" s="1" t="s">
        <v>557</v>
      </c>
      <c r="S980" s="1" t="s">
        <v>582</v>
      </c>
      <c r="T980" s="10">
        <v>46298</v>
      </c>
    </row>
    <row r="981" spans="1:20" ht="24" customHeight="1" x14ac:dyDescent="0.35">
      <c r="A981" s="5" t="s">
        <v>2931</v>
      </c>
      <c r="B981" s="5" t="s">
        <v>2932</v>
      </c>
      <c r="C981" s="5" t="s">
        <v>408</v>
      </c>
      <c r="D981" s="5" t="s">
        <v>624</v>
      </c>
      <c r="E981" s="8">
        <v>46252</v>
      </c>
      <c r="F981" s="5" t="s">
        <v>771</v>
      </c>
      <c r="G981" s="5" t="s">
        <v>772</v>
      </c>
      <c r="H981" s="22"/>
      <c r="I981" s="5" t="s">
        <v>603</v>
      </c>
      <c r="J981" s="5" t="s">
        <v>590</v>
      </c>
      <c r="K981" s="5" t="s">
        <v>547</v>
      </c>
      <c r="L981" s="5" t="s">
        <v>640</v>
      </c>
      <c r="M981" s="5" t="s">
        <v>581</v>
      </c>
      <c r="N981" s="5"/>
      <c r="O981" s="8"/>
      <c r="P981" s="22"/>
      <c r="Q981" s="5" t="s">
        <v>773</v>
      </c>
      <c r="R981" s="5" t="s">
        <v>557</v>
      </c>
      <c r="S981" s="5" t="s">
        <v>582</v>
      </c>
      <c r="T981" s="8">
        <v>46298</v>
      </c>
    </row>
    <row r="982" spans="1:20" ht="24" customHeight="1" x14ac:dyDescent="0.35">
      <c r="A982" s="1" t="s">
        <v>2933</v>
      </c>
      <c r="B982" s="1" t="s">
        <v>2934</v>
      </c>
      <c r="C982" s="1" t="s">
        <v>1157</v>
      </c>
      <c r="D982" s="1" t="s">
        <v>2935</v>
      </c>
      <c r="E982" s="10">
        <v>46252</v>
      </c>
      <c r="F982" s="1" t="s">
        <v>601</v>
      </c>
      <c r="G982" s="1" t="s">
        <v>602</v>
      </c>
      <c r="H982" s="23"/>
      <c r="I982" s="1" t="s">
        <v>603</v>
      </c>
      <c r="J982" s="1" t="s">
        <v>548</v>
      </c>
      <c r="K982" s="1" t="s">
        <v>590</v>
      </c>
      <c r="L982" s="1" t="s">
        <v>591</v>
      </c>
      <c r="M982" s="1" t="s">
        <v>581</v>
      </c>
      <c r="N982" s="1"/>
      <c r="O982" s="10"/>
      <c r="P982" s="23"/>
      <c r="Q982" s="1"/>
      <c r="R982" s="1" t="s">
        <v>557</v>
      </c>
      <c r="S982" s="1" t="s">
        <v>582</v>
      </c>
      <c r="T982" s="10">
        <v>46298</v>
      </c>
    </row>
    <row r="983" spans="1:20" ht="24" customHeight="1" x14ac:dyDescent="0.35">
      <c r="A983" s="5" t="s">
        <v>2936</v>
      </c>
      <c r="B983" s="5" t="s">
        <v>2937</v>
      </c>
      <c r="C983" s="5" t="s">
        <v>299</v>
      </c>
      <c r="D983" s="5" t="s">
        <v>1134</v>
      </c>
      <c r="E983" s="8">
        <v>46252</v>
      </c>
      <c r="F983" s="5" t="s">
        <v>771</v>
      </c>
      <c r="G983" s="5" t="s">
        <v>772</v>
      </c>
      <c r="H983" s="22"/>
      <c r="I983" s="5" t="s">
        <v>603</v>
      </c>
      <c r="J983" s="5" t="s">
        <v>546</v>
      </c>
      <c r="K983" s="5" t="s">
        <v>590</v>
      </c>
      <c r="L983" s="5" t="s">
        <v>608</v>
      </c>
      <c r="M983" s="5" t="s">
        <v>581</v>
      </c>
      <c r="N983" s="5"/>
      <c r="O983" s="8"/>
      <c r="P983" s="22"/>
      <c r="Q983" s="5" t="s">
        <v>773</v>
      </c>
      <c r="R983" s="5" t="s">
        <v>557</v>
      </c>
      <c r="S983" s="5" t="s">
        <v>582</v>
      </c>
      <c r="T983" s="8">
        <v>46298</v>
      </c>
    </row>
    <row r="984" spans="1:20" ht="24" customHeight="1" x14ac:dyDescent="0.35">
      <c r="A984" s="1" t="s">
        <v>2938</v>
      </c>
      <c r="B984" s="1" t="s">
        <v>2939</v>
      </c>
      <c r="C984" s="1" t="s">
        <v>636</v>
      </c>
      <c r="D984" s="1" t="s">
        <v>607</v>
      </c>
      <c r="E984" s="10">
        <v>46252</v>
      </c>
      <c r="F984" s="1" t="s">
        <v>587</v>
      </c>
      <c r="G984" s="1" t="s">
        <v>588</v>
      </c>
      <c r="H984" s="23">
        <v>2600000</v>
      </c>
      <c r="I984" s="1" t="s">
        <v>589</v>
      </c>
      <c r="J984" s="1" t="s">
        <v>590</v>
      </c>
      <c r="K984" s="1" t="s">
        <v>547</v>
      </c>
      <c r="L984" s="1" t="s">
        <v>591</v>
      </c>
      <c r="M984" s="1" t="s">
        <v>581</v>
      </c>
      <c r="N984" s="1"/>
      <c r="O984" s="10"/>
      <c r="P984" s="23"/>
      <c r="Q984" s="1"/>
      <c r="R984" s="1" t="s">
        <v>557</v>
      </c>
      <c r="S984" s="1" t="s">
        <v>582</v>
      </c>
      <c r="T984" s="10">
        <v>46298</v>
      </c>
    </row>
    <row r="985" spans="1:20" ht="24" customHeight="1" x14ac:dyDescent="0.35">
      <c r="A985" s="5" t="s">
        <v>2940</v>
      </c>
      <c r="B985" s="5" t="s">
        <v>2941</v>
      </c>
      <c r="C985" s="5" t="s">
        <v>1354</v>
      </c>
      <c r="D985" s="5" t="s">
        <v>733</v>
      </c>
      <c r="E985" s="8">
        <v>46252</v>
      </c>
      <c r="F985" s="5" t="s">
        <v>578</v>
      </c>
      <c r="G985" s="5" t="s">
        <v>579</v>
      </c>
      <c r="H985" s="22"/>
      <c r="I985" s="5" t="s">
        <v>580</v>
      </c>
      <c r="J985" s="5" t="s">
        <v>590</v>
      </c>
      <c r="K985" s="5" t="s">
        <v>545</v>
      </c>
      <c r="L985" s="5" t="s">
        <v>608</v>
      </c>
      <c r="M985" s="5" t="s">
        <v>581</v>
      </c>
      <c r="N985" s="5"/>
      <c r="O985" s="8"/>
      <c r="P985" s="22"/>
      <c r="Q985" s="5"/>
      <c r="R985" s="5" t="s">
        <v>557</v>
      </c>
      <c r="S985" s="5" t="s">
        <v>582</v>
      </c>
      <c r="T985" s="8">
        <v>46298</v>
      </c>
    </row>
    <row r="986" spans="1:20" ht="24" customHeight="1" x14ac:dyDescent="0.35">
      <c r="A986" s="1" t="s">
        <v>2942</v>
      </c>
      <c r="B986" s="1" t="s">
        <v>2943</v>
      </c>
      <c r="C986" s="1" t="s">
        <v>1025</v>
      </c>
      <c r="D986" s="1" t="s">
        <v>401</v>
      </c>
      <c r="E986" s="10">
        <v>46252</v>
      </c>
      <c r="F986" s="1" t="s">
        <v>587</v>
      </c>
      <c r="G986" s="1" t="s">
        <v>588</v>
      </c>
      <c r="H986" s="23">
        <v>18800000</v>
      </c>
      <c r="I986" s="1" t="s">
        <v>589</v>
      </c>
      <c r="J986" s="1" t="s">
        <v>590</v>
      </c>
      <c r="K986" s="1" t="s">
        <v>547</v>
      </c>
      <c r="L986" s="1" t="s">
        <v>608</v>
      </c>
      <c r="M986" s="1" t="s">
        <v>581</v>
      </c>
      <c r="N986" s="1"/>
      <c r="O986" s="10"/>
      <c r="P986" s="23"/>
      <c r="Q986" s="1"/>
      <c r="R986" s="1" t="s">
        <v>557</v>
      </c>
      <c r="S986" s="1" t="s">
        <v>582</v>
      </c>
      <c r="T986" s="10">
        <v>46298</v>
      </c>
    </row>
    <row r="987" spans="1:20" ht="24" customHeight="1" x14ac:dyDescent="0.35">
      <c r="A987" s="5" t="s">
        <v>2944</v>
      </c>
      <c r="B987" s="5" t="s">
        <v>2945</v>
      </c>
      <c r="C987" s="5" t="s">
        <v>801</v>
      </c>
      <c r="D987" s="5" t="s">
        <v>596</v>
      </c>
      <c r="E987" s="8">
        <v>46252</v>
      </c>
      <c r="F987" s="5" t="s">
        <v>771</v>
      </c>
      <c r="G987" s="5" t="s">
        <v>772</v>
      </c>
      <c r="H987" s="22"/>
      <c r="I987" s="5" t="s">
        <v>603</v>
      </c>
      <c r="J987" s="5" t="s">
        <v>546</v>
      </c>
      <c r="K987" s="5" t="s">
        <v>548</v>
      </c>
      <c r="L987" s="5" t="s">
        <v>149</v>
      </c>
      <c r="M987" s="5" t="s">
        <v>581</v>
      </c>
      <c r="N987" s="5"/>
      <c r="O987" s="8"/>
      <c r="P987" s="22"/>
      <c r="Q987" s="5" t="s">
        <v>773</v>
      </c>
      <c r="R987" s="5" t="s">
        <v>557</v>
      </c>
      <c r="S987" s="5" t="s">
        <v>582</v>
      </c>
      <c r="T987" s="8">
        <v>46298</v>
      </c>
    </row>
    <row r="988" spans="1:20" ht="24" customHeight="1" x14ac:dyDescent="0.35">
      <c r="A988" s="1" t="s">
        <v>2946</v>
      </c>
      <c r="B988" s="1" t="s">
        <v>2947</v>
      </c>
      <c r="C988" s="1" t="s">
        <v>1034</v>
      </c>
      <c r="D988" s="1" t="s">
        <v>2948</v>
      </c>
      <c r="E988" s="10">
        <v>46252</v>
      </c>
      <c r="F988" s="1" t="s">
        <v>771</v>
      </c>
      <c r="G988" s="1" t="s">
        <v>772</v>
      </c>
      <c r="H988" s="23"/>
      <c r="I988" s="1" t="s">
        <v>603</v>
      </c>
      <c r="J988" s="1" t="s">
        <v>546</v>
      </c>
      <c r="K988" s="1" t="s">
        <v>590</v>
      </c>
      <c r="L988" s="1" t="s">
        <v>608</v>
      </c>
      <c r="M988" s="1" t="s">
        <v>581</v>
      </c>
      <c r="N988" s="1"/>
      <c r="O988" s="10"/>
      <c r="P988" s="23"/>
      <c r="Q988" s="1" t="s">
        <v>773</v>
      </c>
      <c r="R988" s="1" t="s">
        <v>557</v>
      </c>
      <c r="S988" s="1" t="s">
        <v>582</v>
      </c>
      <c r="T988" s="10">
        <v>46298</v>
      </c>
    </row>
    <row r="989" spans="1:20" ht="24" customHeight="1" x14ac:dyDescent="0.35">
      <c r="A989" s="5" t="s">
        <v>2949</v>
      </c>
      <c r="B989" s="5" t="s">
        <v>2950</v>
      </c>
      <c r="C989" s="5" t="s">
        <v>2951</v>
      </c>
      <c r="D989" s="5" t="s">
        <v>210</v>
      </c>
      <c r="E989" s="8">
        <v>46252</v>
      </c>
      <c r="F989" s="5" t="s">
        <v>587</v>
      </c>
      <c r="G989" s="5" t="s">
        <v>588</v>
      </c>
      <c r="H989" s="22">
        <v>11000000</v>
      </c>
      <c r="I989" s="5" t="s">
        <v>589</v>
      </c>
      <c r="J989" s="5" t="s">
        <v>590</v>
      </c>
      <c r="K989" s="5" t="s">
        <v>544</v>
      </c>
      <c r="L989" s="5" t="s">
        <v>591</v>
      </c>
      <c r="M989" s="5" t="s">
        <v>581</v>
      </c>
      <c r="N989" s="5"/>
      <c r="O989" s="8"/>
      <c r="P989" s="22"/>
      <c r="Q989" s="5"/>
      <c r="R989" s="5" t="s">
        <v>557</v>
      </c>
      <c r="S989" s="5" t="s">
        <v>582</v>
      </c>
      <c r="T989" s="8">
        <v>46298</v>
      </c>
    </row>
    <row r="990" spans="1:20" ht="24" customHeight="1" x14ac:dyDescent="0.35">
      <c r="A990" s="1" t="s">
        <v>2952</v>
      </c>
      <c r="B990" s="1" t="s">
        <v>2953</v>
      </c>
      <c r="C990" s="1" t="s">
        <v>1163</v>
      </c>
      <c r="D990" s="1" t="s">
        <v>2954</v>
      </c>
      <c r="E990" s="10">
        <v>46252</v>
      </c>
      <c r="F990" s="1" t="s">
        <v>578</v>
      </c>
      <c r="G990" s="1" t="s">
        <v>579</v>
      </c>
      <c r="H990" s="23"/>
      <c r="I990" s="1" t="s">
        <v>580</v>
      </c>
      <c r="J990" s="1" t="s">
        <v>545</v>
      </c>
      <c r="K990" s="1" t="s">
        <v>590</v>
      </c>
      <c r="L990" s="1" t="s">
        <v>149</v>
      </c>
      <c r="M990" s="1" t="s">
        <v>581</v>
      </c>
      <c r="N990" s="1"/>
      <c r="O990" s="10"/>
      <c r="P990" s="23"/>
      <c r="Q990" s="1"/>
      <c r="R990" s="1" t="s">
        <v>557</v>
      </c>
      <c r="S990" s="1" t="s">
        <v>582</v>
      </c>
      <c r="T990" s="10">
        <v>46298</v>
      </c>
    </row>
    <row r="991" spans="1:20" ht="24" customHeight="1" x14ac:dyDescent="0.35">
      <c r="A991" s="5" t="s">
        <v>2955</v>
      </c>
      <c r="B991" s="5" t="s">
        <v>2956</v>
      </c>
      <c r="C991" s="5" t="s">
        <v>620</v>
      </c>
      <c r="D991" s="5" t="s">
        <v>1044</v>
      </c>
      <c r="E991" s="8">
        <v>46252</v>
      </c>
      <c r="F991" s="5" t="s">
        <v>601</v>
      </c>
      <c r="G991" s="5" t="s">
        <v>602</v>
      </c>
      <c r="H991" s="22"/>
      <c r="I991" s="5" t="s">
        <v>603</v>
      </c>
      <c r="J991" s="5" t="s">
        <v>546</v>
      </c>
      <c r="K991" s="5" t="s">
        <v>590</v>
      </c>
      <c r="L991" s="5" t="s">
        <v>608</v>
      </c>
      <c r="M991" s="5" t="s">
        <v>581</v>
      </c>
      <c r="N991" s="5"/>
      <c r="O991" s="8"/>
      <c r="P991" s="22"/>
      <c r="Q991" s="5"/>
      <c r="R991" s="5" t="s">
        <v>557</v>
      </c>
      <c r="S991" s="5" t="s">
        <v>582</v>
      </c>
      <c r="T991" s="8">
        <v>46298</v>
      </c>
    </row>
    <row r="992" spans="1:20" ht="24" customHeight="1" x14ac:dyDescent="0.35">
      <c r="A992" s="1" t="s">
        <v>2957</v>
      </c>
      <c r="B992" s="1" t="s">
        <v>2958</v>
      </c>
      <c r="C992" s="1" t="s">
        <v>190</v>
      </c>
      <c r="D992" s="1" t="s">
        <v>2062</v>
      </c>
      <c r="E992" s="10">
        <v>46252</v>
      </c>
      <c r="F992" s="1" t="s">
        <v>771</v>
      </c>
      <c r="G992" s="1" t="s">
        <v>772</v>
      </c>
      <c r="H992" s="23"/>
      <c r="I992" s="1" t="s">
        <v>603</v>
      </c>
      <c r="J992" s="1" t="s">
        <v>544</v>
      </c>
      <c r="K992" s="1" t="s">
        <v>590</v>
      </c>
      <c r="L992" s="1" t="s">
        <v>608</v>
      </c>
      <c r="M992" s="1" t="s">
        <v>581</v>
      </c>
      <c r="N992" s="1"/>
      <c r="O992" s="10"/>
      <c r="P992" s="23"/>
      <c r="Q992" s="1" t="s">
        <v>773</v>
      </c>
      <c r="R992" s="1" t="s">
        <v>557</v>
      </c>
      <c r="S992" s="1" t="s">
        <v>582</v>
      </c>
      <c r="T992" s="10">
        <v>46298</v>
      </c>
    </row>
    <row r="993" spans="1:20" ht="24" customHeight="1" x14ac:dyDescent="0.35">
      <c r="A993" s="5" t="s">
        <v>2959</v>
      </c>
      <c r="B993" s="5" t="s">
        <v>2960</v>
      </c>
      <c r="C993" s="5" t="s">
        <v>469</v>
      </c>
      <c r="D993" s="5" t="s">
        <v>1066</v>
      </c>
      <c r="E993" s="8">
        <v>46252</v>
      </c>
      <c r="F993" s="5" t="s">
        <v>601</v>
      </c>
      <c r="G993" s="5" t="s">
        <v>602</v>
      </c>
      <c r="H993" s="22"/>
      <c r="I993" s="5" t="s">
        <v>603</v>
      </c>
      <c r="J993" s="5" t="s">
        <v>544</v>
      </c>
      <c r="K993" s="5" t="s">
        <v>590</v>
      </c>
      <c r="L993" s="5" t="s">
        <v>591</v>
      </c>
      <c r="M993" s="5" t="s">
        <v>581</v>
      </c>
      <c r="N993" s="5"/>
      <c r="O993" s="8"/>
      <c r="P993" s="22"/>
      <c r="Q993" s="5"/>
      <c r="R993" s="5" t="s">
        <v>557</v>
      </c>
      <c r="S993" s="5" t="s">
        <v>582</v>
      </c>
      <c r="T993" s="8">
        <v>46298</v>
      </c>
    </row>
    <row r="994" spans="1:20" ht="24" customHeight="1" x14ac:dyDescent="0.35">
      <c r="A994" s="1" t="s">
        <v>2961</v>
      </c>
      <c r="B994" s="1" t="s">
        <v>2962</v>
      </c>
      <c r="C994" s="1" t="s">
        <v>2058</v>
      </c>
      <c r="D994" s="1" t="s">
        <v>128</v>
      </c>
      <c r="E994" s="10">
        <v>46252</v>
      </c>
      <c r="F994" s="1" t="s">
        <v>771</v>
      </c>
      <c r="G994" s="1" t="s">
        <v>772</v>
      </c>
      <c r="H994" s="23"/>
      <c r="I994" s="1" t="s">
        <v>603</v>
      </c>
      <c r="J994" s="1" t="s">
        <v>590</v>
      </c>
      <c r="K994" s="1" t="s">
        <v>544</v>
      </c>
      <c r="L994" s="1" t="s">
        <v>640</v>
      </c>
      <c r="M994" s="1" t="s">
        <v>581</v>
      </c>
      <c r="N994" s="1"/>
      <c r="O994" s="10"/>
      <c r="P994" s="23"/>
      <c r="Q994" s="1" t="s">
        <v>1107</v>
      </c>
      <c r="R994" s="1" t="s">
        <v>557</v>
      </c>
      <c r="S994" s="1" t="s">
        <v>582</v>
      </c>
      <c r="T994" s="10">
        <v>46298</v>
      </c>
    </row>
    <row r="995" spans="1:20" ht="24" customHeight="1" x14ac:dyDescent="0.35">
      <c r="A995" s="5" t="s">
        <v>2963</v>
      </c>
      <c r="B995" s="5" t="s">
        <v>1653</v>
      </c>
      <c r="C995" s="5" t="s">
        <v>423</v>
      </c>
      <c r="D995" s="5" t="s">
        <v>1743</v>
      </c>
      <c r="E995" s="8">
        <v>46252</v>
      </c>
      <c r="F995" s="5" t="s">
        <v>771</v>
      </c>
      <c r="G995" s="5" t="s">
        <v>772</v>
      </c>
      <c r="H995" s="22"/>
      <c r="I995" s="5" t="s">
        <v>603</v>
      </c>
      <c r="J995" s="5" t="s">
        <v>546</v>
      </c>
      <c r="K995" s="5" t="s">
        <v>590</v>
      </c>
      <c r="L995" s="5" t="s">
        <v>149</v>
      </c>
      <c r="M995" s="5" t="s">
        <v>581</v>
      </c>
      <c r="N995" s="5"/>
      <c r="O995" s="8"/>
      <c r="P995" s="22"/>
      <c r="Q995" s="5" t="s">
        <v>773</v>
      </c>
      <c r="R995" s="5" t="s">
        <v>557</v>
      </c>
      <c r="S995" s="5" t="s">
        <v>582</v>
      </c>
      <c r="T995" s="8">
        <v>46298</v>
      </c>
    </row>
    <row r="996" spans="1:20" ht="24" customHeight="1" x14ac:dyDescent="0.35">
      <c r="A996" s="1" t="s">
        <v>2964</v>
      </c>
      <c r="B996" s="1" t="s">
        <v>2965</v>
      </c>
      <c r="C996" s="1" t="s">
        <v>2966</v>
      </c>
      <c r="D996" s="1" t="s">
        <v>797</v>
      </c>
      <c r="E996" s="10">
        <v>46252</v>
      </c>
      <c r="F996" s="1" t="s">
        <v>771</v>
      </c>
      <c r="G996" s="1" t="s">
        <v>772</v>
      </c>
      <c r="H996" s="23"/>
      <c r="I996" s="1" t="s">
        <v>603</v>
      </c>
      <c r="J996" s="1" t="s">
        <v>590</v>
      </c>
      <c r="K996" s="1" t="s">
        <v>546</v>
      </c>
      <c r="L996" s="1" t="s">
        <v>640</v>
      </c>
      <c r="M996" s="1" t="s">
        <v>581</v>
      </c>
      <c r="N996" s="1"/>
      <c r="O996" s="10"/>
      <c r="P996" s="23"/>
      <c r="Q996" s="1" t="s">
        <v>1008</v>
      </c>
      <c r="R996" s="1" t="s">
        <v>557</v>
      </c>
      <c r="S996" s="1" t="s">
        <v>582</v>
      </c>
      <c r="T996" s="10">
        <v>46298</v>
      </c>
    </row>
    <row r="997" spans="1:20" ht="24" customHeight="1" x14ac:dyDescent="0.35">
      <c r="A997" s="5" t="s">
        <v>2967</v>
      </c>
      <c r="B997" s="5" t="s">
        <v>2968</v>
      </c>
      <c r="C997" s="5" t="s">
        <v>425</v>
      </c>
      <c r="D997" s="5" t="s">
        <v>408</v>
      </c>
      <c r="E997" s="8">
        <v>46253</v>
      </c>
      <c r="F997" s="5" t="s">
        <v>771</v>
      </c>
      <c r="G997" s="5" t="s">
        <v>772</v>
      </c>
      <c r="H997" s="22"/>
      <c r="I997" s="5" t="s">
        <v>603</v>
      </c>
      <c r="J997" s="5" t="s">
        <v>544</v>
      </c>
      <c r="K997" s="5" t="s">
        <v>590</v>
      </c>
      <c r="L997" s="5" t="s">
        <v>640</v>
      </c>
      <c r="M997" s="5" t="s">
        <v>581</v>
      </c>
      <c r="N997" s="5"/>
      <c r="O997" s="8"/>
      <c r="P997" s="22"/>
      <c r="Q997" s="5" t="s">
        <v>1008</v>
      </c>
      <c r="R997" s="5" t="s">
        <v>557</v>
      </c>
      <c r="S997" s="5" t="s">
        <v>582</v>
      </c>
      <c r="T997" s="8">
        <v>46298</v>
      </c>
    </row>
    <row r="998" spans="1:20" ht="24" customHeight="1" x14ac:dyDescent="0.35">
      <c r="A998" s="1" t="s">
        <v>2969</v>
      </c>
      <c r="B998" s="1" t="s">
        <v>2970</v>
      </c>
      <c r="C998" s="1" t="s">
        <v>103</v>
      </c>
      <c r="D998" s="1" t="s">
        <v>1223</v>
      </c>
      <c r="E998" s="10">
        <v>46253</v>
      </c>
      <c r="F998" s="1" t="s">
        <v>771</v>
      </c>
      <c r="G998" s="1" t="s">
        <v>772</v>
      </c>
      <c r="H998" s="23"/>
      <c r="I998" s="1" t="s">
        <v>603</v>
      </c>
      <c r="J998" s="1" t="s">
        <v>544</v>
      </c>
      <c r="K998" s="1" t="s">
        <v>590</v>
      </c>
      <c r="L998" s="1" t="s">
        <v>608</v>
      </c>
      <c r="M998" s="1" t="s">
        <v>581</v>
      </c>
      <c r="N998" s="1"/>
      <c r="O998" s="10"/>
      <c r="P998" s="23"/>
      <c r="Q998" s="1" t="s">
        <v>773</v>
      </c>
      <c r="R998" s="1" t="s">
        <v>557</v>
      </c>
      <c r="S998" s="1" t="s">
        <v>582</v>
      </c>
      <c r="T998" s="10">
        <v>46298</v>
      </c>
    </row>
    <row r="999" spans="1:20" ht="24" customHeight="1" x14ac:dyDescent="0.35">
      <c r="A999" s="5" t="s">
        <v>2971</v>
      </c>
      <c r="B999" s="5" t="s">
        <v>2972</v>
      </c>
      <c r="C999" s="5" t="s">
        <v>106</v>
      </c>
      <c r="D999" s="5" t="s">
        <v>993</v>
      </c>
      <c r="E999" s="8">
        <v>46253</v>
      </c>
      <c r="F999" s="5" t="s">
        <v>771</v>
      </c>
      <c r="G999" s="5" t="s">
        <v>772</v>
      </c>
      <c r="H999" s="22"/>
      <c r="I999" s="5" t="s">
        <v>603</v>
      </c>
      <c r="J999" s="5" t="s">
        <v>544</v>
      </c>
      <c r="K999" s="5" t="s">
        <v>590</v>
      </c>
      <c r="L999" s="5" t="s">
        <v>149</v>
      </c>
      <c r="M999" s="5" t="s">
        <v>581</v>
      </c>
      <c r="N999" s="5"/>
      <c r="O999" s="8"/>
      <c r="P999" s="22"/>
      <c r="Q999" s="5" t="s">
        <v>773</v>
      </c>
      <c r="R999" s="5" t="s">
        <v>557</v>
      </c>
      <c r="S999" s="5" t="s">
        <v>582</v>
      </c>
      <c r="T999" s="8">
        <v>46298</v>
      </c>
    </row>
    <row r="1000" spans="1:20" ht="24" customHeight="1" x14ac:dyDescent="0.35">
      <c r="A1000" s="1" t="s">
        <v>2973</v>
      </c>
      <c r="B1000" s="1" t="s">
        <v>2974</v>
      </c>
      <c r="C1000" s="1" t="s">
        <v>292</v>
      </c>
      <c r="D1000" s="1" t="s">
        <v>2975</v>
      </c>
      <c r="E1000" s="10">
        <v>46253</v>
      </c>
      <c r="F1000" s="1" t="s">
        <v>771</v>
      </c>
      <c r="G1000" s="1" t="s">
        <v>772</v>
      </c>
      <c r="H1000" s="23"/>
      <c r="I1000" s="1" t="s">
        <v>603</v>
      </c>
      <c r="J1000" s="1" t="s">
        <v>544</v>
      </c>
      <c r="K1000" s="1" t="s">
        <v>590</v>
      </c>
      <c r="L1000" s="1" t="s">
        <v>149</v>
      </c>
      <c r="M1000" s="1" t="s">
        <v>581</v>
      </c>
      <c r="N1000" s="1"/>
      <c r="O1000" s="10"/>
      <c r="P1000" s="23"/>
      <c r="Q1000" s="1" t="s">
        <v>773</v>
      </c>
      <c r="R1000" s="1" t="s">
        <v>557</v>
      </c>
      <c r="S1000" s="1" t="s">
        <v>582</v>
      </c>
      <c r="T1000" s="10">
        <v>46298</v>
      </c>
    </row>
    <row r="1001" spans="1:20" ht="24" customHeight="1" x14ac:dyDescent="0.35">
      <c r="A1001" s="5" t="s">
        <v>2976</v>
      </c>
      <c r="B1001" s="5" t="s">
        <v>2977</v>
      </c>
      <c r="C1001" s="5" t="s">
        <v>797</v>
      </c>
      <c r="D1001" s="5" t="s">
        <v>106</v>
      </c>
      <c r="E1001" s="8">
        <v>46253</v>
      </c>
      <c r="F1001" s="5" t="s">
        <v>587</v>
      </c>
      <c r="G1001" s="5" t="s">
        <v>588</v>
      </c>
      <c r="H1001" s="22">
        <v>30000000</v>
      </c>
      <c r="I1001" s="5" t="s">
        <v>589</v>
      </c>
      <c r="J1001" s="5" t="s">
        <v>546</v>
      </c>
      <c r="K1001" s="5" t="s">
        <v>544</v>
      </c>
      <c r="L1001" s="5" t="s">
        <v>172</v>
      </c>
      <c r="M1001" s="5" t="s">
        <v>581</v>
      </c>
      <c r="N1001" s="5"/>
      <c r="O1001" s="8"/>
      <c r="P1001" s="22"/>
      <c r="Q1001" s="5"/>
      <c r="R1001" s="5" t="s">
        <v>557</v>
      </c>
      <c r="S1001" s="5" t="s">
        <v>582</v>
      </c>
      <c r="T1001" s="8">
        <v>46298</v>
      </c>
    </row>
    <row r="1002" spans="1:20" ht="24" customHeight="1" x14ac:dyDescent="0.35">
      <c r="A1002" s="1" t="s">
        <v>2978</v>
      </c>
      <c r="B1002" s="1" t="s">
        <v>2979</v>
      </c>
      <c r="C1002" s="1" t="s">
        <v>1004</v>
      </c>
      <c r="D1002" s="1" t="s">
        <v>106</v>
      </c>
      <c r="E1002" s="10">
        <v>46253</v>
      </c>
      <c r="F1002" s="1" t="s">
        <v>587</v>
      </c>
      <c r="G1002" s="1" t="s">
        <v>588</v>
      </c>
      <c r="H1002" s="23">
        <v>21420000</v>
      </c>
      <c r="I1002" s="1" t="s">
        <v>589</v>
      </c>
      <c r="J1002" s="1" t="s">
        <v>545</v>
      </c>
      <c r="K1002" s="1" t="s">
        <v>544</v>
      </c>
      <c r="L1002" s="1" t="s">
        <v>149</v>
      </c>
      <c r="M1002" s="1" t="s">
        <v>581</v>
      </c>
      <c r="N1002" s="1"/>
      <c r="O1002" s="10"/>
      <c r="P1002" s="23"/>
      <c r="Q1002" s="1"/>
      <c r="R1002" s="1" t="s">
        <v>557</v>
      </c>
      <c r="S1002" s="1" t="s">
        <v>582</v>
      </c>
      <c r="T1002" s="10">
        <v>46298</v>
      </c>
    </row>
    <row r="1003" spans="1:20" ht="24" customHeight="1" x14ac:dyDescent="0.35">
      <c r="A1003" s="5" t="s">
        <v>2980</v>
      </c>
      <c r="B1003" s="5" t="s">
        <v>2981</v>
      </c>
      <c r="C1003" s="5" t="s">
        <v>425</v>
      </c>
      <c r="D1003" s="5" t="s">
        <v>652</v>
      </c>
      <c r="E1003" s="8">
        <v>46253</v>
      </c>
      <c r="F1003" s="5" t="s">
        <v>771</v>
      </c>
      <c r="G1003" s="5" t="s">
        <v>772</v>
      </c>
      <c r="H1003" s="22"/>
      <c r="I1003" s="5" t="s">
        <v>603</v>
      </c>
      <c r="J1003" s="5" t="s">
        <v>544</v>
      </c>
      <c r="K1003" s="5" t="s">
        <v>547</v>
      </c>
      <c r="L1003" s="5" t="s">
        <v>149</v>
      </c>
      <c r="M1003" s="5" t="s">
        <v>581</v>
      </c>
      <c r="N1003" s="5"/>
      <c r="O1003" s="8"/>
      <c r="P1003" s="22"/>
      <c r="Q1003" s="5" t="s">
        <v>773</v>
      </c>
      <c r="R1003" s="5" t="s">
        <v>557</v>
      </c>
      <c r="S1003" s="5" t="s">
        <v>582</v>
      </c>
      <c r="T1003" s="8">
        <v>46298</v>
      </c>
    </row>
    <row r="1004" spans="1:20" ht="24" customHeight="1" x14ac:dyDescent="0.35">
      <c r="A1004" s="1" t="s">
        <v>2982</v>
      </c>
      <c r="B1004" s="1" t="s">
        <v>2983</v>
      </c>
      <c r="C1004" s="1" t="s">
        <v>2271</v>
      </c>
      <c r="D1004" s="1" t="s">
        <v>717</v>
      </c>
      <c r="E1004" s="10">
        <v>46253</v>
      </c>
      <c r="F1004" s="1" t="s">
        <v>587</v>
      </c>
      <c r="G1004" s="1" t="s">
        <v>588</v>
      </c>
      <c r="H1004" s="23">
        <v>3430000</v>
      </c>
      <c r="I1004" s="1" t="s">
        <v>589</v>
      </c>
      <c r="J1004" s="1" t="s">
        <v>590</v>
      </c>
      <c r="K1004" s="1" t="s">
        <v>547</v>
      </c>
      <c r="L1004" s="1" t="s">
        <v>608</v>
      </c>
      <c r="M1004" s="1" t="s">
        <v>581</v>
      </c>
      <c r="N1004" s="1"/>
      <c r="O1004" s="10"/>
      <c r="P1004" s="23"/>
      <c r="Q1004" s="1"/>
      <c r="R1004" s="1" t="s">
        <v>557</v>
      </c>
      <c r="S1004" s="1" t="s">
        <v>582</v>
      </c>
      <c r="T1004" s="10">
        <v>46298</v>
      </c>
    </row>
    <row r="1005" spans="1:20" ht="24" customHeight="1" x14ac:dyDescent="0.35">
      <c r="A1005" s="5" t="s">
        <v>2984</v>
      </c>
      <c r="B1005" s="5" t="s">
        <v>2985</v>
      </c>
      <c r="C1005" s="5" t="s">
        <v>257</v>
      </c>
      <c r="D1005" s="5" t="s">
        <v>198</v>
      </c>
      <c r="E1005" s="8">
        <v>46253</v>
      </c>
      <c r="F1005" s="5" t="s">
        <v>587</v>
      </c>
      <c r="G1005" s="5" t="s">
        <v>588</v>
      </c>
      <c r="H1005" s="22">
        <v>21400000</v>
      </c>
      <c r="I1005" s="5" t="s">
        <v>589</v>
      </c>
      <c r="J1005" s="5" t="s">
        <v>590</v>
      </c>
      <c r="K1005" s="5" t="s">
        <v>546</v>
      </c>
      <c r="L1005" s="5" t="s">
        <v>608</v>
      </c>
      <c r="M1005" s="5" t="s">
        <v>581</v>
      </c>
      <c r="N1005" s="5"/>
      <c r="O1005" s="8"/>
      <c r="P1005" s="22"/>
      <c r="Q1005" s="5" t="s">
        <v>1347</v>
      </c>
      <c r="R1005" s="5" t="s">
        <v>557</v>
      </c>
      <c r="S1005" s="5" t="s">
        <v>582</v>
      </c>
      <c r="T1005" s="8">
        <v>46298</v>
      </c>
    </row>
    <row r="1006" spans="1:20" ht="24" customHeight="1" x14ac:dyDescent="0.35">
      <c r="A1006" s="1" t="s">
        <v>2986</v>
      </c>
      <c r="B1006" s="1" t="s">
        <v>2987</v>
      </c>
      <c r="C1006" s="1" t="s">
        <v>529</v>
      </c>
      <c r="D1006" s="1" t="s">
        <v>425</v>
      </c>
      <c r="E1006" s="10">
        <v>46253</v>
      </c>
      <c r="F1006" s="1" t="s">
        <v>587</v>
      </c>
      <c r="G1006" s="1" t="s">
        <v>588</v>
      </c>
      <c r="H1006" s="23">
        <v>6800000</v>
      </c>
      <c r="I1006" s="1" t="s">
        <v>589</v>
      </c>
      <c r="J1006" s="1" t="s">
        <v>547</v>
      </c>
      <c r="K1006" s="1" t="s">
        <v>544</v>
      </c>
      <c r="L1006" s="1" t="s">
        <v>149</v>
      </c>
      <c r="M1006" s="1" t="s">
        <v>581</v>
      </c>
      <c r="N1006" s="1"/>
      <c r="O1006" s="10"/>
      <c r="P1006" s="23"/>
      <c r="Q1006" s="1"/>
      <c r="R1006" s="1" t="s">
        <v>557</v>
      </c>
      <c r="S1006" s="1" t="s">
        <v>582</v>
      </c>
      <c r="T1006" s="10">
        <v>46298</v>
      </c>
    </row>
    <row r="1007" spans="1:20" ht="24" customHeight="1" x14ac:dyDescent="0.35">
      <c r="A1007" s="5" t="s">
        <v>2988</v>
      </c>
      <c r="B1007" s="5" t="s">
        <v>2989</v>
      </c>
      <c r="C1007" s="5" t="s">
        <v>2954</v>
      </c>
      <c r="D1007" s="5" t="s">
        <v>785</v>
      </c>
      <c r="E1007" s="8">
        <v>46252</v>
      </c>
      <c r="F1007" s="5" t="s">
        <v>578</v>
      </c>
      <c r="G1007" s="5" t="s">
        <v>579</v>
      </c>
      <c r="H1007" s="22"/>
      <c r="I1007" s="5" t="s">
        <v>580</v>
      </c>
      <c r="J1007" s="5" t="s">
        <v>590</v>
      </c>
      <c r="K1007" s="5" t="s">
        <v>548</v>
      </c>
      <c r="L1007" s="5" t="s">
        <v>608</v>
      </c>
      <c r="M1007" s="5" t="s">
        <v>581</v>
      </c>
      <c r="N1007" s="5"/>
      <c r="O1007" s="8"/>
      <c r="P1007" s="22"/>
      <c r="Q1007" s="5"/>
      <c r="R1007" s="5" t="s">
        <v>557</v>
      </c>
      <c r="S1007" s="5" t="s">
        <v>582</v>
      </c>
      <c r="T1007" s="8">
        <v>46298</v>
      </c>
    </row>
    <row r="1008" spans="1:20" ht="24" customHeight="1" x14ac:dyDescent="0.35">
      <c r="A1008" s="1" t="s">
        <v>2990</v>
      </c>
      <c r="B1008" s="1" t="s">
        <v>2991</v>
      </c>
      <c r="C1008" s="1" t="s">
        <v>2992</v>
      </c>
      <c r="D1008" s="1" t="s">
        <v>596</v>
      </c>
      <c r="E1008" s="10">
        <v>46253</v>
      </c>
      <c r="F1008" s="1" t="s">
        <v>587</v>
      </c>
      <c r="G1008" s="1" t="s">
        <v>588</v>
      </c>
      <c r="H1008" s="23">
        <v>6430000</v>
      </c>
      <c r="I1008" s="1" t="s">
        <v>589</v>
      </c>
      <c r="J1008" s="1" t="s">
        <v>590</v>
      </c>
      <c r="K1008" s="1" t="s">
        <v>548</v>
      </c>
      <c r="L1008" s="1" t="s">
        <v>608</v>
      </c>
      <c r="M1008" s="1" t="s">
        <v>581</v>
      </c>
      <c r="N1008" s="1"/>
      <c r="O1008" s="10"/>
      <c r="P1008" s="23"/>
      <c r="Q1008" s="1" t="s">
        <v>1347</v>
      </c>
      <c r="R1008" s="1" t="s">
        <v>557</v>
      </c>
      <c r="S1008" s="1" t="s">
        <v>582</v>
      </c>
      <c r="T1008" s="10">
        <v>46298</v>
      </c>
    </row>
    <row r="1009" spans="1:20" ht="24" customHeight="1" x14ac:dyDescent="0.35">
      <c r="A1009" s="5" t="s">
        <v>2993</v>
      </c>
      <c r="B1009" s="5" t="s">
        <v>2994</v>
      </c>
      <c r="C1009" s="5" t="s">
        <v>1044</v>
      </c>
      <c r="D1009" s="5" t="s">
        <v>620</v>
      </c>
      <c r="E1009" s="8">
        <v>46253</v>
      </c>
      <c r="F1009" s="5" t="s">
        <v>601</v>
      </c>
      <c r="G1009" s="5" t="s">
        <v>602</v>
      </c>
      <c r="H1009" s="22"/>
      <c r="I1009" s="5" t="s">
        <v>603</v>
      </c>
      <c r="J1009" s="5" t="s">
        <v>590</v>
      </c>
      <c r="K1009" s="5" t="s">
        <v>546</v>
      </c>
      <c r="L1009" s="5" t="s">
        <v>172</v>
      </c>
      <c r="M1009" s="5" t="s">
        <v>581</v>
      </c>
      <c r="N1009" s="5"/>
      <c r="O1009" s="8"/>
      <c r="P1009" s="22"/>
      <c r="Q1009" s="5"/>
      <c r="R1009" s="5" t="s">
        <v>557</v>
      </c>
      <c r="S1009" s="5" t="s">
        <v>582</v>
      </c>
      <c r="T1009" s="8">
        <v>46298</v>
      </c>
    </row>
    <row r="1010" spans="1:20" ht="24" customHeight="1" x14ac:dyDescent="0.35">
      <c r="A1010" s="1" t="s">
        <v>2995</v>
      </c>
      <c r="B1010" s="1" t="s">
        <v>2996</v>
      </c>
      <c r="C1010" s="1" t="s">
        <v>1213</v>
      </c>
      <c r="D1010" s="1" t="s">
        <v>999</v>
      </c>
      <c r="E1010" s="10">
        <v>46253</v>
      </c>
      <c r="F1010" s="1" t="s">
        <v>587</v>
      </c>
      <c r="G1010" s="1" t="s">
        <v>588</v>
      </c>
      <c r="H1010" s="23">
        <v>20500000</v>
      </c>
      <c r="I1010" s="1" t="s">
        <v>589</v>
      </c>
      <c r="J1010" s="1" t="s">
        <v>590</v>
      </c>
      <c r="K1010" s="1" t="s">
        <v>544</v>
      </c>
      <c r="L1010" s="1" t="s">
        <v>640</v>
      </c>
      <c r="M1010" s="1" t="s">
        <v>581</v>
      </c>
      <c r="N1010" s="1"/>
      <c r="O1010" s="10"/>
      <c r="P1010" s="23"/>
      <c r="Q1010" s="1"/>
      <c r="R1010" s="1" t="s">
        <v>557</v>
      </c>
      <c r="S1010" s="1" t="s">
        <v>582</v>
      </c>
      <c r="T1010" s="10">
        <v>46298</v>
      </c>
    </row>
    <row r="1011" spans="1:20" ht="24" customHeight="1" x14ac:dyDescent="0.35">
      <c r="A1011" s="5" t="s">
        <v>2997</v>
      </c>
      <c r="B1011" s="5" t="s">
        <v>285</v>
      </c>
      <c r="C1011" s="5" t="s">
        <v>355</v>
      </c>
      <c r="D1011" s="5" t="s">
        <v>242</v>
      </c>
      <c r="E1011" s="8">
        <v>46253</v>
      </c>
      <c r="F1011" s="5" t="s">
        <v>587</v>
      </c>
      <c r="G1011" s="5" t="s">
        <v>588</v>
      </c>
      <c r="H1011" s="22">
        <v>52000000</v>
      </c>
      <c r="I1011" s="5" t="s">
        <v>589</v>
      </c>
      <c r="J1011" s="5" t="s">
        <v>544</v>
      </c>
      <c r="K1011" s="5" t="s">
        <v>590</v>
      </c>
      <c r="L1011" s="5" t="s">
        <v>608</v>
      </c>
      <c r="M1011" s="5" t="s">
        <v>581</v>
      </c>
      <c r="N1011" s="5"/>
      <c r="O1011" s="8"/>
      <c r="P1011" s="22"/>
      <c r="Q1011" s="5"/>
      <c r="R1011" s="5" t="s">
        <v>557</v>
      </c>
      <c r="S1011" s="5" t="s">
        <v>582</v>
      </c>
      <c r="T1011" s="8">
        <v>46298</v>
      </c>
    </row>
    <row r="1012" spans="1:20" ht="24" customHeight="1" x14ac:dyDescent="0.35">
      <c r="A1012" s="1" t="s">
        <v>2998</v>
      </c>
      <c r="B1012" s="1" t="s">
        <v>513</v>
      </c>
      <c r="C1012" s="1" t="s">
        <v>639</v>
      </c>
      <c r="D1012" s="1" t="s">
        <v>801</v>
      </c>
      <c r="E1012" s="10">
        <v>46254</v>
      </c>
      <c r="F1012" s="1" t="s">
        <v>587</v>
      </c>
      <c r="G1012" s="1" t="s">
        <v>588</v>
      </c>
      <c r="H1012" s="23">
        <v>42860000</v>
      </c>
      <c r="I1012" s="1" t="s">
        <v>589</v>
      </c>
      <c r="J1012" s="1" t="s">
        <v>548</v>
      </c>
      <c r="K1012" s="1" t="s">
        <v>546</v>
      </c>
      <c r="L1012" s="1" t="s">
        <v>608</v>
      </c>
      <c r="M1012" s="1" t="s">
        <v>581</v>
      </c>
      <c r="N1012" s="1"/>
      <c r="O1012" s="10"/>
      <c r="P1012" s="23"/>
      <c r="Q1012" s="1"/>
      <c r="R1012" s="1" t="s">
        <v>557</v>
      </c>
      <c r="S1012" s="1" t="s">
        <v>582</v>
      </c>
      <c r="T1012" s="10">
        <v>46298</v>
      </c>
    </row>
    <row r="1013" spans="1:20" ht="24" customHeight="1" x14ac:dyDescent="0.35">
      <c r="A1013" s="5" t="s">
        <v>2999</v>
      </c>
      <c r="B1013" s="5" t="s">
        <v>3000</v>
      </c>
      <c r="C1013" s="5" t="s">
        <v>651</v>
      </c>
      <c r="D1013" s="5" t="s">
        <v>476</v>
      </c>
      <c r="E1013" s="8">
        <v>46254</v>
      </c>
      <c r="F1013" s="5" t="s">
        <v>771</v>
      </c>
      <c r="G1013" s="5" t="s">
        <v>772</v>
      </c>
      <c r="H1013" s="22"/>
      <c r="I1013" s="5" t="s">
        <v>603</v>
      </c>
      <c r="J1013" s="5" t="s">
        <v>548</v>
      </c>
      <c r="K1013" s="5" t="s">
        <v>590</v>
      </c>
      <c r="L1013" s="5" t="s">
        <v>608</v>
      </c>
      <c r="M1013" s="5" t="s">
        <v>581</v>
      </c>
      <c r="N1013" s="5"/>
      <c r="O1013" s="8"/>
      <c r="P1013" s="22"/>
      <c r="Q1013" s="5" t="s">
        <v>773</v>
      </c>
      <c r="R1013" s="5" t="s">
        <v>557</v>
      </c>
      <c r="S1013" s="5" t="s">
        <v>582</v>
      </c>
      <c r="T1013" s="8">
        <v>46298</v>
      </c>
    </row>
    <row r="1014" spans="1:20" ht="24" customHeight="1" x14ac:dyDescent="0.35">
      <c r="A1014" s="1" t="s">
        <v>3001</v>
      </c>
      <c r="B1014" s="1" t="s">
        <v>3002</v>
      </c>
      <c r="C1014" s="1" t="s">
        <v>685</v>
      </c>
      <c r="D1014" s="1" t="s">
        <v>724</v>
      </c>
      <c r="E1014" s="10">
        <v>46254</v>
      </c>
      <c r="F1014" s="1" t="s">
        <v>771</v>
      </c>
      <c r="G1014" s="1" t="s">
        <v>772</v>
      </c>
      <c r="H1014" s="23"/>
      <c r="I1014" s="1" t="s">
        <v>603</v>
      </c>
      <c r="J1014" s="1" t="s">
        <v>547</v>
      </c>
      <c r="K1014" s="1" t="s">
        <v>590</v>
      </c>
      <c r="L1014" s="1" t="s">
        <v>591</v>
      </c>
      <c r="M1014" s="1" t="s">
        <v>581</v>
      </c>
      <c r="N1014" s="1"/>
      <c r="O1014" s="10"/>
      <c r="P1014" s="23"/>
      <c r="Q1014" s="1" t="s">
        <v>773</v>
      </c>
      <c r="R1014" s="1" t="s">
        <v>557</v>
      </c>
      <c r="S1014" s="1" t="s">
        <v>582</v>
      </c>
      <c r="T1014" s="10">
        <v>46298</v>
      </c>
    </row>
    <row r="1015" spans="1:20" ht="24" customHeight="1" x14ac:dyDescent="0.35">
      <c r="A1015" s="5" t="s">
        <v>3003</v>
      </c>
      <c r="B1015" s="5" t="s">
        <v>3004</v>
      </c>
      <c r="C1015" s="5" t="s">
        <v>144</v>
      </c>
      <c r="D1015" s="5" t="s">
        <v>529</v>
      </c>
      <c r="E1015" s="8">
        <v>46254</v>
      </c>
      <c r="F1015" s="5" t="s">
        <v>587</v>
      </c>
      <c r="G1015" s="5" t="s">
        <v>588</v>
      </c>
      <c r="H1015" s="22">
        <v>3000000</v>
      </c>
      <c r="I1015" s="5" t="s">
        <v>589</v>
      </c>
      <c r="J1015" s="5" t="s">
        <v>590</v>
      </c>
      <c r="K1015" s="5" t="s">
        <v>547</v>
      </c>
      <c r="L1015" s="5" t="s">
        <v>149</v>
      </c>
      <c r="M1015" s="5" t="s">
        <v>581</v>
      </c>
      <c r="N1015" s="5"/>
      <c r="O1015" s="8"/>
      <c r="P1015" s="22"/>
      <c r="Q1015" s="5"/>
      <c r="R1015" s="5" t="s">
        <v>557</v>
      </c>
      <c r="S1015" s="5" t="s">
        <v>582</v>
      </c>
      <c r="T1015" s="8">
        <v>46298</v>
      </c>
    </row>
    <row r="1016" spans="1:20" ht="24" customHeight="1" x14ac:dyDescent="0.35">
      <c r="A1016" s="1" t="s">
        <v>3005</v>
      </c>
      <c r="B1016" s="1" t="s">
        <v>3006</v>
      </c>
      <c r="C1016" s="1" t="s">
        <v>119</v>
      </c>
      <c r="D1016" s="1" t="s">
        <v>3007</v>
      </c>
      <c r="E1016" s="10">
        <v>46254</v>
      </c>
      <c r="F1016" s="1" t="s">
        <v>601</v>
      </c>
      <c r="G1016" s="1" t="s">
        <v>602</v>
      </c>
      <c r="H1016" s="23"/>
      <c r="I1016" s="1" t="s">
        <v>603</v>
      </c>
      <c r="J1016" s="1" t="s">
        <v>547</v>
      </c>
      <c r="K1016" s="1" t="s">
        <v>590</v>
      </c>
      <c r="L1016" s="1" t="s">
        <v>149</v>
      </c>
      <c r="M1016" s="1" t="s">
        <v>581</v>
      </c>
      <c r="N1016" s="1"/>
      <c r="O1016" s="10"/>
      <c r="P1016" s="23"/>
      <c r="Q1016" s="1"/>
      <c r="R1016" s="1" t="s">
        <v>557</v>
      </c>
      <c r="S1016" s="1" t="s">
        <v>582</v>
      </c>
      <c r="T1016" s="10">
        <v>46298</v>
      </c>
    </row>
    <row r="1017" spans="1:20" ht="24" customHeight="1" x14ac:dyDescent="0.35">
      <c r="A1017" s="5" t="s">
        <v>3008</v>
      </c>
      <c r="B1017" s="5" t="s">
        <v>223</v>
      </c>
      <c r="C1017" s="5" t="s">
        <v>146</v>
      </c>
      <c r="D1017" s="5" t="s">
        <v>91</v>
      </c>
      <c r="E1017" s="8">
        <v>46254</v>
      </c>
      <c r="F1017" s="5" t="s">
        <v>578</v>
      </c>
      <c r="G1017" s="5" t="s">
        <v>579</v>
      </c>
      <c r="H1017" s="22"/>
      <c r="I1017" s="5" t="s">
        <v>580</v>
      </c>
      <c r="J1017" s="5" t="s">
        <v>590</v>
      </c>
      <c r="K1017" s="5" t="s">
        <v>545</v>
      </c>
      <c r="L1017" s="5" t="s">
        <v>149</v>
      </c>
      <c r="M1017" s="5" t="s">
        <v>581</v>
      </c>
      <c r="N1017" s="5"/>
      <c r="O1017" s="8"/>
      <c r="P1017" s="22"/>
      <c r="Q1017" s="5"/>
      <c r="R1017" s="5" t="s">
        <v>557</v>
      </c>
      <c r="S1017" s="5" t="s">
        <v>582</v>
      </c>
      <c r="T1017" s="8">
        <v>46298</v>
      </c>
    </row>
    <row r="1018" spans="1:20" ht="24" customHeight="1" x14ac:dyDescent="0.35">
      <c r="A1018" s="1" t="s">
        <v>3009</v>
      </c>
      <c r="B1018" s="1" t="s">
        <v>3010</v>
      </c>
      <c r="C1018" s="1" t="s">
        <v>101</v>
      </c>
      <c r="D1018" s="1" t="s">
        <v>1112</v>
      </c>
      <c r="E1018" s="10">
        <v>46254</v>
      </c>
      <c r="F1018" s="1" t="s">
        <v>771</v>
      </c>
      <c r="G1018" s="1" t="s">
        <v>772</v>
      </c>
      <c r="H1018" s="23"/>
      <c r="I1018" s="1" t="s">
        <v>603</v>
      </c>
      <c r="J1018" s="1" t="s">
        <v>544</v>
      </c>
      <c r="K1018" s="1" t="s">
        <v>590</v>
      </c>
      <c r="L1018" s="1" t="s">
        <v>591</v>
      </c>
      <c r="M1018" s="1" t="s">
        <v>581</v>
      </c>
      <c r="N1018" s="1"/>
      <c r="O1018" s="10"/>
      <c r="P1018" s="23"/>
      <c r="Q1018" s="1" t="s">
        <v>773</v>
      </c>
      <c r="R1018" s="1" t="s">
        <v>557</v>
      </c>
      <c r="S1018" s="1" t="s">
        <v>582</v>
      </c>
      <c r="T1018" s="10">
        <v>46298</v>
      </c>
    </row>
    <row r="1019" spans="1:20" ht="24" customHeight="1" x14ac:dyDescent="0.35">
      <c r="A1019" s="5" t="s">
        <v>3011</v>
      </c>
      <c r="B1019" s="5" t="s">
        <v>3012</v>
      </c>
      <c r="C1019" s="5" t="s">
        <v>782</v>
      </c>
      <c r="D1019" s="5" t="s">
        <v>1099</v>
      </c>
      <c r="E1019" s="8">
        <v>46254</v>
      </c>
      <c r="F1019" s="5" t="s">
        <v>771</v>
      </c>
      <c r="G1019" s="5" t="s">
        <v>772</v>
      </c>
      <c r="H1019" s="22"/>
      <c r="I1019" s="5" t="s">
        <v>603</v>
      </c>
      <c r="J1019" s="5" t="s">
        <v>590</v>
      </c>
      <c r="K1019" s="5" t="s">
        <v>545</v>
      </c>
      <c r="L1019" s="5" t="s">
        <v>149</v>
      </c>
      <c r="M1019" s="5" t="s">
        <v>581</v>
      </c>
      <c r="N1019" s="5"/>
      <c r="O1019" s="8"/>
      <c r="P1019" s="22"/>
      <c r="Q1019" s="5" t="s">
        <v>773</v>
      </c>
      <c r="R1019" s="5" t="s">
        <v>557</v>
      </c>
      <c r="S1019" s="5" t="s">
        <v>582</v>
      </c>
      <c r="T1019" s="8">
        <v>46298</v>
      </c>
    </row>
    <row r="1020" spans="1:20" ht="24" customHeight="1" x14ac:dyDescent="0.35">
      <c r="A1020" s="1" t="s">
        <v>3013</v>
      </c>
      <c r="B1020" s="1" t="s">
        <v>3014</v>
      </c>
      <c r="C1020" s="1" t="s">
        <v>1949</v>
      </c>
      <c r="D1020" s="1" t="s">
        <v>868</v>
      </c>
      <c r="E1020" s="10">
        <v>46254</v>
      </c>
      <c r="F1020" s="1" t="s">
        <v>587</v>
      </c>
      <c r="G1020" s="1" t="s">
        <v>588</v>
      </c>
      <c r="H1020" s="23">
        <v>17100000</v>
      </c>
      <c r="I1020" s="1" t="s">
        <v>589</v>
      </c>
      <c r="J1020" s="1" t="s">
        <v>590</v>
      </c>
      <c r="K1020" s="1" t="s">
        <v>545</v>
      </c>
      <c r="L1020" s="1" t="s">
        <v>640</v>
      </c>
      <c r="M1020" s="1" t="s">
        <v>581</v>
      </c>
      <c r="N1020" s="1"/>
      <c r="O1020" s="10"/>
      <c r="P1020" s="23"/>
      <c r="Q1020" s="1"/>
      <c r="R1020" s="1" t="s">
        <v>557</v>
      </c>
      <c r="S1020" s="1" t="s">
        <v>582</v>
      </c>
      <c r="T1020" s="10">
        <v>46298</v>
      </c>
    </row>
    <row r="1021" spans="1:20" ht="24" customHeight="1" x14ac:dyDescent="0.35">
      <c r="A1021" s="5" t="s">
        <v>3015</v>
      </c>
      <c r="B1021" s="5" t="s">
        <v>282</v>
      </c>
      <c r="C1021" s="5" t="s">
        <v>408</v>
      </c>
      <c r="D1021" s="5" t="s">
        <v>106</v>
      </c>
      <c r="E1021" s="8">
        <v>46255</v>
      </c>
      <c r="F1021" s="5" t="s">
        <v>771</v>
      </c>
      <c r="G1021" s="5" t="s">
        <v>772</v>
      </c>
      <c r="H1021" s="22"/>
      <c r="I1021" s="5" t="s">
        <v>603</v>
      </c>
      <c r="J1021" s="5" t="s">
        <v>590</v>
      </c>
      <c r="K1021" s="5" t="s">
        <v>544</v>
      </c>
      <c r="L1021" s="5" t="s">
        <v>149</v>
      </c>
      <c r="M1021" s="5" t="s">
        <v>581</v>
      </c>
      <c r="N1021" s="5"/>
      <c r="O1021" s="8"/>
      <c r="P1021" s="22"/>
      <c r="Q1021" s="5" t="s">
        <v>1107</v>
      </c>
      <c r="R1021" s="5" t="s">
        <v>557</v>
      </c>
      <c r="S1021" s="5" t="s">
        <v>582</v>
      </c>
      <c r="T1021" s="8">
        <v>46298</v>
      </c>
    </row>
    <row r="1022" spans="1:20" ht="24" customHeight="1" x14ac:dyDescent="0.35">
      <c r="A1022" s="1" t="s">
        <v>3016</v>
      </c>
      <c r="B1022" s="1" t="s">
        <v>3017</v>
      </c>
      <c r="C1022" s="1" t="s">
        <v>448</v>
      </c>
      <c r="D1022" s="1" t="s">
        <v>630</v>
      </c>
      <c r="E1022" s="10">
        <v>46255</v>
      </c>
      <c r="F1022" s="1" t="s">
        <v>587</v>
      </c>
      <c r="G1022" s="1" t="s">
        <v>588</v>
      </c>
      <c r="H1022" s="23">
        <v>1300000</v>
      </c>
      <c r="I1022" s="1" t="s">
        <v>589</v>
      </c>
      <c r="J1022" s="1" t="s">
        <v>547</v>
      </c>
      <c r="K1022" s="1" t="s">
        <v>547</v>
      </c>
      <c r="L1022" s="1" t="s">
        <v>608</v>
      </c>
      <c r="M1022" s="1" t="s">
        <v>581</v>
      </c>
      <c r="N1022" s="1"/>
      <c r="O1022" s="10"/>
      <c r="P1022" s="23"/>
      <c r="Q1022" s="1"/>
      <c r="R1022" s="1" t="s">
        <v>557</v>
      </c>
      <c r="S1022" s="1" t="s">
        <v>582</v>
      </c>
      <c r="T1022" s="10">
        <v>46298</v>
      </c>
    </row>
    <row r="1023" spans="1:20" ht="24" customHeight="1" x14ac:dyDescent="0.35">
      <c r="A1023" s="5" t="s">
        <v>3018</v>
      </c>
      <c r="B1023" s="5" t="s">
        <v>3019</v>
      </c>
      <c r="C1023" s="5" t="s">
        <v>476</v>
      </c>
      <c r="D1023" s="5" t="s">
        <v>999</v>
      </c>
      <c r="E1023" s="8">
        <v>46255</v>
      </c>
      <c r="F1023" s="5" t="s">
        <v>601</v>
      </c>
      <c r="G1023" s="5" t="s">
        <v>602</v>
      </c>
      <c r="H1023" s="22"/>
      <c r="I1023" s="5" t="s">
        <v>603</v>
      </c>
      <c r="J1023" s="5" t="s">
        <v>590</v>
      </c>
      <c r="K1023" s="5" t="s">
        <v>544</v>
      </c>
      <c r="L1023" s="5" t="s">
        <v>172</v>
      </c>
      <c r="M1023" s="5" t="s">
        <v>581</v>
      </c>
      <c r="N1023" s="5"/>
      <c r="O1023" s="8"/>
      <c r="P1023" s="22"/>
      <c r="Q1023" s="5"/>
      <c r="R1023" s="5" t="s">
        <v>557</v>
      </c>
      <c r="S1023" s="5" t="s">
        <v>582</v>
      </c>
      <c r="T1023" s="8">
        <v>46298</v>
      </c>
    </row>
    <row r="1024" spans="1:20" ht="24" customHeight="1" x14ac:dyDescent="0.35">
      <c r="A1024" s="1" t="s">
        <v>3020</v>
      </c>
      <c r="B1024" s="1" t="s">
        <v>3021</v>
      </c>
      <c r="C1024" s="1" t="s">
        <v>599</v>
      </c>
      <c r="D1024" s="1" t="s">
        <v>3022</v>
      </c>
      <c r="E1024" s="10">
        <v>46255</v>
      </c>
      <c r="F1024" s="1" t="s">
        <v>771</v>
      </c>
      <c r="G1024" s="1" t="s">
        <v>772</v>
      </c>
      <c r="H1024" s="23"/>
      <c r="I1024" s="1" t="s">
        <v>603</v>
      </c>
      <c r="J1024" s="1" t="s">
        <v>544</v>
      </c>
      <c r="K1024" s="1" t="s">
        <v>590</v>
      </c>
      <c r="L1024" s="1" t="s">
        <v>149</v>
      </c>
      <c r="M1024" s="1" t="s">
        <v>581</v>
      </c>
      <c r="N1024" s="1"/>
      <c r="O1024" s="10"/>
      <c r="P1024" s="23"/>
      <c r="Q1024" s="1" t="s">
        <v>773</v>
      </c>
      <c r="R1024" s="1" t="s">
        <v>557</v>
      </c>
      <c r="S1024" s="1" t="s">
        <v>582</v>
      </c>
      <c r="T1024" s="10">
        <v>46298</v>
      </c>
    </row>
    <row r="1025" spans="1:20" ht="24" customHeight="1" x14ac:dyDescent="0.35">
      <c r="A1025" s="5" t="s">
        <v>3023</v>
      </c>
      <c r="B1025" s="5" t="s">
        <v>3024</v>
      </c>
      <c r="C1025" s="5" t="s">
        <v>599</v>
      </c>
      <c r="D1025" s="5" t="s">
        <v>3022</v>
      </c>
      <c r="E1025" s="8">
        <v>46254</v>
      </c>
      <c r="F1025" s="5" t="s">
        <v>587</v>
      </c>
      <c r="G1025" s="5" t="s">
        <v>588</v>
      </c>
      <c r="H1025" s="22">
        <v>6000000</v>
      </c>
      <c r="I1025" s="5" t="s">
        <v>589</v>
      </c>
      <c r="J1025" s="5" t="s">
        <v>544</v>
      </c>
      <c r="K1025" s="5" t="s">
        <v>590</v>
      </c>
      <c r="L1025" s="5" t="s">
        <v>640</v>
      </c>
      <c r="M1025" s="5" t="s">
        <v>581</v>
      </c>
      <c r="N1025" s="5"/>
      <c r="O1025" s="8"/>
      <c r="P1025" s="22"/>
      <c r="Q1025" s="5"/>
      <c r="R1025" s="5" t="s">
        <v>557</v>
      </c>
      <c r="S1025" s="5" t="s">
        <v>582</v>
      </c>
      <c r="T1025" s="8">
        <v>46298</v>
      </c>
    </row>
    <row r="1026" spans="1:20" ht="24" customHeight="1" x14ac:dyDescent="0.35">
      <c r="A1026" s="1" t="s">
        <v>3025</v>
      </c>
      <c r="B1026" s="1" t="s">
        <v>3026</v>
      </c>
      <c r="C1026" s="1" t="s">
        <v>355</v>
      </c>
      <c r="D1026" s="1" t="s">
        <v>408</v>
      </c>
      <c r="E1026" s="10">
        <v>46255</v>
      </c>
      <c r="F1026" s="1" t="s">
        <v>771</v>
      </c>
      <c r="G1026" s="1" t="s">
        <v>772</v>
      </c>
      <c r="H1026" s="23"/>
      <c r="I1026" s="1" t="s">
        <v>603</v>
      </c>
      <c r="J1026" s="1" t="s">
        <v>544</v>
      </c>
      <c r="K1026" s="1" t="s">
        <v>590</v>
      </c>
      <c r="L1026" s="1" t="s">
        <v>640</v>
      </c>
      <c r="M1026" s="1" t="s">
        <v>581</v>
      </c>
      <c r="N1026" s="1"/>
      <c r="O1026" s="10"/>
      <c r="P1026" s="23"/>
      <c r="Q1026" s="1" t="s">
        <v>773</v>
      </c>
      <c r="R1026" s="1" t="s">
        <v>557</v>
      </c>
      <c r="S1026" s="1" t="s">
        <v>582</v>
      </c>
      <c r="T1026" s="10">
        <v>46298</v>
      </c>
    </row>
    <row r="1027" spans="1:20" ht="24" customHeight="1" x14ac:dyDescent="0.35">
      <c r="A1027" s="5" t="s">
        <v>3027</v>
      </c>
      <c r="B1027" s="5" t="s">
        <v>3028</v>
      </c>
      <c r="C1027" s="5" t="s">
        <v>624</v>
      </c>
      <c r="D1027" s="5" t="s">
        <v>639</v>
      </c>
      <c r="E1027" s="8">
        <v>46255</v>
      </c>
      <c r="F1027" s="5" t="s">
        <v>587</v>
      </c>
      <c r="G1027" s="5" t="s">
        <v>588</v>
      </c>
      <c r="H1027" s="22">
        <v>17100000</v>
      </c>
      <c r="I1027" s="5" t="s">
        <v>589</v>
      </c>
      <c r="J1027" s="5" t="s">
        <v>547</v>
      </c>
      <c r="K1027" s="5" t="s">
        <v>548</v>
      </c>
      <c r="L1027" s="5" t="s">
        <v>149</v>
      </c>
      <c r="M1027" s="5" t="s">
        <v>581</v>
      </c>
      <c r="N1027" s="5"/>
      <c r="O1027" s="8"/>
      <c r="P1027" s="22"/>
      <c r="Q1027" s="5"/>
      <c r="R1027" s="5" t="s">
        <v>557</v>
      </c>
      <c r="S1027" s="5" t="s">
        <v>582</v>
      </c>
      <c r="T1027" s="8">
        <v>46298</v>
      </c>
    </row>
    <row r="1028" spans="1:20" ht="24" customHeight="1" x14ac:dyDescent="0.35">
      <c r="A1028" s="1" t="s">
        <v>3029</v>
      </c>
      <c r="B1028" s="1" t="s">
        <v>3030</v>
      </c>
      <c r="C1028" s="1" t="s">
        <v>292</v>
      </c>
      <c r="D1028" s="1" t="s">
        <v>1223</v>
      </c>
      <c r="E1028" s="10">
        <v>46255</v>
      </c>
      <c r="F1028" s="1" t="s">
        <v>771</v>
      </c>
      <c r="G1028" s="1" t="s">
        <v>772</v>
      </c>
      <c r="H1028" s="23"/>
      <c r="I1028" s="1" t="s">
        <v>603</v>
      </c>
      <c r="J1028" s="1" t="s">
        <v>544</v>
      </c>
      <c r="K1028" s="1" t="s">
        <v>590</v>
      </c>
      <c r="L1028" s="1" t="s">
        <v>608</v>
      </c>
      <c r="M1028" s="1" t="s">
        <v>581</v>
      </c>
      <c r="N1028" s="1"/>
      <c r="O1028" s="10"/>
      <c r="P1028" s="23"/>
      <c r="Q1028" s="1" t="s">
        <v>773</v>
      </c>
      <c r="R1028" s="1" t="s">
        <v>557</v>
      </c>
      <c r="S1028" s="1" t="s">
        <v>582</v>
      </c>
      <c r="T1028" s="10">
        <v>46298</v>
      </c>
    </row>
    <row r="1029" spans="1:20" ht="24" customHeight="1" x14ac:dyDescent="0.35">
      <c r="A1029" s="5" t="s">
        <v>3031</v>
      </c>
      <c r="B1029" s="5" t="s">
        <v>3032</v>
      </c>
      <c r="C1029" s="5" t="s">
        <v>188</v>
      </c>
      <c r="D1029" s="5" t="s">
        <v>791</v>
      </c>
      <c r="E1029" s="8">
        <v>46255</v>
      </c>
      <c r="F1029" s="5" t="s">
        <v>771</v>
      </c>
      <c r="G1029" s="5" t="s">
        <v>772</v>
      </c>
      <c r="H1029" s="22"/>
      <c r="I1029" s="5" t="s">
        <v>603</v>
      </c>
      <c r="J1029" s="5" t="s">
        <v>590</v>
      </c>
      <c r="K1029" s="5" t="s">
        <v>548</v>
      </c>
      <c r="L1029" s="5" t="s">
        <v>149</v>
      </c>
      <c r="M1029" s="5" t="s">
        <v>581</v>
      </c>
      <c r="N1029" s="5"/>
      <c r="O1029" s="8"/>
      <c r="P1029" s="22"/>
      <c r="Q1029" s="5" t="s">
        <v>773</v>
      </c>
      <c r="R1029" s="5" t="s">
        <v>557</v>
      </c>
      <c r="S1029" s="5" t="s">
        <v>582</v>
      </c>
      <c r="T1029" s="8">
        <v>46298</v>
      </c>
    </row>
    <row r="1030" spans="1:20" ht="24" customHeight="1" x14ac:dyDescent="0.35">
      <c r="A1030" s="1" t="s">
        <v>3033</v>
      </c>
      <c r="B1030" s="1" t="s">
        <v>483</v>
      </c>
      <c r="C1030" s="1" t="s">
        <v>101</v>
      </c>
      <c r="D1030" s="1" t="s">
        <v>130</v>
      </c>
      <c r="E1030" s="10">
        <v>46255</v>
      </c>
      <c r="F1030" s="1" t="s">
        <v>587</v>
      </c>
      <c r="G1030" s="1" t="s">
        <v>588</v>
      </c>
      <c r="H1030" s="23">
        <v>25700000</v>
      </c>
      <c r="I1030" s="1" t="s">
        <v>589</v>
      </c>
      <c r="J1030" s="1" t="s">
        <v>544</v>
      </c>
      <c r="K1030" s="1" t="s">
        <v>546</v>
      </c>
      <c r="L1030" s="1" t="s">
        <v>608</v>
      </c>
      <c r="M1030" s="1" t="s">
        <v>581</v>
      </c>
      <c r="N1030" s="1"/>
      <c r="O1030" s="10"/>
      <c r="P1030" s="23"/>
      <c r="Q1030" s="1"/>
      <c r="R1030" s="1" t="s">
        <v>557</v>
      </c>
      <c r="S1030" s="1" t="s">
        <v>582</v>
      </c>
      <c r="T1030" s="10">
        <v>46298</v>
      </c>
    </row>
    <row r="1031" spans="1:20" ht="24" customHeight="1" x14ac:dyDescent="0.35">
      <c r="A1031" s="5" t="s">
        <v>3034</v>
      </c>
      <c r="B1031" s="5" t="s">
        <v>3035</v>
      </c>
      <c r="C1031" s="5" t="s">
        <v>423</v>
      </c>
      <c r="D1031" s="5" t="s">
        <v>661</v>
      </c>
      <c r="E1031" s="8">
        <v>46255</v>
      </c>
      <c r="F1031" s="5" t="s">
        <v>771</v>
      </c>
      <c r="G1031" s="5" t="s">
        <v>772</v>
      </c>
      <c r="H1031" s="22"/>
      <c r="I1031" s="5" t="s">
        <v>603</v>
      </c>
      <c r="J1031" s="5" t="s">
        <v>546</v>
      </c>
      <c r="K1031" s="5" t="s">
        <v>546</v>
      </c>
      <c r="L1031" s="5" t="s">
        <v>591</v>
      </c>
      <c r="M1031" s="5" t="s">
        <v>581</v>
      </c>
      <c r="N1031" s="5"/>
      <c r="O1031" s="8"/>
      <c r="P1031" s="22"/>
      <c r="Q1031" s="5" t="s">
        <v>773</v>
      </c>
      <c r="R1031" s="5" t="s">
        <v>557</v>
      </c>
      <c r="S1031" s="5" t="s">
        <v>582</v>
      </c>
      <c r="T1031" s="8">
        <v>46298</v>
      </c>
    </row>
    <row r="1032" spans="1:20" ht="24" customHeight="1" x14ac:dyDescent="0.35">
      <c r="A1032" s="1" t="s">
        <v>3036</v>
      </c>
      <c r="B1032" s="1" t="s">
        <v>3037</v>
      </c>
      <c r="C1032" s="1" t="s">
        <v>1427</v>
      </c>
      <c r="D1032" s="1" t="s">
        <v>953</v>
      </c>
      <c r="E1032" s="10">
        <v>46255</v>
      </c>
      <c r="F1032" s="1" t="s">
        <v>601</v>
      </c>
      <c r="G1032" s="1" t="s">
        <v>602</v>
      </c>
      <c r="H1032" s="23"/>
      <c r="I1032" s="1" t="s">
        <v>603</v>
      </c>
      <c r="J1032" s="1" t="s">
        <v>590</v>
      </c>
      <c r="K1032" s="1" t="s">
        <v>548</v>
      </c>
      <c r="L1032" s="1" t="s">
        <v>608</v>
      </c>
      <c r="M1032" s="1" t="s">
        <v>581</v>
      </c>
      <c r="N1032" s="1"/>
      <c r="O1032" s="10"/>
      <c r="P1032" s="23"/>
      <c r="Q1032" s="1"/>
      <c r="R1032" s="1" t="s">
        <v>557</v>
      </c>
      <c r="S1032" s="1" t="s">
        <v>582</v>
      </c>
      <c r="T1032" s="10">
        <v>46298</v>
      </c>
    </row>
    <row r="1033" spans="1:20" ht="24" customHeight="1" x14ac:dyDescent="0.35">
      <c r="A1033" s="5" t="s">
        <v>3038</v>
      </c>
      <c r="B1033" s="5" t="s">
        <v>3039</v>
      </c>
      <c r="C1033" s="5" t="s">
        <v>596</v>
      </c>
      <c r="D1033" s="5" t="s">
        <v>850</v>
      </c>
      <c r="E1033" s="8">
        <v>46255</v>
      </c>
      <c r="F1033" s="5" t="s">
        <v>587</v>
      </c>
      <c r="G1033" s="5" t="s">
        <v>588</v>
      </c>
      <c r="H1033" s="22">
        <v>24000000</v>
      </c>
      <c r="I1033" s="5" t="s">
        <v>589</v>
      </c>
      <c r="J1033" s="5" t="s">
        <v>548</v>
      </c>
      <c r="K1033" s="5" t="s">
        <v>544</v>
      </c>
      <c r="L1033" s="5" t="s">
        <v>149</v>
      </c>
      <c r="M1033" s="5" t="s">
        <v>581</v>
      </c>
      <c r="N1033" s="5"/>
      <c r="O1033" s="8"/>
      <c r="P1033" s="22"/>
      <c r="Q1033" s="5"/>
      <c r="R1033" s="5" t="s">
        <v>557</v>
      </c>
      <c r="S1033" s="5" t="s">
        <v>582</v>
      </c>
      <c r="T1033" s="8">
        <v>46298</v>
      </c>
    </row>
    <row r="1034" spans="1:20" ht="24" customHeight="1" x14ac:dyDescent="0.35">
      <c r="A1034" s="1" t="s">
        <v>3040</v>
      </c>
      <c r="B1034" s="1" t="s">
        <v>3041</v>
      </c>
      <c r="C1034" s="1" t="s">
        <v>797</v>
      </c>
      <c r="D1034" s="1" t="s">
        <v>111</v>
      </c>
      <c r="E1034" s="10">
        <v>46253</v>
      </c>
      <c r="F1034" s="1" t="s">
        <v>587</v>
      </c>
      <c r="G1034" s="1" t="s">
        <v>588</v>
      </c>
      <c r="H1034" s="23">
        <v>17100000</v>
      </c>
      <c r="I1034" s="1" t="s">
        <v>589</v>
      </c>
      <c r="J1034" s="1" t="s">
        <v>546</v>
      </c>
      <c r="K1034" s="1" t="s">
        <v>590</v>
      </c>
      <c r="L1034" s="1" t="s">
        <v>149</v>
      </c>
      <c r="M1034" s="1" t="s">
        <v>581</v>
      </c>
      <c r="N1034" s="1"/>
      <c r="O1034" s="10"/>
      <c r="P1034" s="23"/>
      <c r="Q1034" s="1"/>
      <c r="R1034" s="1" t="s">
        <v>557</v>
      </c>
      <c r="S1034" s="1" t="s">
        <v>582</v>
      </c>
      <c r="T1034" s="10">
        <v>46298</v>
      </c>
    </row>
    <row r="1035" spans="1:20" ht="24" customHeight="1" x14ac:dyDescent="0.35">
      <c r="A1035" s="5" t="s">
        <v>3042</v>
      </c>
      <c r="B1035" s="5" t="s">
        <v>3043</v>
      </c>
      <c r="C1035" s="5" t="s">
        <v>103</v>
      </c>
      <c r="D1035" s="5" t="s">
        <v>174</v>
      </c>
      <c r="E1035" s="8">
        <v>46256</v>
      </c>
      <c r="F1035" s="5" t="s">
        <v>771</v>
      </c>
      <c r="G1035" s="5" t="s">
        <v>772</v>
      </c>
      <c r="H1035" s="22"/>
      <c r="I1035" s="5" t="s">
        <v>603</v>
      </c>
      <c r="J1035" s="5" t="s">
        <v>544</v>
      </c>
      <c r="K1035" s="5" t="s">
        <v>546</v>
      </c>
      <c r="L1035" s="5" t="s">
        <v>149</v>
      </c>
      <c r="M1035" s="5" t="s">
        <v>581</v>
      </c>
      <c r="N1035" s="5"/>
      <c r="O1035" s="8"/>
      <c r="P1035" s="22"/>
      <c r="Q1035" s="5" t="s">
        <v>1107</v>
      </c>
      <c r="R1035" s="5" t="s">
        <v>557</v>
      </c>
      <c r="S1035" s="5" t="s">
        <v>582</v>
      </c>
      <c r="T1035" s="8">
        <v>46298</v>
      </c>
    </row>
    <row r="1036" spans="1:20" ht="24" customHeight="1" x14ac:dyDescent="0.35">
      <c r="A1036" s="1" t="s">
        <v>3044</v>
      </c>
      <c r="B1036" s="1" t="s">
        <v>3045</v>
      </c>
      <c r="C1036" s="1" t="s">
        <v>3046</v>
      </c>
      <c r="D1036" s="1" t="s">
        <v>101</v>
      </c>
      <c r="E1036" s="10">
        <v>46251</v>
      </c>
      <c r="F1036" s="1" t="s">
        <v>601</v>
      </c>
      <c r="G1036" s="1" t="s">
        <v>602</v>
      </c>
      <c r="H1036" s="23"/>
      <c r="I1036" s="1" t="s">
        <v>603</v>
      </c>
      <c r="J1036" s="1" t="s">
        <v>590</v>
      </c>
      <c r="K1036" s="1" t="s">
        <v>544</v>
      </c>
      <c r="L1036" s="1" t="s">
        <v>149</v>
      </c>
      <c r="M1036" s="1" t="s">
        <v>581</v>
      </c>
      <c r="N1036" s="1"/>
      <c r="O1036" s="10"/>
      <c r="P1036" s="23"/>
      <c r="Q1036" s="1"/>
      <c r="R1036" s="1" t="s">
        <v>557</v>
      </c>
      <c r="S1036" s="1" t="s">
        <v>582</v>
      </c>
      <c r="T1036" s="10">
        <v>46298</v>
      </c>
    </row>
    <row r="1037" spans="1:20" ht="24" customHeight="1" x14ac:dyDescent="0.35">
      <c r="A1037" s="5" t="s">
        <v>3047</v>
      </c>
      <c r="B1037" s="5" t="s">
        <v>3045</v>
      </c>
      <c r="C1037" s="5" t="s">
        <v>101</v>
      </c>
      <c r="D1037" s="5" t="s">
        <v>743</v>
      </c>
      <c r="E1037" s="8">
        <v>46256</v>
      </c>
      <c r="F1037" s="5" t="s">
        <v>771</v>
      </c>
      <c r="G1037" s="5" t="s">
        <v>772</v>
      </c>
      <c r="H1037" s="22"/>
      <c r="I1037" s="5" t="s">
        <v>603</v>
      </c>
      <c r="J1037" s="5" t="s">
        <v>544</v>
      </c>
      <c r="K1037" s="5" t="s">
        <v>545</v>
      </c>
      <c r="L1037" s="5" t="s">
        <v>149</v>
      </c>
      <c r="M1037" s="5" t="s">
        <v>581</v>
      </c>
      <c r="N1037" s="5"/>
      <c r="O1037" s="8"/>
      <c r="P1037" s="22"/>
      <c r="Q1037" s="5" t="s">
        <v>773</v>
      </c>
      <c r="R1037" s="5" t="s">
        <v>557</v>
      </c>
      <c r="S1037" s="5" t="s">
        <v>582</v>
      </c>
      <c r="T1037" s="8">
        <v>46298</v>
      </c>
    </row>
    <row r="1038" spans="1:20" ht="24" customHeight="1" x14ac:dyDescent="0.35">
      <c r="A1038" s="1" t="s">
        <v>3048</v>
      </c>
      <c r="B1038" s="1" t="s">
        <v>3049</v>
      </c>
      <c r="C1038" s="1" t="s">
        <v>144</v>
      </c>
      <c r="D1038" s="1" t="s">
        <v>1184</v>
      </c>
      <c r="E1038" s="10">
        <v>46256</v>
      </c>
      <c r="F1038" s="1" t="s">
        <v>771</v>
      </c>
      <c r="G1038" s="1" t="s">
        <v>772</v>
      </c>
      <c r="H1038" s="23"/>
      <c r="I1038" s="1" t="s">
        <v>603</v>
      </c>
      <c r="J1038" s="1" t="s">
        <v>590</v>
      </c>
      <c r="K1038" s="1" t="s">
        <v>546</v>
      </c>
      <c r="L1038" s="1" t="s">
        <v>149</v>
      </c>
      <c r="M1038" s="1" t="s">
        <v>581</v>
      </c>
      <c r="N1038" s="1"/>
      <c r="O1038" s="10"/>
      <c r="P1038" s="23"/>
      <c r="Q1038" s="1" t="s">
        <v>1008</v>
      </c>
      <c r="R1038" s="1" t="s">
        <v>557</v>
      </c>
      <c r="S1038" s="1" t="s">
        <v>582</v>
      </c>
      <c r="T1038" s="10">
        <v>46298</v>
      </c>
    </row>
    <row r="1039" spans="1:20" ht="24" customHeight="1" x14ac:dyDescent="0.35">
      <c r="A1039" s="5" t="s">
        <v>3050</v>
      </c>
      <c r="B1039" s="5" t="s">
        <v>3051</v>
      </c>
      <c r="C1039" s="5" t="s">
        <v>119</v>
      </c>
      <c r="D1039" s="5" t="s">
        <v>176</v>
      </c>
      <c r="E1039" s="8">
        <v>46256</v>
      </c>
      <c r="F1039" s="5" t="s">
        <v>771</v>
      </c>
      <c r="G1039" s="5" t="s">
        <v>772</v>
      </c>
      <c r="H1039" s="22"/>
      <c r="I1039" s="5" t="s">
        <v>603</v>
      </c>
      <c r="J1039" s="5" t="s">
        <v>547</v>
      </c>
      <c r="K1039" s="5" t="s">
        <v>546</v>
      </c>
      <c r="L1039" s="5" t="s">
        <v>608</v>
      </c>
      <c r="M1039" s="5" t="s">
        <v>581</v>
      </c>
      <c r="N1039" s="5"/>
      <c r="O1039" s="8"/>
      <c r="P1039" s="22"/>
      <c r="Q1039" s="5" t="s">
        <v>773</v>
      </c>
      <c r="R1039" s="5" t="s">
        <v>557</v>
      </c>
      <c r="S1039" s="5" t="s">
        <v>582</v>
      </c>
      <c r="T1039" s="8">
        <v>46298</v>
      </c>
    </row>
    <row r="1040" spans="1:20" ht="24" customHeight="1" x14ac:dyDescent="0.35">
      <c r="A1040" s="1" t="s">
        <v>3052</v>
      </c>
      <c r="B1040" s="1" t="s">
        <v>3053</v>
      </c>
      <c r="C1040" s="1" t="s">
        <v>1014</v>
      </c>
      <c r="D1040" s="1" t="s">
        <v>1700</v>
      </c>
      <c r="E1040" s="10">
        <v>46256</v>
      </c>
      <c r="F1040" s="1" t="s">
        <v>578</v>
      </c>
      <c r="G1040" s="1" t="s">
        <v>579</v>
      </c>
      <c r="H1040" s="23"/>
      <c r="I1040" s="1" t="s">
        <v>580</v>
      </c>
      <c r="J1040" s="1" t="s">
        <v>545</v>
      </c>
      <c r="K1040" s="1" t="s">
        <v>590</v>
      </c>
      <c r="L1040" s="1" t="s">
        <v>608</v>
      </c>
      <c r="M1040" s="1" t="s">
        <v>581</v>
      </c>
      <c r="N1040" s="1"/>
      <c r="O1040" s="10"/>
      <c r="P1040" s="23"/>
      <c r="Q1040" s="1"/>
      <c r="R1040" s="1" t="s">
        <v>557</v>
      </c>
      <c r="S1040" s="1" t="s">
        <v>582</v>
      </c>
      <c r="T1040" s="10">
        <v>46298</v>
      </c>
    </row>
    <row r="1041" spans="1:20" ht="24" customHeight="1" x14ac:dyDescent="0.35">
      <c r="A1041" s="5" t="s">
        <v>3054</v>
      </c>
      <c r="B1041" s="5" t="s">
        <v>3055</v>
      </c>
      <c r="C1041" s="5" t="s">
        <v>788</v>
      </c>
      <c r="D1041" s="5" t="s">
        <v>144</v>
      </c>
      <c r="E1041" s="8">
        <v>46256</v>
      </c>
      <c r="F1041" s="5" t="s">
        <v>771</v>
      </c>
      <c r="G1041" s="5" t="s">
        <v>772</v>
      </c>
      <c r="H1041" s="22"/>
      <c r="I1041" s="5" t="s">
        <v>603</v>
      </c>
      <c r="J1041" s="5" t="s">
        <v>546</v>
      </c>
      <c r="K1041" s="5" t="s">
        <v>590</v>
      </c>
      <c r="L1041" s="5" t="s">
        <v>608</v>
      </c>
      <c r="M1041" s="5" t="s">
        <v>581</v>
      </c>
      <c r="N1041" s="5"/>
      <c r="O1041" s="8"/>
      <c r="P1041" s="22"/>
      <c r="Q1041" s="5" t="s">
        <v>1008</v>
      </c>
      <c r="R1041" s="5" t="s">
        <v>557</v>
      </c>
      <c r="S1041" s="5" t="s">
        <v>582</v>
      </c>
      <c r="T1041" s="8">
        <v>46298</v>
      </c>
    </row>
    <row r="1042" spans="1:20" ht="24" customHeight="1" x14ac:dyDescent="0.35">
      <c r="A1042" s="1" t="s">
        <v>3056</v>
      </c>
      <c r="B1042" s="1" t="s">
        <v>3057</v>
      </c>
      <c r="C1042" s="1" t="s">
        <v>1129</v>
      </c>
      <c r="D1042" s="1" t="s">
        <v>623</v>
      </c>
      <c r="E1042" s="10">
        <v>46256</v>
      </c>
      <c r="F1042" s="1" t="s">
        <v>578</v>
      </c>
      <c r="G1042" s="1" t="s">
        <v>579</v>
      </c>
      <c r="H1042" s="23"/>
      <c r="I1042" s="1" t="s">
        <v>580</v>
      </c>
      <c r="J1042" s="1" t="s">
        <v>545</v>
      </c>
      <c r="K1042" s="1" t="s">
        <v>590</v>
      </c>
      <c r="L1042" s="1" t="s">
        <v>149</v>
      </c>
      <c r="M1042" s="1" t="s">
        <v>581</v>
      </c>
      <c r="N1042" s="1"/>
      <c r="O1042" s="10"/>
      <c r="P1042" s="23"/>
      <c r="Q1042" s="1"/>
      <c r="R1042" s="1" t="s">
        <v>557</v>
      </c>
      <c r="S1042" s="1" t="s">
        <v>582</v>
      </c>
      <c r="T1042" s="10">
        <v>46298</v>
      </c>
    </row>
    <row r="1043" spans="1:20" ht="24" customHeight="1" x14ac:dyDescent="0.35">
      <c r="A1043" s="5" t="s">
        <v>3058</v>
      </c>
      <c r="B1043" s="5" t="s">
        <v>3059</v>
      </c>
      <c r="C1043" s="5" t="s">
        <v>1014</v>
      </c>
      <c r="D1043" s="5" t="s">
        <v>825</v>
      </c>
      <c r="E1043" s="8">
        <v>46255</v>
      </c>
      <c r="F1043" s="5" t="s">
        <v>578</v>
      </c>
      <c r="G1043" s="5" t="s">
        <v>579</v>
      </c>
      <c r="H1043" s="22"/>
      <c r="I1043" s="5" t="s">
        <v>580</v>
      </c>
      <c r="J1043" s="5" t="s">
        <v>545</v>
      </c>
      <c r="K1043" s="5" t="s">
        <v>590</v>
      </c>
      <c r="L1043" s="5" t="s">
        <v>149</v>
      </c>
      <c r="M1043" s="5" t="s">
        <v>581</v>
      </c>
      <c r="N1043" s="5"/>
      <c r="O1043" s="8"/>
      <c r="P1043" s="22"/>
      <c r="Q1043" s="5"/>
      <c r="R1043" s="5" t="s">
        <v>557</v>
      </c>
      <c r="S1043" s="5" t="s">
        <v>582</v>
      </c>
      <c r="T1043" s="8">
        <v>46298</v>
      </c>
    </row>
    <row r="1044" spans="1:20" ht="24" customHeight="1" x14ac:dyDescent="0.35">
      <c r="A1044" s="1" t="s">
        <v>3060</v>
      </c>
      <c r="B1044" s="1" t="s">
        <v>3061</v>
      </c>
      <c r="C1044" s="1" t="s">
        <v>743</v>
      </c>
      <c r="D1044" s="1" t="s">
        <v>1727</v>
      </c>
      <c r="E1044" s="10">
        <v>46255</v>
      </c>
      <c r="F1044" s="1" t="s">
        <v>578</v>
      </c>
      <c r="G1044" s="1" t="s">
        <v>579</v>
      </c>
      <c r="H1044" s="23"/>
      <c r="I1044" s="1" t="s">
        <v>580</v>
      </c>
      <c r="J1044" s="1" t="s">
        <v>545</v>
      </c>
      <c r="K1044" s="1" t="s">
        <v>545</v>
      </c>
      <c r="L1044" s="1" t="s">
        <v>608</v>
      </c>
      <c r="M1044" s="1" t="s">
        <v>581</v>
      </c>
      <c r="N1044" s="1"/>
      <c r="O1044" s="10"/>
      <c r="P1044" s="23"/>
      <c r="Q1044" s="1"/>
      <c r="R1044" s="1" t="s">
        <v>557</v>
      </c>
      <c r="S1044" s="1" t="s">
        <v>582</v>
      </c>
      <c r="T1044" s="10">
        <v>46298</v>
      </c>
    </row>
    <row r="1045" spans="1:20" ht="24" customHeight="1" x14ac:dyDescent="0.35">
      <c r="A1045" s="5" t="s">
        <v>3062</v>
      </c>
      <c r="B1045" s="5" t="s">
        <v>3063</v>
      </c>
      <c r="C1045" s="5" t="s">
        <v>2058</v>
      </c>
      <c r="D1045" s="5" t="s">
        <v>614</v>
      </c>
      <c r="E1045" s="8">
        <v>46255</v>
      </c>
      <c r="F1045" s="5" t="s">
        <v>771</v>
      </c>
      <c r="G1045" s="5" t="s">
        <v>772</v>
      </c>
      <c r="H1045" s="22"/>
      <c r="I1045" s="5" t="s">
        <v>603</v>
      </c>
      <c r="J1045" s="5" t="s">
        <v>590</v>
      </c>
      <c r="K1045" s="5" t="s">
        <v>546</v>
      </c>
      <c r="L1045" s="5" t="s">
        <v>149</v>
      </c>
      <c r="M1045" s="5" t="s">
        <v>581</v>
      </c>
      <c r="N1045" s="5"/>
      <c r="O1045" s="8"/>
      <c r="P1045" s="22"/>
      <c r="Q1045" s="5" t="s">
        <v>773</v>
      </c>
      <c r="R1045" s="5" t="s">
        <v>557</v>
      </c>
      <c r="S1045" s="5" t="s">
        <v>582</v>
      </c>
      <c r="T1045" s="8">
        <v>46298</v>
      </c>
    </row>
    <row r="1046" spans="1:20" ht="24" customHeight="1" x14ac:dyDescent="0.35">
      <c r="A1046" s="1" t="s">
        <v>3064</v>
      </c>
      <c r="B1046" s="1" t="s">
        <v>3065</v>
      </c>
      <c r="C1046" s="1" t="s">
        <v>91</v>
      </c>
      <c r="D1046" s="1" t="s">
        <v>712</v>
      </c>
      <c r="E1046" s="10">
        <v>46254</v>
      </c>
      <c r="F1046" s="1" t="s">
        <v>601</v>
      </c>
      <c r="G1046" s="1" t="s">
        <v>602</v>
      </c>
      <c r="H1046" s="23"/>
      <c r="I1046" s="1" t="s">
        <v>603</v>
      </c>
      <c r="J1046" s="1" t="s">
        <v>545</v>
      </c>
      <c r="K1046" s="1" t="s">
        <v>590</v>
      </c>
      <c r="L1046" s="1" t="s">
        <v>608</v>
      </c>
      <c r="M1046" s="1" t="s">
        <v>581</v>
      </c>
      <c r="N1046" s="1"/>
      <c r="O1046" s="10"/>
      <c r="P1046" s="23"/>
      <c r="Q1046" s="1"/>
      <c r="R1046" s="1" t="s">
        <v>557</v>
      </c>
      <c r="S1046" s="1" t="s">
        <v>582</v>
      </c>
      <c r="T1046" s="10">
        <v>46298</v>
      </c>
    </row>
    <row r="1047" spans="1:20" ht="24" customHeight="1" x14ac:dyDescent="0.35">
      <c r="A1047" s="5" t="s">
        <v>3066</v>
      </c>
      <c r="B1047" s="5" t="s">
        <v>3067</v>
      </c>
      <c r="C1047" s="5" t="s">
        <v>119</v>
      </c>
      <c r="D1047" s="5" t="s">
        <v>1025</v>
      </c>
      <c r="E1047" s="8">
        <v>46255</v>
      </c>
      <c r="F1047" s="5" t="s">
        <v>771</v>
      </c>
      <c r="G1047" s="5" t="s">
        <v>772</v>
      </c>
      <c r="H1047" s="22"/>
      <c r="I1047" s="5" t="s">
        <v>603</v>
      </c>
      <c r="J1047" s="5" t="s">
        <v>547</v>
      </c>
      <c r="K1047" s="5" t="s">
        <v>590</v>
      </c>
      <c r="L1047" s="5" t="s">
        <v>149</v>
      </c>
      <c r="M1047" s="5" t="s">
        <v>581</v>
      </c>
      <c r="N1047" s="5"/>
      <c r="O1047" s="8"/>
      <c r="P1047" s="22"/>
      <c r="Q1047" s="5" t="s">
        <v>773</v>
      </c>
      <c r="R1047" s="5" t="s">
        <v>557</v>
      </c>
      <c r="S1047" s="5" t="s">
        <v>582</v>
      </c>
      <c r="T1047" s="8">
        <v>46298</v>
      </c>
    </row>
    <row r="1048" spans="1:20" ht="24" customHeight="1" x14ac:dyDescent="0.35">
      <c r="A1048" s="1" t="s">
        <v>3068</v>
      </c>
      <c r="B1048" s="1" t="s">
        <v>3069</v>
      </c>
      <c r="C1048" s="1" t="s">
        <v>2954</v>
      </c>
      <c r="D1048" s="1" t="s">
        <v>1378</v>
      </c>
      <c r="E1048" s="10">
        <v>46254</v>
      </c>
      <c r="F1048" s="1" t="s">
        <v>587</v>
      </c>
      <c r="G1048" s="1" t="s">
        <v>588</v>
      </c>
      <c r="H1048" s="23">
        <v>2570000</v>
      </c>
      <c r="I1048" s="1" t="s">
        <v>589</v>
      </c>
      <c r="J1048" s="1" t="s">
        <v>590</v>
      </c>
      <c r="K1048" s="1" t="s">
        <v>545</v>
      </c>
      <c r="L1048" s="1" t="s">
        <v>608</v>
      </c>
      <c r="M1048" s="1" t="s">
        <v>581</v>
      </c>
      <c r="N1048" s="1"/>
      <c r="O1048" s="10"/>
      <c r="P1048" s="23"/>
      <c r="Q1048" s="1"/>
      <c r="R1048" s="1" t="s">
        <v>557</v>
      </c>
      <c r="S1048" s="1" t="s">
        <v>582</v>
      </c>
      <c r="T1048" s="10">
        <v>46298</v>
      </c>
    </row>
    <row r="1049" spans="1:20" ht="24" customHeight="1" x14ac:dyDescent="0.35">
      <c r="A1049" s="5" t="s">
        <v>3070</v>
      </c>
      <c r="B1049" s="5" t="s">
        <v>3071</v>
      </c>
      <c r="C1049" s="5" t="s">
        <v>788</v>
      </c>
      <c r="D1049" s="5" t="s">
        <v>1209</v>
      </c>
      <c r="E1049" s="8">
        <v>46257</v>
      </c>
      <c r="F1049" s="5" t="s">
        <v>771</v>
      </c>
      <c r="G1049" s="5" t="s">
        <v>772</v>
      </c>
      <c r="H1049" s="22"/>
      <c r="I1049" s="5" t="s">
        <v>603</v>
      </c>
      <c r="J1049" s="5" t="s">
        <v>546</v>
      </c>
      <c r="K1049" s="5" t="s">
        <v>590</v>
      </c>
      <c r="L1049" s="5" t="s">
        <v>640</v>
      </c>
      <c r="M1049" s="5" t="s">
        <v>581</v>
      </c>
      <c r="N1049" s="5"/>
      <c r="O1049" s="8"/>
      <c r="P1049" s="22"/>
      <c r="Q1049" s="5" t="s">
        <v>773</v>
      </c>
      <c r="R1049" s="5" t="s">
        <v>557</v>
      </c>
      <c r="S1049" s="5" t="s">
        <v>582</v>
      </c>
      <c r="T1049" s="8">
        <v>46298</v>
      </c>
    </row>
    <row r="1050" spans="1:20" ht="24" customHeight="1" x14ac:dyDescent="0.35">
      <c r="A1050" s="1" t="s">
        <v>3072</v>
      </c>
      <c r="B1050" s="1" t="s">
        <v>3073</v>
      </c>
      <c r="C1050" s="1" t="s">
        <v>620</v>
      </c>
      <c r="D1050" s="1" t="s">
        <v>1743</v>
      </c>
      <c r="E1050" s="10">
        <v>46257</v>
      </c>
      <c r="F1050" s="1" t="s">
        <v>771</v>
      </c>
      <c r="G1050" s="1" t="s">
        <v>772</v>
      </c>
      <c r="H1050" s="23"/>
      <c r="I1050" s="1" t="s">
        <v>603</v>
      </c>
      <c r="J1050" s="1" t="s">
        <v>546</v>
      </c>
      <c r="K1050" s="1" t="s">
        <v>590</v>
      </c>
      <c r="L1050" s="1" t="s">
        <v>640</v>
      </c>
      <c r="M1050" s="1" t="s">
        <v>581</v>
      </c>
      <c r="N1050" s="1"/>
      <c r="O1050" s="10"/>
      <c r="P1050" s="23"/>
      <c r="Q1050" s="1" t="s">
        <v>773</v>
      </c>
      <c r="R1050" s="1" t="s">
        <v>557</v>
      </c>
      <c r="S1050" s="1" t="s">
        <v>582</v>
      </c>
      <c r="T1050" s="10">
        <v>46298</v>
      </c>
    </row>
    <row r="1051" spans="1:20" ht="24" customHeight="1" x14ac:dyDescent="0.35">
      <c r="A1051" s="5" t="s">
        <v>3074</v>
      </c>
      <c r="B1051" s="5" t="s">
        <v>3075</v>
      </c>
      <c r="C1051" s="5" t="s">
        <v>190</v>
      </c>
      <c r="D1051" s="5" t="s">
        <v>1614</v>
      </c>
      <c r="E1051" s="8">
        <v>46255</v>
      </c>
      <c r="F1051" s="5" t="s">
        <v>771</v>
      </c>
      <c r="G1051" s="5" t="s">
        <v>772</v>
      </c>
      <c r="H1051" s="22"/>
      <c r="I1051" s="5" t="s">
        <v>603</v>
      </c>
      <c r="J1051" s="5" t="s">
        <v>544</v>
      </c>
      <c r="K1051" s="5" t="s">
        <v>590</v>
      </c>
      <c r="L1051" s="5" t="s">
        <v>149</v>
      </c>
      <c r="M1051" s="5" t="s">
        <v>581</v>
      </c>
      <c r="N1051" s="5"/>
      <c r="O1051" s="8"/>
      <c r="P1051" s="22"/>
      <c r="Q1051" s="5" t="s">
        <v>773</v>
      </c>
      <c r="R1051" s="5" t="s">
        <v>557</v>
      </c>
      <c r="S1051" s="5" t="s">
        <v>582</v>
      </c>
      <c r="T1051" s="8">
        <v>46298</v>
      </c>
    </row>
    <row r="1052" spans="1:20" ht="24" customHeight="1" x14ac:dyDescent="0.35">
      <c r="A1052" s="1" t="s">
        <v>3076</v>
      </c>
      <c r="B1052" s="1" t="s">
        <v>3077</v>
      </c>
      <c r="C1052" s="1" t="s">
        <v>374</v>
      </c>
      <c r="D1052" s="1" t="s">
        <v>2381</v>
      </c>
      <c r="E1052" s="10">
        <v>46255</v>
      </c>
      <c r="F1052" s="1" t="s">
        <v>601</v>
      </c>
      <c r="G1052" s="1" t="s">
        <v>602</v>
      </c>
      <c r="H1052" s="23"/>
      <c r="I1052" s="1" t="s">
        <v>603</v>
      </c>
      <c r="J1052" s="1" t="s">
        <v>544</v>
      </c>
      <c r="K1052" s="1" t="s">
        <v>590</v>
      </c>
      <c r="L1052" s="1" t="s">
        <v>149</v>
      </c>
      <c r="M1052" s="1" t="s">
        <v>581</v>
      </c>
      <c r="N1052" s="1"/>
      <c r="O1052" s="10"/>
      <c r="P1052" s="23"/>
      <c r="Q1052" s="1"/>
      <c r="R1052" s="1" t="s">
        <v>557</v>
      </c>
      <c r="S1052" s="1" t="s">
        <v>582</v>
      </c>
      <c r="T1052" s="10">
        <v>46298</v>
      </c>
    </row>
    <row r="1053" spans="1:20" ht="24" customHeight="1" x14ac:dyDescent="0.35">
      <c r="A1053" s="5" t="s">
        <v>3078</v>
      </c>
      <c r="B1053" s="5" t="s">
        <v>3079</v>
      </c>
      <c r="C1053" s="5" t="s">
        <v>797</v>
      </c>
      <c r="D1053" s="5" t="s">
        <v>778</v>
      </c>
      <c r="E1053" s="8">
        <v>46255</v>
      </c>
      <c r="F1053" s="5" t="s">
        <v>601</v>
      </c>
      <c r="G1053" s="5" t="s">
        <v>602</v>
      </c>
      <c r="H1053" s="22"/>
      <c r="I1053" s="5" t="s">
        <v>603</v>
      </c>
      <c r="J1053" s="5" t="s">
        <v>546</v>
      </c>
      <c r="K1053" s="5" t="s">
        <v>590</v>
      </c>
      <c r="L1053" s="5" t="s">
        <v>591</v>
      </c>
      <c r="M1053" s="5" t="s">
        <v>581</v>
      </c>
      <c r="N1053" s="5"/>
      <c r="O1053" s="8"/>
      <c r="P1053" s="22"/>
      <c r="Q1053" s="5"/>
      <c r="R1053" s="5" t="s">
        <v>557</v>
      </c>
      <c r="S1053" s="5" t="s">
        <v>582</v>
      </c>
      <c r="T1053" s="8">
        <v>46298</v>
      </c>
    </row>
    <row r="1054" spans="1:20" ht="24" customHeight="1" x14ac:dyDescent="0.35">
      <c r="A1054" s="1" t="s">
        <v>3080</v>
      </c>
      <c r="B1054" s="1" t="s">
        <v>3081</v>
      </c>
      <c r="C1054" s="1" t="s">
        <v>215</v>
      </c>
      <c r="D1054" s="1" t="s">
        <v>707</v>
      </c>
      <c r="E1054" s="10">
        <v>46255</v>
      </c>
      <c r="F1054" s="1" t="s">
        <v>587</v>
      </c>
      <c r="G1054" s="1" t="s">
        <v>588</v>
      </c>
      <c r="H1054" s="23">
        <v>3900000</v>
      </c>
      <c r="I1054" s="1" t="s">
        <v>589</v>
      </c>
      <c r="J1054" s="1" t="s">
        <v>590</v>
      </c>
      <c r="K1054" s="1" t="s">
        <v>545</v>
      </c>
      <c r="L1054" s="1" t="s">
        <v>608</v>
      </c>
      <c r="M1054" s="1" t="s">
        <v>581</v>
      </c>
      <c r="N1054" s="1"/>
      <c r="O1054" s="10"/>
      <c r="P1054" s="23"/>
      <c r="Q1054" s="1"/>
      <c r="R1054" s="1" t="s">
        <v>557</v>
      </c>
      <c r="S1054" s="1" t="s">
        <v>582</v>
      </c>
      <c r="T1054" s="10">
        <v>46298</v>
      </c>
    </row>
    <row r="1055" spans="1:20" ht="24" customHeight="1" x14ac:dyDescent="0.35">
      <c r="A1055" s="5" t="s">
        <v>3082</v>
      </c>
      <c r="B1055" s="5" t="s">
        <v>3083</v>
      </c>
      <c r="C1055" s="5" t="s">
        <v>176</v>
      </c>
      <c r="D1055" s="5" t="s">
        <v>1229</v>
      </c>
      <c r="E1055" s="8">
        <v>46255</v>
      </c>
      <c r="F1055" s="5" t="s">
        <v>771</v>
      </c>
      <c r="G1055" s="5" t="s">
        <v>772</v>
      </c>
      <c r="H1055" s="22"/>
      <c r="I1055" s="5" t="s">
        <v>603</v>
      </c>
      <c r="J1055" s="5" t="s">
        <v>546</v>
      </c>
      <c r="K1055" s="5" t="s">
        <v>590</v>
      </c>
      <c r="L1055" s="5" t="s">
        <v>640</v>
      </c>
      <c r="M1055" s="5" t="s">
        <v>581</v>
      </c>
      <c r="N1055" s="5"/>
      <c r="O1055" s="8"/>
      <c r="P1055" s="22"/>
      <c r="Q1055" s="5" t="s">
        <v>773</v>
      </c>
      <c r="R1055" s="5" t="s">
        <v>557</v>
      </c>
      <c r="S1055" s="5" t="s">
        <v>582</v>
      </c>
      <c r="T1055" s="8">
        <v>46298</v>
      </c>
    </row>
    <row r="1056" spans="1:20" ht="24" customHeight="1" x14ac:dyDescent="0.35">
      <c r="A1056" s="1" t="s">
        <v>3084</v>
      </c>
      <c r="B1056" s="1" t="s">
        <v>3085</v>
      </c>
      <c r="C1056" s="1" t="s">
        <v>1661</v>
      </c>
      <c r="D1056" s="1" t="s">
        <v>639</v>
      </c>
      <c r="E1056" s="10">
        <v>46253</v>
      </c>
      <c r="F1056" s="1" t="s">
        <v>587</v>
      </c>
      <c r="G1056" s="1" t="s">
        <v>588</v>
      </c>
      <c r="H1056" s="23">
        <v>6900000</v>
      </c>
      <c r="I1056" s="1" t="s">
        <v>589</v>
      </c>
      <c r="J1056" s="1" t="s">
        <v>590</v>
      </c>
      <c r="K1056" s="1" t="s">
        <v>548</v>
      </c>
      <c r="L1056" s="1" t="s">
        <v>149</v>
      </c>
      <c r="M1056" s="1" t="s">
        <v>581</v>
      </c>
      <c r="N1056" s="1"/>
      <c r="O1056" s="10"/>
      <c r="P1056" s="23"/>
      <c r="Q1056" s="1"/>
      <c r="R1056" s="1" t="s">
        <v>557</v>
      </c>
      <c r="S1056" s="1" t="s">
        <v>582</v>
      </c>
      <c r="T1056" s="10">
        <v>46298</v>
      </c>
    </row>
    <row r="1057" spans="1:20" ht="24" customHeight="1" x14ac:dyDescent="0.35">
      <c r="A1057" s="5" t="s">
        <v>3086</v>
      </c>
      <c r="B1057" s="5" t="s">
        <v>3087</v>
      </c>
      <c r="C1057" s="5" t="s">
        <v>1727</v>
      </c>
      <c r="D1057" s="5" t="s">
        <v>3088</v>
      </c>
      <c r="E1057" s="8">
        <v>46257</v>
      </c>
      <c r="F1057" s="5" t="s">
        <v>601</v>
      </c>
      <c r="G1057" s="5" t="s">
        <v>602</v>
      </c>
      <c r="H1057" s="22"/>
      <c r="I1057" s="5" t="s">
        <v>603</v>
      </c>
      <c r="J1057" s="5" t="s">
        <v>545</v>
      </c>
      <c r="K1057" s="5" t="s">
        <v>590</v>
      </c>
      <c r="L1057" s="5" t="s">
        <v>608</v>
      </c>
      <c r="M1057" s="5" t="s">
        <v>581</v>
      </c>
      <c r="N1057" s="5"/>
      <c r="O1057" s="8"/>
      <c r="P1057" s="22"/>
      <c r="Q1057" s="5"/>
      <c r="R1057" s="5" t="s">
        <v>557</v>
      </c>
      <c r="S1057" s="5" t="s">
        <v>582</v>
      </c>
      <c r="T1057" s="8">
        <v>46298</v>
      </c>
    </row>
    <row r="1058" spans="1:20" ht="24" customHeight="1" x14ac:dyDescent="0.35">
      <c r="A1058" s="1" t="s">
        <v>3089</v>
      </c>
      <c r="B1058" s="1" t="s">
        <v>3090</v>
      </c>
      <c r="C1058" s="1" t="s">
        <v>651</v>
      </c>
      <c r="D1058" s="1" t="s">
        <v>2314</v>
      </c>
      <c r="E1058" s="10">
        <v>46257</v>
      </c>
      <c r="F1058" s="1" t="s">
        <v>587</v>
      </c>
      <c r="G1058" s="1" t="s">
        <v>588</v>
      </c>
      <c r="H1058" s="23">
        <v>14600000</v>
      </c>
      <c r="I1058" s="1" t="s">
        <v>589</v>
      </c>
      <c r="J1058" s="1" t="s">
        <v>548</v>
      </c>
      <c r="K1058" s="1" t="s">
        <v>590</v>
      </c>
      <c r="L1058" s="1" t="s">
        <v>640</v>
      </c>
      <c r="M1058" s="1" t="s">
        <v>581</v>
      </c>
      <c r="N1058" s="1"/>
      <c r="O1058" s="10"/>
      <c r="P1058" s="23"/>
      <c r="Q1058" s="1"/>
      <c r="R1058" s="1" t="s">
        <v>557</v>
      </c>
      <c r="S1058" s="1" t="s">
        <v>582</v>
      </c>
      <c r="T1058" s="10">
        <v>46298</v>
      </c>
    </row>
    <row r="1059" spans="1:20" ht="24" customHeight="1" x14ac:dyDescent="0.35">
      <c r="A1059" s="5" t="s">
        <v>3091</v>
      </c>
      <c r="B1059" s="5" t="s">
        <v>3092</v>
      </c>
      <c r="C1059" s="5" t="s">
        <v>785</v>
      </c>
      <c r="D1059" s="5" t="s">
        <v>652</v>
      </c>
      <c r="E1059" s="8">
        <v>46258</v>
      </c>
      <c r="F1059" s="5" t="s">
        <v>587</v>
      </c>
      <c r="G1059" s="5" t="s">
        <v>588</v>
      </c>
      <c r="H1059" s="22">
        <v>1700000</v>
      </c>
      <c r="I1059" s="5" t="s">
        <v>589</v>
      </c>
      <c r="J1059" s="5" t="s">
        <v>548</v>
      </c>
      <c r="K1059" s="5" t="s">
        <v>547</v>
      </c>
      <c r="L1059" s="5" t="s">
        <v>640</v>
      </c>
      <c r="M1059" s="5" t="s">
        <v>581</v>
      </c>
      <c r="N1059" s="5"/>
      <c r="O1059" s="8"/>
      <c r="P1059" s="22"/>
      <c r="Q1059" s="5"/>
      <c r="R1059" s="5" t="s">
        <v>557</v>
      </c>
      <c r="S1059" s="5" t="s">
        <v>582</v>
      </c>
      <c r="T1059" s="8">
        <v>46298</v>
      </c>
    </row>
    <row r="1060" spans="1:20" ht="24" customHeight="1" x14ac:dyDescent="0.35">
      <c r="A1060" s="1" t="s">
        <v>3093</v>
      </c>
      <c r="B1060" s="1" t="s">
        <v>3094</v>
      </c>
      <c r="C1060" s="1" t="s">
        <v>1014</v>
      </c>
      <c r="D1060" s="1" t="s">
        <v>825</v>
      </c>
      <c r="E1060" s="10">
        <v>46255</v>
      </c>
      <c r="F1060" s="1" t="s">
        <v>601</v>
      </c>
      <c r="G1060" s="1" t="s">
        <v>602</v>
      </c>
      <c r="H1060" s="23"/>
      <c r="I1060" s="1" t="s">
        <v>603</v>
      </c>
      <c r="J1060" s="1" t="s">
        <v>545</v>
      </c>
      <c r="K1060" s="1" t="s">
        <v>590</v>
      </c>
      <c r="L1060" s="1" t="s">
        <v>149</v>
      </c>
      <c r="M1060" s="1" t="s">
        <v>581</v>
      </c>
      <c r="N1060" s="1"/>
      <c r="O1060" s="10"/>
      <c r="P1060" s="23"/>
      <c r="Q1060" s="1"/>
      <c r="R1060" s="1" t="s">
        <v>557</v>
      </c>
      <c r="S1060" s="1" t="s">
        <v>582</v>
      </c>
      <c r="T1060" s="10">
        <v>46298</v>
      </c>
    </row>
    <row r="1061" spans="1:20" ht="24" customHeight="1" x14ac:dyDescent="0.35">
      <c r="A1061" s="5" t="s">
        <v>3095</v>
      </c>
      <c r="B1061" s="5" t="s">
        <v>3096</v>
      </c>
      <c r="C1061" s="5" t="s">
        <v>91</v>
      </c>
      <c r="D1061" s="5" t="s">
        <v>2296</v>
      </c>
      <c r="E1061" s="8">
        <v>46254</v>
      </c>
      <c r="F1061" s="5" t="s">
        <v>771</v>
      </c>
      <c r="G1061" s="5" t="s">
        <v>772</v>
      </c>
      <c r="H1061" s="22"/>
      <c r="I1061" s="5" t="s">
        <v>603</v>
      </c>
      <c r="J1061" s="5" t="s">
        <v>545</v>
      </c>
      <c r="K1061" s="5" t="s">
        <v>590</v>
      </c>
      <c r="L1061" s="5" t="s">
        <v>172</v>
      </c>
      <c r="M1061" s="5" t="s">
        <v>581</v>
      </c>
      <c r="N1061" s="5"/>
      <c r="O1061" s="8"/>
      <c r="P1061" s="22"/>
      <c r="Q1061" s="5" t="s">
        <v>773</v>
      </c>
      <c r="R1061" s="5" t="s">
        <v>557</v>
      </c>
      <c r="S1061" s="5" t="s">
        <v>582</v>
      </c>
      <c r="T1061" s="8">
        <v>46298</v>
      </c>
    </row>
    <row r="1062" spans="1:20" ht="24" customHeight="1" x14ac:dyDescent="0.35">
      <c r="A1062" s="1" t="s">
        <v>3097</v>
      </c>
      <c r="B1062" s="1" t="s">
        <v>3098</v>
      </c>
      <c r="C1062" s="1" t="s">
        <v>1183</v>
      </c>
      <c r="D1062" s="1" t="s">
        <v>1124</v>
      </c>
      <c r="E1062" s="10">
        <v>46253</v>
      </c>
      <c r="F1062" s="1" t="s">
        <v>771</v>
      </c>
      <c r="G1062" s="1" t="s">
        <v>772</v>
      </c>
      <c r="H1062" s="23"/>
      <c r="I1062" s="1" t="s">
        <v>603</v>
      </c>
      <c r="J1062" s="1" t="s">
        <v>545</v>
      </c>
      <c r="K1062" s="1" t="s">
        <v>590</v>
      </c>
      <c r="L1062" s="1" t="s">
        <v>149</v>
      </c>
      <c r="M1062" s="1" t="s">
        <v>581</v>
      </c>
      <c r="N1062" s="1"/>
      <c r="O1062" s="10"/>
      <c r="P1062" s="23"/>
      <c r="Q1062" s="1" t="s">
        <v>773</v>
      </c>
      <c r="R1062" s="1" t="s">
        <v>557</v>
      </c>
      <c r="S1062" s="1" t="s">
        <v>582</v>
      </c>
      <c r="T1062" s="10">
        <v>46298</v>
      </c>
    </row>
    <row r="1063" spans="1:20" ht="24" customHeight="1" x14ac:dyDescent="0.35">
      <c r="A1063" s="5" t="s">
        <v>3099</v>
      </c>
      <c r="B1063" s="5" t="s">
        <v>3100</v>
      </c>
      <c r="C1063" s="5" t="s">
        <v>706</v>
      </c>
      <c r="D1063" s="5" t="s">
        <v>3101</v>
      </c>
      <c r="E1063" s="8">
        <v>46253</v>
      </c>
      <c r="F1063" s="5" t="s">
        <v>587</v>
      </c>
      <c r="G1063" s="5" t="s">
        <v>588</v>
      </c>
      <c r="H1063" s="22">
        <v>1000000</v>
      </c>
      <c r="I1063" s="5" t="s">
        <v>589</v>
      </c>
      <c r="J1063" s="5" t="s">
        <v>545</v>
      </c>
      <c r="K1063" s="5" t="s">
        <v>590</v>
      </c>
      <c r="L1063" s="5" t="s">
        <v>149</v>
      </c>
      <c r="M1063" s="5" t="s">
        <v>581</v>
      </c>
      <c r="N1063" s="5"/>
      <c r="O1063" s="8"/>
      <c r="P1063" s="22"/>
      <c r="Q1063" s="5"/>
      <c r="R1063" s="5" t="s">
        <v>557</v>
      </c>
      <c r="S1063" s="5" t="s">
        <v>582</v>
      </c>
      <c r="T1063" s="8">
        <v>46298</v>
      </c>
    </row>
    <row r="1064" spans="1:20" ht="24" customHeight="1" x14ac:dyDescent="0.35">
      <c r="A1064" s="1" t="s">
        <v>3102</v>
      </c>
      <c r="B1064" s="1" t="s">
        <v>3103</v>
      </c>
      <c r="C1064" s="1" t="s">
        <v>3104</v>
      </c>
      <c r="D1064" s="1" t="s">
        <v>627</v>
      </c>
      <c r="E1064" s="10">
        <v>46248</v>
      </c>
      <c r="F1064" s="1" t="s">
        <v>587</v>
      </c>
      <c r="G1064" s="1" t="s">
        <v>588</v>
      </c>
      <c r="H1064" s="23">
        <v>1700000</v>
      </c>
      <c r="I1064" s="1" t="s">
        <v>589</v>
      </c>
      <c r="J1064" s="1" t="s">
        <v>590</v>
      </c>
      <c r="K1064" s="1" t="s">
        <v>545</v>
      </c>
      <c r="L1064" s="1" t="s">
        <v>640</v>
      </c>
      <c r="M1064" s="1" t="s">
        <v>581</v>
      </c>
      <c r="N1064" s="1"/>
      <c r="O1064" s="10"/>
      <c r="P1064" s="23"/>
      <c r="Q1064" s="1"/>
      <c r="R1064" s="1" t="s">
        <v>557</v>
      </c>
      <c r="S1064" s="1" t="s">
        <v>582</v>
      </c>
      <c r="T1064" s="10">
        <v>46298</v>
      </c>
    </row>
    <row r="1065" spans="1:20" ht="24" customHeight="1" x14ac:dyDescent="0.35">
      <c r="A1065" s="5" t="s">
        <v>3105</v>
      </c>
      <c r="B1065" s="5" t="s">
        <v>3106</v>
      </c>
      <c r="C1065" s="5" t="s">
        <v>1216</v>
      </c>
      <c r="D1065" s="5" t="s">
        <v>847</v>
      </c>
      <c r="E1065" s="8">
        <v>46246</v>
      </c>
      <c r="F1065" s="5" t="s">
        <v>587</v>
      </c>
      <c r="G1065" s="5" t="s">
        <v>588</v>
      </c>
      <c r="H1065" s="22">
        <v>2600000</v>
      </c>
      <c r="I1065" s="5" t="s">
        <v>589</v>
      </c>
      <c r="J1065" s="5" t="s">
        <v>590</v>
      </c>
      <c r="K1065" s="5" t="s">
        <v>545</v>
      </c>
      <c r="L1065" s="5" t="s">
        <v>149</v>
      </c>
      <c r="M1065" s="5" t="s">
        <v>581</v>
      </c>
      <c r="N1065" s="5"/>
      <c r="O1065" s="8"/>
      <c r="P1065" s="22"/>
      <c r="Q1065" s="5"/>
      <c r="R1065" s="5" t="s">
        <v>557</v>
      </c>
      <c r="S1065" s="5" t="s">
        <v>582</v>
      </c>
      <c r="T1065" s="8">
        <v>46298</v>
      </c>
    </row>
    <row r="1066" spans="1:20" ht="24" customHeight="1" x14ac:dyDescent="0.35">
      <c r="A1066" s="1" t="s">
        <v>3107</v>
      </c>
      <c r="B1066" s="1" t="s">
        <v>3108</v>
      </c>
      <c r="C1066" s="1" t="s">
        <v>469</v>
      </c>
      <c r="D1066" s="1" t="s">
        <v>3109</v>
      </c>
      <c r="E1066" s="10">
        <v>46257</v>
      </c>
      <c r="F1066" s="1" t="s">
        <v>771</v>
      </c>
      <c r="G1066" s="1" t="s">
        <v>772</v>
      </c>
      <c r="H1066" s="23"/>
      <c r="I1066" s="1" t="s">
        <v>603</v>
      </c>
      <c r="J1066" s="1" t="s">
        <v>544</v>
      </c>
      <c r="K1066" s="1" t="s">
        <v>590</v>
      </c>
      <c r="L1066" s="1" t="s">
        <v>608</v>
      </c>
      <c r="M1066" s="1" t="s">
        <v>581</v>
      </c>
      <c r="N1066" s="1"/>
      <c r="O1066" s="10"/>
      <c r="P1066" s="23"/>
      <c r="Q1066" s="1" t="s">
        <v>773</v>
      </c>
      <c r="R1066" s="1" t="s">
        <v>557</v>
      </c>
      <c r="S1066" s="1" t="s">
        <v>582</v>
      </c>
      <c r="T1066" s="10">
        <v>46298</v>
      </c>
    </row>
    <row r="1067" spans="1:20" ht="24" customHeight="1" x14ac:dyDescent="0.35">
      <c r="A1067" s="5" t="s">
        <v>3110</v>
      </c>
      <c r="B1067" s="5" t="s">
        <v>3111</v>
      </c>
      <c r="C1067" s="5" t="s">
        <v>210</v>
      </c>
      <c r="D1067" s="5" t="s">
        <v>3112</v>
      </c>
      <c r="E1067" s="8">
        <v>46254</v>
      </c>
      <c r="F1067" s="5" t="s">
        <v>771</v>
      </c>
      <c r="G1067" s="5" t="s">
        <v>772</v>
      </c>
      <c r="H1067" s="22"/>
      <c r="I1067" s="5" t="s">
        <v>603</v>
      </c>
      <c r="J1067" s="5" t="s">
        <v>544</v>
      </c>
      <c r="K1067" s="5" t="s">
        <v>590</v>
      </c>
      <c r="L1067" s="5" t="s">
        <v>149</v>
      </c>
      <c r="M1067" s="5" t="s">
        <v>581</v>
      </c>
      <c r="N1067" s="5"/>
      <c r="O1067" s="8"/>
      <c r="P1067" s="22"/>
      <c r="Q1067" s="5" t="s">
        <v>773</v>
      </c>
      <c r="R1067" s="5" t="s">
        <v>557</v>
      </c>
      <c r="S1067" s="5" t="s">
        <v>582</v>
      </c>
      <c r="T1067" s="8">
        <v>46298</v>
      </c>
    </row>
    <row r="1068" spans="1:20" ht="24" customHeight="1" x14ac:dyDescent="0.35">
      <c r="A1068" s="1" t="s">
        <v>3113</v>
      </c>
      <c r="B1068" s="1" t="s">
        <v>3114</v>
      </c>
      <c r="C1068" s="1" t="s">
        <v>3115</v>
      </c>
      <c r="D1068" s="1" t="s">
        <v>190</v>
      </c>
      <c r="E1068" s="10">
        <v>46249</v>
      </c>
      <c r="F1068" s="1" t="s">
        <v>601</v>
      </c>
      <c r="G1068" s="1" t="s">
        <v>602</v>
      </c>
      <c r="H1068" s="23"/>
      <c r="I1068" s="1" t="s">
        <v>603</v>
      </c>
      <c r="J1068" s="1" t="s">
        <v>590</v>
      </c>
      <c r="K1068" s="1" t="s">
        <v>544</v>
      </c>
      <c r="L1068" s="1" t="s">
        <v>608</v>
      </c>
      <c r="M1068" s="1" t="s">
        <v>581</v>
      </c>
      <c r="N1068" s="1"/>
      <c r="O1068" s="10"/>
      <c r="P1068" s="23"/>
      <c r="Q1068" s="1"/>
      <c r="R1068" s="1" t="s">
        <v>557</v>
      </c>
      <c r="S1068" s="1" t="s">
        <v>582</v>
      </c>
      <c r="T1068" s="10">
        <v>46298</v>
      </c>
    </row>
    <row r="1069" spans="1:20" ht="24" customHeight="1" x14ac:dyDescent="0.35">
      <c r="A1069" s="5" t="s">
        <v>3116</v>
      </c>
      <c r="B1069" s="5" t="s">
        <v>3117</v>
      </c>
      <c r="C1069" s="5" t="s">
        <v>1083</v>
      </c>
      <c r="D1069" s="5" t="s">
        <v>3118</v>
      </c>
      <c r="E1069" s="8">
        <v>46252</v>
      </c>
      <c r="F1069" s="5" t="s">
        <v>771</v>
      </c>
      <c r="G1069" s="5" t="s">
        <v>772</v>
      </c>
      <c r="H1069" s="22"/>
      <c r="I1069" s="5" t="s">
        <v>603</v>
      </c>
      <c r="J1069" s="5" t="s">
        <v>544</v>
      </c>
      <c r="K1069" s="5" t="s">
        <v>590</v>
      </c>
      <c r="L1069" s="5" t="s">
        <v>149</v>
      </c>
      <c r="M1069" s="5" t="s">
        <v>581</v>
      </c>
      <c r="N1069" s="5"/>
      <c r="O1069" s="8"/>
      <c r="P1069" s="22"/>
      <c r="Q1069" s="5" t="s">
        <v>773</v>
      </c>
      <c r="R1069" s="5" t="s">
        <v>557</v>
      </c>
      <c r="S1069" s="5" t="s">
        <v>582</v>
      </c>
      <c r="T1069" s="8">
        <v>46298</v>
      </c>
    </row>
    <row r="1070" spans="1:20" ht="24" customHeight="1" x14ac:dyDescent="0.35">
      <c r="A1070" s="1" t="s">
        <v>3119</v>
      </c>
      <c r="B1070" s="1" t="s">
        <v>3120</v>
      </c>
      <c r="C1070" s="1" t="s">
        <v>210</v>
      </c>
      <c r="D1070" s="1" t="s">
        <v>1052</v>
      </c>
      <c r="E1070" s="10">
        <v>46251</v>
      </c>
      <c r="F1070" s="1" t="s">
        <v>771</v>
      </c>
      <c r="G1070" s="1" t="s">
        <v>772</v>
      </c>
      <c r="H1070" s="23"/>
      <c r="I1070" s="1" t="s">
        <v>603</v>
      </c>
      <c r="J1070" s="1" t="s">
        <v>544</v>
      </c>
      <c r="K1070" s="1" t="s">
        <v>590</v>
      </c>
      <c r="L1070" s="1" t="s">
        <v>149</v>
      </c>
      <c r="M1070" s="1" t="s">
        <v>581</v>
      </c>
      <c r="N1070" s="1"/>
      <c r="O1070" s="10"/>
      <c r="P1070" s="23"/>
      <c r="Q1070" s="1" t="s">
        <v>773</v>
      </c>
      <c r="R1070" s="1" t="s">
        <v>557</v>
      </c>
      <c r="S1070" s="1" t="s">
        <v>582</v>
      </c>
      <c r="T1070" s="10">
        <v>46298</v>
      </c>
    </row>
    <row r="1071" spans="1:20" ht="24" customHeight="1" x14ac:dyDescent="0.35">
      <c r="A1071" s="5" t="s">
        <v>3121</v>
      </c>
      <c r="B1071" s="5" t="s">
        <v>3122</v>
      </c>
      <c r="C1071" s="5" t="s">
        <v>126</v>
      </c>
      <c r="D1071" s="5" t="s">
        <v>3123</v>
      </c>
      <c r="E1071" s="8">
        <v>46249</v>
      </c>
      <c r="F1071" s="5" t="s">
        <v>771</v>
      </c>
      <c r="G1071" s="5" t="s">
        <v>772</v>
      </c>
      <c r="H1071" s="22"/>
      <c r="I1071" s="5" t="s">
        <v>603</v>
      </c>
      <c r="J1071" s="5" t="s">
        <v>544</v>
      </c>
      <c r="K1071" s="5" t="s">
        <v>590</v>
      </c>
      <c r="L1071" s="5" t="s">
        <v>591</v>
      </c>
      <c r="M1071" s="5" t="s">
        <v>581</v>
      </c>
      <c r="N1071" s="5"/>
      <c r="O1071" s="8"/>
      <c r="P1071" s="22"/>
      <c r="Q1071" s="5" t="s">
        <v>773</v>
      </c>
      <c r="R1071" s="5" t="s">
        <v>557</v>
      </c>
      <c r="S1071" s="5" t="s">
        <v>582</v>
      </c>
      <c r="T1071" s="8">
        <v>46298</v>
      </c>
    </row>
    <row r="1072" spans="1:20" ht="24" customHeight="1" x14ac:dyDescent="0.35">
      <c r="A1072" s="1" t="s">
        <v>3124</v>
      </c>
      <c r="B1072" s="1" t="s">
        <v>3125</v>
      </c>
      <c r="C1072" s="1" t="s">
        <v>186</v>
      </c>
      <c r="D1072" s="1" t="s">
        <v>712</v>
      </c>
      <c r="E1072" s="10">
        <v>46254</v>
      </c>
      <c r="F1072" s="1" t="s">
        <v>587</v>
      </c>
      <c r="G1072" s="1" t="s">
        <v>588</v>
      </c>
      <c r="H1072" s="23">
        <v>6900000</v>
      </c>
      <c r="I1072" s="1" t="s">
        <v>589</v>
      </c>
      <c r="J1072" s="1" t="s">
        <v>547</v>
      </c>
      <c r="K1072" s="1" t="s">
        <v>590</v>
      </c>
      <c r="L1072" s="1" t="s">
        <v>640</v>
      </c>
      <c r="M1072" s="1" t="s">
        <v>581</v>
      </c>
      <c r="N1072" s="1"/>
      <c r="O1072" s="10"/>
      <c r="P1072" s="23"/>
      <c r="Q1072" s="1"/>
      <c r="R1072" s="1" t="s">
        <v>557</v>
      </c>
      <c r="S1072" s="1" t="s">
        <v>582</v>
      </c>
      <c r="T1072" s="10">
        <v>46298</v>
      </c>
    </row>
    <row r="1073" spans="1:20" ht="24" customHeight="1" x14ac:dyDescent="0.35">
      <c r="A1073" s="5" t="s">
        <v>3126</v>
      </c>
      <c r="B1073" s="5" t="s">
        <v>3127</v>
      </c>
      <c r="C1073" s="5" t="s">
        <v>423</v>
      </c>
      <c r="D1073" s="5" t="s">
        <v>1209</v>
      </c>
      <c r="E1073" s="8">
        <v>46258</v>
      </c>
      <c r="F1073" s="5" t="s">
        <v>578</v>
      </c>
      <c r="G1073" s="5" t="s">
        <v>579</v>
      </c>
      <c r="H1073" s="22"/>
      <c r="I1073" s="5" t="s">
        <v>580</v>
      </c>
      <c r="J1073" s="5" t="s">
        <v>546</v>
      </c>
      <c r="K1073" s="5" t="s">
        <v>590</v>
      </c>
      <c r="L1073" s="5" t="s">
        <v>149</v>
      </c>
      <c r="M1073" s="5" t="s">
        <v>581</v>
      </c>
      <c r="N1073" s="5"/>
      <c r="O1073" s="8"/>
      <c r="P1073" s="22"/>
      <c r="Q1073" s="5"/>
      <c r="R1073" s="5" t="s">
        <v>557</v>
      </c>
      <c r="S1073" s="5" t="s">
        <v>582</v>
      </c>
      <c r="T1073" s="8">
        <v>46298</v>
      </c>
    </row>
    <row r="1074" spans="1:20" ht="24" customHeight="1" x14ac:dyDescent="0.35">
      <c r="A1074" s="1" t="s">
        <v>3128</v>
      </c>
      <c r="B1074" s="1" t="s">
        <v>3129</v>
      </c>
      <c r="C1074" s="1" t="s">
        <v>749</v>
      </c>
      <c r="D1074" s="1" t="s">
        <v>724</v>
      </c>
      <c r="E1074" s="10">
        <v>46258</v>
      </c>
      <c r="F1074" s="1" t="s">
        <v>587</v>
      </c>
      <c r="G1074" s="1" t="s">
        <v>588</v>
      </c>
      <c r="H1074" s="23">
        <v>100000</v>
      </c>
      <c r="I1074" s="1" t="s">
        <v>589</v>
      </c>
      <c r="J1074" s="1" t="s">
        <v>547</v>
      </c>
      <c r="K1074" s="1" t="s">
        <v>590</v>
      </c>
      <c r="L1074" s="1" t="s">
        <v>149</v>
      </c>
      <c r="M1074" s="1" t="s">
        <v>581</v>
      </c>
      <c r="N1074" s="1"/>
      <c r="O1074" s="10"/>
      <c r="P1074" s="23"/>
      <c r="Q1074" s="1"/>
      <c r="R1074" s="1" t="s">
        <v>557</v>
      </c>
      <c r="S1074" s="1" t="s">
        <v>582</v>
      </c>
      <c r="T1074" s="10">
        <v>46298</v>
      </c>
    </row>
    <row r="1075" spans="1:20" ht="24" customHeight="1" x14ac:dyDescent="0.35">
      <c r="A1075" s="5" t="s">
        <v>3130</v>
      </c>
      <c r="B1075" s="5" t="s">
        <v>3131</v>
      </c>
      <c r="C1075" s="5" t="s">
        <v>425</v>
      </c>
      <c r="D1075" s="5" t="s">
        <v>1094</v>
      </c>
      <c r="E1075" s="8">
        <v>46258</v>
      </c>
      <c r="F1075" s="5" t="s">
        <v>578</v>
      </c>
      <c r="G1075" s="5" t="s">
        <v>579</v>
      </c>
      <c r="H1075" s="22"/>
      <c r="I1075" s="5" t="s">
        <v>580</v>
      </c>
      <c r="J1075" s="5" t="s">
        <v>544</v>
      </c>
      <c r="K1075" s="5" t="s">
        <v>590</v>
      </c>
      <c r="L1075" s="5" t="s">
        <v>149</v>
      </c>
      <c r="M1075" s="5" t="s">
        <v>581</v>
      </c>
      <c r="N1075" s="5"/>
      <c r="O1075" s="8"/>
      <c r="P1075" s="22"/>
      <c r="Q1075" s="5"/>
      <c r="R1075" s="5" t="s">
        <v>557</v>
      </c>
      <c r="S1075" s="5" t="s">
        <v>582</v>
      </c>
      <c r="T1075" s="8">
        <v>46298</v>
      </c>
    </row>
    <row r="1076" spans="1:20" ht="24" customHeight="1" x14ac:dyDescent="0.35">
      <c r="A1076" s="1" t="s">
        <v>3132</v>
      </c>
      <c r="B1076" s="1" t="s">
        <v>1748</v>
      </c>
      <c r="C1076" s="1" t="s">
        <v>599</v>
      </c>
      <c r="D1076" s="1" t="s">
        <v>1099</v>
      </c>
      <c r="E1076" s="10">
        <v>46258</v>
      </c>
      <c r="F1076" s="1" t="s">
        <v>771</v>
      </c>
      <c r="G1076" s="1" t="s">
        <v>772</v>
      </c>
      <c r="H1076" s="23"/>
      <c r="I1076" s="1" t="s">
        <v>603</v>
      </c>
      <c r="J1076" s="1" t="s">
        <v>544</v>
      </c>
      <c r="K1076" s="1" t="s">
        <v>545</v>
      </c>
      <c r="L1076" s="1" t="s">
        <v>172</v>
      </c>
      <c r="M1076" s="1" t="s">
        <v>581</v>
      </c>
      <c r="N1076" s="1"/>
      <c r="O1076" s="10"/>
      <c r="P1076" s="23"/>
      <c r="Q1076" s="1" t="s">
        <v>773</v>
      </c>
      <c r="R1076" s="1" t="s">
        <v>557</v>
      </c>
      <c r="S1076" s="1" t="s">
        <v>582</v>
      </c>
      <c r="T1076" s="10">
        <v>46298</v>
      </c>
    </row>
    <row r="1077" spans="1:20" ht="24" customHeight="1" x14ac:dyDescent="0.35">
      <c r="A1077" s="5" t="s">
        <v>3133</v>
      </c>
      <c r="B1077" s="5" t="s">
        <v>3134</v>
      </c>
      <c r="C1077" s="5" t="s">
        <v>448</v>
      </c>
      <c r="D1077" s="5" t="s">
        <v>785</v>
      </c>
      <c r="E1077" s="8">
        <v>46258</v>
      </c>
      <c r="F1077" s="5" t="s">
        <v>771</v>
      </c>
      <c r="G1077" s="5" t="s">
        <v>772</v>
      </c>
      <c r="H1077" s="22"/>
      <c r="I1077" s="5" t="s">
        <v>603</v>
      </c>
      <c r="J1077" s="5" t="s">
        <v>547</v>
      </c>
      <c r="K1077" s="5" t="s">
        <v>548</v>
      </c>
      <c r="L1077" s="5" t="s">
        <v>640</v>
      </c>
      <c r="M1077" s="5" t="s">
        <v>581</v>
      </c>
      <c r="N1077" s="5"/>
      <c r="O1077" s="8"/>
      <c r="P1077" s="22"/>
      <c r="Q1077" s="5" t="s">
        <v>773</v>
      </c>
      <c r="R1077" s="5" t="s">
        <v>557</v>
      </c>
      <c r="S1077" s="5" t="s">
        <v>582</v>
      </c>
      <c r="T1077" s="8">
        <v>46298</v>
      </c>
    </row>
    <row r="1078" spans="1:20" ht="24" customHeight="1" x14ac:dyDescent="0.35">
      <c r="A1078" s="1" t="s">
        <v>3135</v>
      </c>
      <c r="B1078" s="1" t="s">
        <v>3136</v>
      </c>
      <c r="C1078" s="1" t="s">
        <v>355</v>
      </c>
      <c r="D1078" s="1" t="s">
        <v>643</v>
      </c>
      <c r="E1078" s="10">
        <v>46259</v>
      </c>
      <c r="F1078" s="1" t="s">
        <v>587</v>
      </c>
      <c r="G1078" s="1" t="s">
        <v>588</v>
      </c>
      <c r="H1078" s="23">
        <v>75000000</v>
      </c>
      <c r="I1078" s="1" t="s">
        <v>3137</v>
      </c>
      <c r="J1078" s="1" t="s">
        <v>544</v>
      </c>
      <c r="K1078" s="1" t="s">
        <v>544</v>
      </c>
      <c r="L1078" s="1" t="s">
        <v>591</v>
      </c>
      <c r="M1078" s="1" t="s">
        <v>581</v>
      </c>
      <c r="N1078" s="1"/>
      <c r="O1078" s="10"/>
      <c r="P1078" s="23"/>
      <c r="Q1078" s="1"/>
      <c r="R1078" s="1" t="s">
        <v>557</v>
      </c>
      <c r="S1078" s="1" t="s">
        <v>582</v>
      </c>
      <c r="T1078" s="10">
        <v>46298</v>
      </c>
    </row>
    <row r="1079" spans="1:20" ht="24" customHeight="1" x14ac:dyDescent="0.35">
      <c r="A1079" s="5" t="s">
        <v>3138</v>
      </c>
      <c r="B1079" s="5" t="s">
        <v>3139</v>
      </c>
      <c r="C1079" s="5" t="s">
        <v>103</v>
      </c>
      <c r="D1079" s="5" t="s">
        <v>639</v>
      </c>
      <c r="E1079" s="8">
        <v>46259</v>
      </c>
      <c r="F1079" s="5" t="s">
        <v>587</v>
      </c>
      <c r="G1079" s="5" t="s">
        <v>588</v>
      </c>
      <c r="H1079" s="22">
        <v>5100000</v>
      </c>
      <c r="I1079" s="5" t="s">
        <v>589</v>
      </c>
      <c r="J1079" s="5" t="s">
        <v>544</v>
      </c>
      <c r="K1079" s="5" t="s">
        <v>548</v>
      </c>
      <c r="L1079" s="5" t="s">
        <v>608</v>
      </c>
      <c r="M1079" s="5" t="s">
        <v>581</v>
      </c>
      <c r="N1079" s="5"/>
      <c r="O1079" s="8"/>
      <c r="P1079" s="22"/>
      <c r="Q1079" s="5"/>
      <c r="R1079" s="5" t="s">
        <v>557</v>
      </c>
      <c r="S1079" s="5" t="s">
        <v>582</v>
      </c>
      <c r="T1079" s="8">
        <v>46298</v>
      </c>
    </row>
    <row r="1080" spans="1:20" ht="24" customHeight="1" x14ac:dyDescent="0.35">
      <c r="A1080" s="1" t="s">
        <v>3140</v>
      </c>
      <c r="B1080" s="1" t="s">
        <v>3141</v>
      </c>
      <c r="C1080" s="1" t="s">
        <v>661</v>
      </c>
      <c r="D1080" s="1" t="s">
        <v>3142</v>
      </c>
      <c r="E1080" s="10">
        <v>46259</v>
      </c>
      <c r="F1080" s="1" t="s">
        <v>771</v>
      </c>
      <c r="G1080" s="1" t="s">
        <v>772</v>
      </c>
      <c r="H1080" s="23"/>
      <c r="I1080" s="1" t="s">
        <v>603</v>
      </c>
      <c r="J1080" s="1" t="s">
        <v>546</v>
      </c>
      <c r="K1080" s="1" t="s">
        <v>590</v>
      </c>
      <c r="L1080" s="1" t="s">
        <v>640</v>
      </c>
      <c r="M1080" s="1" t="s">
        <v>581</v>
      </c>
      <c r="N1080" s="1"/>
      <c r="O1080" s="10"/>
      <c r="P1080" s="23"/>
      <c r="Q1080" s="1" t="s">
        <v>773</v>
      </c>
      <c r="R1080" s="1" t="s">
        <v>557</v>
      </c>
      <c r="S1080" s="1" t="s">
        <v>582</v>
      </c>
      <c r="T1080" s="10">
        <v>46298</v>
      </c>
    </row>
    <row r="1081" spans="1:20" ht="24" customHeight="1" x14ac:dyDescent="0.35">
      <c r="A1081" s="5" t="s">
        <v>3143</v>
      </c>
      <c r="B1081" s="5" t="s">
        <v>3144</v>
      </c>
      <c r="C1081" s="5" t="s">
        <v>1329</v>
      </c>
      <c r="D1081" s="5" t="s">
        <v>1034</v>
      </c>
      <c r="E1081" s="8">
        <v>46258</v>
      </c>
      <c r="F1081" s="5" t="s">
        <v>587</v>
      </c>
      <c r="G1081" s="5" t="s">
        <v>588</v>
      </c>
      <c r="H1081" s="22">
        <v>2100000</v>
      </c>
      <c r="I1081" s="5" t="s">
        <v>589</v>
      </c>
      <c r="J1081" s="5" t="s">
        <v>590</v>
      </c>
      <c r="K1081" s="5" t="s">
        <v>546</v>
      </c>
      <c r="L1081" s="5" t="s">
        <v>640</v>
      </c>
      <c r="M1081" s="5" t="s">
        <v>581</v>
      </c>
      <c r="N1081" s="5"/>
      <c r="O1081" s="8"/>
      <c r="P1081" s="22"/>
      <c r="Q1081" s="5"/>
      <c r="R1081" s="5" t="s">
        <v>557</v>
      </c>
      <c r="S1081" s="5" t="s">
        <v>582</v>
      </c>
      <c r="T1081" s="8">
        <v>46298</v>
      </c>
    </row>
    <row r="1082" spans="1:20" ht="24" customHeight="1" x14ac:dyDescent="0.35">
      <c r="A1082" s="1" t="s">
        <v>3145</v>
      </c>
      <c r="B1082" s="1" t="s">
        <v>3146</v>
      </c>
      <c r="C1082" s="1" t="s">
        <v>1949</v>
      </c>
      <c r="D1082" s="1" t="s">
        <v>1157</v>
      </c>
      <c r="E1082" s="10">
        <v>46258</v>
      </c>
      <c r="F1082" s="1" t="s">
        <v>771</v>
      </c>
      <c r="G1082" s="1" t="s">
        <v>772</v>
      </c>
      <c r="H1082" s="23"/>
      <c r="I1082" s="1" t="s">
        <v>603</v>
      </c>
      <c r="J1082" s="1" t="s">
        <v>590</v>
      </c>
      <c r="K1082" s="1" t="s">
        <v>548</v>
      </c>
      <c r="L1082" s="1" t="s">
        <v>591</v>
      </c>
      <c r="M1082" s="1" t="s">
        <v>581</v>
      </c>
      <c r="N1082" s="1"/>
      <c r="O1082" s="10"/>
      <c r="P1082" s="23"/>
      <c r="Q1082" s="1" t="s">
        <v>1008</v>
      </c>
      <c r="R1082" s="1" t="s">
        <v>557</v>
      </c>
      <c r="S1082" s="1" t="s">
        <v>582</v>
      </c>
      <c r="T1082" s="10">
        <v>46298</v>
      </c>
    </row>
    <row r="1083" spans="1:20" ht="24" customHeight="1" x14ac:dyDescent="0.35">
      <c r="A1083" s="5" t="s">
        <v>3147</v>
      </c>
      <c r="B1083" s="5" t="s">
        <v>3148</v>
      </c>
      <c r="C1083" s="5" t="s">
        <v>299</v>
      </c>
      <c r="D1083" s="5" t="s">
        <v>818</v>
      </c>
      <c r="E1083" s="8">
        <v>46259</v>
      </c>
      <c r="F1083" s="5" t="s">
        <v>771</v>
      </c>
      <c r="G1083" s="5" t="s">
        <v>772</v>
      </c>
      <c r="H1083" s="22"/>
      <c r="I1083" s="5" t="s">
        <v>603</v>
      </c>
      <c r="J1083" s="5" t="s">
        <v>546</v>
      </c>
      <c r="K1083" s="5" t="s">
        <v>590</v>
      </c>
      <c r="L1083" s="5" t="s">
        <v>608</v>
      </c>
      <c r="M1083" s="5" t="s">
        <v>581</v>
      </c>
      <c r="N1083" s="5"/>
      <c r="O1083" s="8"/>
      <c r="P1083" s="22"/>
      <c r="Q1083" s="5" t="s">
        <v>1008</v>
      </c>
      <c r="R1083" s="5" t="s">
        <v>557</v>
      </c>
      <c r="S1083" s="5" t="s">
        <v>582</v>
      </c>
      <c r="T1083" s="8">
        <v>46298</v>
      </c>
    </row>
    <row r="1084" spans="1:20" ht="24" customHeight="1" x14ac:dyDescent="0.35">
      <c r="A1084" s="1" t="s">
        <v>3149</v>
      </c>
      <c r="B1084" s="1" t="s">
        <v>3150</v>
      </c>
      <c r="C1084" s="1" t="s">
        <v>123</v>
      </c>
      <c r="D1084" s="1" t="s">
        <v>200</v>
      </c>
      <c r="E1084" s="10">
        <v>46259</v>
      </c>
      <c r="F1084" s="1" t="s">
        <v>771</v>
      </c>
      <c r="G1084" s="1" t="s">
        <v>772</v>
      </c>
      <c r="H1084" s="23"/>
      <c r="I1084" s="1" t="s">
        <v>603</v>
      </c>
      <c r="J1084" s="1" t="s">
        <v>546</v>
      </c>
      <c r="K1084" s="1" t="s">
        <v>544</v>
      </c>
      <c r="L1084" s="1" t="s">
        <v>172</v>
      </c>
      <c r="M1084" s="1" t="s">
        <v>581</v>
      </c>
      <c r="N1084" s="1"/>
      <c r="O1084" s="10"/>
      <c r="P1084" s="23"/>
      <c r="Q1084" s="1" t="s">
        <v>1107</v>
      </c>
      <c r="R1084" s="1" t="s">
        <v>557</v>
      </c>
      <c r="S1084" s="1" t="s">
        <v>582</v>
      </c>
      <c r="T1084" s="10">
        <v>46298</v>
      </c>
    </row>
    <row r="1085" spans="1:20" ht="24" customHeight="1" x14ac:dyDescent="0.35">
      <c r="A1085" s="5" t="s">
        <v>3151</v>
      </c>
      <c r="B1085" s="5" t="s">
        <v>3152</v>
      </c>
      <c r="C1085" s="5" t="s">
        <v>128</v>
      </c>
      <c r="D1085" s="5" t="s">
        <v>469</v>
      </c>
      <c r="E1085" s="8">
        <v>46259</v>
      </c>
      <c r="F1085" s="5" t="s">
        <v>587</v>
      </c>
      <c r="G1085" s="5" t="s">
        <v>588</v>
      </c>
      <c r="H1085" s="22">
        <v>70000000</v>
      </c>
      <c r="I1085" s="5" t="s">
        <v>1676</v>
      </c>
      <c r="J1085" s="5" t="s">
        <v>544</v>
      </c>
      <c r="K1085" s="5" t="s">
        <v>544</v>
      </c>
      <c r="L1085" s="5" t="s">
        <v>608</v>
      </c>
      <c r="M1085" s="5" t="s">
        <v>581</v>
      </c>
      <c r="N1085" s="5"/>
      <c r="O1085" s="8"/>
      <c r="P1085" s="22"/>
      <c r="Q1085" s="5"/>
      <c r="R1085" s="5" t="s">
        <v>557</v>
      </c>
      <c r="S1085" s="5" t="s">
        <v>582</v>
      </c>
      <c r="T1085" s="8">
        <v>46298</v>
      </c>
    </row>
    <row r="1086" spans="1:20" ht="24" customHeight="1" x14ac:dyDescent="0.35">
      <c r="A1086" s="1" t="s">
        <v>3153</v>
      </c>
      <c r="B1086" s="1" t="s">
        <v>259</v>
      </c>
      <c r="C1086" s="1" t="s">
        <v>801</v>
      </c>
      <c r="D1086" s="1" t="s">
        <v>119</v>
      </c>
      <c r="E1086" s="10">
        <v>46259</v>
      </c>
      <c r="F1086" s="1" t="s">
        <v>771</v>
      </c>
      <c r="G1086" s="1" t="s">
        <v>772</v>
      </c>
      <c r="H1086" s="23"/>
      <c r="I1086" s="1" t="s">
        <v>603</v>
      </c>
      <c r="J1086" s="1" t="s">
        <v>546</v>
      </c>
      <c r="K1086" s="1" t="s">
        <v>547</v>
      </c>
      <c r="L1086" s="1" t="s">
        <v>640</v>
      </c>
      <c r="M1086" s="1" t="s">
        <v>581</v>
      </c>
      <c r="N1086" s="1"/>
      <c r="O1086" s="10"/>
      <c r="P1086" s="23"/>
      <c r="Q1086" s="1" t="s">
        <v>1008</v>
      </c>
      <c r="R1086" s="1" t="s">
        <v>557</v>
      </c>
      <c r="S1086" s="1" t="s">
        <v>582</v>
      </c>
      <c r="T1086" s="10">
        <v>46298</v>
      </c>
    </row>
    <row r="1087" spans="1:20" ht="24" customHeight="1" x14ac:dyDescent="0.35">
      <c r="A1087" s="5" t="s">
        <v>3154</v>
      </c>
      <c r="B1087" s="5" t="s">
        <v>3155</v>
      </c>
      <c r="C1087" s="5" t="s">
        <v>103</v>
      </c>
      <c r="D1087" s="5" t="s">
        <v>210</v>
      </c>
      <c r="E1087" s="8">
        <v>46260</v>
      </c>
      <c r="F1087" s="5" t="s">
        <v>771</v>
      </c>
      <c r="G1087" s="5" t="s">
        <v>772</v>
      </c>
      <c r="H1087" s="22"/>
      <c r="I1087" s="5" t="s">
        <v>603</v>
      </c>
      <c r="J1087" s="5" t="s">
        <v>544</v>
      </c>
      <c r="K1087" s="5" t="s">
        <v>544</v>
      </c>
      <c r="L1087" s="5" t="s">
        <v>149</v>
      </c>
      <c r="M1087" s="5" t="s">
        <v>581</v>
      </c>
      <c r="N1087" s="5"/>
      <c r="O1087" s="8"/>
      <c r="P1087" s="22"/>
      <c r="Q1087" s="5" t="s">
        <v>773</v>
      </c>
      <c r="R1087" s="5" t="s">
        <v>557</v>
      </c>
      <c r="S1087" s="5" t="s">
        <v>582</v>
      </c>
      <c r="T1087" s="8">
        <v>46298</v>
      </c>
    </row>
    <row r="1088" spans="1:20" ht="24" customHeight="1" x14ac:dyDescent="0.35">
      <c r="A1088" s="1" t="s">
        <v>3156</v>
      </c>
      <c r="B1088" s="1" t="s">
        <v>3157</v>
      </c>
      <c r="C1088" s="1" t="s">
        <v>101</v>
      </c>
      <c r="D1088" s="1" t="s">
        <v>3123</v>
      </c>
      <c r="E1088" s="10">
        <v>46259</v>
      </c>
      <c r="F1088" s="1" t="s">
        <v>771</v>
      </c>
      <c r="G1088" s="1" t="s">
        <v>772</v>
      </c>
      <c r="H1088" s="23"/>
      <c r="I1088" s="1" t="s">
        <v>603</v>
      </c>
      <c r="J1088" s="1" t="s">
        <v>544</v>
      </c>
      <c r="K1088" s="1" t="s">
        <v>590</v>
      </c>
      <c r="L1088" s="1" t="s">
        <v>149</v>
      </c>
      <c r="M1088" s="1" t="s">
        <v>581</v>
      </c>
      <c r="N1088" s="1"/>
      <c r="O1088" s="10"/>
      <c r="P1088" s="23"/>
      <c r="Q1088" s="1" t="s">
        <v>773</v>
      </c>
      <c r="R1088" s="1" t="s">
        <v>557</v>
      </c>
      <c r="S1088" s="1" t="s">
        <v>582</v>
      </c>
      <c r="T1088" s="10">
        <v>46298</v>
      </c>
    </row>
    <row r="1089" spans="1:20" ht="24" customHeight="1" x14ac:dyDescent="0.35">
      <c r="A1089" s="5" t="s">
        <v>3158</v>
      </c>
      <c r="B1089" s="5" t="s">
        <v>3159</v>
      </c>
      <c r="C1089" s="5" t="s">
        <v>1187</v>
      </c>
      <c r="D1089" s="5" t="s">
        <v>128</v>
      </c>
      <c r="E1089" s="8">
        <v>46259</v>
      </c>
      <c r="F1089" s="5" t="s">
        <v>587</v>
      </c>
      <c r="G1089" s="5" t="s">
        <v>588</v>
      </c>
      <c r="H1089" s="22">
        <v>11100000</v>
      </c>
      <c r="I1089" s="5" t="s">
        <v>589</v>
      </c>
      <c r="J1089" s="5" t="s">
        <v>590</v>
      </c>
      <c r="K1089" s="5" t="s">
        <v>544</v>
      </c>
      <c r="L1089" s="5" t="s">
        <v>149</v>
      </c>
      <c r="M1089" s="5" t="s">
        <v>581</v>
      </c>
      <c r="N1089" s="5"/>
      <c r="O1089" s="8"/>
      <c r="P1089" s="22"/>
      <c r="Q1089" s="5"/>
      <c r="R1089" s="5" t="s">
        <v>557</v>
      </c>
      <c r="S1089" s="5" t="s">
        <v>582</v>
      </c>
      <c r="T1089" s="8">
        <v>46298</v>
      </c>
    </row>
    <row r="1090" spans="1:20" ht="24" customHeight="1" x14ac:dyDescent="0.35">
      <c r="A1090" s="1" t="s">
        <v>3160</v>
      </c>
      <c r="B1090" s="1" t="s">
        <v>3161</v>
      </c>
      <c r="C1090" s="1" t="s">
        <v>374</v>
      </c>
      <c r="D1090" s="1" t="s">
        <v>2613</v>
      </c>
      <c r="E1090" s="10">
        <v>46260</v>
      </c>
      <c r="F1090" s="1" t="s">
        <v>771</v>
      </c>
      <c r="G1090" s="1" t="s">
        <v>772</v>
      </c>
      <c r="H1090" s="23"/>
      <c r="I1090" s="1" t="s">
        <v>603</v>
      </c>
      <c r="J1090" s="1" t="s">
        <v>544</v>
      </c>
      <c r="K1090" s="1" t="s">
        <v>590</v>
      </c>
      <c r="L1090" s="1" t="s">
        <v>149</v>
      </c>
      <c r="M1090" s="1" t="s">
        <v>581</v>
      </c>
      <c r="N1090" s="1"/>
      <c r="O1090" s="10"/>
      <c r="P1090" s="23"/>
      <c r="Q1090" s="1" t="s">
        <v>773</v>
      </c>
      <c r="R1090" s="1" t="s">
        <v>557</v>
      </c>
      <c r="S1090" s="1" t="s">
        <v>582</v>
      </c>
      <c r="T1090" s="10">
        <v>46298</v>
      </c>
    </row>
    <row r="1091" spans="1:20" ht="24" customHeight="1" x14ac:dyDescent="0.35">
      <c r="A1091" s="5" t="s">
        <v>3162</v>
      </c>
      <c r="B1091" s="5" t="s">
        <v>3163</v>
      </c>
      <c r="C1091" s="5" t="s">
        <v>599</v>
      </c>
      <c r="D1091" s="5" t="s">
        <v>1112</v>
      </c>
      <c r="E1091" s="8">
        <v>46260</v>
      </c>
      <c r="F1091" s="5" t="s">
        <v>771</v>
      </c>
      <c r="G1091" s="5" t="s">
        <v>772</v>
      </c>
      <c r="H1091" s="22"/>
      <c r="I1091" s="5" t="s">
        <v>603</v>
      </c>
      <c r="J1091" s="5" t="s">
        <v>544</v>
      </c>
      <c r="K1091" s="5" t="s">
        <v>590</v>
      </c>
      <c r="L1091" s="5" t="s">
        <v>640</v>
      </c>
      <c r="M1091" s="5" t="s">
        <v>581</v>
      </c>
      <c r="N1091" s="5"/>
      <c r="O1091" s="8"/>
      <c r="P1091" s="22"/>
      <c r="Q1091" s="5" t="s">
        <v>773</v>
      </c>
      <c r="R1091" s="5" t="s">
        <v>557</v>
      </c>
      <c r="S1091" s="5" t="s">
        <v>582</v>
      </c>
      <c r="T1091" s="8">
        <v>46298</v>
      </c>
    </row>
    <row r="1092" spans="1:20" ht="24" customHeight="1" x14ac:dyDescent="0.35">
      <c r="A1092" s="1" t="s">
        <v>3164</v>
      </c>
      <c r="B1092" s="1" t="s">
        <v>3165</v>
      </c>
      <c r="C1092" s="1" t="s">
        <v>374</v>
      </c>
      <c r="D1092" s="1" t="s">
        <v>137</v>
      </c>
      <c r="E1092" s="10">
        <v>46260</v>
      </c>
      <c r="F1092" s="1" t="s">
        <v>771</v>
      </c>
      <c r="G1092" s="1" t="s">
        <v>772</v>
      </c>
      <c r="H1092" s="23"/>
      <c r="I1092" s="1" t="s">
        <v>603</v>
      </c>
      <c r="J1092" s="1" t="s">
        <v>544</v>
      </c>
      <c r="K1092" s="1" t="s">
        <v>548</v>
      </c>
      <c r="L1092" s="1" t="s">
        <v>591</v>
      </c>
      <c r="M1092" s="1" t="s">
        <v>581</v>
      </c>
      <c r="N1092" s="1"/>
      <c r="O1092" s="10"/>
      <c r="P1092" s="23"/>
      <c r="Q1092" s="1" t="s">
        <v>773</v>
      </c>
      <c r="R1092" s="1" t="s">
        <v>557</v>
      </c>
      <c r="S1092" s="1" t="s">
        <v>582</v>
      </c>
      <c r="T1092" s="10">
        <v>46298</v>
      </c>
    </row>
    <row r="1093" spans="1:20" ht="24" customHeight="1" x14ac:dyDescent="0.35">
      <c r="A1093" s="5" t="s">
        <v>3166</v>
      </c>
      <c r="B1093" s="5" t="s">
        <v>3167</v>
      </c>
      <c r="C1093" s="5" t="s">
        <v>190</v>
      </c>
      <c r="D1093" s="5" t="s">
        <v>999</v>
      </c>
      <c r="E1093" s="8">
        <v>46260</v>
      </c>
      <c r="F1093" s="5" t="s">
        <v>587</v>
      </c>
      <c r="G1093" s="5" t="s">
        <v>588</v>
      </c>
      <c r="H1093" s="22">
        <v>6000000</v>
      </c>
      <c r="I1093" s="5" t="s">
        <v>589</v>
      </c>
      <c r="J1093" s="5" t="s">
        <v>544</v>
      </c>
      <c r="K1093" s="5" t="s">
        <v>544</v>
      </c>
      <c r="L1093" s="5" t="s">
        <v>149</v>
      </c>
      <c r="M1093" s="5" t="s">
        <v>581</v>
      </c>
      <c r="N1093" s="5"/>
      <c r="O1093" s="8"/>
      <c r="P1093" s="22"/>
      <c r="Q1093" s="5"/>
      <c r="R1093" s="5" t="s">
        <v>557</v>
      </c>
      <c r="S1093" s="5" t="s">
        <v>582</v>
      </c>
      <c r="T1093" s="8">
        <v>46298</v>
      </c>
    </row>
    <row r="1094" spans="1:20" ht="24" customHeight="1" x14ac:dyDescent="0.35">
      <c r="A1094" s="1" t="s">
        <v>3168</v>
      </c>
      <c r="B1094" s="1" t="s">
        <v>3169</v>
      </c>
      <c r="C1094" s="1" t="s">
        <v>730</v>
      </c>
      <c r="D1094" s="1" t="s">
        <v>1183</v>
      </c>
      <c r="E1094" s="10">
        <v>46260</v>
      </c>
      <c r="F1094" s="1" t="s">
        <v>587</v>
      </c>
      <c r="G1094" s="1" t="s">
        <v>588</v>
      </c>
      <c r="H1094" s="23">
        <v>12900000</v>
      </c>
      <c r="I1094" s="1" t="s">
        <v>589</v>
      </c>
      <c r="J1094" s="1" t="s">
        <v>590</v>
      </c>
      <c r="K1094" s="1" t="s">
        <v>545</v>
      </c>
      <c r="L1094" s="1" t="s">
        <v>608</v>
      </c>
      <c r="M1094" s="1" t="s">
        <v>581</v>
      </c>
      <c r="N1094" s="1"/>
      <c r="O1094" s="10"/>
      <c r="P1094" s="23"/>
      <c r="Q1094" s="1"/>
      <c r="R1094" s="1" t="s">
        <v>557</v>
      </c>
      <c r="S1094" s="1" t="s">
        <v>582</v>
      </c>
      <c r="T1094" s="10">
        <v>46298</v>
      </c>
    </row>
    <row r="1095" spans="1:20" ht="24" customHeight="1" x14ac:dyDescent="0.35">
      <c r="A1095" s="5" t="s">
        <v>3170</v>
      </c>
      <c r="B1095" s="5" t="s">
        <v>300</v>
      </c>
      <c r="C1095" s="5" t="s">
        <v>142</v>
      </c>
      <c r="D1095" s="5" t="s">
        <v>111</v>
      </c>
      <c r="E1095" s="8">
        <v>46260</v>
      </c>
      <c r="F1095" s="5" t="s">
        <v>587</v>
      </c>
      <c r="G1095" s="5" t="s">
        <v>588</v>
      </c>
      <c r="H1095" s="22">
        <v>12000000</v>
      </c>
      <c r="I1095" s="5" t="s">
        <v>589</v>
      </c>
      <c r="J1095" s="5" t="s">
        <v>547</v>
      </c>
      <c r="K1095" s="5" t="s">
        <v>590</v>
      </c>
      <c r="L1095" s="5" t="s">
        <v>608</v>
      </c>
      <c r="M1095" s="5" t="s">
        <v>581</v>
      </c>
      <c r="N1095" s="5"/>
      <c r="O1095" s="8"/>
      <c r="P1095" s="22"/>
      <c r="Q1095" s="5"/>
      <c r="R1095" s="5" t="s">
        <v>557</v>
      </c>
      <c r="S1095" s="5" t="s">
        <v>582</v>
      </c>
      <c r="T1095" s="8">
        <v>46298</v>
      </c>
    </row>
    <row r="1096" spans="1:20" ht="24" customHeight="1" x14ac:dyDescent="0.35">
      <c r="A1096" s="1" t="s">
        <v>3171</v>
      </c>
      <c r="B1096" s="1" t="s">
        <v>3172</v>
      </c>
      <c r="C1096" s="1" t="s">
        <v>3173</v>
      </c>
      <c r="D1096" s="1" t="s">
        <v>137</v>
      </c>
      <c r="E1096" s="10">
        <v>46260</v>
      </c>
      <c r="F1096" s="1" t="s">
        <v>587</v>
      </c>
      <c r="G1096" s="1" t="s">
        <v>588</v>
      </c>
      <c r="H1096" s="23">
        <v>3100000</v>
      </c>
      <c r="I1096" s="1" t="s">
        <v>589</v>
      </c>
      <c r="J1096" s="1" t="s">
        <v>590</v>
      </c>
      <c r="K1096" s="1" t="s">
        <v>548</v>
      </c>
      <c r="L1096" s="1" t="s">
        <v>172</v>
      </c>
      <c r="M1096" s="1" t="s">
        <v>581</v>
      </c>
      <c r="N1096" s="1"/>
      <c r="O1096" s="10"/>
      <c r="P1096" s="23"/>
      <c r="Q1096" s="1"/>
      <c r="R1096" s="1" t="s">
        <v>557</v>
      </c>
      <c r="S1096" s="1" t="s">
        <v>582</v>
      </c>
      <c r="T1096" s="10">
        <v>46298</v>
      </c>
    </row>
    <row r="1097" spans="1:20" ht="24" customHeight="1" x14ac:dyDescent="0.35">
      <c r="A1097" s="5" t="s">
        <v>3174</v>
      </c>
      <c r="B1097" s="5" t="s">
        <v>3175</v>
      </c>
      <c r="C1097" s="5" t="s">
        <v>651</v>
      </c>
      <c r="D1097" s="5" t="s">
        <v>257</v>
      </c>
      <c r="E1097" s="8">
        <v>46260</v>
      </c>
      <c r="F1097" s="5" t="s">
        <v>771</v>
      </c>
      <c r="G1097" s="5" t="s">
        <v>772</v>
      </c>
      <c r="H1097" s="22"/>
      <c r="I1097" s="5" t="s">
        <v>603</v>
      </c>
      <c r="J1097" s="5" t="s">
        <v>548</v>
      </c>
      <c r="K1097" s="5" t="s">
        <v>590</v>
      </c>
      <c r="L1097" s="5" t="s">
        <v>608</v>
      </c>
      <c r="M1097" s="5" t="s">
        <v>581</v>
      </c>
      <c r="N1097" s="5"/>
      <c r="O1097" s="8"/>
      <c r="P1097" s="22"/>
      <c r="Q1097" s="5" t="s">
        <v>773</v>
      </c>
      <c r="R1097" s="5" t="s">
        <v>557</v>
      </c>
      <c r="S1097" s="5" t="s">
        <v>582</v>
      </c>
      <c r="T1097" s="8">
        <v>46298</v>
      </c>
    </row>
    <row r="1098" spans="1:20" ht="24" customHeight="1" x14ac:dyDescent="0.35">
      <c r="A1098" s="1" t="s">
        <v>3176</v>
      </c>
      <c r="B1098" s="1" t="s">
        <v>256</v>
      </c>
      <c r="C1098" s="1" t="s">
        <v>355</v>
      </c>
      <c r="D1098" s="1" t="s">
        <v>391</v>
      </c>
      <c r="E1098" s="10">
        <v>46260</v>
      </c>
      <c r="F1098" s="1" t="s">
        <v>587</v>
      </c>
      <c r="G1098" s="1" t="s">
        <v>588</v>
      </c>
      <c r="H1098" s="23">
        <v>52000000</v>
      </c>
      <c r="I1098" s="1" t="s">
        <v>589</v>
      </c>
      <c r="J1098" s="1" t="s">
        <v>544</v>
      </c>
      <c r="K1098" s="1" t="s">
        <v>544</v>
      </c>
      <c r="L1098" s="1" t="s">
        <v>608</v>
      </c>
      <c r="M1098" s="1" t="s">
        <v>581</v>
      </c>
      <c r="N1098" s="1"/>
      <c r="O1098" s="10"/>
      <c r="P1098" s="23"/>
      <c r="Q1098" s="1"/>
      <c r="R1098" s="1" t="s">
        <v>557</v>
      </c>
      <c r="S1098" s="1" t="s">
        <v>582</v>
      </c>
      <c r="T1098" s="10">
        <v>46298</v>
      </c>
    </row>
    <row r="1099" spans="1:20" ht="24" customHeight="1" x14ac:dyDescent="0.35">
      <c r="A1099" s="5" t="s">
        <v>3177</v>
      </c>
      <c r="B1099" s="5" t="s">
        <v>3178</v>
      </c>
      <c r="C1099" s="5" t="s">
        <v>596</v>
      </c>
      <c r="D1099" s="5" t="s">
        <v>1688</v>
      </c>
      <c r="E1099" s="8">
        <v>46260</v>
      </c>
      <c r="F1099" s="5" t="s">
        <v>771</v>
      </c>
      <c r="G1099" s="5" t="s">
        <v>772</v>
      </c>
      <c r="H1099" s="22"/>
      <c r="I1099" s="5" t="s">
        <v>603</v>
      </c>
      <c r="J1099" s="5" t="s">
        <v>548</v>
      </c>
      <c r="K1099" s="5" t="s">
        <v>590</v>
      </c>
      <c r="L1099" s="5" t="s">
        <v>608</v>
      </c>
      <c r="M1099" s="5" t="s">
        <v>581</v>
      </c>
      <c r="N1099" s="5"/>
      <c r="O1099" s="8"/>
      <c r="P1099" s="22"/>
      <c r="Q1099" s="5" t="s">
        <v>773</v>
      </c>
      <c r="R1099" s="5" t="s">
        <v>557</v>
      </c>
      <c r="S1099" s="5" t="s">
        <v>582</v>
      </c>
      <c r="T1099" s="8">
        <v>46298</v>
      </c>
    </row>
    <row r="1100" spans="1:20" ht="24" customHeight="1" x14ac:dyDescent="0.35">
      <c r="A1100" s="1" t="s">
        <v>3179</v>
      </c>
      <c r="B1100" s="1" t="s">
        <v>3180</v>
      </c>
      <c r="C1100" s="1" t="s">
        <v>1326</v>
      </c>
      <c r="D1100" s="1" t="s">
        <v>607</v>
      </c>
      <c r="E1100" s="10">
        <v>46260</v>
      </c>
      <c r="F1100" s="1" t="s">
        <v>587</v>
      </c>
      <c r="G1100" s="1" t="s">
        <v>588</v>
      </c>
      <c r="H1100" s="23">
        <v>2570000</v>
      </c>
      <c r="I1100" s="1" t="s">
        <v>589</v>
      </c>
      <c r="J1100" s="1" t="s">
        <v>590</v>
      </c>
      <c r="K1100" s="1" t="s">
        <v>547</v>
      </c>
      <c r="L1100" s="1" t="s">
        <v>640</v>
      </c>
      <c r="M1100" s="1" t="s">
        <v>581</v>
      </c>
      <c r="N1100" s="1"/>
      <c r="O1100" s="10"/>
      <c r="P1100" s="23"/>
      <c r="Q1100" s="1"/>
      <c r="R1100" s="1" t="s">
        <v>557</v>
      </c>
      <c r="S1100" s="1" t="s">
        <v>582</v>
      </c>
      <c r="T1100" s="10">
        <v>46298</v>
      </c>
    </row>
    <row r="1101" spans="1:20" ht="24" customHeight="1" x14ac:dyDescent="0.35">
      <c r="A1101" s="5" t="s">
        <v>3181</v>
      </c>
      <c r="B1101" s="5" t="s">
        <v>3182</v>
      </c>
      <c r="C1101" s="5" t="s">
        <v>2954</v>
      </c>
      <c r="D1101" s="5" t="s">
        <v>1099</v>
      </c>
      <c r="E1101" s="8">
        <v>46260</v>
      </c>
      <c r="F1101" s="5" t="s">
        <v>587</v>
      </c>
      <c r="G1101" s="5" t="s">
        <v>588</v>
      </c>
      <c r="H1101" s="22">
        <v>4300000</v>
      </c>
      <c r="I1101" s="5" t="s">
        <v>589</v>
      </c>
      <c r="J1101" s="5" t="s">
        <v>590</v>
      </c>
      <c r="K1101" s="5" t="s">
        <v>545</v>
      </c>
      <c r="L1101" s="5" t="s">
        <v>149</v>
      </c>
      <c r="M1101" s="5" t="s">
        <v>581</v>
      </c>
      <c r="N1101" s="5"/>
      <c r="O1101" s="8"/>
      <c r="P1101" s="22"/>
      <c r="Q1101" s="5"/>
      <c r="R1101" s="5" t="s">
        <v>557</v>
      </c>
      <c r="S1101" s="5" t="s">
        <v>582</v>
      </c>
      <c r="T1101" s="8">
        <v>46298</v>
      </c>
    </row>
    <row r="1102" spans="1:20" ht="24" customHeight="1" x14ac:dyDescent="0.35">
      <c r="A1102" s="1" t="s">
        <v>3183</v>
      </c>
      <c r="B1102" s="1" t="s">
        <v>3184</v>
      </c>
      <c r="C1102" s="1" t="s">
        <v>706</v>
      </c>
      <c r="D1102" s="1" t="s">
        <v>1645</v>
      </c>
      <c r="E1102" s="10">
        <v>46260</v>
      </c>
      <c r="F1102" s="1" t="s">
        <v>601</v>
      </c>
      <c r="G1102" s="1" t="s">
        <v>602</v>
      </c>
      <c r="H1102" s="23"/>
      <c r="I1102" s="1" t="s">
        <v>603</v>
      </c>
      <c r="J1102" s="1" t="s">
        <v>545</v>
      </c>
      <c r="K1102" s="1" t="s">
        <v>590</v>
      </c>
      <c r="L1102" s="1" t="s">
        <v>172</v>
      </c>
      <c r="M1102" s="1" t="s">
        <v>581</v>
      </c>
      <c r="N1102" s="1"/>
      <c r="O1102" s="10"/>
      <c r="P1102" s="23"/>
      <c r="Q1102" s="1"/>
      <c r="R1102" s="1" t="s">
        <v>557</v>
      </c>
      <c r="S1102" s="1" t="s">
        <v>582</v>
      </c>
      <c r="T1102" s="10">
        <v>46298</v>
      </c>
    </row>
    <row r="1103" spans="1:20" ht="24" customHeight="1" x14ac:dyDescent="0.35">
      <c r="A1103" s="5" t="s">
        <v>3185</v>
      </c>
      <c r="B1103" s="5" t="s">
        <v>3186</v>
      </c>
      <c r="C1103" s="5" t="s">
        <v>819</v>
      </c>
      <c r="D1103" s="5" t="s">
        <v>1557</v>
      </c>
      <c r="E1103" s="8">
        <v>46260</v>
      </c>
      <c r="F1103" s="5" t="s">
        <v>771</v>
      </c>
      <c r="G1103" s="5" t="s">
        <v>772</v>
      </c>
      <c r="H1103" s="22"/>
      <c r="I1103" s="5" t="s">
        <v>603</v>
      </c>
      <c r="J1103" s="5" t="s">
        <v>546</v>
      </c>
      <c r="K1103" s="5" t="s">
        <v>590</v>
      </c>
      <c r="L1103" s="5" t="s">
        <v>149</v>
      </c>
      <c r="M1103" s="5" t="s">
        <v>581</v>
      </c>
      <c r="N1103" s="5"/>
      <c r="O1103" s="8"/>
      <c r="P1103" s="22"/>
      <c r="Q1103" s="5" t="s">
        <v>773</v>
      </c>
      <c r="R1103" s="5" t="s">
        <v>557</v>
      </c>
      <c r="S1103" s="5" t="s">
        <v>582</v>
      </c>
      <c r="T1103" s="8">
        <v>46298</v>
      </c>
    </row>
    <row r="1104" spans="1:20" ht="24" customHeight="1" x14ac:dyDescent="0.35">
      <c r="A1104" s="1" t="s">
        <v>3187</v>
      </c>
      <c r="B1104" s="1" t="s">
        <v>3188</v>
      </c>
      <c r="C1104" s="1" t="s">
        <v>123</v>
      </c>
      <c r="D1104" s="1" t="s">
        <v>1226</v>
      </c>
      <c r="E1104" s="10">
        <v>46260</v>
      </c>
      <c r="F1104" s="1" t="s">
        <v>587</v>
      </c>
      <c r="G1104" s="1" t="s">
        <v>588</v>
      </c>
      <c r="H1104" s="23">
        <v>430000</v>
      </c>
      <c r="I1104" s="1" t="s">
        <v>589</v>
      </c>
      <c r="J1104" s="1" t="s">
        <v>546</v>
      </c>
      <c r="K1104" s="1" t="s">
        <v>590</v>
      </c>
      <c r="L1104" s="1" t="s">
        <v>172</v>
      </c>
      <c r="M1104" s="1" t="s">
        <v>581</v>
      </c>
      <c r="N1104" s="1"/>
      <c r="O1104" s="10"/>
      <c r="P1104" s="23"/>
      <c r="Q1104" s="1"/>
      <c r="R1104" s="1" t="s">
        <v>557</v>
      </c>
      <c r="S1104" s="1" t="s">
        <v>582</v>
      </c>
      <c r="T1104" s="10">
        <v>46298</v>
      </c>
    </row>
    <row r="1105" spans="1:20" ht="24" customHeight="1" x14ac:dyDescent="0.35">
      <c r="A1105" s="5" t="s">
        <v>3189</v>
      </c>
      <c r="B1105" s="5" t="s">
        <v>3190</v>
      </c>
      <c r="C1105" s="5" t="s">
        <v>408</v>
      </c>
      <c r="D1105" s="5" t="s">
        <v>1210</v>
      </c>
      <c r="E1105" s="8">
        <v>46260</v>
      </c>
      <c r="F1105" s="5" t="s">
        <v>578</v>
      </c>
      <c r="G1105" s="5" t="s">
        <v>579</v>
      </c>
      <c r="H1105" s="22"/>
      <c r="I1105" s="5" t="s">
        <v>580</v>
      </c>
      <c r="J1105" s="5" t="s">
        <v>590</v>
      </c>
      <c r="K1105" s="5" t="s">
        <v>545</v>
      </c>
      <c r="L1105" s="5" t="s">
        <v>591</v>
      </c>
      <c r="M1105" s="5" t="s">
        <v>581</v>
      </c>
      <c r="N1105" s="5"/>
      <c r="O1105" s="8"/>
      <c r="P1105" s="22"/>
      <c r="Q1105" s="5"/>
      <c r="R1105" s="5" t="s">
        <v>557</v>
      </c>
      <c r="S1105" s="5" t="s">
        <v>582</v>
      </c>
      <c r="T1105" s="8">
        <v>46298</v>
      </c>
    </row>
    <row r="1106" spans="1:20" ht="24" customHeight="1" x14ac:dyDescent="0.35">
      <c r="A1106" s="1" t="s">
        <v>3191</v>
      </c>
      <c r="B1106" s="1" t="s">
        <v>3192</v>
      </c>
      <c r="C1106" s="1" t="s">
        <v>1183</v>
      </c>
      <c r="D1106" s="1" t="s">
        <v>423</v>
      </c>
      <c r="E1106" s="10">
        <v>46260</v>
      </c>
      <c r="F1106" s="1" t="s">
        <v>771</v>
      </c>
      <c r="G1106" s="1" t="s">
        <v>772</v>
      </c>
      <c r="H1106" s="23"/>
      <c r="I1106" s="1" t="s">
        <v>603</v>
      </c>
      <c r="J1106" s="1" t="s">
        <v>545</v>
      </c>
      <c r="K1106" s="1" t="s">
        <v>546</v>
      </c>
      <c r="L1106" s="1" t="s">
        <v>149</v>
      </c>
      <c r="M1106" s="1" t="s">
        <v>581</v>
      </c>
      <c r="N1106" s="1"/>
      <c r="O1106" s="10"/>
      <c r="P1106" s="23"/>
      <c r="Q1106" s="1" t="s">
        <v>773</v>
      </c>
      <c r="R1106" s="1" t="s">
        <v>557</v>
      </c>
      <c r="S1106" s="1" t="s">
        <v>582</v>
      </c>
      <c r="T1106" s="10">
        <v>46298</v>
      </c>
    </row>
    <row r="1107" spans="1:20" ht="24" customHeight="1" x14ac:dyDescent="0.35">
      <c r="A1107" s="5" t="s">
        <v>3193</v>
      </c>
      <c r="B1107" s="5" t="s">
        <v>3194</v>
      </c>
      <c r="C1107" s="5" t="s">
        <v>103</v>
      </c>
      <c r="D1107" s="5" t="s">
        <v>374</v>
      </c>
      <c r="E1107" s="8">
        <v>46261</v>
      </c>
      <c r="F1107" s="5" t="s">
        <v>587</v>
      </c>
      <c r="G1107" s="5" t="s">
        <v>588</v>
      </c>
      <c r="H1107" s="22">
        <v>45000000</v>
      </c>
      <c r="I1107" s="5" t="s">
        <v>589</v>
      </c>
      <c r="J1107" s="5" t="s">
        <v>544</v>
      </c>
      <c r="K1107" s="5" t="s">
        <v>544</v>
      </c>
      <c r="L1107" s="5" t="s">
        <v>640</v>
      </c>
      <c r="M1107" s="5" t="s">
        <v>581</v>
      </c>
      <c r="N1107" s="5"/>
      <c r="O1107" s="8"/>
      <c r="P1107" s="22"/>
      <c r="Q1107" s="5"/>
      <c r="R1107" s="5" t="s">
        <v>557</v>
      </c>
      <c r="S1107" s="5" t="s">
        <v>582</v>
      </c>
      <c r="T1107" s="8">
        <v>46298</v>
      </c>
    </row>
    <row r="1108" spans="1:20" ht="24" customHeight="1" x14ac:dyDescent="0.35">
      <c r="A1108" s="1" t="s">
        <v>3195</v>
      </c>
      <c r="B1108" s="1" t="s">
        <v>3196</v>
      </c>
      <c r="C1108" s="1" t="s">
        <v>785</v>
      </c>
      <c r="D1108" s="1" t="s">
        <v>1083</v>
      </c>
      <c r="E1108" s="10">
        <v>46261</v>
      </c>
      <c r="F1108" s="1" t="s">
        <v>587</v>
      </c>
      <c r="G1108" s="1" t="s">
        <v>588</v>
      </c>
      <c r="H1108" s="23">
        <v>13000000</v>
      </c>
      <c r="I1108" s="1" t="s">
        <v>589</v>
      </c>
      <c r="J1108" s="1" t="s">
        <v>548</v>
      </c>
      <c r="K1108" s="1" t="s">
        <v>544</v>
      </c>
      <c r="L1108" s="1" t="s">
        <v>591</v>
      </c>
      <c r="M1108" s="1" t="s">
        <v>581</v>
      </c>
      <c r="N1108" s="1"/>
      <c r="O1108" s="10"/>
      <c r="P1108" s="23"/>
      <c r="Q1108" s="1"/>
      <c r="R1108" s="1" t="s">
        <v>557</v>
      </c>
      <c r="S1108" s="1" t="s">
        <v>582</v>
      </c>
      <c r="T1108" s="10">
        <v>46298</v>
      </c>
    </row>
    <row r="1109" spans="1:20" ht="24" customHeight="1" x14ac:dyDescent="0.35">
      <c r="A1109" s="5" t="s">
        <v>3197</v>
      </c>
      <c r="B1109" s="5" t="s">
        <v>3198</v>
      </c>
      <c r="C1109" s="5" t="s">
        <v>391</v>
      </c>
      <c r="D1109" s="5" t="s">
        <v>476</v>
      </c>
      <c r="E1109" s="8">
        <v>46261</v>
      </c>
      <c r="F1109" s="5" t="s">
        <v>578</v>
      </c>
      <c r="G1109" s="5" t="s">
        <v>579</v>
      </c>
      <c r="H1109" s="22"/>
      <c r="I1109" s="5" t="s">
        <v>580</v>
      </c>
      <c r="J1109" s="5" t="s">
        <v>544</v>
      </c>
      <c r="K1109" s="5" t="s">
        <v>590</v>
      </c>
      <c r="L1109" s="5" t="s">
        <v>172</v>
      </c>
      <c r="M1109" s="5" t="s">
        <v>581</v>
      </c>
      <c r="N1109" s="5"/>
      <c r="O1109" s="8"/>
      <c r="P1109" s="22"/>
      <c r="Q1109" s="5"/>
      <c r="R1109" s="5" t="s">
        <v>557</v>
      </c>
      <c r="S1109" s="5" t="s">
        <v>582</v>
      </c>
      <c r="T1109" s="8">
        <v>46298</v>
      </c>
    </row>
    <row r="1110" spans="1:20" ht="24" customHeight="1" x14ac:dyDescent="0.35">
      <c r="A1110" s="1" t="s">
        <v>3199</v>
      </c>
      <c r="B1110" s="1" t="s">
        <v>3200</v>
      </c>
      <c r="C1110" s="1" t="s">
        <v>850</v>
      </c>
      <c r="D1110" s="1" t="s">
        <v>323</v>
      </c>
      <c r="E1110" s="10">
        <v>46261</v>
      </c>
      <c r="F1110" s="1" t="s">
        <v>771</v>
      </c>
      <c r="G1110" s="1" t="s">
        <v>772</v>
      </c>
      <c r="H1110" s="23"/>
      <c r="I1110" s="1" t="s">
        <v>603</v>
      </c>
      <c r="J1110" s="1" t="s">
        <v>544</v>
      </c>
      <c r="K1110" s="1" t="s">
        <v>590</v>
      </c>
      <c r="L1110" s="1" t="s">
        <v>149</v>
      </c>
      <c r="M1110" s="1" t="s">
        <v>581</v>
      </c>
      <c r="N1110" s="1"/>
      <c r="O1110" s="10"/>
      <c r="P1110" s="23"/>
      <c r="Q1110" s="1" t="s">
        <v>773</v>
      </c>
      <c r="R1110" s="1" t="s">
        <v>557</v>
      </c>
      <c r="S1110" s="1" t="s">
        <v>582</v>
      </c>
      <c r="T1110" s="10">
        <v>46298</v>
      </c>
    </row>
    <row r="1111" spans="1:20" ht="24" customHeight="1" x14ac:dyDescent="0.35">
      <c r="A1111" s="5" t="s">
        <v>3201</v>
      </c>
      <c r="B1111" s="5" t="s">
        <v>3202</v>
      </c>
      <c r="C1111" s="5" t="s">
        <v>374</v>
      </c>
      <c r="D1111" s="5" t="s">
        <v>3203</v>
      </c>
      <c r="E1111" s="8">
        <v>46261</v>
      </c>
      <c r="F1111" s="5" t="s">
        <v>771</v>
      </c>
      <c r="G1111" s="5" t="s">
        <v>772</v>
      </c>
      <c r="H1111" s="22"/>
      <c r="I1111" s="5" t="s">
        <v>603</v>
      </c>
      <c r="J1111" s="5" t="s">
        <v>544</v>
      </c>
      <c r="K1111" s="5" t="s">
        <v>590</v>
      </c>
      <c r="L1111" s="5" t="s">
        <v>640</v>
      </c>
      <c r="M1111" s="5" t="s">
        <v>581</v>
      </c>
      <c r="N1111" s="5"/>
      <c r="O1111" s="8"/>
      <c r="P1111" s="22"/>
      <c r="Q1111" s="5" t="s">
        <v>773</v>
      </c>
      <c r="R1111" s="5" t="s">
        <v>557</v>
      </c>
      <c r="S1111" s="5" t="s">
        <v>582</v>
      </c>
      <c r="T1111" s="8">
        <v>46298</v>
      </c>
    </row>
    <row r="1112" spans="1:20" ht="24" customHeight="1" x14ac:dyDescent="0.35">
      <c r="A1112" s="1" t="s">
        <v>3204</v>
      </c>
      <c r="B1112" s="1" t="s">
        <v>3205</v>
      </c>
      <c r="C1112" s="1" t="s">
        <v>142</v>
      </c>
      <c r="D1112" s="1" t="s">
        <v>1129</v>
      </c>
      <c r="E1112" s="10">
        <v>46261</v>
      </c>
      <c r="F1112" s="1" t="s">
        <v>771</v>
      </c>
      <c r="G1112" s="1" t="s">
        <v>772</v>
      </c>
      <c r="H1112" s="23"/>
      <c r="I1112" s="1" t="s">
        <v>603</v>
      </c>
      <c r="J1112" s="1" t="s">
        <v>547</v>
      </c>
      <c r="K1112" s="1" t="s">
        <v>545</v>
      </c>
      <c r="L1112" s="1" t="s">
        <v>591</v>
      </c>
      <c r="M1112" s="1" t="s">
        <v>581</v>
      </c>
      <c r="N1112" s="1"/>
      <c r="O1112" s="10"/>
      <c r="P1112" s="23"/>
      <c r="Q1112" s="1" t="s">
        <v>1107</v>
      </c>
      <c r="R1112" s="1" t="s">
        <v>557</v>
      </c>
      <c r="S1112" s="1" t="s">
        <v>582</v>
      </c>
      <c r="T1112" s="10">
        <v>46298</v>
      </c>
    </row>
    <row r="1113" spans="1:20" ht="24" customHeight="1" x14ac:dyDescent="0.35">
      <c r="A1113" s="5" t="s">
        <v>3206</v>
      </c>
      <c r="B1113" s="5" t="s">
        <v>187</v>
      </c>
      <c r="C1113" s="5" t="s">
        <v>355</v>
      </c>
      <c r="D1113" s="5" t="s">
        <v>643</v>
      </c>
      <c r="E1113" s="8">
        <v>46261</v>
      </c>
      <c r="F1113" s="5" t="s">
        <v>771</v>
      </c>
      <c r="G1113" s="5" t="s">
        <v>772</v>
      </c>
      <c r="H1113" s="22"/>
      <c r="I1113" s="5" t="s">
        <v>603</v>
      </c>
      <c r="J1113" s="5" t="s">
        <v>544</v>
      </c>
      <c r="K1113" s="5" t="s">
        <v>544</v>
      </c>
      <c r="L1113" s="5" t="s">
        <v>640</v>
      </c>
      <c r="M1113" s="5" t="s">
        <v>581</v>
      </c>
      <c r="N1113" s="5"/>
      <c r="O1113" s="8"/>
      <c r="P1113" s="22"/>
      <c r="Q1113" s="5" t="s">
        <v>1107</v>
      </c>
      <c r="R1113" s="5" t="s">
        <v>557</v>
      </c>
      <c r="S1113" s="5" t="s">
        <v>582</v>
      </c>
      <c r="T1113" s="8">
        <v>46298</v>
      </c>
    </row>
    <row r="1114" spans="1:20" ht="24" customHeight="1" x14ac:dyDescent="0.35">
      <c r="A1114" s="1" t="s">
        <v>3207</v>
      </c>
      <c r="B1114" s="1" t="s">
        <v>3208</v>
      </c>
      <c r="C1114" s="1" t="s">
        <v>707</v>
      </c>
      <c r="D1114" s="1" t="s">
        <v>1163</v>
      </c>
      <c r="E1114" s="10">
        <v>46261</v>
      </c>
      <c r="F1114" s="1" t="s">
        <v>771</v>
      </c>
      <c r="G1114" s="1" t="s">
        <v>772</v>
      </c>
      <c r="H1114" s="23"/>
      <c r="I1114" s="1" t="s">
        <v>603</v>
      </c>
      <c r="J1114" s="1" t="s">
        <v>545</v>
      </c>
      <c r="K1114" s="1" t="s">
        <v>545</v>
      </c>
      <c r="L1114" s="1" t="s">
        <v>149</v>
      </c>
      <c r="M1114" s="1" t="s">
        <v>581</v>
      </c>
      <c r="N1114" s="1"/>
      <c r="O1114" s="10"/>
      <c r="P1114" s="23"/>
      <c r="Q1114" s="1" t="s">
        <v>773</v>
      </c>
      <c r="R1114" s="1" t="s">
        <v>557</v>
      </c>
      <c r="S1114" s="1" t="s">
        <v>582</v>
      </c>
      <c r="T1114" s="10">
        <v>46298</v>
      </c>
    </row>
    <row r="1115" spans="1:20" ht="24" customHeight="1" x14ac:dyDescent="0.35">
      <c r="A1115" s="5" t="s">
        <v>3209</v>
      </c>
      <c r="B1115" s="5" t="s">
        <v>3210</v>
      </c>
      <c r="C1115" s="5" t="s">
        <v>743</v>
      </c>
      <c r="D1115" s="5" t="s">
        <v>887</v>
      </c>
      <c r="E1115" s="8">
        <v>46261</v>
      </c>
      <c r="F1115" s="5" t="s">
        <v>587</v>
      </c>
      <c r="G1115" s="5" t="s">
        <v>588</v>
      </c>
      <c r="H1115" s="22">
        <v>3000000</v>
      </c>
      <c r="I1115" s="5" t="s">
        <v>589</v>
      </c>
      <c r="J1115" s="5" t="s">
        <v>545</v>
      </c>
      <c r="K1115" s="5" t="s">
        <v>590</v>
      </c>
      <c r="L1115" s="5" t="s">
        <v>591</v>
      </c>
      <c r="M1115" s="5" t="s">
        <v>581</v>
      </c>
      <c r="N1115" s="5"/>
      <c r="O1115" s="8"/>
      <c r="P1115" s="22"/>
      <c r="Q1115" s="5"/>
      <c r="R1115" s="5" t="s">
        <v>557</v>
      </c>
      <c r="S1115" s="5" t="s">
        <v>582</v>
      </c>
      <c r="T1115" s="8">
        <v>46298</v>
      </c>
    </row>
    <row r="1116" spans="1:20" ht="24" customHeight="1" x14ac:dyDescent="0.35">
      <c r="A1116" s="1" t="s">
        <v>3211</v>
      </c>
      <c r="B1116" s="1" t="s">
        <v>3212</v>
      </c>
      <c r="C1116" s="1" t="s">
        <v>749</v>
      </c>
      <c r="D1116" s="1" t="s">
        <v>162</v>
      </c>
      <c r="E1116" s="10">
        <v>46261</v>
      </c>
      <c r="F1116" s="1" t="s">
        <v>587</v>
      </c>
      <c r="G1116" s="1" t="s">
        <v>588</v>
      </c>
      <c r="H1116" s="23">
        <v>3300000</v>
      </c>
      <c r="I1116" s="1" t="s">
        <v>589</v>
      </c>
      <c r="J1116" s="1" t="s">
        <v>547</v>
      </c>
      <c r="K1116" s="1" t="s">
        <v>590</v>
      </c>
      <c r="L1116" s="1" t="s">
        <v>149</v>
      </c>
      <c r="M1116" s="1" t="s">
        <v>581</v>
      </c>
      <c r="N1116" s="1"/>
      <c r="O1116" s="10"/>
      <c r="P1116" s="23"/>
      <c r="Q1116" s="1"/>
      <c r="R1116" s="1" t="s">
        <v>557</v>
      </c>
      <c r="S1116" s="1" t="s">
        <v>582</v>
      </c>
      <c r="T1116" s="10">
        <v>46298</v>
      </c>
    </row>
    <row r="1117" spans="1:20" ht="24" customHeight="1" x14ac:dyDescent="0.35">
      <c r="A1117" s="5" t="s">
        <v>3213</v>
      </c>
      <c r="B1117" s="5" t="s">
        <v>3214</v>
      </c>
      <c r="C1117" s="5" t="s">
        <v>685</v>
      </c>
      <c r="D1117" s="5" t="s">
        <v>599</v>
      </c>
      <c r="E1117" s="8">
        <v>46261</v>
      </c>
      <c r="F1117" s="5" t="s">
        <v>587</v>
      </c>
      <c r="G1117" s="5" t="s">
        <v>588</v>
      </c>
      <c r="H1117" s="22">
        <v>23500000</v>
      </c>
      <c r="I1117" s="5" t="s">
        <v>589</v>
      </c>
      <c r="J1117" s="5" t="s">
        <v>547</v>
      </c>
      <c r="K1117" s="5" t="s">
        <v>544</v>
      </c>
      <c r="L1117" s="5" t="s">
        <v>608</v>
      </c>
      <c r="M1117" s="5" t="s">
        <v>581</v>
      </c>
      <c r="N1117" s="5"/>
      <c r="O1117" s="8"/>
      <c r="P1117" s="22"/>
      <c r="Q1117" s="5"/>
      <c r="R1117" s="5" t="s">
        <v>557</v>
      </c>
      <c r="S1117" s="5" t="s">
        <v>582</v>
      </c>
      <c r="T1117" s="8">
        <v>46298</v>
      </c>
    </row>
    <row r="1118" spans="1:20" ht="24" customHeight="1" x14ac:dyDescent="0.35">
      <c r="A1118" s="1" t="s">
        <v>3215</v>
      </c>
      <c r="B1118" s="1" t="s">
        <v>3216</v>
      </c>
      <c r="C1118" s="1" t="s">
        <v>103</v>
      </c>
      <c r="D1118" s="1" t="s">
        <v>178</v>
      </c>
      <c r="E1118" s="10">
        <v>46262</v>
      </c>
      <c r="F1118" s="1" t="s">
        <v>771</v>
      </c>
      <c r="G1118" s="1" t="s">
        <v>772</v>
      </c>
      <c r="H1118" s="23"/>
      <c r="I1118" s="1" t="s">
        <v>603</v>
      </c>
      <c r="J1118" s="1" t="s">
        <v>544</v>
      </c>
      <c r="K1118" s="1" t="s">
        <v>545</v>
      </c>
      <c r="L1118" s="1" t="s">
        <v>149</v>
      </c>
      <c r="M1118" s="1" t="s">
        <v>581</v>
      </c>
      <c r="N1118" s="1"/>
      <c r="O1118" s="10"/>
      <c r="P1118" s="23"/>
      <c r="Q1118" s="1" t="s">
        <v>773</v>
      </c>
      <c r="R1118" s="1" t="s">
        <v>557</v>
      </c>
      <c r="S1118" s="1" t="s">
        <v>582</v>
      </c>
      <c r="T1118" s="10">
        <v>46298</v>
      </c>
    </row>
    <row r="1119" spans="1:20" ht="24" customHeight="1" x14ac:dyDescent="0.35">
      <c r="A1119" s="5" t="s">
        <v>3217</v>
      </c>
      <c r="B1119" s="5" t="s">
        <v>3218</v>
      </c>
      <c r="C1119" s="5" t="s">
        <v>408</v>
      </c>
      <c r="D1119" s="5" t="s">
        <v>190</v>
      </c>
      <c r="E1119" s="8">
        <v>46262</v>
      </c>
      <c r="F1119" s="5" t="s">
        <v>587</v>
      </c>
      <c r="G1119" s="5" t="s">
        <v>588</v>
      </c>
      <c r="H1119" s="22">
        <v>35000000</v>
      </c>
      <c r="I1119" s="5" t="s">
        <v>589</v>
      </c>
      <c r="J1119" s="5" t="s">
        <v>590</v>
      </c>
      <c r="K1119" s="5" t="s">
        <v>544</v>
      </c>
      <c r="L1119" s="5" t="s">
        <v>149</v>
      </c>
      <c r="M1119" s="5" t="s">
        <v>581</v>
      </c>
      <c r="N1119" s="5"/>
      <c r="O1119" s="8"/>
      <c r="P1119" s="22"/>
      <c r="Q1119" s="5"/>
      <c r="R1119" s="5" t="s">
        <v>557</v>
      </c>
      <c r="S1119" s="5" t="s">
        <v>582</v>
      </c>
      <c r="T1119" s="8">
        <v>46298</v>
      </c>
    </row>
    <row r="1120" spans="1:20" ht="24" customHeight="1" x14ac:dyDescent="0.35">
      <c r="A1120" s="1" t="s">
        <v>3219</v>
      </c>
      <c r="B1120" s="1" t="s">
        <v>3220</v>
      </c>
      <c r="C1120" s="1" t="s">
        <v>677</v>
      </c>
      <c r="D1120" s="1" t="s">
        <v>448</v>
      </c>
      <c r="E1120" s="10">
        <v>46262</v>
      </c>
      <c r="F1120" s="1" t="s">
        <v>771</v>
      </c>
      <c r="G1120" s="1" t="s">
        <v>772</v>
      </c>
      <c r="H1120" s="23"/>
      <c r="I1120" s="1" t="s">
        <v>603</v>
      </c>
      <c r="J1120" s="1" t="s">
        <v>547</v>
      </c>
      <c r="K1120" s="1" t="s">
        <v>547</v>
      </c>
      <c r="L1120" s="1" t="s">
        <v>172</v>
      </c>
      <c r="M1120" s="1" t="s">
        <v>581</v>
      </c>
      <c r="N1120" s="1"/>
      <c r="O1120" s="10"/>
      <c r="P1120" s="23"/>
      <c r="Q1120" s="1" t="s">
        <v>1107</v>
      </c>
      <c r="R1120" s="1" t="s">
        <v>557</v>
      </c>
      <c r="S1120" s="1" t="s">
        <v>582</v>
      </c>
      <c r="T1120" s="10">
        <v>46298</v>
      </c>
    </row>
    <row r="1121" spans="1:20" ht="24" customHeight="1" x14ac:dyDescent="0.35">
      <c r="A1121" s="5" t="s">
        <v>3221</v>
      </c>
      <c r="B1121" s="5" t="s">
        <v>3222</v>
      </c>
      <c r="C1121" s="5" t="s">
        <v>652</v>
      </c>
      <c r="D1121" s="5" t="s">
        <v>2658</v>
      </c>
      <c r="E1121" s="8">
        <v>46262</v>
      </c>
      <c r="F1121" s="5" t="s">
        <v>578</v>
      </c>
      <c r="G1121" s="5" t="s">
        <v>579</v>
      </c>
      <c r="H1121" s="22"/>
      <c r="I1121" s="5" t="s">
        <v>580</v>
      </c>
      <c r="J1121" s="5" t="s">
        <v>547</v>
      </c>
      <c r="K1121" s="5" t="s">
        <v>590</v>
      </c>
      <c r="L1121" s="5" t="s">
        <v>591</v>
      </c>
      <c r="M1121" s="5" t="s">
        <v>581</v>
      </c>
      <c r="N1121" s="5"/>
      <c r="O1121" s="8"/>
      <c r="P1121" s="22"/>
      <c r="Q1121" s="5"/>
      <c r="R1121" s="5" t="s">
        <v>557</v>
      </c>
      <c r="S1121" s="5" t="s">
        <v>582</v>
      </c>
      <c r="T1121" s="8">
        <v>46298</v>
      </c>
    </row>
    <row r="1122" spans="1:20" ht="24" customHeight="1" x14ac:dyDescent="0.35">
      <c r="A1122" s="1" t="s">
        <v>3223</v>
      </c>
      <c r="B1122" s="1" t="s">
        <v>3224</v>
      </c>
      <c r="C1122" s="1" t="s">
        <v>103</v>
      </c>
      <c r="D1122" s="1" t="s">
        <v>1329</v>
      </c>
      <c r="E1122" s="10">
        <v>46262</v>
      </c>
      <c r="F1122" s="1" t="s">
        <v>771</v>
      </c>
      <c r="G1122" s="1" t="s">
        <v>772</v>
      </c>
      <c r="H1122" s="23"/>
      <c r="I1122" s="1" t="s">
        <v>603</v>
      </c>
      <c r="J1122" s="1" t="s">
        <v>544</v>
      </c>
      <c r="K1122" s="1" t="s">
        <v>590</v>
      </c>
      <c r="L1122" s="1" t="s">
        <v>149</v>
      </c>
      <c r="M1122" s="1" t="s">
        <v>581</v>
      </c>
      <c r="N1122" s="1"/>
      <c r="O1122" s="10"/>
      <c r="P1122" s="23"/>
      <c r="Q1122" s="1" t="s">
        <v>773</v>
      </c>
      <c r="R1122" s="1" t="s">
        <v>557</v>
      </c>
      <c r="S1122" s="1" t="s">
        <v>582</v>
      </c>
      <c r="T1122" s="10">
        <v>46298</v>
      </c>
    </row>
    <row r="1123" spans="1:20" ht="24" customHeight="1" x14ac:dyDescent="0.35">
      <c r="A1123" s="5" t="s">
        <v>3225</v>
      </c>
      <c r="B1123" s="5" t="s">
        <v>3226</v>
      </c>
      <c r="C1123" s="5" t="s">
        <v>999</v>
      </c>
      <c r="D1123" s="5" t="s">
        <v>2163</v>
      </c>
      <c r="E1123" s="8">
        <v>46262</v>
      </c>
      <c r="F1123" s="5" t="s">
        <v>771</v>
      </c>
      <c r="G1123" s="5" t="s">
        <v>772</v>
      </c>
      <c r="H1123" s="22"/>
      <c r="I1123" s="5" t="s">
        <v>603</v>
      </c>
      <c r="J1123" s="5" t="s">
        <v>544</v>
      </c>
      <c r="K1123" s="5" t="s">
        <v>590</v>
      </c>
      <c r="L1123" s="5" t="s">
        <v>149</v>
      </c>
      <c r="M1123" s="5" t="s">
        <v>581</v>
      </c>
      <c r="N1123" s="5"/>
      <c r="O1123" s="8"/>
      <c r="P1123" s="22"/>
      <c r="Q1123" s="5" t="s">
        <v>773</v>
      </c>
      <c r="R1123" s="5" t="s">
        <v>557</v>
      </c>
      <c r="S1123" s="5" t="s">
        <v>582</v>
      </c>
      <c r="T1123" s="8">
        <v>46298</v>
      </c>
    </row>
    <row r="1124" spans="1:20" ht="24" customHeight="1" x14ac:dyDescent="0.35">
      <c r="A1124" s="1" t="s">
        <v>3227</v>
      </c>
      <c r="B1124" s="1" t="s">
        <v>3228</v>
      </c>
      <c r="C1124" s="1" t="s">
        <v>103</v>
      </c>
      <c r="D1124" s="1" t="s">
        <v>106</v>
      </c>
      <c r="E1124" s="10">
        <v>46262</v>
      </c>
      <c r="F1124" s="1" t="s">
        <v>587</v>
      </c>
      <c r="G1124" s="1" t="s">
        <v>588</v>
      </c>
      <c r="H1124" s="23">
        <v>47500000</v>
      </c>
      <c r="I1124" s="1" t="s">
        <v>589</v>
      </c>
      <c r="J1124" s="1" t="s">
        <v>544</v>
      </c>
      <c r="K1124" s="1" t="s">
        <v>544</v>
      </c>
      <c r="L1124" s="1" t="s">
        <v>640</v>
      </c>
      <c r="M1124" s="1" t="s">
        <v>581</v>
      </c>
      <c r="N1124" s="1"/>
      <c r="O1124" s="10"/>
      <c r="P1124" s="23"/>
      <c r="Q1124" s="1"/>
      <c r="R1124" s="1" t="s">
        <v>557</v>
      </c>
      <c r="S1124" s="1" t="s">
        <v>582</v>
      </c>
      <c r="T1124" s="10">
        <v>46298</v>
      </c>
    </row>
    <row r="1125" spans="1:20" ht="24" customHeight="1" x14ac:dyDescent="0.35">
      <c r="A1125" s="5" t="s">
        <v>3229</v>
      </c>
      <c r="B1125" s="5" t="s">
        <v>3230</v>
      </c>
      <c r="C1125" s="5" t="s">
        <v>157</v>
      </c>
      <c r="D1125" s="5" t="s">
        <v>797</v>
      </c>
      <c r="E1125" s="8">
        <v>46262</v>
      </c>
      <c r="F1125" s="5" t="s">
        <v>771</v>
      </c>
      <c r="G1125" s="5" t="s">
        <v>772</v>
      </c>
      <c r="H1125" s="22"/>
      <c r="I1125" s="5" t="s">
        <v>603</v>
      </c>
      <c r="J1125" s="5" t="s">
        <v>546</v>
      </c>
      <c r="K1125" s="5" t="s">
        <v>546</v>
      </c>
      <c r="L1125" s="5" t="s">
        <v>608</v>
      </c>
      <c r="M1125" s="5" t="s">
        <v>581</v>
      </c>
      <c r="N1125" s="5"/>
      <c r="O1125" s="8"/>
      <c r="P1125" s="22"/>
      <c r="Q1125" s="5" t="s">
        <v>773</v>
      </c>
      <c r="R1125" s="5" t="s">
        <v>557</v>
      </c>
      <c r="S1125" s="5" t="s">
        <v>582</v>
      </c>
      <c r="T1125" s="8">
        <v>46298</v>
      </c>
    </row>
    <row r="1126" spans="1:20" ht="24" customHeight="1" x14ac:dyDescent="0.35">
      <c r="A1126" s="1" t="s">
        <v>3231</v>
      </c>
      <c r="B1126" s="1" t="s">
        <v>3232</v>
      </c>
      <c r="C1126" s="1" t="s">
        <v>606</v>
      </c>
      <c r="D1126" s="1" t="s">
        <v>1320</v>
      </c>
      <c r="E1126" s="10">
        <v>46262</v>
      </c>
      <c r="F1126" s="1" t="s">
        <v>578</v>
      </c>
      <c r="G1126" s="1" t="s">
        <v>579</v>
      </c>
      <c r="H1126" s="23"/>
      <c r="I1126" s="1" t="s">
        <v>580</v>
      </c>
      <c r="J1126" s="1" t="s">
        <v>547</v>
      </c>
      <c r="K1126" s="1" t="s">
        <v>590</v>
      </c>
      <c r="L1126" s="1" t="s">
        <v>608</v>
      </c>
      <c r="M1126" s="1" t="s">
        <v>581</v>
      </c>
      <c r="N1126" s="1"/>
      <c r="O1126" s="10"/>
      <c r="P1126" s="23"/>
      <c r="Q1126" s="1"/>
      <c r="R1126" s="1" t="s">
        <v>557</v>
      </c>
      <c r="S1126" s="1" t="s">
        <v>582</v>
      </c>
      <c r="T1126" s="10">
        <v>46298</v>
      </c>
    </row>
    <row r="1127" spans="1:20" ht="24" customHeight="1" x14ac:dyDescent="0.35">
      <c r="A1127" s="5" t="s">
        <v>3233</v>
      </c>
      <c r="B1127" s="5" t="s">
        <v>3234</v>
      </c>
      <c r="C1127" s="5" t="s">
        <v>3235</v>
      </c>
      <c r="D1127" s="5" t="s">
        <v>819</v>
      </c>
      <c r="E1127" s="8">
        <v>46262</v>
      </c>
      <c r="F1127" s="5" t="s">
        <v>587</v>
      </c>
      <c r="G1127" s="5" t="s">
        <v>588</v>
      </c>
      <c r="H1127" s="22">
        <v>9160000</v>
      </c>
      <c r="I1127" s="5" t="s">
        <v>589</v>
      </c>
      <c r="J1127" s="5" t="s">
        <v>590</v>
      </c>
      <c r="K1127" s="5" t="s">
        <v>546</v>
      </c>
      <c r="L1127" s="5" t="s">
        <v>640</v>
      </c>
      <c r="M1127" s="5" t="s">
        <v>581</v>
      </c>
      <c r="N1127" s="5"/>
      <c r="O1127" s="8"/>
      <c r="P1127" s="22"/>
      <c r="Q1127" s="5"/>
      <c r="R1127" s="5" t="s">
        <v>557</v>
      </c>
      <c r="S1127" s="5" t="s">
        <v>582</v>
      </c>
      <c r="T1127" s="8">
        <v>46298</v>
      </c>
    </row>
    <row r="1128" spans="1:20" ht="24" customHeight="1" x14ac:dyDescent="0.35">
      <c r="A1128" s="1" t="s">
        <v>3236</v>
      </c>
      <c r="B1128" s="1" t="s">
        <v>216</v>
      </c>
      <c r="C1128" s="1" t="s">
        <v>423</v>
      </c>
      <c r="D1128" s="1" t="s">
        <v>1459</v>
      </c>
      <c r="E1128" s="10">
        <v>46262</v>
      </c>
      <c r="F1128" s="1" t="s">
        <v>771</v>
      </c>
      <c r="G1128" s="1" t="s">
        <v>772</v>
      </c>
      <c r="H1128" s="23"/>
      <c r="I1128" s="1" t="s">
        <v>603</v>
      </c>
      <c r="J1128" s="1" t="s">
        <v>546</v>
      </c>
      <c r="K1128" s="1" t="s">
        <v>590</v>
      </c>
      <c r="L1128" s="1" t="s">
        <v>640</v>
      </c>
      <c r="M1128" s="1" t="s">
        <v>581</v>
      </c>
      <c r="N1128" s="1"/>
      <c r="O1128" s="10"/>
      <c r="P1128" s="23"/>
      <c r="Q1128" s="1" t="s">
        <v>773</v>
      </c>
      <c r="R1128" s="1" t="s">
        <v>557</v>
      </c>
      <c r="S1128" s="1" t="s">
        <v>582</v>
      </c>
      <c r="T1128" s="10">
        <v>46298</v>
      </c>
    </row>
    <row r="1129" spans="1:20" ht="24" customHeight="1" x14ac:dyDescent="0.35">
      <c r="A1129" s="5" t="s">
        <v>3237</v>
      </c>
      <c r="B1129" s="5" t="s">
        <v>3238</v>
      </c>
      <c r="C1129" s="5" t="s">
        <v>123</v>
      </c>
      <c r="D1129" s="5" t="s">
        <v>1152</v>
      </c>
      <c r="E1129" s="8">
        <v>46262</v>
      </c>
      <c r="F1129" s="5" t="s">
        <v>771</v>
      </c>
      <c r="G1129" s="5" t="s">
        <v>772</v>
      </c>
      <c r="H1129" s="22"/>
      <c r="I1129" s="5" t="s">
        <v>603</v>
      </c>
      <c r="J1129" s="5" t="s">
        <v>546</v>
      </c>
      <c r="K1129" s="5" t="s">
        <v>590</v>
      </c>
      <c r="L1129" s="5" t="s">
        <v>608</v>
      </c>
      <c r="M1129" s="5" t="s">
        <v>581</v>
      </c>
      <c r="N1129" s="5"/>
      <c r="O1129" s="8"/>
      <c r="P1129" s="22"/>
      <c r="Q1129" s="5" t="s">
        <v>2229</v>
      </c>
      <c r="R1129" s="5" t="s">
        <v>557</v>
      </c>
      <c r="S1129" s="5" t="s">
        <v>582</v>
      </c>
      <c r="T1129" s="8">
        <v>46298</v>
      </c>
    </row>
    <row r="1130" spans="1:20" ht="24" customHeight="1" x14ac:dyDescent="0.35">
      <c r="A1130" s="1" t="s">
        <v>3239</v>
      </c>
      <c r="B1130" s="1" t="s">
        <v>3240</v>
      </c>
      <c r="C1130" s="1" t="s">
        <v>785</v>
      </c>
      <c r="D1130" s="1" t="s">
        <v>1213</v>
      </c>
      <c r="E1130" s="10">
        <v>46262</v>
      </c>
      <c r="F1130" s="1" t="s">
        <v>587</v>
      </c>
      <c r="G1130" s="1" t="s">
        <v>588</v>
      </c>
      <c r="H1130" s="23">
        <v>10270000</v>
      </c>
      <c r="I1130" s="1" t="s">
        <v>589</v>
      </c>
      <c r="J1130" s="1" t="s">
        <v>548</v>
      </c>
      <c r="K1130" s="1" t="s">
        <v>590</v>
      </c>
      <c r="L1130" s="1" t="s">
        <v>149</v>
      </c>
      <c r="M1130" s="1" t="s">
        <v>581</v>
      </c>
      <c r="N1130" s="1"/>
      <c r="O1130" s="10"/>
      <c r="P1130" s="23"/>
      <c r="Q1130" s="1"/>
      <c r="R1130" s="1" t="s">
        <v>557</v>
      </c>
      <c r="S1130" s="1" t="s">
        <v>582</v>
      </c>
      <c r="T1130" s="10">
        <v>46298</v>
      </c>
    </row>
    <row r="1131" spans="1:20" ht="24" customHeight="1" x14ac:dyDescent="0.35">
      <c r="A1131" s="5" t="s">
        <v>3241</v>
      </c>
      <c r="B1131" s="5" t="s">
        <v>3242</v>
      </c>
      <c r="C1131" s="5" t="s">
        <v>987</v>
      </c>
      <c r="D1131" s="5" t="s">
        <v>788</v>
      </c>
      <c r="E1131" s="8">
        <v>46262</v>
      </c>
      <c r="F1131" s="5" t="s">
        <v>587</v>
      </c>
      <c r="G1131" s="5" t="s">
        <v>588</v>
      </c>
      <c r="H1131" s="22">
        <v>1280000</v>
      </c>
      <c r="I1131" s="5" t="s">
        <v>589</v>
      </c>
      <c r="J1131" s="5" t="s">
        <v>590</v>
      </c>
      <c r="K1131" s="5" t="s">
        <v>546</v>
      </c>
      <c r="L1131" s="5" t="s">
        <v>172</v>
      </c>
      <c r="M1131" s="5" t="s">
        <v>581</v>
      </c>
      <c r="N1131" s="5"/>
      <c r="O1131" s="8"/>
      <c r="P1131" s="22"/>
      <c r="Q1131" s="5"/>
      <c r="R1131" s="5" t="s">
        <v>557</v>
      </c>
      <c r="S1131" s="5" t="s">
        <v>582</v>
      </c>
      <c r="T1131" s="8">
        <v>46298</v>
      </c>
    </row>
    <row r="1132" spans="1:20" ht="24" customHeight="1" x14ac:dyDescent="0.35">
      <c r="A1132" s="1" t="s">
        <v>3243</v>
      </c>
      <c r="B1132" s="1" t="s">
        <v>3244</v>
      </c>
      <c r="C1132" s="1" t="s">
        <v>661</v>
      </c>
      <c r="D1132" s="1" t="s">
        <v>1044</v>
      </c>
      <c r="E1132" s="10">
        <v>46262</v>
      </c>
      <c r="F1132" s="1" t="s">
        <v>771</v>
      </c>
      <c r="G1132" s="1" t="s">
        <v>772</v>
      </c>
      <c r="H1132" s="23"/>
      <c r="I1132" s="1" t="s">
        <v>603</v>
      </c>
      <c r="J1132" s="1" t="s">
        <v>546</v>
      </c>
      <c r="K1132" s="1" t="s">
        <v>590</v>
      </c>
      <c r="L1132" s="1" t="s">
        <v>149</v>
      </c>
      <c r="M1132" s="1" t="s">
        <v>581</v>
      </c>
      <c r="N1132" s="1"/>
      <c r="O1132" s="10"/>
      <c r="P1132" s="23"/>
      <c r="Q1132" s="1" t="s">
        <v>1008</v>
      </c>
      <c r="R1132" s="1" t="s">
        <v>557</v>
      </c>
      <c r="S1132" s="1" t="s">
        <v>582</v>
      </c>
      <c r="T1132" s="10">
        <v>46298</v>
      </c>
    </row>
    <row r="1133" spans="1:20" ht="24" customHeight="1" x14ac:dyDescent="0.35">
      <c r="A1133" s="5" t="s">
        <v>3245</v>
      </c>
      <c r="B1133" s="5" t="s">
        <v>3246</v>
      </c>
      <c r="C1133" s="5" t="s">
        <v>174</v>
      </c>
      <c r="D1133" s="5" t="s">
        <v>878</v>
      </c>
      <c r="E1133" s="8">
        <v>46262</v>
      </c>
      <c r="F1133" s="5" t="s">
        <v>587</v>
      </c>
      <c r="G1133" s="5" t="s">
        <v>588</v>
      </c>
      <c r="H1133" s="22">
        <v>3000000</v>
      </c>
      <c r="I1133" s="5" t="s">
        <v>589</v>
      </c>
      <c r="J1133" s="5" t="s">
        <v>546</v>
      </c>
      <c r="K1133" s="5" t="s">
        <v>590</v>
      </c>
      <c r="L1133" s="5" t="s">
        <v>640</v>
      </c>
      <c r="M1133" s="5" t="s">
        <v>581</v>
      </c>
      <c r="N1133" s="5"/>
      <c r="O1133" s="8"/>
      <c r="P1133" s="22"/>
      <c r="Q1133" s="5"/>
      <c r="R1133" s="5" t="s">
        <v>557</v>
      </c>
      <c r="S1133" s="5" t="s">
        <v>582</v>
      </c>
      <c r="T1133" s="8">
        <v>46298</v>
      </c>
    </row>
    <row r="1134" spans="1:20" ht="24" customHeight="1" x14ac:dyDescent="0.35">
      <c r="A1134" s="1" t="s">
        <v>3247</v>
      </c>
      <c r="B1134" s="1" t="s">
        <v>3248</v>
      </c>
      <c r="C1134" s="1" t="s">
        <v>692</v>
      </c>
      <c r="D1134" s="1" t="s">
        <v>756</v>
      </c>
      <c r="E1134" s="10">
        <v>46262</v>
      </c>
      <c r="F1134" s="1" t="s">
        <v>771</v>
      </c>
      <c r="G1134" s="1" t="s">
        <v>772</v>
      </c>
      <c r="H1134" s="23"/>
      <c r="I1134" s="1" t="s">
        <v>603</v>
      </c>
      <c r="J1134" s="1" t="s">
        <v>547</v>
      </c>
      <c r="K1134" s="1" t="s">
        <v>590</v>
      </c>
      <c r="L1134" s="1" t="s">
        <v>640</v>
      </c>
      <c r="M1134" s="1" t="s">
        <v>581</v>
      </c>
      <c r="N1134" s="1"/>
      <c r="O1134" s="10"/>
      <c r="P1134" s="23"/>
      <c r="Q1134" s="1" t="s">
        <v>773</v>
      </c>
      <c r="R1134" s="1" t="s">
        <v>557</v>
      </c>
      <c r="S1134" s="1" t="s">
        <v>582</v>
      </c>
      <c r="T1134" s="10">
        <v>46298</v>
      </c>
    </row>
    <row r="1135" spans="1:20" ht="24" customHeight="1" x14ac:dyDescent="0.35">
      <c r="A1135" s="5" t="s">
        <v>3249</v>
      </c>
      <c r="B1135" s="5" t="s">
        <v>3250</v>
      </c>
      <c r="C1135" s="5" t="s">
        <v>1727</v>
      </c>
      <c r="D1135" s="5" t="s">
        <v>1459</v>
      </c>
      <c r="E1135" s="8">
        <v>46263</v>
      </c>
      <c r="F1135" s="5" t="s">
        <v>578</v>
      </c>
      <c r="G1135" s="5" t="s">
        <v>579</v>
      </c>
      <c r="H1135" s="22"/>
      <c r="I1135" s="5" t="s">
        <v>580</v>
      </c>
      <c r="J1135" s="5" t="s">
        <v>545</v>
      </c>
      <c r="K1135" s="5" t="s">
        <v>590</v>
      </c>
      <c r="L1135" s="5" t="s">
        <v>149</v>
      </c>
      <c r="M1135" s="5" t="s">
        <v>581</v>
      </c>
      <c r="N1135" s="5"/>
      <c r="O1135" s="8"/>
      <c r="P1135" s="22"/>
      <c r="Q1135" s="5"/>
      <c r="R1135" s="5" t="s">
        <v>557</v>
      </c>
      <c r="S1135" s="5" t="s">
        <v>582</v>
      </c>
      <c r="T1135" s="8">
        <v>46298</v>
      </c>
    </row>
    <row r="1136" spans="1:20" ht="24" customHeight="1" x14ac:dyDescent="0.35">
      <c r="A1136" s="1" t="s">
        <v>3251</v>
      </c>
      <c r="B1136" s="1" t="s">
        <v>3252</v>
      </c>
      <c r="C1136" s="1" t="s">
        <v>178</v>
      </c>
      <c r="D1136" s="1" t="s">
        <v>2031</v>
      </c>
      <c r="E1136" s="10">
        <v>46262</v>
      </c>
      <c r="F1136" s="1" t="s">
        <v>578</v>
      </c>
      <c r="G1136" s="1" t="s">
        <v>579</v>
      </c>
      <c r="H1136" s="23"/>
      <c r="I1136" s="1" t="s">
        <v>580</v>
      </c>
      <c r="J1136" s="1" t="s">
        <v>545</v>
      </c>
      <c r="K1136" s="1" t="s">
        <v>590</v>
      </c>
      <c r="L1136" s="1" t="s">
        <v>640</v>
      </c>
      <c r="M1136" s="1" t="s">
        <v>581</v>
      </c>
      <c r="N1136" s="1"/>
      <c r="O1136" s="10"/>
      <c r="P1136" s="23"/>
      <c r="Q1136" s="1"/>
      <c r="R1136" s="1" t="s">
        <v>557</v>
      </c>
      <c r="S1136" s="1" t="s">
        <v>582</v>
      </c>
      <c r="T1136" s="10">
        <v>46298</v>
      </c>
    </row>
    <row r="1137" spans="1:20" ht="24" customHeight="1" x14ac:dyDescent="0.35">
      <c r="A1137" s="5" t="s">
        <v>3253</v>
      </c>
      <c r="B1137" s="5" t="s">
        <v>3254</v>
      </c>
      <c r="C1137" s="5" t="s">
        <v>614</v>
      </c>
      <c r="D1137" s="5" t="s">
        <v>2140</v>
      </c>
      <c r="E1137" s="8">
        <v>46262</v>
      </c>
      <c r="F1137" s="5" t="s">
        <v>771</v>
      </c>
      <c r="G1137" s="5" t="s">
        <v>772</v>
      </c>
      <c r="H1137" s="22"/>
      <c r="I1137" s="5" t="s">
        <v>603</v>
      </c>
      <c r="J1137" s="5" t="s">
        <v>546</v>
      </c>
      <c r="K1137" s="5" t="s">
        <v>590</v>
      </c>
      <c r="L1137" s="5" t="s">
        <v>608</v>
      </c>
      <c r="M1137" s="5" t="s">
        <v>581</v>
      </c>
      <c r="N1137" s="5"/>
      <c r="O1137" s="8"/>
      <c r="P1137" s="22"/>
      <c r="Q1137" s="5" t="s">
        <v>773</v>
      </c>
      <c r="R1137" s="5" t="s">
        <v>557</v>
      </c>
      <c r="S1137" s="5" t="s">
        <v>582</v>
      </c>
      <c r="T1137" s="8">
        <v>46298</v>
      </c>
    </row>
    <row r="1138" spans="1:20" ht="24" customHeight="1" x14ac:dyDescent="0.35">
      <c r="A1138" s="1" t="s">
        <v>3255</v>
      </c>
      <c r="B1138" s="1" t="s">
        <v>3256</v>
      </c>
      <c r="C1138" s="1" t="s">
        <v>355</v>
      </c>
      <c r="D1138" s="1" t="s">
        <v>2208</v>
      </c>
      <c r="E1138" s="10">
        <v>46260</v>
      </c>
      <c r="F1138" s="1" t="s">
        <v>587</v>
      </c>
      <c r="G1138" s="1" t="s">
        <v>588</v>
      </c>
      <c r="H1138" s="23">
        <v>2000000</v>
      </c>
      <c r="I1138" s="1" t="s">
        <v>589</v>
      </c>
      <c r="J1138" s="1" t="s">
        <v>544</v>
      </c>
      <c r="K1138" s="1" t="s">
        <v>590</v>
      </c>
      <c r="L1138" s="1" t="s">
        <v>149</v>
      </c>
      <c r="M1138" s="1" t="s">
        <v>581</v>
      </c>
      <c r="N1138" s="1"/>
      <c r="O1138" s="10"/>
      <c r="P1138" s="23"/>
      <c r="Q1138" s="1"/>
      <c r="R1138" s="1" t="s">
        <v>557</v>
      </c>
      <c r="S1138" s="1" t="s">
        <v>582</v>
      </c>
      <c r="T1138" s="10">
        <v>46298</v>
      </c>
    </row>
    <row r="1139" spans="1:20" ht="24" customHeight="1" x14ac:dyDescent="0.35">
      <c r="A1139" s="5" t="s">
        <v>3257</v>
      </c>
      <c r="B1139" s="5" t="s">
        <v>3258</v>
      </c>
      <c r="C1139" s="5" t="s">
        <v>200</v>
      </c>
      <c r="D1139" s="5" t="s">
        <v>1917</v>
      </c>
      <c r="E1139" s="8">
        <v>46261</v>
      </c>
      <c r="F1139" s="5" t="s">
        <v>771</v>
      </c>
      <c r="G1139" s="5" t="s">
        <v>772</v>
      </c>
      <c r="H1139" s="22"/>
      <c r="I1139" s="5" t="s">
        <v>603</v>
      </c>
      <c r="J1139" s="5" t="s">
        <v>544</v>
      </c>
      <c r="K1139" s="5" t="s">
        <v>590</v>
      </c>
      <c r="L1139" s="5" t="s">
        <v>149</v>
      </c>
      <c r="M1139" s="5" t="s">
        <v>581</v>
      </c>
      <c r="N1139" s="5"/>
      <c r="O1139" s="8"/>
      <c r="P1139" s="22"/>
      <c r="Q1139" s="5" t="s">
        <v>773</v>
      </c>
      <c r="R1139" s="5" t="s">
        <v>557</v>
      </c>
      <c r="S1139" s="5" t="s">
        <v>582</v>
      </c>
      <c r="T1139" s="8">
        <v>46298</v>
      </c>
    </row>
    <row r="1140" spans="1:20" ht="24" customHeight="1" x14ac:dyDescent="0.35">
      <c r="A1140" s="1" t="s">
        <v>3259</v>
      </c>
      <c r="B1140" s="1" t="s">
        <v>3260</v>
      </c>
      <c r="C1140" s="1" t="s">
        <v>791</v>
      </c>
      <c r="D1140" s="1" t="s">
        <v>2299</v>
      </c>
      <c r="E1140" s="10">
        <v>46262</v>
      </c>
      <c r="F1140" s="1" t="s">
        <v>601</v>
      </c>
      <c r="G1140" s="1" t="s">
        <v>602</v>
      </c>
      <c r="H1140" s="23"/>
      <c r="I1140" s="1" t="s">
        <v>603</v>
      </c>
      <c r="J1140" s="1" t="s">
        <v>548</v>
      </c>
      <c r="K1140" s="1" t="s">
        <v>590</v>
      </c>
      <c r="L1140" s="1" t="s">
        <v>149</v>
      </c>
      <c r="M1140" s="1" t="s">
        <v>581</v>
      </c>
      <c r="N1140" s="1"/>
      <c r="O1140" s="10"/>
      <c r="P1140" s="23"/>
      <c r="Q1140" s="1"/>
      <c r="R1140" s="1" t="s">
        <v>557</v>
      </c>
      <c r="S1140" s="1" t="s">
        <v>582</v>
      </c>
      <c r="T1140" s="10">
        <v>46298</v>
      </c>
    </row>
    <row r="1141" spans="1:20" ht="24" customHeight="1" x14ac:dyDescent="0.35">
      <c r="A1141" s="5" t="s">
        <v>3261</v>
      </c>
      <c r="B1141" s="5" t="s">
        <v>3262</v>
      </c>
      <c r="C1141" s="5" t="s">
        <v>174</v>
      </c>
      <c r="D1141" s="5" t="s">
        <v>1311</v>
      </c>
      <c r="E1141" s="8">
        <v>46262</v>
      </c>
      <c r="F1141" s="5" t="s">
        <v>771</v>
      </c>
      <c r="G1141" s="5" t="s">
        <v>772</v>
      </c>
      <c r="H1141" s="22"/>
      <c r="I1141" s="5" t="s">
        <v>603</v>
      </c>
      <c r="J1141" s="5" t="s">
        <v>546</v>
      </c>
      <c r="K1141" s="5" t="s">
        <v>546</v>
      </c>
      <c r="L1141" s="5" t="s">
        <v>608</v>
      </c>
      <c r="M1141" s="5" t="s">
        <v>581</v>
      </c>
      <c r="N1141" s="5"/>
      <c r="O1141" s="8"/>
      <c r="P1141" s="22"/>
      <c r="Q1141" s="5" t="s">
        <v>773</v>
      </c>
      <c r="R1141" s="5" t="s">
        <v>557</v>
      </c>
      <c r="S1141" s="5" t="s">
        <v>582</v>
      </c>
      <c r="T1141" s="8">
        <v>46298</v>
      </c>
    </row>
    <row r="1142" spans="1:20" ht="24" customHeight="1" x14ac:dyDescent="0.35">
      <c r="A1142" s="1" t="s">
        <v>3263</v>
      </c>
      <c r="B1142" s="1" t="s">
        <v>3264</v>
      </c>
      <c r="C1142" s="1" t="s">
        <v>174</v>
      </c>
      <c r="D1142" s="1" t="s">
        <v>1311</v>
      </c>
      <c r="E1142" s="10">
        <v>46262</v>
      </c>
      <c r="F1142" s="1" t="s">
        <v>771</v>
      </c>
      <c r="G1142" s="1" t="s">
        <v>772</v>
      </c>
      <c r="H1142" s="23"/>
      <c r="I1142" s="1" t="s">
        <v>603</v>
      </c>
      <c r="J1142" s="1" t="s">
        <v>546</v>
      </c>
      <c r="K1142" s="1" t="s">
        <v>546</v>
      </c>
      <c r="L1142" s="1" t="s">
        <v>591</v>
      </c>
      <c r="M1142" s="1" t="s">
        <v>581</v>
      </c>
      <c r="N1142" s="1"/>
      <c r="O1142" s="10"/>
      <c r="P1142" s="23"/>
      <c r="Q1142" s="1" t="s">
        <v>1008</v>
      </c>
      <c r="R1142" s="1" t="s">
        <v>557</v>
      </c>
      <c r="S1142" s="1" t="s">
        <v>582</v>
      </c>
      <c r="T1142" s="10">
        <v>46298</v>
      </c>
    </row>
    <row r="1143" spans="1:20" ht="24" customHeight="1" x14ac:dyDescent="0.35">
      <c r="A1143" s="5" t="s">
        <v>3265</v>
      </c>
      <c r="B1143" s="5" t="s">
        <v>3266</v>
      </c>
      <c r="C1143" s="5" t="s">
        <v>126</v>
      </c>
      <c r="D1143" s="5" t="s">
        <v>860</v>
      </c>
      <c r="E1143" s="8">
        <v>46267</v>
      </c>
      <c r="F1143" s="5" t="s">
        <v>578</v>
      </c>
      <c r="G1143" s="5" t="s">
        <v>579</v>
      </c>
      <c r="H1143" s="22"/>
      <c r="I1143" s="5" t="s">
        <v>580</v>
      </c>
      <c r="J1143" s="5" t="s">
        <v>544</v>
      </c>
      <c r="K1143" s="5" t="s">
        <v>590</v>
      </c>
      <c r="L1143" s="5" t="s">
        <v>591</v>
      </c>
      <c r="M1143" s="5" t="s">
        <v>581</v>
      </c>
      <c r="N1143" s="5"/>
      <c r="O1143" s="8"/>
      <c r="P1143" s="22"/>
      <c r="Q1143" s="5" t="s">
        <v>3267</v>
      </c>
      <c r="R1143" s="5" t="s">
        <v>557</v>
      </c>
      <c r="S1143" s="5" t="s">
        <v>582</v>
      </c>
      <c r="T1143" s="8">
        <v>46298</v>
      </c>
    </row>
    <row r="1144" spans="1:20" ht="24" customHeight="1" x14ac:dyDescent="0.35">
      <c r="A1144" s="1" t="s">
        <v>3268</v>
      </c>
      <c r="B1144" s="1" t="s">
        <v>3269</v>
      </c>
      <c r="C1144" s="1" t="s">
        <v>733</v>
      </c>
      <c r="D1144" s="1" t="s">
        <v>2296</v>
      </c>
      <c r="E1144" s="10">
        <v>46262</v>
      </c>
      <c r="F1144" s="1" t="s">
        <v>578</v>
      </c>
      <c r="G1144" s="1" t="s">
        <v>579</v>
      </c>
      <c r="H1144" s="23"/>
      <c r="I1144" s="1" t="s">
        <v>580</v>
      </c>
      <c r="J1144" s="1" t="s">
        <v>545</v>
      </c>
      <c r="K1144" s="1" t="s">
        <v>590</v>
      </c>
      <c r="L1144" s="1" t="s">
        <v>608</v>
      </c>
      <c r="M1144" s="1" t="s">
        <v>581</v>
      </c>
      <c r="N1144" s="1"/>
      <c r="O1144" s="10"/>
      <c r="P1144" s="23"/>
      <c r="Q1144" s="1"/>
      <c r="R1144" s="1" t="s">
        <v>557</v>
      </c>
      <c r="S1144" s="1" t="s">
        <v>582</v>
      </c>
      <c r="T1144" s="10">
        <v>46298</v>
      </c>
    </row>
    <row r="1145" spans="1:20" ht="24" customHeight="1" x14ac:dyDescent="0.35">
      <c r="A1145" s="5" t="s">
        <v>3270</v>
      </c>
      <c r="B1145" s="5" t="s">
        <v>3271</v>
      </c>
      <c r="C1145" s="5" t="s">
        <v>797</v>
      </c>
      <c r="D1145" s="5" t="s">
        <v>1229</v>
      </c>
      <c r="E1145" s="8">
        <v>46261</v>
      </c>
      <c r="F1145" s="5" t="s">
        <v>771</v>
      </c>
      <c r="G1145" s="5" t="s">
        <v>772</v>
      </c>
      <c r="H1145" s="22"/>
      <c r="I1145" s="5" t="s">
        <v>603</v>
      </c>
      <c r="J1145" s="5" t="s">
        <v>546</v>
      </c>
      <c r="K1145" s="5" t="s">
        <v>590</v>
      </c>
      <c r="L1145" s="5" t="s">
        <v>608</v>
      </c>
      <c r="M1145" s="5" t="s">
        <v>581</v>
      </c>
      <c r="N1145" s="5"/>
      <c r="O1145" s="8"/>
      <c r="P1145" s="22"/>
      <c r="Q1145" s="5" t="s">
        <v>773</v>
      </c>
      <c r="R1145" s="5" t="s">
        <v>557</v>
      </c>
      <c r="S1145" s="5" t="s">
        <v>582</v>
      </c>
      <c r="T1145" s="8">
        <v>46298</v>
      </c>
    </row>
    <row r="1146" spans="1:20" ht="24" customHeight="1" x14ac:dyDescent="0.35">
      <c r="A1146" s="1" t="s">
        <v>3272</v>
      </c>
      <c r="B1146" s="1" t="s">
        <v>3273</v>
      </c>
      <c r="C1146" s="1" t="s">
        <v>1213</v>
      </c>
      <c r="D1146" s="1" t="s">
        <v>91</v>
      </c>
      <c r="E1146" s="10">
        <v>46261</v>
      </c>
      <c r="F1146" s="1" t="s">
        <v>587</v>
      </c>
      <c r="G1146" s="1" t="s">
        <v>588</v>
      </c>
      <c r="H1146" s="23">
        <v>1700000</v>
      </c>
      <c r="I1146" s="1" t="s">
        <v>589</v>
      </c>
      <c r="J1146" s="1" t="s">
        <v>590</v>
      </c>
      <c r="K1146" s="1" t="s">
        <v>545</v>
      </c>
      <c r="L1146" s="1" t="s">
        <v>172</v>
      </c>
      <c r="M1146" s="1" t="s">
        <v>581</v>
      </c>
      <c r="N1146" s="1"/>
      <c r="O1146" s="10"/>
      <c r="P1146" s="23"/>
      <c r="Q1146" s="1"/>
      <c r="R1146" s="1" t="s">
        <v>557</v>
      </c>
      <c r="S1146" s="1" t="s">
        <v>582</v>
      </c>
      <c r="T1146" s="10">
        <v>46298</v>
      </c>
    </row>
    <row r="1147" spans="1:20" ht="24" customHeight="1" x14ac:dyDescent="0.35">
      <c r="A1147" s="5" t="s">
        <v>3274</v>
      </c>
      <c r="B1147" s="5" t="s">
        <v>3275</v>
      </c>
      <c r="C1147" s="5" t="s">
        <v>999</v>
      </c>
      <c r="D1147" s="5" t="s">
        <v>3276</v>
      </c>
      <c r="E1147" s="8">
        <v>46262</v>
      </c>
      <c r="F1147" s="5" t="s">
        <v>771</v>
      </c>
      <c r="G1147" s="5" t="s">
        <v>772</v>
      </c>
      <c r="H1147" s="22"/>
      <c r="I1147" s="5" t="s">
        <v>603</v>
      </c>
      <c r="J1147" s="5" t="s">
        <v>544</v>
      </c>
      <c r="K1147" s="5" t="s">
        <v>590</v>
      </c>
      <c r="L1147" s="5" t="s">
        <v>608</v>
      </c>
      <c r="M1147" s="5" t="s">
        <v>581</v>
      </c>
      <c r="N1147" s="5"/>
      <c r="O1147" s="8"/>
      <c r="P1147" s="22"/>
      <c r="Q1147" s="5" t="s">
        <v>773</v>
      </c>
      <c r="R1147" s="5" t="s">
        <v>557</v>
      </c>
      <c r="S1147" s="5" t="s">
        <v>582</v>
      </c>
      <c r="T1147" s="8">
        <v>46298</v>
      </c>
    </row>
    <row r="1148" spans="1:20" ht="24" customHeight="1" x14ac:dyDescent="0.35">
      <c r="A1148" s="1" t="s">
        <v>3277</v>
      </c>
      <c r="B1148" s="1" t="s">
        <v>3278</v>
      </c>
      <c r="C1148" s="1" t="s">
        <v>661</v>
      </c>
      <c r="D1148" s="1" t="s">
        <v>1378</v>
      </c>
      <c r="E1148" s="10">
        <v>46260</v>
      </c>
      <c r="F1148" s="1" t="s">
        <v>771</v>
      </c>
      <c r="G1148" s="1" t="s">
        <v>772</v>
      </c>
      <c r="H1148" s="23"/>
      <c r="I1148" s="1" t="s">
        <v>603</v>
      </c>
      <c r="J1148" s="1" t="s">
        <v>546</v>
      </c>
      <c r="K1148" s="1" t="s">
        <v>545</v>
      </c>
      <c r="L1148" s="1" t="s">
        <v>608</v>
      </c>
      <c r="M1148" s="1" t="s">
        <v>581</v>
      </c>
      <c r="N1148" s="1"/>
      <c r="O1148" s="10"/>
      <c r="P1148" s="23"/>
      <c r="Q1148" s="1" t="s">
        <v>773</v>
      </c>
      <c r="R1148" s="1" t="s">
        <v>557</v>
      </c>
      <c r="S1148" s="1" t="s">
        <v>582</v>
      </c>
      <c r="T1148" s="10">
        <v>46298</v>
      </c>
    </row>
    <row r="1149" spans="1:20" ht="24" customHeight="1" x14ac:dyDescent="0.35">
      <c r="A1149" s="5" t="s">
        <v>3279</v>
      </c>
      <c r="B1149" s="5" t="s">
        <v>3280</v>
      </c>
      <c r="C1149" s="5" t="s">
        <v>1025</v>
      </c>
      <c r="D1149" s="5" t="s">
        <v>1014</v>
      </c>
      <c r="E1149" s="8">
        <v>46259</v>
      </c>
      <c r="F1149" s="5" t="s">
        <v>587</v>
      </c>
      <c r="G1149" s="5" t="s">
        <v>588</v>
      </c>
      <c r="H1149" s="22">
        <v>6000000</v>
      </c>
      <c r="I1149" s="5" t="s">
        <v>589</v>
      </c>
      <c r="J1149" s="5" t="s">
        <v>590</v>
      </c>
      <c r="K1149" s="5" t="s">
        <v>545</v>
      </c>
      <c r="L1149" s="5" t="s">
        <v>591</v>
      </c>
      <c r="M1149" s="5" t="s">
        <v>581</v>
      </c>
      <c r="N1149" s="5"/>
      <c r="O1149" s="8"/>
      <c r="P1149" s="22"/>
      <c r="Q1149" s="5"/>
      <c r="R1149" s="5" t="s">
        <v>557</v>
      </c>
      <c r="S1149" s="5" t="s">
        <v>582</v>
      </c>
      <c r="T1149" s="8">
        <v>46298</v>
      </c>
    </row>
    <row r="1150" spans="1:20" ht="24" customHeight="1" x14ac:dyDescent="0.35">
      <c r="A1150" s="1" t="s">
        <v>3281</v>
      </c>
      <c r="B1150" s="1" t="s">
        <v>3282</v>
      </c>
      <c r="C1150" s="1" t="s">
        <v>733</v>
      </c>
      <c r="D1150" s="1" t="s">
        <v>1459</v>
      </c>
      <c r="E1150" s="10">
        <v>46259</v>
      </c>
      <c r="F1150" s="1" t="s">
        <v>771</v>
      </c>
      <c r="G1150" s="1" t="s">
        <v>772</v>
      </c>
      <c r="H1150" s="23"/>
      <c r="I1150" s="1" t="s">
        <v>603</v>
      </c>
      <c r="J1150" s="1" t="s">
        <v>545</v>
      </c>
      <c r="K1150" s="1" t="s">
        <v>590</v>
      </c>
      <c r="L1150" s="1" t="s">
        <v>591</v>
      </c>
      <c r="M1150" s="1" t="s">
        <v>581</v>
      </c>
      <c r="N1150" s="1"/>
      <c r="O1150" s="10"/>
      <c r="P1150" s="23"/>
      <c r="Q1150" s="1" t="s">
        <v>773</v>
      </c>
      <c r="R1150" s="1" t="s">
        <v>557</v>
      </c>
      <c r="S1150" s="1" t="s">
        <v>582</v>
      </c>
      <c r="T1150" s="10">
        <v>46298</v>
      </c>
    </row>
    <row r="1151" spans="1:20" ht="24" customHeight="1" x14ac:dyDescent="0.35">
      <c r="A1151" s="5" t="s">
        <v>3283</v>
      </c>
      <c r="B1151" s="5" t="s">
        <v>3284</v>
      </c>
      <c r="C1151" s="5" t="s">
        <v>685</v>
      </c>
      <c r="D1151" s="5" t="s">
        <v>1152</v>
      </c>
      <c r="E1151" s="8">
        <v>46261</v>
      </c>
      <c r="F1151" s="5" t="s">
        <v>771</v>
      </c>
      <c r="G1151" s="5" t="s">
        <v>772</v>
      </c>
      <c r="H1151" s="22"/>
      <c r="I1151" s="5" t="s">
        <v>603</v>
      </c>
      <c r="J1151" s="5" t="s">
        <v>547</v>
      </c>
      <c r="K1151" s="5" t="s">
        <v>590</v>
      </c>
      <c r="L1151" s="5" t="s">
        <v>591</v>
      </c>
      <c r="M1151" s="5" t="s">
        <v>581</v>
      </c>
      <c r="N1151" s="5"/>
      <c r="O1151" s="8"/>
      <c r="P1151" s="22"/>
      <c r="Q1151" s="5" t="s">
        <v>1008</v>
      </c>
      <c r="R1151" s="5" t="s">
        <v>557</v>
      </c>
      <c r="S1151" s="5" t="s">
        <v>582</v>
      </c>
      <c r="T1151" s="8">
        <v>46298</v>
      </c>
    </row>
    <row r="1152" spans="1:20" ht="24" customHeight="1" x14ac:dyDescent="0.35">
      <c r="A1152" s="1" t="s">
        <v>3285</v>
      </c>
      <c r="B1152" s="1" t="s">
        <v>3286</v>
      </c>
      <c r="C1152" s="1" t="s">
        <v>1152</v>
      </c>
      <c r="D1152" s="1" t="s">
        <v>717</v>
      </c>
      <c r="E1152" s="10">
        <v>46261</v>
      </c>
      <c r="F1152" s="1" t="s">
        <v>587</v>
      </c>
      <c r="G1152" s="1" t="s">
        <v>588</v>
      </c>
      <c r="H1152" s="23">
        <v>1300000</v>
      </c>
      <c r="I1152" s="1" t="s">
        <v>589</v>
      </c>
      <c r="J1152" s="1" t="s">
        <v>590</v>
      </c>
      <c r="K1152" s="1" t="s">
        <v>547</v>
      </c>
      <c r="L1152" s="1" t="s">
        <v>149</v>
      </c>
      <c r="M1152" s="1" t="s">
        <v>581</v>
      </c>
      <c r="N1152" s="1"/>
      <c r="O1152" s="10"/>
      <c r="P1152" s="23"/>
      <c r="Q1152" s="1"/>
      <c r="R1152" s="1" t="s">
        <v>557</v>
      </c>
      <c r="S1152" s="1" t="s">
        <v>582</v>
      </c>
      <c r="T1152" s="10">
        <v>46298</v>
      </c>
    </row>
    <row r="1153" spans="1:20" ht="24" customHeight="1" x14ac:dyDescent="0.35">
      <c r="A1153" s="5" t="s">
        <v>3287</v>
      </c>
      <c r="B1153" s="5" t="s">
        <v>3288</v>
      </c>
      <c r="C1153" s="5" t="s">
        <v>1700</v>
      </c>
      <c r="D1153" s="5" t="s">
        <v>749</v>
      </c>
      <c r="E1153" s="8">
        <v>46261</v>
      </c>
      <c r="F1153" s="5" t="s">
        <v>587</v>
      </c>
      <c r="G1153" s="5" t="s">
        <v>588</v>
      </c>
      <c r="H1153" s="22">
        <v>3200000</v>
      </c>
      <c r="I1153" s="5" t="s">
        <v>589</v>
      </c>
      <c r="J1153" s="5" t="s">
        <v>590</v>
      </c>
      <c r="K1153" s="5" t="s">
        <v>547</v>
      </c>
      <c r="L1153" s="5" t="s">
        <v>149</v>
      </c>
      <c r="M1153" s="5" t="s">
        <v>581</v>
      </c>
      <c r="N1153" s="5"/>
      <c r="O1153" s="8"/>
      <c r="P1153" s="22"/>
      <c r="Q1153" s="5"/>
      <c r="R1153" s="5" t="s">
        <v>557</v>
      </c>
      <c r="S1153" s="5" t="s">
        <v>582</v>
      </c>
      <c r="T1153" s="8">
        <v>46298</v>
      </c>
    </row>
    <row r="1154" spans="1:20" ht="24" customHeight="1" x14ac:dyDescent="0.35">
      <c r="A1154" s="1" t="s">
        <v>3289</v>
      </c>
      <c r="B1154" s="1" t="s">
        <v>3290</v>
      </c>
      <c r="C1154" s="1" t="s">
        <v>630</v>
      </c>
      <c r="D1154" s="1" t="s">
        <v>3291</v>
      </c>
      <c r="E1154" s="10">
        <v>46261</v>
      </c>
      <c r="F1154" s="1" t="s">
        <v>771</v>
      </c>
      <c r="G1154" s="1" t="s">
        <v>772</v>
      </c>
      <c r="H1154" s="23"/>
      <c r="I1154" s="1" t="s">
        <v>603</v>
      </c>
      <c r="J1154" s="1" t="s">
        <v>547</v>
      </c>
      <c r="K1154" s="1" t="s">
        <v>590</v>
      </c>
      <c r="L1154" s="1" t="s">
        <v>591</v>
      </c>
      <c r="M1154" s="1" t="s">
        <v>581</v>
      </c>
      <c r="N1154" s="1"/>
      <c r="O1154" s="10"/>
      <c r="P1154" s="23"/>
      <c r="Q1154" s="1" t="s">
        <v>773</v>
      </c>
      <c r="R1154" s="1" t="s">
        <v>557</v>
      </c>
      <c r="S1154" s="1" t="s">
        <v>582</v>
      </c>
      <c r="T1154" s="10">
        <v>46298</v>
      </c>
    </row>
    <row r="1155" spans="1:20" ht="24" customHeight="1" x14ac:dyDescent="0.35">
      <c r="A1155" s="5" t="s">
        <v>3292</v>
      </c>
      <c r="B1155" s="5" t="s">
        <v>3293</v>
      </c>
      <c r="C1155" s="5" t="s">
        <v>142</v>
      </c>
      <c r="D1155" s="5" t="s">
        <v>956</v>
      </c>
      <c r="E1155" s="8">
        <v>46261</v>
      </c>
      <c r="F1155" s="5" t="s">
        <v>771</v>
      </c>
      <c r="G1155" s="5" t="s">
        <v>772</v>
      </c>
      <c r="H1155" s="22"/>
      <c r="I1155" s="5" t="s">
        <v>603</v>
      </c>
      <c r="J1155" s="5" t="s">
        <v>547</v>
      </c>
      <c r="K1155" s="5" t="s">
        <v>590</v>
      </c>
      <c r="L1155" s="5" t="s">
        <v>608</v>
      </c>
      <c r="M1155" s="5" t="s">
        <v>581</v>
      </c>
      <c r="N1155" s="5"/>
      <c r="O1155" s="8"/>
      <c r="P1155" s="22"/>
      <c r="Q1155" s="5" t="s">
        <v>773</v>
      </c>
      <c r="R1155" s="5" t="s">
        <v>557</v>
      </c>
      <c r="S1155" s="5" t="s">
        <v>582</v>
      </c>
      <c r="T1155" s="8">
        <v>46298</v>
      </c>
    </row>
    <row r="1156" spans="1:20" ht="24" customHeight="1" x14ac:dyDescent="0.35">
      <c r="A1156" s="1" t="s">
        <v>3294</v>
      </c>
      <c r="B1156" s="1" t="s">
        <v>321</v>
      </c>
      <c r="C1156" s="1" t="s">
        <v>801</v>
      </c>
      <c r="D1156" s="1" t="s">
        <v>188</v>
      </c>
      <c r="E1156" s="10">
        <v>46263</v>
      </c>
      <c r="F1156" s="1" t="s">
        <v>587</v>
      </c>
      <c r="G1156" s="1" t="s">
        <v>588</v>
      </c>
      <c r="H1156" s="23">
        <v>36800000</v>
      </c>
      <c r="I1156" s="1" t="s">
        <v>589</v>
      </c>
      <c r="J1156" s="1" t="s">
        <v>546</v>
      </c>
      <c r="K1156" s="1" t="s">
        <v>590</v>
      </c>
      <c r="L1156" s="1" t="s">
        <v>591</v>
      </c>
      <c r="M1156" s="1" t="s">
        <v>581</v>
      </c>
      <c r="N1156" s="1"/>
      <c r="O1156" s="10"/>
      <c r="P1156" s="23"/>
      <c r="Q1156" s="1"/>
      <c r="R1156" s="1" t="s">
        <v>557</v>
      </c>
      <c r="S1156" s="1" t="s">
        <v>582</v>
      </c>
      <c r="T1156" s="10">
        <v>46298</v>
      </c>
    </row>
    <row r="1157" spans="1:20" ht="24" customHeight="1" x14ac:dyDescent="0.35">
      <c r="A1157" s="5" t="s">
        <v>3295</v>
      </c>
      <c r="B1157" s="5" t="s">
        <v>3296</v>
      </c>
      <c r="C1157" s="5" t="s">
        <v>801</v>
      </c>
      <c r="D1157" s="5" t="s">
        <v>423</v>
      </c>
      <c r="E1157" s="8">
        <v>46263</v>
      </c>
      <c r="F1157" s="5" t="s">
        <v>771</v>
      </c>
      <c r="G1157" s="5" t="s">
        <v>772</v>
      </c>
      <c r="H1157" s="22"/>
      <c r="I1157" s="5" t="s">
        <v>603</v>
      </c>
      <c r="J1157" s="5" t="s">
        <v>546</v>
      </c>
      <c r="K1157" s="5" t="s">
        <v>546</v>
      </c>
      <c r="L1157" s="5" t="s">
        <v>608</v>
      </c>
      <c r="M1157" s="5" t="s">
        <v>581</v>
      </c>
      <c r="N1157" s="5"/>
      <c r="O1157" s="8"/>
      <c r="P1157" s="22"/>
      <c r="Q1157" s="5" t="s">
        <v>1008</v>
      </c>
      <c r="R1157" s="5" t="s">
        <v>557</v>
      </c>
      <c r="S1157" s="5" t="s">
        <v>582</v>
      </c>
      <c r="T1157" s="8">
        <v>46298</v>
      </c>
    </row>
    <row r="1158" spans="1:20" ht="24" customHeight="1" x14ac:dyDescent="0.35">
      <c r="A1158" s="1" t="s">
        <v>3297</v>
      </c>
      <c r="B1158" s="1" t="s">
        <v>3298</v>
      </c>
      <c r="C1158" s="1" t="s">
        <v>130</v>
      </c>
      <c r="D1158" s="1" t="s">
        <v>3299</v>
      </c>
      <c r="E1158" s="10">
        <v>46263</v>
      </c>
      <c r="F1158" s="1" t="s">
        <v>771</v>
      </c>
      <c r="G1158" s="1" t="s">
        <v>772</v>
      </c>
      <c r="H1158" s="23"/>
      <c r="I1158" s="1" t="s">
        <v>603</v>
      </c>
      <c r="J1158" s="1" t="s">
        <v>546</v>
      </c>
      <c r="K1158" s="1" t="s">
        <v>590</v>
      </c>
      <c r="L1158" s="1" t="s">
        <v>608</v>
      </c>
      <c r="M1158" s="1" t="s">
        <v>581</v>
      </c>
      <c r="N1158" s="1"/>
      <c r="O1158" s="10"/>
      <c r="P1158" s="23"/>
      <c r="Q1158" s="1" t="s">
        <v>773</v>
      </c>
      <c r="R1158" s="1" t="s">
        <v>557</v>
      </c>
      <c r="S1158" s="1" t="s">
        <v>582</v>
      </c>
      <c r="T1158" s="10">
        <v>46298</v>
      </c>
    </row>
    <row r="1159" spans="1:20" ht="24" customHeight="1" x14ac:dyDescent="0.35">
      <c r="A1159" s="5" t="s">
        <v>3300</v>
      </c>
      <c r="B1159" s="5" t="s">
        <v>3301</v>
      </c>
      <c r="C1159" s="5" t="s">
        <v>620</v>
      </c>
      <c r="D1159" s="5" t="s">
        <v>1414</v>
      </c>
      <c r="E1159" s="8">
        <v>46263</v>
      </c>
      <c r="F1159" s="5" t="s">
        <v>771</v>
      </c>
      <c r="G1159" s="5" t="s">
        <v>772</v>
      </c>
      <c r="H1159" s="22"/>
      <c r="I1159" s="5" t="s">
        <v>603</v>
      </c>
      <c r="J1159" s="5" t="s">
        <v>546</v>
      </c>
      <c r="K1159" s="5" t="s">
        <v>590</v>
      </c>
      <c r="L1159" s="5" t="s">
        <v>640</v>
      </c>
      <c r="M1159" s="5" t="s">
        <v>581</v>
      </c>
      <c r="N1159" s="5"/>
      <c r="O1159" s="8"/>
      <c r="P1159" s="22"/>
      <c r="Q1159" s="5" t="s">
        <v>773</v>
      </c>
      <c r="R1159" s="5" t="s">
        <v>557</v>
      </c>
      <c r="S1159" s="5" t="s">
        <v>582</v>
      </c>
      <c r="T1159" s="8">
        <v>46298</v>
      </c>
    </row>
    <row r="1160" spans="1:20" ht="24" customHeight="1" x14ac:dyDescent="0.35">
      <c r="A1160" s="1" t="s">
        <v>3302</v>
      </c>
      <c r="B1160" s="1" t="s">
        <v>3303</v>
      </c>
      <c r="C1160" s="1" t="s">
        <v>661</v>
      </c>
      <c r="D1160" s="1" t="s">
        <v>614</v>
      </c>
      <c r="E1160" s="10">
        <v>46263</v>
      </c>
      <c r="F1160" s="1" t="s">
        <v>771</v>
      </c>
      <c r="G1160" s="1" t="s">
        <v>772</v>
      </c>
      <c r="H1160" s="23"/>
      <c r="I1160" s="1" t="s">
        <v>603</v>
      </c>
      <c r="J1160" s="1" t="s">
        <v>546</v>
      </c>
      <c r="K1160" s="1" t="s">
        <v>546</v>
      </c>
      <c r="L1160" s="1" t="s">
        <v>640</v>
      </c>
      <c r="M1160" s="1" t="s">
        <v>581</v>
      </c>
      <c r="N1160" s="1"/>
      <c r="O1160" s="10"/>
      <c r="P1160" s="23"/>
      <c r="Q1160" s="1" t="s">
        <v>1008</v>
      </c>
      <c r="R1160" s="1" t="s">
        <v>557</v>
      </c>
      <c r="S1160" s="1" t="s">
        <v>582</v>
      </c>
      <c r="T1160" s="10">
        <v>46298</v>
      </c>
    </row>
    <row r="1161" spans="1:20" ht="24" customHeight="1" x14ac:dyDescent="0.35">
      <c r="A1161" s="5" t="s">
        <v>3304</v>
      </c>
      <c r="B1161" s="5" t="s">
        <v>3305</v>
      </c>
      <c r="C1161" s="5" t="s">
        <v>1311</v>
      </c>
      <c r="D1161" s="5" t="s">
        <v>1405</v>
      </c>
      <c r="E1161" s="8">
        <v>46262</v>
      </c>
      <c r="F1161" s="5" t="s">
        <v>771</v>
      </c>
      <c r="G1161" s="5" t="s">
        <v>772</v>
      </c>
      <c r="H1161" s="22"/>
      <c r="I1161" s="5" t="s">
        <v>603</v>
      </c>
      <c r="J1161" s="5" t="s">
        <v>546</v>
      </c>
      <c r="K1161" s="5" t="s">
        <v>590</v>
      </c>
      <c r="L1161" s="5" t="s">
        <v>172</v>
      </c>
      <c r="M1161" s="5" t="s">
        <v>581</v>
      </c>
      <c r="N1161" s="5"/>
      <c r="O1161" s="8"/>
      <c r="P1161" s="22"/>
      <c r="Q1161" s="5" t="s">
        <v>773</v>
      </c>
      <c r="R1161" s="5" t="s">
        <v>557</v>
      </c>
      <c r="S1161" s="5" t="s">
        <v>582</v>
      </c>
      <c r="T1161" s="8">
        <v>46298</v>
      </c>
    </row>
    <row r="1162" spans="1:20" ht="24" customHeight="1" x14ac:dyDescent="0.35">
      <c r="A1162" s="1" t="s">
        <v>3306</v>
      </c>
      <c r="B1162" s="1" t="s">
        <v>3307</v>
      </c>
      <c r="C1162" s="1" t="s">
        <v>1184</v>
      </c>
      <c r="D1162" s="1" t="s">
        <v>1864</v>
      </c>
      <c r="E1162" s="10">
        <v>46261</v>
      </c>
      <c r="F1162" s="1" t="s">
        <v>587</v>
      </c>
      <c r="G1162" s="1" t="s">
        <v>588</v>
      </c>
      <c r="H1162" s="23">
        <v>2600000</v>
      </c>
      <c r="I1162" s="1" t="s">
        <v>589</v>
      </c>
      <c r="J1162" s="1" t="s">
        <v>546</v>
      </c>
      <c r="K1162" s="1" t="s">
        <v>590</v>
      </c>
      <c r="L1162" s="1" t="s">
        <v>640</v>
      </c>
      <c r="M1162" s="1" t="s">
        <v>581</v>
      </c>
      <c r="N1162" s="1"/>
      <c r="O1162" s="10"/>
      <c r="P1162" s="23"/>
      <c r="Q1162" s="1"/>
      <c r="R1162" s="1" t="s">
        <v>557</v>
      </c>
      <c r="S1162" s="1" t="s">
        <v>582</v>
      </c>
      <c r="T1162" s="10">
        <v>46298</v>
      </c>
    </row>
    <row r="1163" spans="1:20" ht="24" customHeight="1" x14ac:dyDescent="0.35">
      <c r="A1163" s="5" t="s">
        <v>3308</v>
      </c>
      <c r="B1163" s="5" t="s">
        <v>3309</v>
      </c>
      <c r="C1163" s="5" t="s">
        <v>3310</v>
      </c>
      <c r="D1163" s="5" t="s">
        <v>819</v>
      </c>
      <c r="E1163" s="8">
        <v>46261</v>
      </c>
      <c r="F1163" s="5" t="s">
        <v>771</v>
      </c>
      <c r="G1163" s="5" t="s">
        <v>772</v>
      </c>
      <c r="H1163" s="22"/>
      <c r="I1163" s="5" t="s">
        <v>603</v>
      </c>
      <c r="J1163" s="5" t="s">
        <v>590</v>
      </c>
      <c r="K1163" s="5" t="s">
        <v>546</v>
      </c>
      <c r="L1163" s="5" t="s">
        <v>640</v>
      </c>
      <c r="M1163" s="5" t="s">
        <v>581</v>
      </c>
      <c r="N1163" s="5"/>
      <c r="O1163" s="8"/>
      <c r="P1163" s="22"/>
      <c r="Q1163" s="5" t="s">
        <v>773</v>
      </c>
      <c r="R1163" s="5" t="s">
        <v>557</v>
      </c>
      <c r="S1163" s="5" t="s">
        <v>582</v>
      </c>
      <c r="T1163" s="8">
        <v>46298</v>
      </c>
    </row>
    <row r="1164" spans="1:20" ht="24" customHeight="1" x14ac:dyDescent="0.35">
      <c r="A1164" s="1" t="s">
        <v>3311</v>
      </c>
      <c r="B1164" s="1" t="s">
        <v>3312</v>
      </c>
      <c r="C1164" s="1" t="s">
        <v>614</v>
      </c>
      <c r="D1164" s="1" t="s">
        <v>1184</v>
      </c>
      <c r="E1164" s="10">
        <v>46261</v>
      </c>
      <c r="F1164" s="1" t="s">
        <v>587</v>
      </c>
      <c r="G1164" s="1" t="s">
        <v>588</v>
      </c>
      <c r="H1164" s="23">
        <v>2600000</v>
      </c>
      <c r="I1164" s="1" t="s">
        <v>589</v>
      </c>
      <c r="J1164" s="1" t="s">
        <v>546</v>
      </c>
      <c r="K1164" s="1" t="s">
        <v>546</v>
      </c>
      <c r="L1164" s="1" t="s">
        <v>640</v>
      </c>
      <c r="M1164" s="1" t="s">
        <v>581</v>
      </c>
      <c r="N1164" s="1"/>
      <c r="O1164" s="10"/>
      <c r="P1164" s="23"/>
      <c r="Q1164" s="1"/>
      <c r="R1164" s="1" t="s">
        <v>557</v>
      </c>
      <c r="S1164" s="1" t="s">
        <v>582</v>
      </c>
      <c r="T1164" s="10">
        <v>46298</v>
      </c>
    </row>
    <row r="1165" spans="1:20" ht="24" customHeight="1" x14ac:dyDescent="0.35">
      <c r="A1165" s="5" t="s">
        <v>3313</v>
      </c>
      <c r="B1165" s="5" t="s">
        <v>3314</v>
      </c>
      <c r="C1165" s="5" t="s">
        <v>299</v>
      </c>
      <c r="D1165" s="5" t="s">
        <v>802</v>
      </c>
      <c r="E1165" s="8">
        <v>46261</v>
      </c>
      <c r="F1165" s="5" t="s">
        <v>771</v>
      </c>
      <c r="G1165" s="5" t="s">
        <v>772</v>
      </c>
      <c r="H1165" s="22"/>
      <c r="I1165" s="5" t="s">
        <v>603</v>
      </c>
      <c r="J1165" s="5" t="s">
        <v>546</v>
      </c>
      <c r="K1165" s="5" t="s">
        <v>546</v>
      </c>
      <c r="L1165" s="5" t="s">
        <v>608</v>
      </c>
      <c r="M1165" s="5" t="s">
        <v>581</v>
      </c>
      <c r="N1165" s="5"/>
      <c r="O1165" s="8"/>
      <c r="P1165" s="22"/>
      <c r="Q1165" s="5" t="s">
        <v>773</v>
      </c>
      <c r="R1165" s="5" t="s">
        <v>557</v>
      </c>
      <c r="S1165" s="5" t="s">
        <v>582</v>
      </c>
      <c r="T1165" s="8">
        <v>46298</v>
      </c>
    </row>
    <row r="1166" spans="1:20" ht="24" customHeight="1" x14ac:dyDescent="0.35">
      <c r="A1166" s="1" t="s">
        <v>3315</v>
      </c>
      <c r="B1166" s="1" t="s">
        <v>3316</v>
      </c>
      <c r="C1166" s="1" t="s">
        <v>819</v>
      </c>
      <c r="D1166" s="1" t="s">
        <v>3317</v>
      </c>
      <c r="E1166" s="10">
        <v>46261</v>
      </c>
      <c r="F1166" s="1" t="s">
        <v>771</v>
      </c>
      <c r="G1166" s="1" t="s">
        <v>772</v>
      </c>
      <c r="H1166" s="23"/>
      <c r="I1166" s="1" t="s">
        <v>603</v>
      </c>
      <c r="J1166" s="1" t="s">
        <v>546</v>
      </c>
      <c r="K1166" s="1" t="s">
        <v>590</v>
      </c>
      <c r="L1166" s="1" t="s">
        <v>608</v>
      </c>
      <c r="M1166" s="1" t="s">
        <v>581</v>
      </c>
      <c r="N1166" s="1"/>
      <c r="O1166" s="10"/>
      <c r="P1166" s="23"/>
      <c r="Q1166" s="1" t="s">
        <v>773</v>
      </c>
      <c r="R1166" s="1" t="s">
        <v>557</v>
      </c>
      <c r="S1166" s="1" t="s">
        <v>582</v>
      </c>
      <c r="T1166" s="10">
        <v>46298</v>
      </c>
    </row>
    <row r="1167" spans="1:20" ht="24" customHeight="1" x14ac:dyDescent="0.35">
      <c r="A1167" s="5" t="s">
        <v>3318</v>
      </c>
      <c r="B1167" s="5" t="s">
        <v>3319</v>
      </c>
      <c r="C1167" s="5" t="s">
        <v>1034</v>
      </c>
      <c r="D1167" s="5" t="s">
        <v>3320</v>
      </c>
      <c r="E1167" s="8">
        <v>46260</v>
      </c>
      <c r="F1167" s="5" t="s">
        <v>587</v>
      </c>
      <c r="G1167" s="5" t="s">
        <v>588</v>
      </c>
      <c r="H1167" s="22">
        <v>4300000</v>
      </c>
      <c r="I1167" s="5" t="s">
        <v>589</v>
      </c>
      <c r="J1167" s="5" t="s">
        <v>546</v>
      </c>
      <c r="K1167" s="5" t="s">
        <v>590</v>
      </c>
      <c r="L1167" s="5" t="s">
        <v>149</v>
      </c>
      <c r="M1167" s="5" t="s">
        <v>581</v>
      </c>
      <c r="N1167" s="5"/>
      <c r="O1167" s="8"/>
      <c r="P1167" s="22"/>
      <c r="Q1167" s="5"/>
      <c r="R1167" s="5" t="s">
        <v>557</v>
      </c>
      <c r="S1167" s="5" t="s">
        <v>582</v>
      </c>
      <c r="T1167" s="8">
        <v>46298</v>
      </c>
    </row>
    <row r="1168" spans="1:20" ht="24" customHeight="1" x14ac:dyDescent="0.35">
      <c r="A1168" s="1" t="s">
        <v>3321</v>
      </c>
      <c r="B1168" s="1" t="s">
        <v>3322</v>
      </c>
      <c r="C1168" s="1" t="s">
        <v>106</v>
      </c>
      <c r="D1168" s="1" t="s">
        <v>103</v>
      </c>
      <c r="E1168" s="10">
        <v>46264</v>
      </c>
      <c r="F1168" s="1" t="s">
        <v>587</v>
      </c>
      <c r="G1168" s="1" t="s">
        <v>588</v>
      </c>
      <c r="H1168" s="23">
        <v>7500000</v>
      </c>
      <c r="I1168" s="1" t="s">
        <v>589</v>
      </c>
      <c r="J1168" s="1" t="s">
        <v>544</v>
      </c>
      <c r="K1168" s="1" t="s">
        <v>544</v>
      </c>
      <c r="L1168" s="1" t="s">
        <v>172</v>
      </c>
      <c r="M1168" s="1" t="s">
        <v>581</v>
      </c>
      <c r="N1168" s="1"/>
      <c r="O1168" s="10"/>
      <c r="P1168" s="23"/>
      <c r="Q1168" s="1"/>
      <c r="R1168" s="1" t="s">
        <v>557</v>
      </c>
      <c r="S1168" s="1" t="s">
        <v>582</v>
      </c>
      <c r="T1168" s="10">
        <v>46298</v>
      </c>
    </row>
    <row r="1169" spans="1:20" ht="24" customHeight="1" x14ac:dyDescent="0.35">
      <c r="A1169" s="5" t="s">
        <v>3323</v>
      </c>
      <c r="B1169" s="5" t="s">
        <v>3324</v>
      </c>
      <c r="C1169" s="5" t="s">
        <v>614</v>
      </c>
      <c r="D1169" s="5" t="s">
        <v>661</v>
      </c>
      <c r="E1169" s="8">
        <v>46263</v>
      </c>
      <c r="F1169" s="5" t="s">
        <v>771</v>
      </c>
      <c r="G1169" s="5" t="s">
        <v>772</v>
      </c>
      <c r="H1169" s="22"/>
      <c r="I1169" s="5" t="s">
        <v>603</v>
      </c>
      <c r="J1169" s="5" t="s">
        <v>546</v>
      </c>
      <c r="K1169" s="5" t="s">
        <v>546</v>
      </c>
      <c r="L1169" s="5" t="s">
        <v>591</v>
      </c>
      <c r="M1169" s="5" t="s">
        <v>581</v>
      </c>
      <c r="N1169" s="5"/>
      <c r="O1169" s="8"/>
      <c r="P1169" s="22"/>
      <c r="Q1169" s="5" t="s">
        <v>773</v>
      </c>
      <c r="R1169" s="5" t="s">
        <v>557</v>
      </c>
      <c r="S1169" s="5" t="s">
        <v>582</v>
      </c>
      <c r="T1169" s="8">
        <v>46298</v>
      </c>
    </row>
    <row r="1170" spans="1:20" ht="24" customHeight="1" x14ac:dyDescent="0.35">
      <c r="A1170" s="1" t="s">
        <v>3325</v>
      </c>
      <c r="B1170" s="1" t="s">
        <v>3326</v>
      </c>
      <c r="C1170" s="1" t="s">
        <v>643</v>
      </c>
      <c r="D1170" s="1" t="s">
        <v>1220</v>
      </c>
      <c r="E1170" s="10">
        <v>46263</v>
      </c>
      <c r="F1170" s="1" t="s">
        <v>771</v>
      </c>
      <c r="G1170" s="1" t="s">
        <v>772</v>
      </c>
      <c r="H1170" s="23"/>
      <c r="I1170" s="1" t="s">
        <v>603</v>
      </c>
      <c r="J1170" s="1" t="s">
        <v>544</v>
      </c>
      <c r="K1170" s="1" t="s">
        <v>590</v>
      </c>
      <c r="L1170" s="1" t="s">
        <v>608</v>
      </c>
      <c r="M1170" s="1" t="s">
        <v>581</v>
      </c>
      <c r="N1170" s="1"/>
      <c r="O1170" s="10"/>
      <c r="P1170" s="23"/>
      <c r="Q1170" s="1" t="s">
        <v>773</v>
      </c>
      <c r="R1170" s="1" t="s">
        <v>557</v>
      </c>
      <c r="S1170" s="1" t="s">
        <v>582</v>
      </c>
      <c r="T1170" s="10">
        <v>46298</v>
      </c>
    </row>
    <row r="1171" spans="1:20" ht="24" customHeight="1" x14ac:dyDescent="0.35">
      <c r="A1171" s="5" t="s">
        <v>3327</v>
      </c>
      <c r="B1171" s="5" t="s">
        <v>3328</v>
      </c>
      <c r="C1171" s="5" t="s">
        <v>652</v>
      </c>
      <c r="D1171" s="5" t="s">
        <v>698</v>
      </c>
      <c r="E1171" s="8">
        <v>46263</v>
      </c>
      <c r="F1171" s="5" t="s">
        <v>578</v>
      </c>
      <c r="G1171" s="5" t="s">
        <v>579</v>
      </c>
      <c r="H1171" s="22"/>
      <c r="I1171" s="5" t="s">
        <v>580</v>
      </c>
      <c r="J1171" s="5" t="s">
        <v>547</v>
      </c>
      <c r="K1171" s="5" t="s">
        <v>590</v>
      </c>
      <c r="L1171" s="5" t="s">
        <v>149</v>
      </c>
      <c r="M1171" s="5" t="s">
        <v>581</v>
      </c>
      <c r="N1171" s="5"/>
      <c r="O1171" s="8"/>
      <c r="P1171" s="22"/>
      <c r="Q1171" s="5"/>
      <c r="R1171" s="5" t="s">
        <v>557</v>
      </c>
      <c r="S1171" s="5" t="s">
        <v>582</v>
      </c>
      <c r="T1171" s="8">
        <v>46298</v>
      </c>
    </row>
    <row r="1172" spans="1:20" ht="24" customHeight="1" x14ac:dyDescent="0.35">
      <c r="A1172" s="1" t="s">
        <v>3329</v>
      </c>
      <c r="B1172" s="1" t="s">
        <v>3330</v>
      </c>
      <c r="C1172" s="1" t="s">
        <v>299</v>
      </c>
      <c r="D1172" s="1" t="s">
        <v>782</v>
      </c>
      <c r="E1172" s="10">
        <v>46263</v>
      </c>
      <c r="F1172" s="1" t="s">
        <v>587</v>
      </c>
      <c r="G1172" s="1" t="s">
        <v>588</v>
      </c>
      <c r="H1172" s="23">
        <v>5100000</v>
      </c>
      <c r="I1172" s="1" t="s">
        <v>589</v>
      </c>
      <c r="J1172" s="1" t="s">
        <v>546</v>
      </c>
      <c r="K1172" s="1" t="s">
        <v>590</v>
      </c>
      <c r="L1172" s="1" t="s">
        <v>149</v>
      </c>
      <c r="M1172" s="1" t="s">
        <v>581</v>
      </c>
      <c r="N1172" s="1"/>
      <c r="O1172" s="10"/>
      <c r="P1172" s="23"/>
      <c r="Q1172" s="1"/>
      <c r="R1172" s="1" t="s">
        <v>557</v>
      </c>
      <c r="S1172" s="1" t="s">
        <v>582</v>
      </c>
      <c r="T1172" s="10">
        <v>46298</v>
      </c>
    </row>
    <row r="1173" spans="1:20" ht="24" customHeight="1" x14ac:dyDescent="0.35">
      <c r="A1173" s="5" t="s">
        <v>3331</v>
      </c>
      <c r="B1173" s="5" t="s">
        <v>3332</v>
      </c>
      <c r="C1173" s="5" t="s">
        <v>425</v>
      </c>
      <c r="D1173" s="5" t="s">
        <v>299</v>
      </c>
      <c r="E1173" s="8">
        <v>46263</v>
      </c>
      <c r="F1173" s="5" t="s">
        <v>771</v>
      </c>
      <c r="G1173" s="5" t="s">
        <v>772</v>
      </c>
      <c r="H1173" s="22"/>
      <c r="I1173" s="5" t="s">
        <v>603</v>
      </c>
      <c r="J1173" s="5" t="s">
        <v>544</v>
      </c>
      <c r="K1173" s="5" t="s">
        <v>546</v>
      </c>
      <c r="L1173" s="5" t="s">
        <v>172</v>
      </c>
      <c r="M1173" s="5" t="s">
        <v>581</v>
      </c>
      <c r="N1173" s="5"/>
      <c r="O1173" s="8"/>
      <c r="P1173" s="22"/>
      <c r="Q1173" s="5" t="s">
        <v>773</v>
      </c>
      <c r="R1173" s="5" t="s">
        <v>557</v>
      </c>
      <c r="S1173" s="5" t="s">
        <v>582</v>
      </c>
      <c r="T1173" s="8">
        <v>46298</v>
      </c>
    </row>
    <row r="1174" spans="1:20" ht="24" customHeight="1" x14ac:dyDescent="0.35">
      <c r="A1174" s="1" t="s">
        <v>3333</v>
      </c>
      <c r="B1174" s="1" t="s">
        <v>3334</v>
      </c>
      <c r="C1174" s="1" t="s">
        <v>707</v>
      </c>
      <c r="D1174" s="1" t="s">
        <v>733</v>
      </c>
      <c r="E1174" s="10">
        <v>46264</v>
      </c>
      <c r="F1174" s="1" t="s">
        <v>578</v>
      </c>
      <c r="G1174" s="1" t="s">
        <v>579</v>
      </c>
      <c r="H1174" s="23"/>
      <c r="I1174" s="1" t="s">
        <v>580</v>
      </c>
      <c r="J1174" s="1" t="s">
        <v>545</v>
      </c>
      <c r="K1174" s="1" t="s">
        <v>545</v>
      </c>
      <c r="L1174" s="1" t="s">
        <v>608</v>
      </c>
      <c r="M1174" s="1" t="s">
        <v>581</v>
      </c>
      <c r="N1174" s="1"/>
      <c r="O1174" s="10"/>
      <c r="P1174" s="23"/>
      <c r="Q1174" s="1"/>
      <c r="R1174" s="1" t="s">
        <v>557</v>
      </c>
      <c r="S1174" s="1" t="s">
        <v>582</v>
      </c>
      <c r="T1174" s="10">
        <v>46298</v>
      </c>
    </row>
    <row r="1175" spans="1:20" ht="24" customHeight="1" x14ac:dyDescent="0.35">
      <c r="A1175" s="5" t="s">
        <v>3335</v>
      </c>
      <c r="B1175" s="5" t="s">
        <v>3336</v>
      </c>
      <c r="C1175" s="5" t="s">
        <v>448</v>
      </c>
      <c r="D1175" s="5" t="s">
        <v>856</v>
      </c>
      <c r="E1175" s="8">
        <v>46264</v>
      </c>
      <c r="F1175" s="5" t="s">
        <v>771</v>
      </c>
      <c r="G1175" s="5" t="s">
        <v>772</v>
      </c>
      <c r="H1175" s="22"/>
      <c r="I1175" s="5" t="s">
        <v>603</v>
      </c>
      <c r="J1175" s="5" t="s">
        <v>547</v>
      </c>
      <c r="K1175" s="5" t="s">
        <v>546</v>
      </c>
      <c r="L1175" s="5" t="s">
        <v>149</v>
      </c>
      <c r="M1175" s="5" t="s">
        <v>581</v>
      </c>
      <c r="N1175" s="5"/>
      <c r="O1175" s="8"/>
      <c r="P1175" s="22"/>
      <c r="Q1175" s="5" t="s">
        <v>773</v>
      </c>
      <c r="R1175" s="5" t="s">
        <v>557</v>
      </c>
      <c r="S1175" s="5" t="s">
        <v>582</v>
      </c>
      <c r="T1175" s="8">
        <v>46298</v>
      </c>
    </row>
    <row r="1176" spans="1:20" ht="24" customHeight="1" x14ac:dyDescent="0.35">
      <c r="A1176" s="1" t="s">
        <v>3337</v>
      </c>
      <c r="B1176" s="1" t="s">
        <v>3338</v>
      </c>
      <c r="C1176" s="1" t="s">
        <v>1563</v>
      </c>
      <c r="D1176" s="1" t="s">
        <v>198</v>
      </c>
      <c r="E1176" s="10">
        <v>46264</v>
      </c>
      <c r="F1176" s="1" t="s">
        <v>771</v>
      </c>
      <c r="G1176" s="1" t="s">
        <v>772</v>
      </c>
      <c r="H1176" s="23"/>
      <c r="I1176" s="1" t="s">
        <v>603</v>
      </c>
      <c r="J1176" s="1" t="s">
        <v>548</v>
      </c>
      <c r="K1176" s="1" t="s">
        <v>546</v>
      </c>
      <c r="L1176" s="1" t="s">
        <v>149</v>
      </c>
      <c r="M1176" s="1" t="s">
        <v>581</v>
      </c>
      <c r="N1176" s="1"/>
      <c r="O1176" s="10"/>
      <c r="P1176" s="23"/>
      <c r="Q1176" s="1" t="s">
        <v>773</v>
      </c>
      <c r="R1176" s="1" t="s">
        <v>557</v>
      </c>
      <c r="S1176" s="1" t="s">
        <v>582</v>
      </c>
      <c r="T1176" s="10">
        <v>46298</v>
      </c>
    </row>
    <row r="1177" spans="1:20" ht="24" customHeight="1" x14ac:dyDescent="0.35">
      <c r="A1177" s="5" t="s">
        <v>3339</v>
      </c>
      <c r="B1177" s="5" t="s">
        <v>3340</v>
      </c>
      <c r="C1177" s="5" t="s">
        <v>374</v>
      </c>
      <c r="D1177" s="5" t="s">
        <v>3341</v>
      </c>
      <c r="E1177" s="8">
        <v>46264</v>
      </c>
      <c r="F1177" s="5" t="s">
        <v>771</v>
      </c>
      <c r="G1177" s="5" t="s">
        <v>772</v>
      </c>
      <c r="H1177" s="22"/>
      <c r="I1177" s="5" t="s">
        <v>603</v>
      </c>
      <c r="J1177" s="5" t="s">
        <v>544</v>
      </c>
      <c r="K1177" s="5" t="s">
        <v>590</v>
      </c>
      <c r="L1177" s="5" t="s">
        <v>149</v>
      </c>
      <c r="M1177" s="5" t="s">
        <v>581</v>
      </c>
      <c r="N1177" s="5"/>
      <c r="O1177" s="8"/>
      <c r="P1177" s="22"/>
      <c r="Q1177" s="5" t="s">
        <v>773</v>
      </c>
      <c r="R1177" s="5" t="s">
        <v>557</v>
      </c>
      <c r="S1177" s="5" t="s">
        <v>582</v>
      </c>
      <c r="T1177" s="8">
        <v>46298</v>
      </c>
    </row>
    <row r="1178" spans="1:20" ht="24" customHeight="1" x14ac:dyDescent="0.35">
      <c r="A1178" s="1" t="s">
        <v>3342</v>
      </c>
      <c r="B1178" s="1" t="s">
        <v>3343</v>
      </c>
      <c r="C1178" s="1" t="s">
        <v>607</v>
      </c>
      <c r="D1178" s="1" t="s">
        <v>974</v>
      </c>
      <c r="E1178" s="10">
        <v>46264</v>
      </c>
      <c r="F1178" s="1" t="s">
        <v>587</v>
      </c>
      <c r="G1178" s="1" t="s">
        <v>588</v>
      </c>
      <c r="H1178" s="23">
        <v>106500</v>
      </c>
      <c r="I1178" s="1" t="s">
        <v>589</v>
      </c>
      <c r="J1178" s="1" t="s">
        <v>547</v>
      </c>
      <c r="K1178" s="1" t="s">
        <v>590</v>
      </c>
      <c r="L1178" s="1" t="s">
        <v>608</v>
      </c>
      <c r="M1178" s="1" t="s">
        <v>581</v>
      </c>
      <c r="N1178" s="1"/>
      <c r="O1178" s="10"/>
      <c r="P1178" s="23"/>
      <c r="Q1178" s="1"/>
      <c r="R1178" s="1" t="s">
        <v>557</v>
      </c>
      <c r="S1178" s="1" t="s">
        <v>582</v>
      </c>
      <c r="T1178" s="10">
        <v>46298</v>
      </c>
    </row>
    <row r="1179" spans="1:20" ht="24" customHeight="1" x14ac:dyDescent="0.35">
      <c r="A1179" s="5" t="s">
        <v>3344</v>
      </c>
      <c r="B1179" s="5" t="s">
        <v>3345</v>
      </c>
      <c r="C1179" s="5" t="s">
        <v>469</v>
      </c>
      <c r="D1179" s="5" t="s">
        <v>887</v>
      </c>
      <c r="E1179" s="8">
        <v>46264</v>
      </c>
      <c r="F1179" s="5" t="s">
        <v>601</v>
      </c>
      <c r="G1179" s="5" t="s">
        <v>602</v>
      </c>
      <c r="H1179" s="22"/>
      <c r="I1179" s="5" t="s">
        <v>603</v>
      </c>
      <c r="J1179" s="5" t="s">
        <v>544</v>
      </c>
      <c r="K1179" s="5" t="s">
        <v>590</v>
      </c>
      <c r="L1179" s="5" t="s">
        <v>608</v>
      </c>
      <c r="M1179" s="5" t="s">
        <v>581</v>
      </c>
      <c r="N1179" s="5"/>
      <c r="O1179" s="8"/>
      <c r="P1179" s="22"/>
      <c r="Q1179" s="5"/>
      <c r="R1179" s="5" t="s">
        <v>557</v>
      </c>
      <c r="S1179" s="5" t="s">
        <v>582</v>
      </c>
      <c r="T1179" s="8">
        <v>46298</v>
      </c>
    </row>
    <row r="1180" spans="1:20" ht="24" customHeight="1" x14ac:dyDescent="0.35">
      <c r="A1180" s="1" t="s">
        <v>3346</v>
      </c>
      <c r="B1180" s="1" t="s">
        <v>3347</v>
      </c>
      <c r="C1180" s="1" t="s">
        <v>1034</v>
      </c>
      <c r="D1180" s="1" t="s">
        <v>2337</v>
      </c>
      <c r="E1180" s="10">
        <v>46264</v>
      </c>
      <c r="F1180" s="1" t="s">
        <v>771</v>
      </c>
      <c r="G1180" s="1" t="s">
        <v>772</v>
      </c>
      <c r="H1180" s="23"/>
      <c r="I1180" s="1" t="s">
        <v>603</v>
      </c>
      <c r="J1180" s="1" t="s">
        <v>546</v>
      </c>
      <c r="K1180" s="1" t="s">
        <v>590</v>
      </c>
      <c r="L1180" s="1" t="s">
        <v>172</v>
      </c>
      <c r="M1180" s="1" t="s">
        <v>581</v>
      </c>
      <c r="N1180" s="1"/>
      <c r="O1180" s="10"/>
      <c r="P1180" s="23"/>
      <c r="Q1180" s="1" t="s">
        <v>773</v>
      </c>
      <c r="R1180" s="1" t="s">
        <v>557</v>
      </c>
      <c r="S1180" s="1" t="s">
        <v>582</v>
      </c>
      <c r="T1180" s="10">
        <v>46298</v>
      </c>
    </row>
    <row r="1181" spans="1:20" ht="24" customHeight="1" x14ac:dyDescent="0.35">
      <c r="A1181" s="5" t="s">
        <v>3348</v>
      </c>
      <c r="B1181" s="5" t="s">
        <v>3349</v>
      </c>
      <c r="C1181" s="5" t="s">
        <v>707</v>
      </c>
      <c r="D1181" s="5" t="s">
        <v>639</v>
      </c>
      <c r="E1181" s="8">
        <v>46264</v>
      </c>
      <c r="F1181" s="5" t="s">
        <v>587</v>
      </c>
      <c r="G1181" s="5" t="s">
        <v>588</v>
      </c>
      <c r="H1181" s="22">
        <v>8500000</v>
      </c>
      <c r="I1181" s="5" t="s">
        <v>589</v>
      </c>
      <c r="J1181" s="5" t="s">
        <v>545</v>
      </c>
      <c r="K1181" s="5" t="s">
        <v>548</v>
      </c>
      <c r="L1181" s="5" t="s">
        <v>591</v>
      </c>
      <c r="M1181" s="5" t="s">
        <v>581</v>
      </c>
      <c r="N1181" s="5"/>
      <c r="O1181" s="8"/>
      <c r="P1181" s="22"/>
      <c r="Q1181" s="5"/>
      <c r="R1181" s="5" t="s">
        <v>557</v>
      </c>
      <c r="S1181" s="5" t="s">
        <v>582</v>
      </c>
      <c r="T1181" s="8">
        <v>46298</v>
      </c>
    </row>
    <row r="1182" spans="1:20" ht="24" customHeight="1" x14ac:dyDescent="0.35">
      <c r="A1182" s="1" t="s">
        <v>3350</v>
      </c>
      <c r="B1182" s="1" t="s">
        <v>3351</v>
      </c>
      <c r="C1182" s="1" t="s">
        <v>355</v>
      </c>
      <c r="D1182" s="1" t="s">
        <v>999</v>
      </c>
      <c r="E1182" s="10">
        <v>46264</v>
      </c>
      <c r="F1182" s="1" t="s">
        <v>771</v>
      </c>
      <c r="G1182" s="1" t="s">
        <v>772</v>
      </c>
      <c r="H1182" s="23"/>
      <c r="I1182" s="1" t="s">
        <v>603</v>
      </c>
      <c r="J1182" s="1" t="s">
        <v>544</v>
      </c>
      <c r="K1182" s="1" t="s">
        <v>544</v>
      </c>
      <c r="L1182" s="1" t="s">
        <v>149</v>
      </c>
      <c r="M1182" s="1" t="s">
        <v>581</v>
      </c>
      <c r="N1182" s="1"/>
      <c r="O1182" s="10"/>
      <c r="P1182" s="23"/>
      <c r="Q1182" s="1" t="s">
        <v>773</v>
      </c>
      <c r="R1182" s="1" t="s">
        <v>557</v>
      </c>
      <c r="S1182" s="1" t="s">
        <v>582</v>
      </c>
      <c r="T1182" s="10">
        <v>46298</v>
      </c>
    </row>
    <row r="1183" spans="1:20" ht="24" customHeight="1" x14ac:dyDescent="0.35">
      <c r="A1183" s="5" t="s">
        <v>3352</v>
      </c>
      <c r="B1183" s="5" t="s">
        <v>3353</v>
      </c>
      <c r="C1183" s="5" t="s">
        <v>106</v>
      </c>
      <c r="D1183" s="5" t="s">
        <v>146</v>
      </c>
      <c r="E1183" s="8">
        <v>46264</v>
      </c>
      <c r="F1183" s="5" t="s">
        <v>587</v>
      </c>
      <c r="G1183" s="5" t="s">
        <v>588</v>
      </c>
      <c r="H1183" s="22">
        <v>51000000</v>
      </c>
      <c r="I1183" s="5" t="s">
        <v>589</v>
      </c>
      <c r="J1183" s="5" t="s">
        <v>544</v>
      </c>
      <c r="K1183" s="5" t="s">
        <v>590</v>
      </c>
      <c r="L1183" s="5" t="s">
        <v>640</v>
      </c>
      <c r="M1183" s="5" t="s">
        <v>581</v>
      </c>
      <c r="N1183" s="5"/>
      <c r="O1183" s="8"/>
      <c r="P1183" s="22"/>
      <c r="Q1183" s="5"/>
      <c r="R1183" s="5" t="s">
        <v>557</v>
      </c>
      <c r="S1183" s="5" t="s">
        <v>582</v>
      </c>
      <c r="T1183" s="8">
        <v>46298</v>
      </c>
    </row>
    <row r="1184" spans="1:20" ht="24" customHeight="1" x14ac:dyDescent="0.35">
      <c r="A1184" s="1" t="s">
        <v>3354</v>
      </c>
      <c r="B1184" s="1" t="s">
        <v>3355</v>
      </c>
      <c r="C1184" s="1" t="s">
        <v>176</v>
      </c>
      <c r="D1184" s="1" t="s">
        <v>198</v>
      </c>
      <c r="E1184" s="10">
        <v>46264</v>
      </c>
      <c r="F1184" s="1" t="s">
        <v>587</v>
      </c>
      <c r="G1184" s="1" t="s">
        <v>588</v>
      </c>
      <c r="H1184" s="23">
        <v>850000</v>
      </c>
      <c r="I1184" s="1" t="s">
        <v>589</v>
      </c>
      <c r="J1184" s="1" t="s">
        <v>546</v>
      </c>
      <c r="K1184" s="1" t="s">
        <v>546</v>
      </c>
      <c r="L1184" s="1" t="s">
        <v>608</v>
      </c>
      <c r="M1184" s="1" t="s">
        <v>581</v>
      </c>
      <c r="N1184" s="1"/>
      <c r="O1184" s="10"/>
      <c r="P1184" s="23"/>
      <c r="Q1184" s="1"/>
      <c r="R1184" s="1" t="s">
        <v>557</v>
      </c>
      <c r="S1184" s="1" t="s">
        <v>582</v>
      </c>
      <c r="T1184" s="10">
        <v>46298</v>
      </c>
    </row>
    <row r="1185" spans="1:20" ht="24" customHeight="1" x14ac:dyDescent="0.35">
      <c r="A1185" s="5" t="s">
        <v>3356</v>
      </c>
      <c r="B1185" s="5" t="s">
        <v>3357</v>
      </c>
      <c r="C1185" s="5" t="s">
        <v>3358</v>
      </c>
      <c r="D1185" s="5" t="s">
        <v>128</v>
      </c>
      <c r="E1185" s="8">
        <v>46264</v>
      </c>
      <c r="F1185" s="5" t="s">
        <v>587</v>
      </c>
      <c r="G1185" s="5" t="s">
        <v>588</v>
      </c>
      <c r="H1185" s="22">
        <v>3500000</v>
      </c>
      <c r="I1185" s="5" t="s">
        <v>589</v>
      </c>
      <c r="J1185" s="5" t="s">
        <v>590</v>
      </c>
      <c r="K1185" s="5" t="s">
        <v>544</v>
      </c>
      <c r="L1185" s="5" t="s">
        <v>608</v>
      </c>
      <c r="M1185" s="5" t="s">
        <v>581</v>
      </c>
      <c r="N1185" s="5"/>
      <c r="O1185" s="8"/>
      <c r="P1185" s="22"/>
      <c r="Q1185" s="5"/>
      <c r="R1185" s="5" t="s">
        <v>557</v>
      </c>
      <c r="S1185" s="5" t="s">
        <v>582</v>
      </c>
      <c r="T1185" s="8">
        <v>46298</v>
      </c>
    </row>
    <row r="1186" spans="1:20" ht="24" customHeight="1" x14ac:dyDescent="0.35">
      <c r="A1186" s="1" t="s">
        <v>3359</v>
      </c>
      <c r="B1186" s="1" t="s">
        <v>3360</v>
      </c>
      <c r="C1186" s="1" t="s">
        <v>423</v>
      </c>
      <c r="D1186" s="1" t="s">
        <v>614</v>
      </c>
      <c r="E1186" s="10">
        <v>46264</v>
      </c>
      <c r="F1186" s="1" t="s">
        <v>771</v>
      </c>
      <c r="G1186" s="1" t="s">
        <v>772</v>
      </c>
      <c r="H1186" s="23"/>
      <c r="I1186" s="1" t="s">
        <v>603</v>
      </c>
      <c r="J1186" s="1" t="s">
        <v>546</v>
      </c>
      <c r="K1186" s="1" t="s">
        <v>546</v>
      </c>
      <c r="L1186" s="1" t="s">
        <v>149</v>
      </c>
      <c r="M1186" s="1" t="s">
        <v>581</v>
      </c>
      <c r="N1186" s="1"/>
      <c r="O1186" s="10"/>
      <c r="P1186" s="23"/>
      <c r="Q1186" s="1" t="s">
        <v>1008</v>
      </c>
      <c r="R1186" s="1" t="s">
        <v>557</v>
      </c>
      <c r="S1186" s="1" t="s">
        <v>582</v>
      </c>
      <c r="T1186" s="10">
        <v>46298</v>
      </c>
    </row>
    <row r="1187" spans="1:20" ht="24" customHeight="1" x14ac:dyDescent="0.35">
      <c r="A1187" s="5" t="s">
        <v>3361</v>
      </c>
      <c r="B1187" s="5" t="s">
        <v>3362</v>
      </c>
      <c r="C1187" s="5" t="s">
        <v>299</v>
      </c>
      <c r="D1187" s="5" t="s">
        <v>157</v>
      </c>
      <c r="E1187" s="8">
        <v>46264</v>
      </c>
      <c r="F1187" s="5" t="s">
        <v>771</v>
      </c>
      <c r="G1187" s="5" t="s">
        <v>772</v>
      </c>
      <c r="H1187" s="22"/>
      <c r="I1187" s="5" t="s">
        <v>603</v>
      </c>
      <c r="J1187" s="5" t="s">
        <v>546</v>
      </c>
      <c r="K1187" s="5" t="s">
        <v>546</v>
      </c>
      <c r="L1187" s="5" t="s">
        <v>640</v>
      </c>
      <c r="M1187" s="5" t="s">
        <v>581</v>
      </c>
      <c r="N1187" s="5"/>
      <c r="O1187" s="8"/>
      <c r="P1187" s="22"/>
      <c r="Q1187" s="5" t="s">
        <v>773</v>
      </c>
      <c r="R1187" s="5" t="s">
        <v>557</v>
      </c>
      <c r="S1187" s="5" t="s">
        <v>582</v>
      </c>
      <c r="T1187" s="8">
        <v>46298</v>
      </c>
    </row>
    <row r="1188" spans="1:20" ht="24" customHeight="1" x14ac:dyDescent="0.35">
      <c r="A1188" s="1" t="s">
        <v>3363</v>
      </c>
      <c r="B1188" s="1" t="s">
        <v>3364</v>
      </c>
      <c r="C1188" s="1" t="s">
        <v>685</v>
      </c>
      <c r="D1188" s="1" t="s">
        <v>743</v>
      </c>
      <c r="E1188" s="10">
        <v>46264</v>
      </c>
      <c r="F1188" s="1" t="s">
        <v>771</v>
      </c>
      <c r="G1188" s="1" t="s">
        <v>772</v>
      </c>
      <c r="H1188" s="23"/>
      <c r="I1188" s="1" t="s">
        <v>603</v>
      </c>
      <c r="J1188" s="1" t="s">
        <v>547</v>
      </c>
      <c r="K1188" s="1" t="s">
        <v>545</v>
      </c>
      <c r="L1188" s="1" t="s">
        <v>149</v>
      </c>
      <c r="M1188" s="1" t="s">
        <v>581</v>
      </c>
      <c r="N1188" s="1"/>
      <c r="O1188" s="10"/>
      <c r="P1188" s="23"/>
      <c r="Q1188" s="1" t="s">
        <v>773</v>
      </c>
      <c r="R1188" s="1" t="s">
        <v>557</v>
      </c>
      <c r="S1188" s="1" t="s">
        <v>582</v>
      </c>
      <c r="T1188" s="10">
        <v>46298</v>
      </c>
    </row>
    <row r="1189" spans="1:20" ht="24" customHeight="1" x14ac:dyDescent="0.35">
      <c r="A1189" s="5" t="s">
        <v>3365</v>
      </c>
      <c r="B1189" s="5" t="s">
        <v>3366</v>
      </c>
      <c r="C1189" s="5" t="s">
        <v>620</v>
      </c>
      <c r="D1189" s="5" t="s">
        <v>818</v>
      </c>
      <c r="E1189" s="8">
        <v>46264</v>
      </c>
      <c r="F1189" s="5" t="s">
        <v>771</v>
      </c>
      <c r="G1189" s="5" t="s">
        <v>772</v>
      </c>
      <c r="H1189" s="22"/>
      <c r="I1189" s="5" t="s">
        <v>603</v>
      </c>
      <c r="J1189" s="5" t="s">
        <v>546</v>
      </c>
      <c r="K1189" s="5" t="s">
        <v>590</v>
      </c>
      <c r="L1189" s="5" t="s">
        <v>608</v>
      </c>
      <c r="M1189" s="5" t="s">
        <v>581</v>
      </c>
      <c r="N1189" s="5"/>
      <c r="O1189" s="8"/>
      <c r="P1189" s="22"/>
      <c r="Q1189" s="5" t="s">
        <v>773</v>
      </c>
      <c r="R1189" s="5" t="s">
        <v>557</v>
      </c>
      <c r="S1189" s="5" t="s">
        <v>582</v>
      </c>
      <c r="T1189" s="8">
        <v>46298</v>
      </c>
    </row>
    <row r="1190" spans="1:20" ht="24" customHeight="1" x14ac:dyDescent="0.35">
      <c r="A1190" s="1" t="s">
        <v>3367</v>
      </c>
      <c r="B1190" s="1" t="s">
        <v>3368</v>
      </c>
      <c r="C1190" s="1" t="s">
        <v>299</v>
      </c>
      <c r="D1190" s="1" t="s">
        <v>802</v>
      </c>
      <c r="E1190" s="10">
        <v>46264</v>
      </c>
      <c r="F1190" s="1" t="s">
        <v>771</v>
      </c>
      <c r="G1190" s="1" t="s">
        <v>772</v>
      </c>
      <c r="H1190" s="23"/>
      <c r="I1190" s="1" t="s">
        <v>603</v>
      </c>
      <c r="J1190" s="1" t="s">
        <v>546</v>
      </c>
      <c r="K1190" s="1" t="s">
        <v>546</v>
      </c>
      <c r="L1190" s="1" t="s">
        <v>149</v>
      </c>
      <c r="M1190" s="1" t="s">
        <v>581</v>
      </c>
      <c r="N1190" s="1"/>
      <c r="O1190" s="10"/>
      <c r="P1190" s="23"/>
      <c r="Q1190" s="1" t="s">
        <v>773</v>
      </c>
      <c r="R1190" s="1" t="s">
        <v>557</v>
      </c>
      <c r="S1190" s="1" t="s">
        <v>582</v>
      </c>
      <c r="T1190" s="10">
        <v>46298</v>
      </c>
    </row>
    <row r="1191" spans="1:20" ht="24" customHeight="1" x14ac:dyDescent="0.35">
      <c r="A1191" s="5" t="s">
        <v>3369</v>
      </c>
      <c r="B1191" s="5" t="s">
        <v>3370</v>
      </c>
      <c r="C1191" s="5" t="s">
        <v>157</v>
      </c>
      <c r="D1191" s="5" t="s">
        <v>1229</v>
      </c>
      <c r="E1191" s="8">
        <v>46264</v>
      </c>
      <c r="F1191" s="5" t="s">
        <v>771</v>
      </c>
      <c r="G1191" s="5" t="s">
        <v>772</v>
      </c>
      <c r="H1191" s="22"/>
      <c r="I1191" s="5" t="s">
        <v>603</v>
      </c>
      <c r="J1191" s="5" t="s">
        <v>546</v>
      </c>
      <c r="K1191" s="5" t="s">
        <v>590</v>
      </c>
      <c r="L1191" s="5" t="s">
        <v>640</v>
      </c>
      <c r="M1191" s="5" t="s">
        <v>581</v>
      </c>
      <c r="N1191" s="5"/>
      <c r="O1191" s="8"/>
      <c r="P1191" s="22"/>
      <c r="Q1191" s="5" t="s">
        <v>773</v>
      </c>
      <c r="R1191" s="5" t="s">
        <v>557</v>
      </c>
      <c r="S1191" s="5" t="s">
        <v>582</v>
      </c>
      <c r="T1191" s="8">
        <v>46298</v>
      </c>
    </row>
    <row r="1192" spans="1:20" ht="24" customHeight="1" x14ac:dyDescent="0.35">
      <c r="A1192" s="1" t="s">
        <v>3371</v>
      </c>
      <c r="B1192" s="1" t="s">
        <v>3372</v>
      </c>
      <c r="C1192" s="1" t="s">
        <v>1378</v>
      </c>
      <c r="D1192" s="1" t="s">
        <v>114</v>
      </c>
      <c r="E1192" s="10">
        <v>46265</v>
      </c>
      <c r="F1192" s="1" t="s">
        <v>587</v>
      </c>
      <c r="G1192" s="1" t="s">
        <v>588</v>
      </c>
      <c r="H1192" s="23">
        <v>2600000</v>
      </c>
      <c r="I1192" s="1" t="s">
        <v>589</v>
      </c>
      <c r="J1192" s="1" t="s">
        <v>545</v>
      </c>
      <c r="K1192" s="1" t="s">
        <v>545</v>
      </c>
      <c r="L1192" s="1" t="s">
        <v>608</v>
      </c>
      <c r="M1192" s="1" t="s">
        <v>581</v>
      </c>
      <c r="N1192" s="1"/>
      <c r="O1192" s="10"/>
      <c r="P1192" s="23"/>
      <c r="Q1192" s="1"/>
      <c r="R1192" s="1" t="s">
        <v>557</v>
      </c>
      <c r="S1192" s="1" t="s">
        <v>582</v>
      </c>
      <c r="T1192" s="10">
        <v>46298</v>
      </c>
    </row>
    <row r="1193" spans="1:20" ht="24" customHeight="1" x14ac:dyDescent="0.35">
      <c r="A1193" s="5" t="s">
        <v>3373</v>
      </c>
      <c r="B1193" s="5" t="s">
        <v>3374</v>
      </c>
      <c r="C1193" s="5" t="s">
        <v>130</v>
      </c>
      <c r="D1193" s="5" t="s">
        <v>661</v>
      </c>
      <c r="E1193" s="8">
        <v>46264</v>
      </c>
      <c r="F1193" s="5" t="s">
        <v>771</v>
      </c>
      <c r="G1193" s="5" t="s">
        <v>772</v>
      </c>
      <c r="H1193" s="22"/>
      <c r="I1193" s="5" t="s">
        <v>603</v>
      </c>
      <c r="J1193" s="5" t="s">
        <v>546</v>
      </c>
      <c r="K1193" s="5" t="s">
        <v>546</v>
      </c>
      <c r="L1193" s="5" t="s">
        <v>608</v>
      </c>
      <c r="M1193" s="5" t="s">
        <v>581</v>
      </c>
      <c r="N1193" s="5"/>
      <c r="O1193" s="8"/>
      <c r="P1193" s="22"/>
      <c r="Q1193" s="5" t="s">
        <v>1008</v>
      </c>
      <c r="R1193" s="5" t="s">
        <v>557</v>
      </c>
      <c r="S1193" s="5" t="s">
        <v>582</v>
      </c>
      <c r="T1193" s="8">
        <v>46298</v>
      </c>
    </row>
    <row r="1194" spans="1:20" ht="24" customHeight="1" x14ac:dyDescent="0.35">
      <c r="A1194" s="1" t="s">
        <v>3375</v>
      </c>
      <c r="B1194" s="1" t="s">
        <v>3376</v>
      </c>
      <c r="C1194" s="1" t="s">
        <v>469</v>
      </c>
      <c r="D1194" s="1" t="s">
        <v>2504</v>
      </c>
      <c r="E1194" s="10">
        <v>46265</v>
      </c>
      <c r="F1194" s="1" t="s">
        <v>771</v>
      </c>
      <c r="G1194" s="1" t="s">
        <v>772</v>
      </c>
      <c r="H1194" s="23"/>
      <c r="I1194" s="1" t="s">
        <v>603</v>
      </c>
      <c r="J1194" s="1" t="s">
        <v>544</v>
      </c>
      <c r="K1194" s="1" t="s">
        <v>590</v>
      </c>
      <c r="L1194" s="1" t="s">
        <v>608</v>
      </c>
      <c r="M1194" s="1" t="s">
        <v>581</v>
      </c>
      <c r="N1194" s="1"/>
      <c r="O1194" s="10"/>
      <c r="P1194" s="23"/>
      <c r="Q1194" s="1" t="s">
        <v>773</v>
      </c>
      <c r="R1194" s="1" t="s">
        <v>557</v>
      </c>
      <c r="S1194" s="1" t="s">
        <v>582</v>
      </c>
      <c r="T1194" s="10">
        <v>46298</v>
      </c>
    </row>
    <row r="1195" spans="1:20" ht="24" customHeight="1" x14ac:dyDescent="0.35">
      <c r="A1195" s="5" t="s">
        <v>3377</v>
      </c>
      <c r="B1195" s="5" t="s">
        <v>3378</v>
      </c>
      <c r="C1195" s="5" t="s">
        <v>210</v>
      </c>
      <c r="D1195" s="5" t="s">
        <v>374</v>
      </c>
      <c r="E1195" s="8">
        <v>46265</v>
      </c>
      <c r="F1195" s="5" t="s">
        <v>587</v>
      </c>
      <c r="G1195" s="5" t="s">
        <v>588</v>
      </c>
      <c r="H1195" s="22">
        <v>22000000</v>
      </c>
      <c r="I1195" s="5" t="s">
        <v>589</v>
      </c>
      <c r="J1195" s="5" t="s">
        <v>544</v>
      </c>
      <c r="K1195" s="5" t="s">
        <v>544</v>
      </c>
      <c r="L1195" s="5" t="s">
        <v>149</v>
      </c>
      <c r="M1195" s="5" t="s">
        <v>581</v>
      </c>
      <c r="N1195" s="5"/>
      <c r="O1195" s="8"/>
      <c r="P1195" s="22"/>
      <c r="Q1195" s="5"/>
      <c r="R1195" s="5" t="s">
        <v>557</v>
      </c>
      <c r="S1195" s="5" t="s">
        <v>582</v>
      </c>
      <c r="T1195" s="8">
        <v>46298</v>
      </c>
    </row>
    <row r="1196" spans="1:20" ht="24" customHeight="1" x14ac:dyDescent="0.35">
      <c r="A1196" s="1" t="s">
        <v>3379</v>
      </c>
      <c r="B1196" s="1" t="s">
        <v>3380</v>
      </c>
      <c r="C1196" s="1" t="s">
        <v>327</v>
      </c>
      <c r="D1196" s="1" t="s">
        <v>355</v>
      </c>
      <c r="E1196" s="10">
        <v>46265</v>
      </c>
      <c r="F1196" s="1" t="s">
        <v>587</v>
      </c>
      <c r="G1196" s="1" t="s">
        <v>588</v>
      </c>
      <c r="H1196" s="23">
        <v>32000000</v>
      </c>
      <c r="I1196" s="1" t="s">
        <v>589</v>
      </c>
      <c r="J1196" s="1" t="s">
        <v>590</v>
      </c>
      <c r="K1196" s="1" t="s">
        <v>544</v>
      </c>
      <c r="L1196" s="1" t="s">
        <v>591</v>
      </c>
      <c r="M1196" s="1" t="s">
        <v>581</v>
      </c>
      <c r="N1196" s="1"/>
      <c r="O1196" s="10"/>
      <c r="P1196" s="23"/>
      <c r="Q1196" s="1"/>
      <c r="R1196" s="1" t="s">
        <v>557</v>
      </c>
      <c r="S1196" s="1" t="s">
        <v>582</v>
      </c>
      <c r="T1196" s="10">
        <v>46298</v>
      </c>
    </row>
    <row r="1197" spans="1:20" ht="24" customHeight="1" x14ac:dyDescent="0.35">
      <c r="A1197" s="5" t="s">
        <v>3381</v>
      </c>
      <c r="B1197" s="5" t="s">
        <v>3382</v>
      </c>
      <c r="C1197" s="5" t="s">
        <v>614</v>
      </c>
      <c r="D1197" s="5" t="s">
        <v>878</v>
      </c>
      <c r="E1197" s="8">
        <v>46265</v>
      </c>
      <c r="F1197" s="5" t="s">
        <v>771</v>
      </c>
      <c r="G1197" s="5" t="s">
        <v>772</v>
      </c>
      <c r="H1197" s="22"/>
      <c r="I1197" s="5" t="s">
        <v>603</v>
      </c>
      <c r="J1197" s="5" t="s">
        <v>546</v>
      </c>
      <c r="K1197" s="5" t="s">
        <v>590</v>
      </c>
      <c r="L1197" s="5" t="s">
        <v>149</v>
      </c>
      <c r="M1197" s="5" t="s">
        <v>581</v>
      </c>
      <c r="N1197" s="5"/>
      <c r="O1197" s="8"/>
      <c r="P1197" s="22"/>
      <c r="Q1197" s="5" t="s">
        <v>773</v>
      </c>
      <c r="R1197" s="5" t="s">
        <v>557</v>
      </c>
      <c r="S1197" s="5" t="s">
        <v>582</v>
      </c>
      <c r="T1197" s="8">
        <v>46298</v>
      </c>
    </row>
    <row r="1198" spans="1:20" ht="24" customHeight="1" x14ac:dyDescent="0.35">
      <c r="A1198" s="1" t="s">
        <v>3383</v>
      </c>
      <c r="B1198" s="1" t="s">
        <v>3384</v>
      </c>
      <c r="C1198" s="1" t="s">
        <v>606</v>
      </c>
      <c r="D1198" s="1" t="s">
        <v>1326</v>
      </c>
      <c r="E1198" s="10">
        <v>46265</v>
      </c>
      <c r="F1198" s="1" t="s">
        <v>771</v>
      </c>
      <c r="G1198" s="1" t="s">
        <v>772</v>
      </c>
      <c r="H1198" s="23"/>
      <c r="I1198" s="1" t="s">
        <v>603</v>
      </c>
      <c r="J1198" s="1" t="s">
        <v>547</v>
      </c>
      <c r="K1198" s="1" t="s">
        <v>590</v>
      </c>
      <c r="L1198" s="1" t="s">
        <v>640</v>
      </c>
      <c r="M1198" s="1" t="s">
        <v>581</v>
      </c>
      <c r="N1198" s="1"/>
      <c r="O1198" s="10"/>
      <c r="P1198" s="23"/>
      <c r="Q1198" s="1" t="s">
        <v>773</v>
      </c>
      <c r="R1198" s="1" t="s">
        <v>557</v>
      </c>
      <c r="S1198" s="1" t="s">
        <v>582</v>
      </c>
      <c r="T1198" s="10">
        <v>46298</v>
      </c>
    </row>
    <row r="1199" spans="1:20" ht="24" customHeight="1" x14ac:dyDescent="0.35">
      <c r="A1199" s="5" t="s">
        <v>3385</v>
      </c>
      <c r="B1199" s="5" t="s">
        <v>3386</v>
      </c>
      <c r="C1199" s="5" t="s">
        <v>106</v>
      </c>
      <c r="D1199" s="5" t="s">
        <v>1909</v>
      </c>
      <c r="E1199" s="8">
        <v>46265</v>
      </c>
      <c r="F1199" s="5" t="s">
        <v>771</v>
      </c>
      <c r="G1199" s="5" t="s">
        <v>772</v>
      </c>
      <c r="H1199" s="22"/>
      <c r="I1199" s="5" t="s">
        <v>603</v>
      </c>
      <c r="J1199" s="5" t="s">
        <v>544</v>
      </c>
      <c r="K1199" s="5" t="s">
        <v>590</v>
      </c>
      <c r="L1199" s="5" t="s">
        <v>149</v>
      </c>
      <c r="M1199" s="5" t="s">
        <v>581</v>
      </c>
      <c r="N1199" s="5"/>
      <c r="O1199" s="8"/>
      <c r="P1199" s="22"/>
      <c r="Q1199" s="5" t="s">
        <v>773</v>
      </c>
      <c r="R1199" s="5" t="s">
        <v>557</v>
      </c>
      <c r="S1199" s="5" t="s">
        <v>582</v>
      </c>
      <c r="T1199" s="8">
        <v>46298</v>
      </c>
    </row>
    <row r="1200" spans="1:20" ht="24" customHeight="1" x14ac:dyDescent="0.35">
      <c r="A1200" s="1" t="s">
        <v>3387</v>
      </c>
      <c r="B1200" s="1" t="s">
        <v>3388</v>
      </c>
      <c r="C1200" s="1" t="s">
        <v>106</v>
      </c>
      <c r="D1200" s="1" t="s">
        <v>853</v>
      </c>
      <c r="E1200" s="10">
        <v>46265</v>
      </c>
      <c r="F1200" s="1" t="s">
        <v>771</v>
      </c>
      <c r="G1200" s="1" t="s">
        <v>772</v>
      </c>
      <c r="H1200" s="23"/>
      <c r="I1200" s="1" t="s">
        <v>603</v>
      </c>
      <c r="J1200" s="1" t="s">
        <v>544</v>
      </c>
      <c r="K1200" s="1" t="s">
        <v>590</v>
      </c>
      <c r="L1200" s="1" t="s">
        <v>149</v>
      </c>
      <c r="M1200" s="1" t="s">
        <v>581</v>
      </c>
      <c r="N1200" s="1"/>
      <c r="O1200" s="10"/>
      <c r="P1200" s="23"/>
      <c r="Q1200" s="1" t="s">
        <v>773</v>
      </c>
      <c r="R1200" s="1" t="s">
        <v>557</v>
      </c>
      <c r="S1200" s="1" t="s">
        <v>582</v>
      </c>
      <c r="T1200" s="10">
        <v>46298</v>
      </c>
    </row>
    <row r="1201" spans="1:20" ht="24" customHeight="1" x14ac:dyDescent="0.35">
      <c r="A1201" s="5" t="s">
        <v>3389</v>
      </c>
      <c r="B1201" s="5" t="s">
        <v>3390</v>
      </c>
      <c r="C1201" s="5" t="s">
        <v>160</v>
      </c>
      <c r="D1201" s="5" t="s">
        <v>3391</v>
      </c>
      <c r="E1201" s="8">
        <v>46265</v>
      </c>
      <c r="F1201" s="5" t="s">
        <v>771</v>
      </c>
      <c r="G1201" s="5" t="s">
        <v>772</v>
      </c>
      <c r="H1201" s="22"/>
      <c r="I1201" s="5" t="s">
        <v>603</v>
      </c>
      <c r="J1201" s="5" t="s">
        <v>544</v>
      </c>
      <c r="K1201" s="5" t="s">
        <v>590</v>
      </c>
      <c r="L1201" s="5" t="s">
        <v>591</v>
      </c>
      <c r="M1201" s="5" t="s">
        <v>581</v>
      </c>
      <c r="N1201" s="5"/>
      <c r="O1201" s="8"/>
      <c r="P1201" s="22"/>
      <c r="Q1201" s="5" t="s">
        <v>773</v>
      </c>
      <c r="R1201" s="5" t="s">
        <v>557</v>
      </c>
      <c r="S1201" s="5" t="s">
        <v>582</v>
      </c>
      <c r="T1201" s="8">
        <v>46298</v>
      </c>
    </row>
    <row r="1202" spans="1:20" ht="24" customHeight="1" x14ac:dyDescent="0.35">
      <c r="A1202" s="1" t="s">
        <v>3392</v>
      </c>
      <c r="B1202" s="1" t="s">
        <v>3393</v>
      </c>
      <c r="C1202" s="1" t="s">
        <v>101</v>
      </c>
      <c r="D1202" s="1" t="s">
        <v>1014</v>
      </c>
      <c r="E1202" s="10">
        <v>46265</v>
      </c>
      <c r="F1202" s="1" t="s">
        <v>601</v>
      </c>
      <c r="G1202" s="1" t="s">
        <v>602</v>
      </c>
      <c r="H1202" s="23"/>
      <c r="I1202" s="1" t="s">
        <v>603</v>
      </c>
      <c r="J1202" s="1" t="s">
        <v>544</v>
      </c>
      <c r="K1202" s="1" t="s">
        <v>545</v>
      </c>
      <c r="L1202" s="1" t="s">
        <v>608</v>
      </c>
      <c r="M1202" s="1" t="s">
        <v>581</v>
      </c>
      <c r="N1202" s="1"/>
      <c r="O1202" s="10"/>
      <c r="P1202" s="23"/>
      <c r="Q1202" s="1"/>
      <c r="R1202" s="1" t="s">
        <v>557</v>
      </c>
      <c r="S1202" s="1" t="s">
        <v>582</v>
      </c>
      <c r="T1202" s="10">
        <v>46298</v>
      </c>
    </row>
    <row r="1203" spans="1:20" ht="24" customHeight="1" x14ac:dyDescent="0.35">
      <c r="A1203" s="5" t="s">
        <v>3394</v>
      </c>
      <c r="B1203" s="5" t="s">
        <v>3395</v>
      </c>
      <c r="C1203" s="5" t="s">
        <v>374</v>
      </c>
      <c r="D1203" s="5" t="s">
        <v>801</v>
      </c>
      <c r="E1203" s="8">
        <v>46265</v>
      </c>
      <c r="F1203" s="5" t="s">
        <v>771</v>
      </c>
      <c r="G1203" s="5" t="s">
        <v>772</v>
      </c>
      <c r="H1203" s="22"/>
      <c r="I1203" s="5" t="s">
        <v>603</v>
      </c>
      <c r="J1203" s="5" t="s">
        <v>544</v>
      </c>
      <c r="K1203" s="5" t="s">
        <v>546</v>
      </c>
      <c r="L1203" s="5" t="s">
        <v>591</v>
      </c>
      <c r="M1203" s="5" t="s">
        <v>581</v>
      </c>
      <c r="N1203" s="5"/>
      <c r="O1203" s="8"/>
      <c r="P1203" s="22"/>
      <c r="Q1203" s="5" t="s">
        <v>1008</v>
      </c>
      <c r="R1203" s="5" t="s">
        <v>557</v>
      </c>
      <c r="S1203" s="5" t="s">
        <v>582</v>
      </c>
      <c r="T1203" s="8">
        <v>46298</v>
      </c>
    </row>
    <row r="1204" spans="1:20" ht="24" customHeight="1" x14ac:dyDescent="0.35">
      <c r="A1204" s="1" t="s">
        <v>3396</v>
      </c>
      <c r="B1204" s="1" t="s">
        <v>3397</v>
      </c>
      <c r="C1204" s="1" t="s">
        <v>160</v>
      </c>
      <c r="D1204" s="1" t="s">
        <v>1727</v>
      </c>
      <c r="E1204" s="10">
        <v>46265</v>
      </c>
      <c r="F1204" s="1" t="s">
        <v>771</v>
      </c>
      <c r="G1204" s="1" t="s">
        <v>772</v>
      </c>
      <c r="H1204" s="23"/>
      <c r="I1204" s="1" t="s">
        <v>603</v>
      </c>
      <c r="J1204" s="1" t="s">
        <v>544</v>
      </c>
      <c r="K1204" s="1" t="s">
        <v>545</v>
      </c>
      <c r="L1204" s="1" t="s">
        <v>149</v>
      </c>
      <c r="M1204" s="1" t="s">
        <v>581</v>
      </c>
      <c r="N1204" s="1"/>
      <c r="O1204" s="10"/>
      <c r="P1204" s="23"/>
      <c r="Q1204" s="1" t="s">
        <v>773</v>
      </c>
      <c r="R1204" s="1" t="s">
        <v>557</v>
      </c>
      <c r="S1204" s="1" t="s">
        <v>582</v>
      </c>
      <c r="T1204" s="10">
        <v>46298</v>
      </c>
    </row>
    <row r="1205" spans="1:20" ht="24" customHeight="1" x14ac:dyDescent="0.35">
      <c r="A1205" s="5" t="s">
        <v>3398</v>
      </c>
      <c r="B1205" s="5" t="s">
        <v>3399</v>
      </c>
      <c r="C1205" s="5" t="s">
        <v>103</v>
      </c>
      <c r="D1205" s="5" t="s">
        <v>3400</v>
      </c>
      <c r="E1205" s="8">
        <v>46265</v>
      </c>
      <c r="F1205" s="5" t="s">
        <v>601</v>
      </c>
      <c r="G1205" s="5" t="s">
        <v>602</v>
      </c>
      <c r="H1205" s="22"/>
      <c r="I1205" s="5" t="s">
        <v>603</v>
      </c>
      <c r="J1205" s="5" t="s">
        <v>544</v>
      </c>
      <c r="K1205" s="5" t="s">
        <v>590</v>
      </c>
      <c r="L1205" s="5" t="s">
        <v>640</v>
      </c>
      <c r="M1205" s="5" t="s">
        <v>581</v>
      </c>
      <c r="N1205" s="5"/>
      <c r="O1205" s="8"/>
      <c r="P1205" s="22"/>
      <c r="Q1205" s="5"/>
      <c r="R1205" s="5" t="s">
        <v>557</v>
      </c>
      <c r="S1205" s="5" t="s">
        <v>582</v>
      </c>
      <c r="T1205" s="8">
        <v>46298</v>
      </c>
    </row>
    <row r="1206" spans="1:20" ht="24" customHeight="1" x14ac:dyDescent="0.35">
      <c r="A1206" s="1" t="s">
        <v>3401</v>
      </c>
      <c r="B1206" s="1" t="s">
        <v>3402</v>
      </c>
      <c r="C1206" s="1" t="s">
        <v>119</v>
      </c>
      <c r="D1206" s="1" t="s">
        <v>639</v>
      </c>
      <c r="E1206" s="10">
        <v>46266</v>
      </c>
      <c r="F1206" s="1" t="s">
        <v>771</v>
      </c>
      <c r="G1206" s="1" t="s">
        <v>772</v>
      </c>
      <c r="H1206" s="23"/>
      <c r="I1206" s="1" t="s">
        <v>603</v>
      </c>
      <c r="J1206" s="1" t="s">
        <v>547</v>
      </c>
      <c r="K1206" s="1" t="s">
        <v>548</v>
      </c>
      <c r="L1206" s="1" t="s">
        <v>640</v>
      </c>
      <c r="M1206" s="1" t="s">
        <v>581</v>
      </c>
      <c r="N1206" s="1"/>
      <c r="O1206" s="10"/>
      <c r="P1206" s="23"/>
      <c r="Q1206" s="1" t="s">
        <v>773</v>
      </c>
      <c r="R1206" s="1" t="s">
        <v>557</v>
      </c>
      <c r="S1206" s="1" t="s">
        <v>582</v>
      </c>
      <c r="T1206" s="10">
        <v>46298</v>
      </c>
    </row>
    <row r="1207" spans="1:20" ht="24" customHeight="1" x14ac:dyDescent="0.35">
      <c r="A1207" s="5" t="s">
        <v>3403</v>
      </c>
      <c r="B1207" s="5" t="s">
        <v>3404</v>
      </c>
      <c r="C1207" s="5" t="s">
        <v>850</v>
      </c>
      <c r="D1207" s="5" t="s">
        <v>3405</v>
      </c>
      <c r="E1207" s="8">
        <v>46266</v>
      </c>
      <c r="F1207" s="5" t="s">
        <v>601</v>
      </c>
      <c r="G1207" s="5" t="s">
        <v>602</v>
      </c>
      <c r="H1207" s="22"/>
      <c r="I1207" s="5" t="s">
        <v>603</v>
      </c>
      <c r="J1207" s="5" t="s">
        <v>544</v>
      </c>
      <c r="K1207" s="5" t="s">
        <v>590</v>
      </c>
      <c r="L1207" s="5" t="s">
        <v>640</v>
      </c>
      <c r="M1207" s="5" t="s">
        <v>581</v>
      </c>
      <c r="N1207" s="5"/>
      <c r="O1207" s="8"/>
      <c r="P1207" s="22"/>
      <c r="Q1207" s="5"/>
      <c r="R1207" s="5" t="s">
        <v>557</v>
      </c>
      <c r="S1207" s="5" t="s">
        <v>582</v>
      </c>
      <c r="T1207" s="8">
        <v>46298</v>
      </c>
    </row>
    <row r="1208" spans="1:20" ht="24" customHeight="1" x14ac:dyDescent="0.35">
      <c r="A1208" s="1" t="s">
        <v>3406</v>
      </c>
      <c r="B1208" s="1" t="s">
        <v>3407</v>
      </c>
      <c r="C1208" s="1" t="s">
        <v>103</v>
      </c>
      <c r="D1208" s="1" t="s">
        <v>119</v>
      </c>
      <c r="E1208" s="10">
        <v>46266</v>
      </c>
      <c r="F1208" s="1" t="s">
        <v>587</v>
      </c>
      <c r="G1208" s="1" t="s">
        <v>588</v>
      </c>
      <c r="H1208" s="23">
        <v>14500000</v>
      </c>
      <c r="I1208" s="1" t="s">
        <v>589</v>
      </c>
      <c r="J1208" s="1" t="s">
        <v>544</v>
      </c>
      <c r="K1208" s="1" t="s">
        <v>547</v>
      </c>
      <c r="L1208" s="1" t="s">
        <v>640</v>
      </c>
      <c r="M1208" s="1" t="s">
        <v>581</v>
      </c>
      <c r="N1208" s="1"/>
      <c r="O1208" s="10"/>
      <c r="P1208" s="23"/>
      <c r="Q1208" s="1"/>
      <c r="R1208" s="1" t="s">
        <v>557</v>
      </c>
      <c r="S1208" s="1" t="s">
        <v>582</v>
      </c>
      <c r="T1208" s="10">
        <v>46298</v>
      </c>
    </row>
    <row r="1209" spans="1:20" ht="24" customHeight="1" x14ac:dyDescent="0.35">
      <c r="A1209" s="5" t="s">
        <v>3408</v>
      </c>
      <c r="B1209" s="5" t="s">
        <v>3409</v>
      </c>
      <c r="C1209" s="5" t="s">
        <v>174</v>
      </c>
      <c r="D1209" s="5" t="s">
        <v>620</v>
      </c>
      <c r="E1209" s="8">
        <v>46265</v>
      </c>
      <c r="F1209" s="5" t="s">
        <v>771</v>
      </c>
      <c r="G1209" s="5" t="s">
        <v>772</v>
      </c>
      <c r="H1209" s="22"/>
      <c r="I1209" s="5" t="s">
        <v>603</v>
      </c>
      <c r="J1209" s="5" t="s">
        <v>546</v>
      </c>
      <c r="K1209" s="5" t="s">
        <v>546</v>
      </c>
      <c r="L1209" s="5" t="s">
        <v>149</v>
      </c>
      <c r="M1209" s="5" t="s">
        <v>581</v>
      </c>
      <c r="N1209" s="5"/>
      <c r="O1209" s="8"/>
      <c r="P1209" s="22"/>
      <c r="Q1209" s="5" t="s">
        <v>773</v>
      </c>
      <c r="R1209" s="5" t="s">
        <v>557</v>
      </c>
      <c r="S1209" s="5" t="s">
        <v>582</v>
      </c>
      <c r="T1209" s="8">
        <v>46298</v>
      </c>
    </row>
    <row r="1210" spans="1:20" ht="24" customHeight="1" x14ac:dyDescent="0.35">
      <c r="A1210" s="1" t="s">
        <v>3410</v>
      </c>
      <c r="B1210" s="1" t="s">
        <v>3411</v>
      </c>
      <c r="C1210" s="1" t="s">
        <v>863</v>
      </c>
      <c r="D1210" s="1" t="s">
        <v>847</v>
      </c>
      <c r="E1210" s="10">
        <v>46266</v>
      </c>
      <c r="F1210" s="1" t="s">
        <v>587</v>
      </c>
      <c r="G1210" s="1" t="s">
        <v>588</v>
      </c>
      <c r="H1210" s="23">
        <v>850000</v>
      </c>
      <c r="I1210" s="1" t="s">
        <v>589</v>
      </c>
      <c r="J1210" s="1" t="s">
        <v>548</v>
      </c>
      <c r="K1210" s="1" t="s">
        <v>545</v>
      </c>
      <c r="L1210" s="1" t="s">
        <v>591</v>
      </c>
      <c r="M1210" s="1" t="s">
        <v>581</v>
      </c>
      <c r="N1210" s="1"/>
      <c r="O1210" s="10"/>
      <c r="P1210" s="23"/>
      <c r="Q1210" s="1"/>
      <c r="R1210" s="1" t="s">
        <v>557</v>
      </c>
      <c r="S1210" s="1" t="s">
        <v>582</v>
      </c>
      <c r="T1210" s="10">
        <v>46298</v>
      </c>
    </row>
    <row r="1211" spans="1:20" ht="24" customHeight="1" x14ac:dyDescent="0.35">
      <c r="A1211" s="5" t="s">
        <v>3412</v>
      </c>
      <c r="B1211" s="5" t="s">
        <v>3413</v>
      </c>
      <c r="C1211" s="5" t="s">
        <v>240</v>
      </c>
      <c r="D1211" s="5" t="s">
        <v>614</v>
      </c>
      <c r="E1211" s="8">
        <v>46266</v>
      </c>
      <c r="F1211" s="5" t="s">
        <v>578</v>
      </c>
      <c r="G1211" s="5" t="s">
        <v>579</v>
      </c>
      <c r="H1211" s="22"/>
      <c r="I1211" s="5" t="s">
        <v>580</v>
      </c>
      <c r="J1211" s="5" t="s">
        <v>548</v>
      </c>
      <c r="K1211" s="5" t="s">
        <v>546</v>
      </c>
      <c r="L1211" s="5" t="s">
        <v>149</v>
      </c>
      <c r="M1211" s="5" t="s">
        <v>581</v>
      </c>
      <c r="N1211" s="5"/>
      <c r="O1211" s="8"/>
      <c r="P1211" s="22"/>
      <c r="Q1211" s="5"/>
      <c r="R1211" s="5" t="s">
        <v>557</v>
      </c>
      <c r="S1211" s="5" t="s">
        <v>582</v>
      </c>
      <c r="T1211" s="8">
        <v>46298</v>
      </c>
    </row>
    <row r="1212" spans="1:20" ht="24" customHeight="1" x14ac:dyDescent="0.35">
      <c r="A1212" s="1" t="s">
        <v>3414</v>
      </c>
      <c r="B1212" s="1" t="s">
        <v>3415</v>
      </c>
      <c r="C1212" s="1" t="s">
        <v>2328</v>
      </c>
      <c r="D1212" s="1" t="s">
        <v>652</v>
      </c>
      <c r="E1212" s="10">
        <v>46266</v>
      </c>
      <c r="F1212" s="1" t="s">
        <v>587</v>
      </c>
      <c r="G1212" s="1" t="s">
        <v>588</v>
      </c>
      <c r="H1212" s="23">
        <v>6850000</v>
      </c>
      <c r="I1212" s="1" t="s">
        <v>589</v>
      </c>
      <c r="J1212" s="1" t="s">
        <v>590</v>
      </c>
      <c r="K1212" s="1" t="s">
        <v>547</v>
      </c>
      <c r="L1212" s="1" t="s">
        <v>149</v>
      </c>
      <c r="M1212" s="1" t="s">
        <v>581</v>
      </c>
      <c r="N1212" s="1"/>
      <c r="O1212" s="10"/>
      <c r="P1212" s="23"/>
      <c r="Q1212" s="1"/>
      <c r="R1212" s="1" t="s">
        <v>557</v>
      </c>
      <c r="S1212" s="1" t="s">
        <v>582</v>
      </c>
      <c r="T1212" s="10">
        <v>46298</v>
      </c>
    </row>
    <row r="1213" spans="1:20" ht="24" customHeight="1" x14ac:dyDescent="0.35">
      <c r="A1213" s="5" t="s">
        <v>3416</v>
      </c>
      <c r="B1213" s="5" t="s">
        <v>3417</v>
      </c>
      <c r="C1213" s="5" t="s">
        <v>1034</v>
      </c>
      <c r="D1213" s="5" t="s">
        <v>1378</v>
      </c>
      <c r="E1213" s="8">
        <v>46266</v>
      </c>
      <c r="F1213" s="5" t="s">
        <v>587</v>
      </c>
      <c r="G1213" s="5" t="s">
        <v>588</v>
      </c>
      <c r="H1213" s="22">
        <v>1700000</v>
      </c>
      <c r="I1213" s="5" t="s">
        <v>589</v>
      </c>
      <c r="J1213" s="5" t="s">
        <v>546</v>
      </c>
      <c r="K1213" s="5" t="s">
        <v>545</v>
      </c>
      <c r="L1213" s="5" t="s">
        <v>149</v>
      </c>
      <c r="M1213" s="5" t="s">
        <v>581</v>
      </c>
      <c r="N1213" s="5"/>
      <c r="O1213" s="8"/>
      <c r="P1213" s="22"/>
      <c r="Q1213" s="5"/>
      <c r="R1213" s="5" t="s">
        <v>557</v>
      </c>
      <c r="S1213" s="5" t="s">
        <v>582</v>
      </c>
      <c r="T1213" s="8">
        <v>46298</v>
      </c>
    </row>
    <row r="1214" spans="1:20" ht="24" customHeight="1" x14ac:dyDescent="0.35">
      <c r="A1214" s="1" t="s">
        <v>3418</v>
      </c>
      <c r="B1214" s="1" t="s">
        <v>3419</v>
      </c>
      <c r="C1214" s="1" t="s">
        <v>717</v>
      </c>
      <c r="D1214" s="1" t="s">
        <v>1083</v>
      </c>
      <c r="E1214" s="10">
        <v>46266</v>
      </c>
      <c r="F1214" s="1" t="s">
        <v>587</v>
      </c>
      <c r="G1214" s="1" t="s">
        <v>588</v>
      </c>
      <c r="H1214" s="23">
        <v>14500000</v>
      </c>
      <c r="I1214" s="1" t="s">
        <v>589</v>
      </c>
      <c r="J1214" s="1" t="s">
        <v>547</v>
      </c>
      <c r="K1214" s="1" t="s">
        <v>544</v>
      </c>
      <c r="L1214" s="1" t="s">
        <v>640</v>
      </c>
      <c r="M1214" s="1" t="s">
        <v>581</v>
      </c>
      <c r="N1214" s="1"/>
      <c r="O1214" s="10"/>
      <c r="P1214" s="23"/>
      <c r="Q1214" s="1"/>
      <c r="R1214" s="1" t="s">
        <v>557</v>
      </c>
      <c r="S1214" s="1" t="s">
        <v>582</v>
      </c>
      <c r="T1214" s="10">
        <v>46298</v>
      </c>
    </row>
    <row r="1215" spans="1:20" ht="24" customHeight="1" x14ac:dyDescent="0.35">
      <c r="A1215" s="5" t="s">
        <v>3420</v>
      </c>
      <c r="B1215" s="5" t="s">
        <v>3421</v>
      </c>
      <c r="C1215" s="5" t="s">
        <v>643</v>
      </c>
      <c r="D1215" s="5" t="s">
        <v>257</v>
      </c>
      <c r="E1215" s="8">
        <v>46265</v>
      </c>
      <c r="F1215" s="5" t="s">
        <v>771</v>
      </c>
      <c r="G1215" s="5" t="s">
        <v>772</v>
      </c>
      <c r="H1215" s="22"/>
      <c r="I1215" s="5" t="s">
        <v>603</v>
      </c>
      <c r="J1215" s="5" t="s">
        <v>544</v>
      </c>
      <c r="K1215" s="5" t="s">
        <v>590</v>
      </c>
      <c r="L1215" s="5" t="s">
        <v>149</v>
      </c>
      <c r="M1215" s="5" t="s">
        <v>581</v>
      </c>
      <c r="N1215" s="5"/>
      <c r="O1215" s="8"/>
      <c r="P1215" s="22"/>
      <c r="Q1215" s="5" t="s">
        <v>773</v>
      </c>
      <c r="R1215" s="5" t="s">
        <v>557</v>
      </c>
      <c r="S1215" s="5" t="s">
        <v>582</v>
      </c>
      <c r="T1215" s="8">
        <v>46298</v>
      </c>
    </row>
    <row r="1216" spans="1:20" ht="24" customHeight="1" x14ac:dyDescent="0.35">
      <c r="A1216" s="1" t="s">
        <v>3422</v>
      </c>
      <c r="B1216" s="1" t="s">
        <v>3423</v>
      </c>
      <c r="C1216" s="1" t="s">
        <v>1311</v>
      </c>
      <c r="D1216" s="1" t="s">
        <v>1864</v>
      </c>
      <c r="E1216" s="10">
        <v>46266</v>
      </c>
      <c r="F1216" s="1" t="s">
        <v>771</v>
      </c>
      <c r="G1216" s="1" t="s">
        <v>772</v>
      </c>
      <c r="H1216" s="23"/>
      <c r="I1216" s="1" t="s">
        <v>603</v>
      </c>
      <c r="J1216" s="1" t="s">
        <v>546</v>
      </c>
      <c r="K1216" s="1" t="s">
        <v>590</v>
      </c>
      <c r="L1216" s="1" t="s">
        <v>608</v>
      </c>
      <c r="M1216" s="1" t="s">
        <v>581</v>
      </c>
      <c r="N1216" s="1"/>
      <c r="O1216" s="10"/>
      <c r="P1216" s="23"/>
      <c r="Q1216" s="1" t="s">
        <v>773</v>
      </c>
      <c r="R1216" s="1" t="s">
        <v>557</v>
      </c>
      <c r="S1216" s="1" t="s">
        <v>582</v>
      </c>
      <c r="T1216" s="10">
        <v>46298</v>
      </c>
    </row>
    <row r="1217" spans="1:20" ht="24" customHeight="1" x14ac:dyDescent="0.35">
      <c r="A1217" s="5" t="s">
        <v>3424</v>
      </c>
      <c r="B1217" s="5" t="s">
        <v>3425</v>
      </c>
      <c r="C1217" s="5" t="s">
        <v>627</v>
      </c>
      <c r="D1217" s="5" t="s">
        <v>1209</v>
      </c>
      <c r="E1217" s="8">
        <v>46265</v>
      </c>
      <c r="F1217" s="5" t="s">
        <v>771</v>
      </c>
      <c r="G1217" s="5" t="s">
        <v>772</v>
      </c>
      <c r="H1217" s="22"/>
      <c r="I1217" s="5" t="s">
        <v>603</v>
      </c>
      <c r="J1217" s="5" t="s">
        <v>545</v>
      </c>
      <c r="K1217" s="5" t="s">
        <v>590</v>
      </c>
      <c r="L1217" s="5" t="s">
        <v>149</v>
      </c>
      <c r="M1217" s="5" t="s">
        <v>581</v>
      </c>
      <c r="N1217" s="5"/>
      <c r="O1217" s="8"/>
      <c r="P1217" s="22"/>
      <c r="Q1217" s="5" t="s">
        <v>773</v>
      </c>
      <c r="R1217" s="5" t="s">
        <v>557</v>
      </c>
      <c r="S1217" s="5" t="s">
        <v>582</v>
      </c>
      <c r="T1217" s="8">
        <v>46298</v>
      </c>
    </row>
    <row r="1218" spans="1:20" ht="24" customHeight="1" x14ac:dyDescent="0.35">
      <c r="A1218" s="1" t="s">
        <v>3426</v>
      </c>
      <c r="B1218" s="1" t="s">
        <v>3427</v>
      </c>
      <c r="C1218" s="1" t="s">
        <v>868</v>
      </c>
      <c r="D1218" s="1" t="s">
        <v>825</v>
      </c>
      <c r="E1218" s="10">
        <v>46266</v>
      </c>
      <c r="F1218" s="1" t="s">
        <v>771</v>
      </c>
      <c r="G1218" s="1" t="s">
        <v>772</v>
      </c>
      <c r="H1218" s="23"/>
      <c r="I1218" s="1" t="s">
        <v>603</v>
      </c>
      <c r="J1218" s="1" t="s">
        <v>545</v>
      </c>
      <c r="K1218" s="1" t="s">
        <v>590</v>
      </c>
      <c r="L1218" s="1" t="s">
        <v>640</v>
      </c>
      <c r="M1218" s="1" t="s">
        <v>581</v>
      </c>
      <c r="N1218" s="1"/>
      <c r="O1218" s="10"/>
      <c r="P1218" s="23"/>
      <c r="Q1218" s="1" t="s">
        <v>773</v>
      </c>
      <c r="R1218" s="1" t="s">
        <v>557</v>
      </c>
      <c r="S1218" s="1" t="s">
        <v>582</v>
      </c>
      <c r="T1218" s="10">
        <v>46298</v>
      </c>
    </row>
    <row r="1219" spans="1:20" ht="24" customHeight="1" x14ac:dyDescent="0.35">
      <c r="A1219" s="5" t="s">
        <v>3428</v>
      </c>
      <c r="B1219" s="5" t="s">
        <v>3429</v>
      </c>
      <c r="C1219" s="5" t="s">
        <v>639</v>
      </c>
      <c r="D1219" s="5" t="s">
        <v>596</v>
      </c>
      <c r="E1219" s="8">
        <v>46266</v>
      </c>
      <c r="F1219" s="5" t="s">
        <v>771</v>
      </c>
      <c r="G1219" s="5" t="s">
        <v>772</v>
      </c>
      <c r="H1219" s="22"/>
      <c r="I1219" s="5" t="s">
        <v>603</v>
      </c>
      <c r="J1219" s="5" t="s">
        <v>548</v>
      </c>
      <c r="K1219" s="5" t="s">
        <v>548</v>
      </c>
      <c r="L1219" s="5" t="s">
        <v>608</v>
      </c>
      <c r="M1219" s="5" t="s">
        <v>581</v>
      </c>
      <c r="N1219" s="5"/>
      <c r="O1219" s="8"/>
      <c r="P1219" s="22"/>
      <c r="Q1219" s="5" t="s">
        <v>773</v>
      </c>
      <c r="R1219" s="5" t="s">
        <v>557</v>
      </c>
      <c r="S1219" s="5" t="s">
        <v>582</v>
      </c>
      <c r="T1219" s="8">
        <v>46298</v>
      </c>
    </row>
    <row r="1220" spans="1:20" ht="24" customHeight="1" x14ac:dyDescent="0.35">
      <c r="A1220" s="1" t="s">
        <v>3430</v>
      </c>
      <c r="B1220" s="1" t="s">
        <v>3431</v>
      </c>
      <c r="C1220" s="1" t="s">
        <v>126</v>
      </c>
      <c r="D1220" s="1" t="s">
        <v>652</v>
      </c>
      <c r="E1220" s="10">
        <v>46266</v>
      </c>
      <c r="F1220" s="1" t="s">
        <v>587</v>
      </c>
      <c r="G1220" s="1" t="s">
        <v>588</v>
      </c>
      <c r="H1220" s="23">
        <v>7700000</v>
      </c>
      <c r="I1220" s="1" t="s">
        <v>589</v>
      </c>
      <c r="J1220" s="1" t="s">
        <v>544</v>
      </c>
      <c r="K1220" s="1" t="s">
        <v>547</v>
      </c>
      <c r="L1220" s="1" t="s">
        <v>608</v>
      </c>
      <c r="M1220" s="1" t="s">
        <v>581</v>
      </c>
      <c r="N1220" s="1"/>
      <c r="O1220" s="10"/>
      <c r="P1220" s="23"/>
      <c r="Q1220" s="1"/>
      <c r="R1220" s="1" t="s">
        <v>557</v>
      </c>
      <c r="S1220" s="1" t="s">
        <v>582</v>
      </c>
      <c r="T1220" s="10">
        <v>46298</v>
      </c>
    </row>
    <row r="1221" spans="1:20" ht="24" customHeight="1" x14ac:dyDescent="0.35">
      <c r="A1221" s="5" t="s">
        <v>3432</v>
      </c>
      <c r="B1221" s="5" t="s">
        <v>3433</v>
      </c>
      <c r="C1221" s="5" t="s">
        <v>643</v>
      </c>
      <c r="D1221" s="5" t="s">
        <v>3434</v>
      </c>
      <c r="E1221" s="8">
        <v>46266</v>
      </c>
      <c r="F1221" s="5" t="s">
        <v>771</v>
      </c>
      <c r="G1221" s="5" t="s">
        <v>772</v>
      </c>
      <c r="H1221" s="22"/>
      <c r="I1221" s="5" t="s">
        <v>603</v>
      </c>
      <c r="J1221" s="5" t="s">
        <v>544</v>
      </c>
      <c r="K1221" s="5" t="s">
        <v>590</v>
      </c>
      <c r="L1221" s="5" t="s">
        <v>149</v>
      </c>
      <c r="M1221" s="5" t="s">
        <v>581</v>
      </c>
      <c r="N1221" s="5"/>
      <c r="O1221" s="8"/>
      <c r="P1221" s="22"/>
      <c r="Q1221" s="5" t="s">
        <v>773</v>
      </c>
      <c r="R1221" s="5" t="s">
        <v>557</v>
      </c>
      <c r="S1221" s="5" t="s">
        <v>582</v>
      </c>
      <c r="T1221" s="8">
        <v>46298</v>
      </c>
    </row>
    <row r="1222" spans="1:20" ht="24" customHeight="1" x14ac:dyDescent="0.35">
      <c r="A1222" s="1" t="s">
        <v>3435</v>
      </c>
      <c r="B1222" s="1" t="s">
        <v>3436</v>
      </c>
      <c r="C1222" s="1" t="s">
        <v>1187</v>
      </c>
      <c r="D1222" s="1" t="s">
        <v>717</v>
      </c>
      <c r="E1222" s="10">
        <v>46266</v>
      </c>
      <c r="F1222" s="1" t="s">
        <v>587</v>
      </c>
      <c r="G1222" s="1" t="s">
        <v>588</v>
      </c>
      <c r="H1222" s="23">
        <v>2140000</v>
      </c>
      <c r="I1222" s="1" t="s">
        <v>589</v>
      </c>
      <c r="J1222" s="1" t="s">
        <v>590</v>
      </c>
      <c r="K1222" s="1" t="s">
        <v>547</v>
      </c>
      <c r="L1222" s="1" t="s">
        <v>608</v>
      </c>
      <c r="M1222" s="1" t="s">
        <v>581</v>
      </c>
      <c r="N1222" s="1"/>
      <c r="O1222" s="10"/>
      <c r="P1222" s="23"/>
      <c r="Q1222" s="1"/>
      <c r="R1222" s="1" t="s">
        <v>557</v>
      </c>
      <c r="S1222" s="1" t="s">
        <v>582</v>
      </c>
      <c r="T1222" s="10">
        <v>46298</v>
      </c>
    </row>
    <row r="1223" spans="1:20" ht="24" customHeight="1" x14ac:dyDescent="0.35">
      <c r="A1223" s="5" t="s">
        <v>3437</v>
      </c>
      <c r="B1223" s="5" t="s">
        <v>3438</v>
      </c>
      <c r="C1223" s="5" t="s">
        <v>162</v>
      </c>
      <c r="D1223" s="5" t="s">
        <v>106</v>
      </c>
      <c r="E1223" s="8">
        <v>46266</v>
      </c>
      <c r="F1223" s="5" t="s">
        <v>587</v>
      </c>
      <c r="G1223" s="5" t="s">
        <v>588</v>
      </c>
      <c r="H1223" s="22">
        <v>25000000</v>
      </c>
      <c r="I1223" s="5" t="s">
        <v>589</v>
      </c>
      <c r="J1223" s="5" t="s">
        <v>590</v>
      </c>
      <c r="K1223" s="5" t="s">
        <v>544</v>
      </c>
      <c r="L1223" s="5" t="s">
        <v>149</v>
      </c>
      <c r="M1223" s="5" t="s">
        <v>581</v>
      </c>
      <c r="N1223" s="5"/>
      <c r="O1223" s="8"/>
      <c r="P1223" s="22"/>
      <c r="Q1223" s="5"/>
      <c r="R1223" s="5" t="s">
        <v>557</v>
      </c>
      <c r="S1223" s="5" t="s">
        <v>582</v>
      </c>
      <c r="T1223" s="8">
        <v>46298</v>
      </c>
    </row>
    <row r="1224" spans="1:20" ht="24" customHeight="1" x14ac:dyDescent="0.35">
      <c r="A1224" s="1" t="s">
        <v>3439</v>
      </c>
      <c r="B1224" s="1" t="s">
        <v>3440</v>
      </c>
      <c r="C1224" s="1" t="s">
        <v>186</v>
      </c>
      <c r="D1224" s="1" t="s">
        <v>788</v>
      </c>
      <c r="E1224" s="10">
        <v>46266</v>
      </c>
      <c r="F1224" s="1" t="s">
        <v>587</v>
      </c>
      <c r="G1224" s="1" t="s">
        <v>588</v>
      </c>
      <c r="H1224" s="23">
        <v>5500000</v>
      </c>
      <c r="I1224" s="1" t="s">
        <v>589</v>
      </c>
      <c r="J1224" s="1" t="s">
        <v>547</v>
      </c>
      <c r="K1224" s="1" t="s">
        <v>546</v>
      </c>
      <c r="L1224" s="1" t="s">
        <v>640</v>
      </c>
      <c r="M1224" s="1" t="s">
        <v>581</v>
      </c>
      <c r="N1224" s="1"/>
      <c r="O1224" s="10"/>
      <c r="P1224" s="23"/>
      <c r="Q1224" s="1"/>
      <c r="R1224" s="1" t="s">
        <v>557</v>
      </c>
      <c r="S1224" s="1" t="s">
        <v>582</v>
      </c>
      <c r="T1224" s="10">
        <v>46298</v>
      </c>
    </row>
    <row r="1225" spans="1:20" ht="24" customHeight="1" x14ac:dyDescent="0.35">
      <c r="A1225" s="5" t="s">
        <v>3441</v>
      </c>
      <c r="B1225" s="5" t="s">
        <v>3442</v>
      </c>
      <c r="C1225" s="5" t="s">
        <v>684</v>
      </c>
      <c r="D1225" s="5" t="s">
        <v>137</v>
      </c>
      <c r="E1225" s="8">
        <v>46266</v>
      </c>
      <c r="F1225" s="5" t="s">
        <v>587</v>
      </c>
      <c r="G1225" s="5" t="s">
        <v>588</v>
      </c>
      <c r="H1225" s="22">
        <v>6850000</v>
      </c>
      <c r="I1225" s="5" t="s">
        <v>589</v>
      </c>
      <c r="J1225" s="5" t="s">
        <v>590</v>
      </c>
      <c r="K1225" s="5" t="s">
        <v>548</v>
      </c>
      <c r="L1225" s="5" t="s">
        <v>608</v>
      </c>
      <c r="M1225" s="5" t="s">
        <v>581</v>
      </c>
      <c r="N1225" s="5"/>
      <c r="O1225" s="8"/>
      <c r="P1225" s="22"/>
      <c r="Q1225" s="5"/>
      <c r="R1225" s="5" t="s">
        <v>557</v>
      </c>
      <c r="S1225" s="5" t="s">
        <v>582</v>
      </c>
      <c r="T1225" s="8">
        <v>46298</v>
      </c>
    </row>
    <row r="1226" spans="1:20" ht="24" customHeight="1" x14ac:dyDescent="0.35">
      <c r="A1226" s="1" t="s">
        <v>3443</v>
      </c>
      <c r="B1226" s="1" t="s">
        <v>3444</v>
      </c>
      <c r="C1226" s="1" t="s">
        <v>643</v>
      </c>
      <c r="D1226" s="1" t="s">
        <v>630</v>
      </c>
      <c r="E1226" s="10">
        <v>46265</v>
      </c>
      <c r="F1226" s="1" t="s">
        <v>771</v>
      </c>
      <c r="G1226" s="1" t="s">
        <v>772</v>
      </c>
      <c r="H1226" s="23"/>
      <c r="I1226" s="1" t="s">
        <v>603</v>
      </c>
      <c r="J1226" s="1" t="s">
        <v>544</v>
      </c>
      <c r="K1226" s="1" t="s">
        <v>547</v>
      </c>
      <c r="L1226" s="1" t="s">
        <v>591</v>
      </c>
      <c r="M1226" s="1" t="s">
        <v>581</v>
      </c>
      <c r="N1226" s="1"/>
      <c r="O1226" s="10"/>
      <c r="P1226" s="23"/>
      <c r="Q1226" s="1" t="s">
        <v>773</v>
      </c>
      <c r="R1226" s="1" t="s">
        <v>557</v>
      </c>
      <c r="S1226" s="1" t="s">
        <v>582</v>
      </c>
      <c r="T1226" s="10">
        <v>46298</v>
      </c>
    </row>
    <row r="1227" spans="1:20" ht="24" customHeight="1" x14ac:dyDescent="0.35">
      <c r="A1227" s="5" t="s">
        <v>3445</v>
      </c>
      <c r="B1227" s="5" t="s">
        <v>3446</v>
      </c>
      <c r="C1227" s="5" t="s">
        <v>721</v>
      </c>
      <c r="D1227" s="5" t="s">
        <v>1671</v>
      </c>
      <c r="E1227" s="8">
        <v>46266</v>
      </c>
      <c r="F1227" s="5" t="s">
        <v>771</v>
      </c>
      <c r="G1227" s="5" t="s">
        <v>772</v>
      </c>
      <c r="H1227" s="22"/>
      <c r="I1227" s="5" t="s">
        <v>603</v>
      </c>
      <c r="J1227" s="5" t="s">
        <v>547</v>
      </c>
      <c r="K1227" s="5" t="s">
        <v>590</v>
      </c>
      <c r="L1227" s="5" t="s">
        <v>640</v>
      </c>
      <c r="M1227" s="5" t="s">
        <v>581</v>
      </c>
      <c r="N1227" s="5"/>
      <c r="O1227" s="8"/>
      <c r="P1227" s="22"/>
      <c r="Q1227" s="5" t="s">
        <v>773</v>
      </c>
      <c r="R1227" s="5" t="s">
        <v>557</v>
      </c>
      <c r="S1227" s="5" t="s">
        <v>582</v>
      </c>
      <c r="T1227" s="8">
        <v>46298</v>
      </c>
    </row>
    <row r="1228" spans="1:20" ht="24" customHeight="1" x14ac:dyDescent="0.35">
      <c r="A1228" s="1" t="s">
        <v>3447</v>
      </c>
      <c r="B1228" s="1" t="s">
        <v>3448</v>
      </c>
      <c r="C1228" s="1" t="s">
        <v>721</v>
      </c>
      <c r="D1228" s="1" t="s">
        <v>2480</v>
      </c>
      <c r="E1228" s="10">
        <v>46266</v>
      </c>
      <c r="F1228" s="1" t="s">
        <v>771</v>
      </c>
      <c r="G1228" s="1" t="s">
        <v>772</v>
      </c>
      <c r="H1228" s="23"/>
      <c r="I1228" s="1" t="s">
        <v>603</v>
      </c>
      <c r="J1228" s="1" t="s">
        <v>547</v>
      </c>
      <c r="K1228" s="1" t="s">
        <v>590</v>
      </c>
      <c r="L1228" s="1" t="s">
        <v>149</v>
      </c>
      <c r="M1228" s="1" t="s">
        <v>581</v>
      </c>
      <c r="N1228" s="1"/>
      <c r="O1228" s="10"/>
      <c r="P1228" s="23"/>
      <c r="Q1228" s="1" t="s">
        <v>773</v>
      </c>
      <c r="R1228" s="1" t="s">
        <v>557</v>
      </c>
      <c r="S1228" s="1" t="s">
        <v>582</v>
      </c>
      <c r="T1228" s="10">
        <v>46298</v>
      </c>
    </row>
    <row r="1229" spans="1:20" ht="24" customHeight="1" x14ac:dyDescent="0.35">
      <c r="A1229" s="5" t="s">
        <v>3449</v>
      </c>
      <c r="B1229" s="5" t="s">
        <v>3450</v>
      </c>
      <c r="C1229" s="5" t="s">
        <v>240</v>
      </c>
      <c r="D1229" s="5" t="s">
        <v>3451</v>
      </c>
      <c r="E1229" s="8">
        <v>46266</v>
      </c>
      <c r="F1229" s="5" t="s">
        <v>771</v>
      </c>
      <c r="G1229" s="5" t="s">
        <v>772</v>
      </c>
      <c r="H1229" s="22"/>
      <c r="I1229" s="5" t="s">
        <v>603</v>
      </c>
      <c r="J1229" s="5" t="s">
        <v>548</v>
      </c>
      <c r="K1229" s="5" t="s">
        <v>590</v>
      </c>
      <c r="L1229" s="5" t="s">
        <v>608</v>
      </c>
      <c r="M1229" s="5" t="s">
        <v>581</v>
      </c>
      <c r="N1229" s="5"/>
      <c r="O1229" s="8"/>
      <c r="P1229" s="22"/>
      <c r="Q1229" s="5" t="s">
        <v>773</v>
      </c>
      <c r="R1229" s="5" t="s">
        <v>557</v>
      </c>
      <c r="S1229" s="5" t="s">
        <v>582</v>
      </c>
      <c r="T1229" s="8">
        <v>46298</v>
      </c>
    </row>
    <row r="1230" spans="1:20" ht="24" customHeight="1" x14ac:dyDescent="0.35">
      <c r="A1230" s="1" t="s">
        <v>3452</v>
      </c>
      <c r="B1230" s="1" t="s">
        <v>3453</v>
      </c>
      <c r="C1230" s="1" t="s">
        <v>176</v>
      </c>
      <c r="D1230" s="1" t="s">
        <v>210</v>
      </c>
      <c r="E1230" s="10">
        <v>46266</v>
      </c>
      <c r="F1230" s="1" t="s">
        <v>771</v>
      </c>
      <c r="G1230" s="1" t="s">
        <v>772</v>
      </c>
      <c r="H1230" s="23"/>
      <c r="I1230" s="1" t="s">
        <v>603</v>
      </c>
      <c r="J1230" s="1" t="s">
        <v>546</v>
      </c>
      <c r="K1230" s="1" t="s">
        <v>544</v>
      </c>
      <c r="L1230" s="1" t="s">
        <v>149</v>
      </c>
      <c r="M1230" s="1" t="s">
        <v>581</v>
      </c>
      <c r="N1230" s="1"/>
      <c r="O1230" s="10"/>
      <c r="P1230" s="23"/>
      <c r="Q1230" s="1" t="s">
        <v>773</v>
      </c>
      <c r="R1230" s="1" t="s">
        <v>557</v>
      </c>
      <c r="S1230" s="1" t="s">
        <v>582</v>
      </c>
      <c r="T1230" s="10">
        <v>46298</v>
      </c>
    </row>
    <row r="1231" spans="1:20" ht="24" customHeight="1" x14ac:dyDescent="0.35">
      <c r="A1231" s="5" t="s">
        <v>3454</v>
      </c>
      <c r="B1231" s="5" t="s">
        <v>293</v>
      </c>
      <c r="C1231" s="5" t="s">
        <v>126</v>
      </c>
      <c r="D1231" s="5" t="s">
        <v>91</v>
      </c>
      <c r="E1231" s="8">
        <v>46266</v>
      </c>
      <c r="F1231" s="5" t="s">
        <v>587</v>
      </c>
      <c r="G1231" s="5" t="s">
        <v>588</v>
      </c>
      <c r="H1231" s="22">
        <v>8600000</v>
      </c>
      <c r="I1231" s="5" t="s">
        <v>589</v>
      </c>
      <c r="J1231" s="5" t="s">
        <v>544</v>
      </c>
      <c r="K1231" s="5" t="s">
        <v>545</v>
      </c>
      <c r="L1231" s="5" t="s">
        <v>640</v>
      </c>
      <c r="M1231" s="5" t="s">
        <v>581</v>
      </c>
      <c r="N1231" s="5"/>
      <c r="O1231" s="8"/>
      <c r="P1231" s="22"/>
      <c r="Q1231" s="5"/>
      <c r="R1231" s="5" t="s">
        <v>557</v>
      </c>
      <c r="S1231" s="5" t="s">
        <v>582</v>
      </c>
      <c r="T1231" s="8">
        <v>46298</v>
      </c>
    </row>
    <row r="1232" spans="1:20" ht="24" customHeight="1" x14ac:dyDescent="0.35">
      <c r="A1232" s="1" t="s">
        <v>3455</v>
      </c>
      <c r="B1232" s="1" t="s">
        <v>3456</v>
      </c>
      <c r="C1232" s="1" t="s">
        <v>599</v>
      </c>
      <c r="D1232" s="1" t="s">
        <v>1069</v>
      </c>
      <c r="E1232" s="10">
        <v>46266</v>
      </c>
      <c r="F1232" s="1" t="s">
        <v>771</v>
      </c>
      <c r="G1232" s="1" t="s">
        <v>772</v>
      </c>
      <c r="H1232" s="23"/>
      <c r="I1232" s="1" t="s">
        <v>603</v>
      </c>
      <c r="J1232" s="1" t="s">
        <v>544</v>
      </c>
      <c r="K1232" s="1" t="s">
        <v>590</v>
      </c>
      <c r="L1232" s="1" t="s">
        <v>608</v>
      </c>
      <c r="M1232" s="1" t="s">
        <v>581</v>
      </c>
      <c r="N1232" s="1"/>
      <c r="O1232" s="10"/>
      <c r="P1232" s="23"/>
      <c r="Q1232" s="1" t="s">
        <v>773</v>
      </c>
      <c r="R1232" s="1" t="s">
        <v>557</v>
      </c>
      <c r="S1232" s="1" t="s">
        <v>582</v>
      </c>
      <c r="T1232" s="10">
        <v>46298</v>
      </c>
    </row>
    <row r="1233" spans="1:20" ht="24" customHeight="1" x14ac:dyDescent="0.35">
      <c r="A1233" s="5" t="s">
        <v>3457</v>
      </c>
      <c r="B1233" s="5" t="s">
        <v>3458</v>
      </c>
      <c r="C1233" s="5" t="s">
        <v>797</v>
      </c>
      <c r="D1233" s="5" t="s">
        <v>1030</v>
      </c>
      <c r="E1233" s="8">
        <v>46266</v>
      </c>
      <c r="F1233" s="5" t="s">
        <v>587</v>
      </c>
      <c r="G1233" s="5" t="s">
        <v>588</v>
      </c>
      <c r="H1233" s="22">
        <v>428000</v>
      </c>
      <c r="I1233" s="5" t="s">
        <v>589</v>
      </c>
      <c r="J1233" s="5" t="s">
        <v>546</v>
      </c>
      <c r="K1233" s="5" t="s">
        <v>590</v>
      </c>
      <c r="L1233" s="5" t="s">
        <v>149</v>
      </c>
      <c r="M1233" s="5" t="s">
        <v>581</v>
      </c>
      <c r="N1233" s="5"/>
      <c r="O1233" s="8"/>
      <c r="P1233" s="22"/>
      <c r="Q1233" s="5"/>
      <c r="R1233" s="5" t="s">
        <v>557</v>
      </c>
      <c r="S1233" s="5" t="s">
        <v>582</v>
      </c>
      <c r="T1233" s="8">
        <v>46298</v>
      </c>
    </row>
    <row r="1234" spans="1:20" ht="24" customHeight="1" x14ac:dyDescent="0.35">
      <c r="A1234" s="1" t="s">
        <v>3459</v>
      </c>
      <c r="B1234" s="1" t="s">
        <v>3460</v>
      </c>
      <c r="C1234" s="1" t="s">
        <v>652</v>
      </c>
      <c r="D1234" s="1" t="s">
        <v>607</v>
      </c>
      <c r="E1234" s="10">
        <v>46266</v>
      </c>
      <c r="F1234" s="1" t="s">
        <v>771</v>
      </c>
      <c r="G1234" s="1" t="s">
        <v>772</v>
      </c>
      <c r="H1234" s="23"/>
      <c r="I1234" s="1" t="s">
        <v>603</v>
      </c>
      <c r="J1234" s="1" t="s">
        <v>547</v>
      </c>
      <c r="K1234" s="1" t="s">
        <v>547</v>
      </c>
      <c r="L1234" s="1" t="s">
        <v>640</v>
      </c>
      <c r="M1234" s="1" t="s">
        <v>581</v>
      </c>
      <c r="N1234" s="1"/>
      <c r="O1234" s="10"/>
      <c r="P1234" s="23"/>
      <c r="Q1234" s="1" t="s">
        <v>773</v>
      </c>
      <c r="R1234" s="1" t="s">
        <v>557</v>
      </c>
      <c r="S1234" s="1" t="s">
        <v>582</v>
      </c>
      <c r="T1234" s="10">
        <v>46298</v>
      </c>
    </row>
    <row r="1235" spans="1:20" ht="24" customHeight="1" x14ac:dyDescent="0.35">
      <c r="A1235" s="5" t="s">
        <v>3461</v>
      </c>
      <c r="B1235" s="5" t="s">
        <v>3462</v>
      </c>
      <c r="C1235" s="5" t="s">
        <v>620</v>
      </c>
      <c r="D1235" s="5" t="s">
        <v>2046</v>
      </c>
      <c r="E1235" s="8">
        <v>46266</v>
      </c>
      <c r="F1235" s="5" t="s">
        <v>601</v>
      </c>
      <c r="G1235" s="5" t="s">
        <v>602</v>
      </c>
      <c r="H1235" s="22"/>
      <c r="I1235" s="5" t="s">
        <v>603</v>
      </c>
      <c r="J1235" s="5" t="s">
        <v>546</v>
      </c>
      <c r="K1235" s="5" t="s">
        <v>590</v>
      </c>
      <c r="L1235" s="5" t="s">
        <v>591</v>
      </c>
      <c r="M1235" s="5" t="s">
        <v>581</v>
      </c>
      <c r="N1235" s="5"/>
      <c r="O1235" s="8"/>
      <c r="P1235" s="22"/>
      <c r="Q1235" s="5"/>
      <c r="R1235" s="5" t="s">
        <v>557</v>
      </c>
      <c r="S1235" s="5" t="s">
        <v>582</v>
      </c>
      <c r="T1235" s="8">
        <v>46298</v>
      </c>
    </row>
    <row r="1236" spans="1:20" ht="24" customHeight="1" x14ac:dyDescent="0.35">
      <c r="A1236" s="1" t="s">
        <v>3463</v>
      </c>
      <c r="B1236" s="1" t="s">
        <v>3464</v>
      </c>
      <c r="C1236" s="1" t="s">
        <v>730</v>
      </c>
      <c r="D1236" s="1" t="s">
        <v>624</v>
      </c>
      <c r="E1236" s="10">
        <v>46266</v>
      </c>
      <c r="F1236" s="1" t="s">
        <v>771</v>
      </c>
      <c r="G1236" s="1" t="s">
        <v>772</v>
      </c>
      <c r="H1236" s="23"/>
      <c r="I1236" s="1" t="s">
        <v>603</v>
      </c>
      <c r="J1236" s="1" t="s">
        <v>590</v>
      </c>
      <c r="K1236" s="1" t="s">
        <v>547</v>
      </c>
      <c r="L1236" s="1" t="s">
        <v>149</v>
      </c>
      <c r="M1236" s="1" t="s">
        <v>581</v>
      </c>
      <c r="N1236" s="1"/>
      <c r="O1236" s="10"/>
      <c r="P1236" s="23"/>
      <c r="Q1236" s="1" t="s">
        <v>1008</v>
      </c>
      <c r="R1236" s="1" t="s">
        <v>557</v>
      </c>
      <c r="S1236" s="1" t="s">
        <v>582</v>
      </c>
      <c r="T1236" s="10">
        <v>46298</v>
      </c>
    </row>
    <row r="1237" spans="1:20" ht="24" customHeight="1" x14ac:dyDescent="0.35">
      <c r="A1237" s="5" t="s">
        <v>3465</v>
      </c>
      <c r="B1237" s="5" t="s">
        <v>3466</v>
      </c>
      <c r="C1237" s="5" t="s">
        <v>733</v>
      </c>
      <c r="D1237" s="5" t="s">
        <v>1727</v>
      </c>
      <c r="E1237" s="8">
        <v>46266</v>
      </c>
      <c r="F1237" s="5" t="s">
        <v>578</v>
      </c>
      <c r="G1237" s="5" t="s">
        <v>579</v>
      </c>
      <c r="H1237" s="22"/>
      <c r="I1237" s="5" t="s">
        <v>580</v>
      </c>
      <c r="J1237" s="5" t="s">
        <v>545</v>
      </c>
      <c r="K1237" s="5" t="s">
        <v>545</v>
      </c>
      <c r="L1237" s="5" t="s">
        <v>149</v>
      </c>
      <c r="M1237" s="5" t="s">
        <v>581</v>
      </c>
      <c r="N1237" s="5"/>
      <c r="O1237" s="8"/>
      <c r="P1237" s="22"/>
      <c r="Q1237" s="5"/>
      <c r="R1237" s="5" t="s">
        <v>557</v>
      </c>
      <c r="S1237" s="5" t="s">
        <v>582</v>
      </c>
      <c r="T1237" s="8">
        <v>46298</v>
      </c>
    </row>
    <row r="1238" spans="1:20" ht="24" customHeight="1" x14ac:dyDescent="0.35">
      <c r="A1238" s="1" t="s">
        <v>3467</v>
      </c>
      <c r="B1238" s="1" t="s">
        <v>248</v>
      </c>
      <c r="C1238" s="1" t="s">
        <v>249</v>
      </c>
      <c r="D1238" s="1" t="s">
        <v>685</v>
      </c>
      <c r="E1238" s="10">
        <v>46266</v>
      </c>
      <c r="F1238" s="1" t="s">
        <v>587</v>
      </c>
      <c r="G1238" s="1" t="s">
        <v>588</v>
      </c>
      <c r="H1238" s="23">
        <v>25600000</v>
      </c>
      <c r="I1238" s="1" t="s">
        <v>589</v>
      </c>
      <c r="J1238" s="1" t="s">
        <v>590</v>
      </c>
      <c r="K1238" s="1" t="s">
        <v>547</v>
      </c>
      <c r="L1238" s="1" t="s">
        <v>591</v>
      </c>
      <c r="M1238" s="1" t="s">
        <v>581</v>
      </c>
      <c r="N1238" s="1"/>
      <c r="O1238" s="10"/>
      <c r="P1238" s="23"/>
      <c r="Q1238" s="1"/>
      <c r="R1238" s="1" t="s">
        <v>557</v>
      </c>
      <c r="S1238" s="1" t="s">
        <v>582</v>
      </c>
      <c r="T1238" s="10">
        <v>46298</v>
      </c>
    </row>
    <row r="1239" spans="1:20" ht="24" customHeight="1" x14ac:dyDescent="0.35">
      <c r="A1239" s="5" t="s">
        <v>3468</v>
      </c>
      <c r="B1239" s="5" t="s">
        <v>3469</v>
      </c>
      <c r="C1239" s="5" t="s">
        <v>614</v>
      </c>
      <c r="D1239" s="5" t="s">
        <v>1044</v>
      </c>
      <c r="E1239" s="8">
        <v>46266</v>
      </c>
      <c r="F1239" s="5" t="s">
        <v>601</v>
      </c>
      <c r="G1239" s="5" t="s">
        <v>602</v>
      </c>
      <c r="H1239" s="22"/>
      <c r="I1239" s="5" t="s">
        <v>603</v>
      </c>
      <c r="J1239" s="5" t="s">
        <v>546</v>
      </c>
      <c r="K1239" s="5" t="s">
        <v>590</v>
      </c>
      <c r="L1239" s="5" t="s">
        <v>608</v>
      </c>
      <c r="M1239" s="5" t="s">
        <v>581</v>
      </c>
      <c r="N1239" s="5"/>
      <c r="O1239" s="8"/>
      <c r="P1239" s="22"/>
      <c r="Q1239" s="5"/>
      <c r="R1239" s="5" t="s">
        <v>557</v>
      </c>
      <c r="S1239" s="5" t="s">
        <v>582</v>
      </c>
      <c r="T1239" s="8">
        <v>46298</v>
      </c>
    </row>
    <row r="1240" spans="1:20" ht="24" customHeight="1" x14ac:dyDescent="0.35">
      <c r="A1240" s="1" t="s">
        <v>3470</v>
      </c>
      <c r="B1240" s="1" t="s">
        <v>3471</v>
      </c>
      <c r="C1240" s="1" t="s">
        <v>788</v>
      </c>
      <c r="D1240" s="1" t="s">
        <v>1248</v>
      </c>
      <c r="E1240" s="10">
        <v>46266</v>
      </c>
      <c r="F1240" s="1" t="s">
        <v>771</v>
      </c>
      <c r="G1240" s="1" t="s">
        <v>772</v>
      </c>
      <c r="H1240" s="23"/>
      <c r="I1240" s="1" t="s">
        <v>603</v>
      </c>
      <c r="J1240" s="1" t="s">
        <v>546</v>
      </c>
      <c r="K1240" s="1" t="s">
        <v>590</v>
      </c>
      <c r="L1240" s="1" t="s">
        <v>149</v>
      </c>
      <c r="M1240" s="1" t="s">
        <v>581</v>
      </c>
      <c r="N1240" s="1"/>
      <c r="O1240" s="10"/>
      <c r="P1240" s="23"/>
      <c r="Q1240" s="1" t="s">
        <v>773</v>
      </c>
      <c r="R1240" s="1" t="s">
        <v>557</v>
      </c>
      <c r="S1240" s="1" t="s">
        <v>582</v>
      </c>
      <c r="T1240" s="10">
        <v>46298</v>
      </c>
    </row>
    <row r="1241" spans="1:20" ht="24" customHeight="1" x14ac:dyDescent="0.35">
      <c r="A1241" s="5" t="s">
        <v>3472</v>
      </c>
      <c r="B1241" s="5" t="s">
        <v>3473</v>
      </c>
      <c r="C1241" s="5" t="s">
        <v>1311</v>
      </c>
      <c r="D1241" s="5" t="s">
        <v>798</v>
      </c>
      <c r="E1241" s="8">
        <v>46266</v>
      </c>
      <c r="F1241" s="5" t="s">
        <v>771</v>
      </c>
      <c r="G1241" s="5" t="s">
        <v>772</v>
      </c>
      <c r="H1241" s="22"/>
      <c r="I1241" s="5" t="s">
        <v>603</v>
      </c>
      <c r="J1241" s="5" t="s">
        <v>546</v>
      </c>
      <c r="K1241" s="5" t="s">
        <v>590</v>
      </c>
      <c r="L1241" s="5" t="s">
        <v>149</v>
      </c>
      <c r="M1241" s="5" t="s">
        <v>581</v>
      </c>
      <c r="N1241" s="5"/>
      <c r="O1241" s="8"/>
      <c r="P1241" s="22"/>
      <c r="Q1241" s="5" t="s">
        <v>773</v>
      </c>
      <c r="R1241" s="5" t="s">
        <v>557</v>
      </c>
      <c r="S1241" s="5" t="s">
        <v>582</v>
      </c>
      <c r="T1241" s="8">
        <v>46298</v>
      </c>
    </row>
    <row r="1242" spans="1:20" ht="24" customHeight="1" x14ac:dyDescent="0.35">
      <c r="A1242" s="1" t="s">
        <v>3474</v>
      </c>
      <c r="B1242" s="1" t="s">
        <v>3475</v>
      </c>
      <c r="C1242" s="1" t="s">
        <v>1157</v>
      </c>
      <c r="D1242" s="1" t="s">
        <v>2299</v>
      </c>
      <c r="E1242" s="10">
        <v>46266</v>
      </c>
      <c r="F1242" s="1" t="s">
        <v>771</v>
      </c>
      <c r="G1242" s="1" t="s">
        <v>772</v>
      </c>
      <c r="H1242" s="23"/>
      <c r="I1242" s="1" t="s">
        <v>603</v>
      </c>
      <c r="J1242" s="1" t="s">
        <v>548</v>
      </c>
      <c r="K1242" s="1" t="s">
        <v>590</v>
      </c>
      <c r="L1242" s="1" t="s">
        <v>591</v>
      </c>
      <c r="M1242" s="1" t="s">
        <v>581</v>
      </c>
      <c r="N1242" s="1"/>
      <c r="O1242" s="10"/>
      <c r="P1242" s="23"/>
      <c r="Q1242" s="1" t="s">
        <v>773</v>
      </c>
      <c r="R1242" s="1" t="s">
        <v>557</v>
      </c>
      <c r="S1242" s="1" t="s">
        <v>582</v>
      </c>
      <c r="T1242" s="10">
        <v>46298</v>
      </c>
    </row>
    <row r="1243" spans="1:20" ht="24" customHeight="1" x14ac:dyDescent="0.35">
      <c r="A1243" s="5" t="s">
        <v>3476</v>
      </c>
      <c r="B1243" s="5" t="s">
        <v>3477</v>
      </c>
      <c r="C1243" s="5" t="s">
        <v>210</v>
      </c>
      <c r="D1243" s="5" t="s">
        <v>1223</v>
      </c>
      <c r="E1243" s="8">
        <v>46266</v>
      </c>
      <c r="F1243" s="5" t="s">
        <v>578</v>
      </c>
      <c r="G1243" s="5" t="s">
        <v>579</v>
      </c>
      <c r="H1243" s="22"/>
      <c r="I1243" s="5" t="s">
        <v>580</v>
      </c>
      <c r="J1243" s="5" t="s">
        <v>544</v>
      </c>
      <c r="K1243" s="5" t="s">
        <v>590</v>
      </c>
      <c r="L1243" s="5" t="s">
        <v>172</v>
      </c>
      <c r="M1243" s="5" t="s">
        <v>581</v>
      </c>
      <c r="N1243" s="5"/>
      <c r="O1243" s="8"/>
      <c r="P1243" s="22"/>
      <c r="Q1243" s="5"/>
      <c r="R1243" s="5" t="s">
        <v>557</v>
      </c>
      <c r="S1243" s="5" t="s">
        <v>582</v>
      </c>
      <c r="T1243" s="8">
        <v>46298</v>
      </c>
    </row>
    <row r="1244" spans="1:20" ht="24" customHeight="1" x14ac:dyDescent="0.35">
      <c r="A1244" s="1" t="s">
        <v>3478</v>
      </c>
      <c r="B1244" s="1" t="s">
        <v>3479</v>
      </c>
      <c r="C1244" s="1" t="s">
        <v>137</v>
      </c>
      <c r="D1244" s="1" t="s">
        <v>391</v>
      </c>
      <c r="E1244" s="10">
        <v>46266</v>
      </c>
      <c r="F1244" s="1" t="s">
        <v>587</v>
      </c>
      <c r="G1244" s="1" t="s">
        <v>588</v>
      </c>
      <c r="H1244" s="23">
        <v>51000000</v>
      </c>
      <c r="I1244" s="1" t="s">
        <v>589</v>
      </c>
      <c r="J1244" s="1" t="s">
        <v>548</v>
      </c>
      <c r="K1244" s="1" t="s">
        <v>544</v>
      </c>
      <c r="L1244" s="1" t="s">
        <v>640</v>
      </c>
      <c r="M1244" s="1" t="s">
        <v>581</v>
      </c>
      <c r="N1244" s="1"/>
      <c r="O1244" s="10"/>
      <c r="P1244" s="23"/>
      <c r="Q1244" s="1"/>
      <c r="R1244" s="1" t="s">
        <v>557</v>
      </c>
      <c r="S1244" s="1" t="s">
        <v>582</v>
      </c>
      <c r="T1244" s="10">
        <v>46298</v>
      </c>
    </row>
    <row r="1245" spans="1:20" ht="24" customHeight="1" x14ac:dyDescent="0.35">
      <c r="A1245" s="5" t="s">
        <v>3480</v>
      </c>
      <c r="B1245" s="5" t="s">
        <v>3481</v>
      </c>
      <c r="C1245" s="5" t="s">
        <v>788</v>
      </c>
      <c r="D1245" s="5" t="s">
        <v>3482</v>
      </c>
      <c r="E1245" s="8">
        <v>46266</v>
      </c>
      <c r="F1245" s="5" t="s">
        <v>601</v>
      </c>
      <c r="G1245" s="5" t="s">
        <v>602</v>
      </c>
      <c r="H1245" s="22"/>
      <c r="I1245" s="5" t="s">
        <v>603</v>
      </c>
      <c r="J1245" s="5" t="s">
        <v>546</v>
      </c>
      <c r="K1245" s="5" t="s">
        <v>590</v>
      </c>
      <c r="L1245" s="5" t="s">
        <v>149</v>
      </c>
      <c r="M1245" s="5" t="s">
        <v>581</v>
      </c>
      <c r="N1245" s="5"/>
      <c r="O1245" s="8"/>
      <c r="P1245" s="22"/>
      <c r="Q1245" s="5"/>
      <c r="R1245" s="5" t="s">
        <v>557</v>
      </c>
      <c r="S1245" s="5" t="s">
        <v>582</v>
      </c>
      <c r="T1245" s="8">
        <v>46298</v>
      </c>
    </row>
    <row r="1246" spans="1:20" ht="24" customHeight="1" x14ac:dyDescent="0.35">
      <c r="A1246" s="1" t="s">
        <v>3483</v>
      </c>
      <c r="B1246" s="1" t="s">
        <v>3484</v>
      </c>
      <c r="C1246" s="1" t="s">
        <v>142</v>
      </c>
      <c r="D1246" s="1" t="s">
        <v>749</v>
      </c>
      <c r="E1246" s="10">
        <v>46266</v>
      </c>
      <c r="F1246" s="1" t="s">
        <v>771</v>
      </c>
      <c r="G1246" s="1" t="s">
        <v>772</v>
      </c>
      <c r="H1246" s="23"/>
      <c r="I1246" s="1" t="s">
        <v>603</v>
      </c>
      <c r="J1246" s="1" t="s">
        <v>547</v>
      </c>
      <c r="K1246" s="1" t="s">
        <v>547</v>
      </c>
      <c r="L1246" s="1" t="s">
        <v>640</v>
      </c>
      <c r="M1246" s="1" t="s">
        <v>581</v>
      </c>
      <c r="N1246" s="1"/>
      <c r="O1246" s="10"/>
      <c r="P1246" s="23"/>
      <c r="Q1246" s="1" t="s">
        <v>773</v>
      </c>
      <c r="R1246" s="1" t="s">
        <v>557</v>
      </c>
      <c r="S1246" s="1" t="s">
        <v>582</v>
      </c>
      <c r="T1246" s="10">
        <v>46298</v>
      </c>
    </row>
    <row r="1247" spans="1:20" ht="24" customHeight="1" x14ac:dyDescent="0.35">
      <c r="A1247" s="5" t="s">
        <v>3485</v>
      </c>
      <c r="B1247" s="5" t="s">
        <v>3486</v>
      </c>
      <c r="C1247" s="5" t="s">
        <v>3487</v>
      </c>
      <c r="D1247" s="5" t="s">
        <v>953</v>
      </c>
      <c r="E1247" s="8">
        <v>46266</v>
      </c>
      <c r="F1247" s="5" t="s">
        <v>771</v>
      </c>
      <c r="G1247" s="5" t="s">
        <v>772</v>
      </c>
      <c r="H1247" s="22"/>
      <c r="I1247" s="5" t="s">
        <v>603</v>
      </c>
      <c r="J1247" s="5" t="s">
        <v>590</v>
      </c>
      <c r="K1247" s="5" t="s">
        <v>548</v>
      </c>
      <c r="L1247" s="5" t="s">
        <v>640</v>
      </c>
      <c r="M1247" s="5" t="s">
        <v>581</v>
      </c>
      <c r="N1247" s="5"/>
      <c r="O1247" s="8"/>
      <c r="P1247" s="22"/>
      <c r="Q1247" s="5" t="s">
        <v>773</v>
      </c>
      <c r="R1247" s="5" t="s">
        <v>557</v>
      </c>
      <c r="S1247" s="5" t="s">
        <v>582</v>
      </c>
      <c r="T1247" s="8">
        <v>46298</v>
      </c>
    </row>
    <row r="1248" spans="1:20" ht="24" customHeight="1" x14ac:dyDescent="0.35">
      <c r="A1248" s="1" t="s">
        <v>3488</v>
      </c>
      <c r="B1248" s="1" t="s">
        <v>3489</v>
      </c>
      <c r="C1248" s="1" t="s">
        <v>425</v>
      </c>
      <c r="D1248" s="1" t="s">
        <v>919</v>
      </c>
      <c r="E1248" s="10">
        <v>46266</v>
      </c>
      <c r="F1248" s="1" t="s">
        <v>771</v>
      </c>
      <c r="G1248" s="1" t="s">
        <v>772</v>
      </c>
      <c r="H1248" s="23"/>
      <c r="I1248" s="1" t="s">
        <v>603</v>
      </c>
      <c r="J1248" s="1" t="s">
        <v>544</v>
      </c>
      <c r="K1248" s="1" t="s">
        <v>590</v>
      </c>
      <c r="L1248" s="1" t="s">
        <v>591</v>
      </c>
      <c r="M1248" s="1" t="s">
        <v>581</v>
      </c>
      <c r="N1248" s="1"/>
      <c r="O1248" s="10"/>
      <c r="P1248" s="23"/>
      <c r="Q1248" s="1" t="s">
        <v>1008</v>
      </c>
      <c r="R1248" s="1" t="s">
        <v>557</v>
      </c>
      <c r="S1248" s="1" t="s">
        <v>582</v>
      </c>
      <c r="T1248" s="10">
        <v>46298</v>
      </c>
    </row>
    <row r="1249" spans="1:20" ht="24" customHeight="1" x14ac:dyDescent="0.35">
      <c r="A1249" s="5" t="s">
        <v>3490</v>
      </c>
      <c r="B1249" s="5" t="s">
        <v>3491</v>
      </c>
      <c r="C1249" s="5" t="s">
        <v>176</v>
      </c>
      <c r="D1249" s="5" t="s">
        <v>1822</v>
      </c>
      <c r="E1249" s="8">
        <v>46266</v>
      </c>
      <c r="F1249" s="5" t="s">
        <v>601</v>
      </c>
      <c r="G1249" s="5" t="s">
        <v>602</v>
      </c>
      <c r="H1249" s="22"/>
      <c r="I1249" s="5" t="s">
        <v>603</v>
      </c>
      <c r="J1249" s="5" t="s">
        <v>546</v>
      </c>
      <c r="K1249" s="5" t="s">
        <v>590</v>
      </c>
      <c r="L1249" s="5" t="s">
        <v>172</v>
      </c>
      <c r="M1249" s="5" t="s">
        <v>581</v>
      </c>
      <c r="N1249" s="5"/>
      <c r="O1249" s="8"/>
      <c r="P1249" s="22"/>
      <c r="Q1249" s="5"/>
      <c r="R1249" s="5" t="s">
        <v>557</v>
      </c>
      <c r="S1249" s="5" t="s">
        <v>582</v>
      </c>
      <c r="T1249" s="8">
        <v>46298</v>
      </c>
    </row>
    <row r="1250" spans="1:20" ht="24" customHeight="1" x14ac:dyDescent="0.35">
      <c r="A1250" s="1" t="s">
        <v>3492</v>
      </c>
      <c r="B1250" s="1" t="s">
        <v>3493</v>
      </c>
      <c r="C1250" s="1" t="s">
        <v>198</v>
      </c>
      <c r="D1250" s="1" t="s">
        <v>2930</v>
      </c>
      <c r="E1250" s="10">
        <v>46266</v>
      </c>
      <c r="F1250" s="1" t="s">
        <v>771</v>
      </c>
      <c r="G1250" s="1" t="s">
        <v>772</v>
      </c>
      <c r="H1250" s="23"/>
      <c r="I1250" s="1" t="s">
        <v>603</v>
      </c>
      <c r="J1250" s="1" t="s">
        <v>546</v>
      </c>
      <c r="K1250" s="1" t="s">
        <v>590</v>
      </c>
      <c r="L1250" s="1" t="s">
        <v>149</v>
      </c>
      <c r="M1250" s="1" t="s">
        <v>581</v>
      </c>
      <c r="N1250" s="1"/>
      <c r="O1250" s="10"/>
      <c r="P1250" s="23"/>
      <c r="Q1250" s="1" t="s">
        <v>773</v>
      </c>
      <c r="R1250" s="1" t="s">
        <v>557</v>
      </c>
      <c r="S1250" s="1" t="s">
        <v>582</v>
      </c>
      <c r="T1250" s="10">
        <v>46298</v>
      </c>
    </row>
    <row r="1251" spans="1:20" ht="24" customHeight="1" x14ac:dyDescent="0.35">
      <c r="A1251" s="5" t="s">
        <v>3494</v>
      </c>
      <c r="B1251" s="5" t="s">
        <v>3495</v>
      </c>
      <c r="C1251" s="5" t="s">
        <v>643</v>
      </c>
      <c r="D1251" s="5" t="s">
        <v>123</v>
      </c>
      <c r="E1251" s="8">
        <v>46266</v>
      </c>
      <c r="F1251" s="5" t="s">
        <v>771</v>
      </c>
      <c r="G1251" s="5" t="s">
        <v>772</v>
      </c>
      <c r="H1251" s="22"/>
      <c r="I1251" s="5" t="s">
        <v>603</v>
      </c>
      <c r="J1251" s="5" t="s">
        <v>544</v>
      </c>
      <c r="K1251" s="5" t="s">
        <v>546</v>
      </c>
      <c r="L1251" s="5" t="s">
        <v>608</v>
      </c>
      <c r="M1251" s="5" t="s">
        <v>581</v>
      </c>
      <c r="N1251" s="5"/>
      <c r="O1251" s="8"/>
      <c r="P1251" s="22"/>
      <c r="Q1251" s="5" t="s">
        <v>773</v>
      </c>
      <c r="R1251" s="5" t="s">
        <v>557</v>
      </c>
      <c r="S1251" s="5" t="s">
        <v>582</v>
      </c>
      <c r="T1251" s="8">
        <v>46298</v>
      </c>
    </row>
    <row r="1252" spans="1:20" ht="24" customHeight="1" x14ac:dyDescent="0.35">
      <c r="A1252" s="1" t="s">
        <v>3496</v>
      </c>
      <c r="B1252" s="1" t="s">
        <v>3497</v>
      </c>
      <c r="C1252" s="1" t="s">
        <v>739</v>
      </c>
      <c r="D1252" s="1" t="s">
        <v>677</v>
      </c>
      <c r="E1252" s="10">
        <v>46266</v>
      </c>
      <c r="F1252" s="1" t="s">
        <v>587</v>
      </c>
      <c r="G1252" s="1" t="s">
        <v>588</v>
      </c>
      <c r="H1252" s="23">
        <v>6400000</v>
      </c>
      <c r="I1252" s="1" t="s">
        <v>589</v>
      </c>
      <c r="J1252" s="1" t="s">
        <v>590</v>
      </c>
      <c r="K1252" s="1" t="s">
        <v>547</v>
      </c>
      <c r="L1252" s="1" t="s">
        <v>640</v>
      </c>
      <c r="M1252" s="1" t="s">
        <v>581</v>
      </c>
      <c r="N1252" s="1"/>
      <c r="O1252" s="10"/>
      <c r="P1252" s="23"/>
      <c r="Q1252" s="1"/>
      <c r="R1252" s="1" t="s">
        <v>557</v>
      </c>
      <c r="S1252" s="1" t="s">
        <v>582</v>
      </c>
      <c r="T1252" s="10">
        <v>46298</v>
      </c>
    </row>
    <row r="1253" spans="1:20" ht="24" customHeight="1" x14ac:dyDescent="0.35">
      <c r="A1253" s="5" t="s">
        <v>3498</v>
      </c>
      <c r="B1253" s="5" t="s">
        <v>3499</v>
      </c>
      <c r="C1253" s="5" t="s">
        <v>2398</v>
      </c>
      <c r="D1253" s="5" t="s">
        <v>1272</v>
      </c>
      <c r="E1253" s="8">
        <v>46266</v>
      </c>
      <c r="F1253" s="5" t="s">
        <v>601</v>
      </c>
      <c r="G1253" s="5" t="s">
        <v>602</v>
      </c>
      <c r="H1253" s="22"/>
      <c r="I1253" s="5" t="s">
        <v>603</v>
      </c>
      <c r="J1253" s="5" t="s">
        <v>590</v>
      </c>
      <c r="K1253" s="5" t="s">
        <v>548</v>
      </c>
      <c r="L1253" s="5" t="s">
        <v>640</v>
      </c>
      <c r="M1253" s="5" t="s">
        <v>581</v>
      </c>
      <c r="N1253" s="5"/>
      <c r="O1253" s="8"/>
      <c r="P1253" s="22"/>
      <c r="Q1253" s="5"/>
      <c r="R1253" s="5" t="s">
        <v>557</v>
      </c>
      <c r="S1253" s="5" t="s">
        <v>582</v>
      </c>
      <c r="T1253" s="8">
        <v>46298</v>
      </c>
    </row>
    <row r="1254" spans="1:20" ht="24" customHeight="1" x14ac:dyDescent="0.35">
      <c r="A1254" s="1" t="s">
        <v>3500</v>
      </c>
      <c r="B1254" s="1" t="s">
        <v>3501</v>
      </c>
      <c r="C1254" s="1" t="s">
        <v>685</v>
      </c>
      <c r="D1254" s="1" t="s">
        <v>1378</v>
      </c>
      <c r="E1254" s="10">
        <v>46266</v>
      </c>
      <c r="F1254" s="1" t="s">
        <v>771</v>
      </c>
      <c r="G1254" s="1" t="s">
        <v>772</v>
      </c>
      <c r="H1254" s="23"/>
      <c r="I1254" s="1" t="s">
        <v>603</v>
      </c>
      <c r="J1254" s="1" t="s">
        <v>547</v>
      </c>
      <c r="K1254" s="1" t="s">
        <v>545</v>
      </c>
      <c r="L1254" s="1" t="s">
        <v>149</v>
      </c>
      <c r="M1254" s="1" t="s">
        <v>581</v>
      </c>
      <c r="N1254" s="1"/>
      <c r="O1254" s="10"/>
      <c r="P1254" s="23"/>
      <c r="Q1254" s="1" t="s">
        <v>773</v>
      </c>
      <c r="R1254" s="1" t="s">
        <v>557</v>
      </c>
      <c r="S1254" s="1" t="s">
        <v>582</v>
      </c>
      <c r="T1254" s="10">
        <v>46298</v>
      </c>
    </row>
    <row r="1255" spans="1:20" ht="24" customHeight="1" x14ac:dyDescent="0.35">
      <c r="A1255" s="5" t="s">
        <v>3502</v>
      </c>
      <c r="B1255" s="5" t="s">
        <v>3503</v>
      </c>
      <c r="C1255" s="5" t="s">
        <v>408</v>
      </c>
      <c r="D1255" s="5" t="s">
        <v>585</v>
      </c>
      <c r="E1255" s="8">
        <v>46266</v>
      </c>
      <c r="F1255" s="5" t="s">
        <v>771</v>
      </c>
      <c r="G1255" s="5" t="s">
        <v>772</v>
      </c>
      <c r="H1255" s="22"/>
      <c r="I1255" s="5" t="s">
        <v>603</v>
      </c>
      <c r="J1255" s="5" t="s">
        <v>590</v>
      </c>
      <c r="K1255" s="5" t="s">
        <v>548</v>
      </c>
      <c r="L1255" s="5" t="s">
        <v>149</v>
      </c>
      <c r="M1255" s="5" t="s">
        <v>581</v>
      </c>
      <c r="N1255" s="5"/>
      <c r="O1255" s="8"/>
      <c r="P1255" s="22"/>
      <c r="Q1255" s="5" t="s">
        <v>773</v>
      </c>
      <c r="R1255" s="5" t="s">
        <v>557</v>
      </c>
      <c r="S1255" s="5" t="s">
        <v>582</v>
      </c>
      <c r="T1255" s="8">
        <v>46298</v>
      </c>
    </row>
    <row r="1256" spans="1:20" ht="24" customHeight="1" x14ac:dyDescent="0.35">
      <c r="A1256" s="1" t="s">
        <v>3504</v>
      </c>
      <c r="B1256" s="1" t="s">
        <v>3505</v>
      </c>
      <c r="C1256" s="1" t="s">
        <v>652</v>
      </c>
      <c r="D1256" s="1" t="s">
        <v>3506</v>
      </c>
      <c r="E1256" s="10">
        <v>46266</v>
      </c>
      <c r="F1256" s="1" t="s">
        <v>578</v>
      </c>
      <c r="G1256" s="1" t="s">
        <v>579</v>
      </c>
      <c r="H1256" s="23"/>
      <c r="I1256" s="1" t="s">
        <v>580</v>
      </c>
      <c r="J1256" s="1" t="s">
        <v>547</v>
      </c>
      <c r="K1256" s="1" t="s">
        <v>590</v>
      </c>
      <c r="L1256" s="1" t="s">
        <v>591</v>
      </c>
      <c r="M1256" s="1" t="s">
        <v>581</v>
      </c>
      <c r="N1256" s="1"/>
      <c r="O1256" s="10"/>
      <c r="P1256" s="23"/>
      <c r="Q1256" s="1"/>
      <c r="R1256" s="1" t="s">
        <v>557</v>
      </c>
      <c r="S1256" s="1" t="s">
        <v>582</v>
      </c>
      <c r="T1256" s="10">
        <v>46298</v>
      </c>
    </row>
    <row r="1257" spans="1:20" ht="24" customHeight="1" x14ac:dyDescent="0.35">
      <c r="A1257" s="5" t="s">
        <v>3507</v>
      </c>
      <c r="B1257" s="5" t="s">
        <v>3508</v>
      </c>
      <c r="C1257" s="5" t="s">
        <v>101</v>
      </c>
      <c r="D1257" s="5" t="s">
        <v>1099</v>
      </c>
      <c r="E1257" s="8">
        <v>46266</v>
      </c>
      <c r="F1257" s="5" t="s">
        <v>771</v>
      </c>
      <c r="G1257" s="5" t="s">
        <v>772</v>
      </c>
      <c r="H1257" s="22"/>
      <c r="I1257" s="5" t="s">
        <v>603</v>
      </c>
      <c r="J1257" s="5" t="s">
        <v>544</v>
      </c>
      <c r="K1257" s="5" t="s">
        <v>545</v>
      </c>
      <c r="L1257" s="5" t="s">
        <v>608</v>
      </c>
      <c r="M1257" s="5" t="s">
        <v>581</v>
      </c>
      <c r="N1257" s="5"/>
      <c r="O1257" s="8"/>
      <c r="P1257" s="22"/>
      <c r="Q1257" s="5" t="s">
        <v>773</v>
      </c>
      <c r="R1257" s="5" t="s">
        <v>557</v>
      </c>
      <c r="S1257" s="5" t="s">
        <v>582</v>
      </c>
      <c r="T1257" s="8">
        <v>46298</v>
      </c>
    </row>
    <row r="1258" spans="1:20" ht="24" customHeight="1" x14ac:dyDescent="0.35">
      <c r="A1258" s="1" t="s">
        <v>3509</v>
      </c>
      <c r="B1258" s="1" t="s">
        <v>3510</v>
      </c>
      <c r="C1258" s="1" t="s">
        <v>119</v>
      </c>
      <c r="D1258" s="1" t="s">
        <v>186</v>
      </c>
      <c r="E1258" s="10">
        <v>46266</v>
      </c>
      <c r="F1258" s="1" t="s">
        <v>771</v>
      </c>
      <c r="G1258" s="1" t="s">
        <v>772</v>
      </c>
      <c r="H1258" s="23"/>
      <c r="I1258" s="1" t="s">
        <v>603</v>
      </c>
      <c r="J1258" s="1" t="s">
        <v>547</v>
      </c>
      <c r="K1258" s="1" t="s">
        <v>547</v>
      </c>
      <c r="L1258" s="1" t="s">
        <v>149</v>
      </c>
      <c r="M1258" s="1" t="s">
        <v>581</v>
      </c>
      <c r="N1258" s="1"/>
      <c r="O1258" s="10"/>
      <c r="P1258" s="23"/>
      <c r="Q1258" s="1" t="s">
        <v>773</v>
      </c>
      <c r="R1258" s="1" t="s">
        <v>557</v>
      </c>
      <c r="S1258" s="1" t="s">
        <v>582</v>
      </c>
      <c r="T1258" s="10">
        <v>46298</v>
      </c>
    </row>
    <row r="1259" spans="1:20" ht="24" customHeight="1" x14ac:dyDescent="0.35">
      <c r="A1259" s="5" t="s">
        <v>3511</v>
      </c>
      <c r="B1259" s="5" t="s">
        <v>3512</v>
      </c>
      <c r="C1259" s="5" t="s">
        <v>1034</v>
      </c>
      <c r="D1259" s="5" t="s">
        <v>1044</v>
      </c>
      <c r="E1259" s="8">
        <v>46266</v>
      </c>
      <c r="F1259" s="5" t="s">
        <v>578</v>
      </c>
      <c r="G1259" s="5" t="s">
        <v>579</v>
      </c>
      <c r="H1259" s="22"/>
      <c r="I1259" s="5" t="s">
        <v>580</v>
      </c>
      <c r="J1259" s="5" t="s">
        <v>546</v>
      </c>
      <c r="K1259" s="5" t="s">
        <v>590</v>
      </c>
      <c r="L1259" s="5" t="s">
        <v>640</v>
      </c>
      <c r="M1259" s="5" t="s">
        <v>581</v>
      </c>
      <c r="N1259" s="5"/>
      <c r="O1259" s="8"/>
      <c r="P1259" s="22"/>
      <c r="Q1259" s="5"/>
      <c r="R1259" s="5" t="s">
        <v>557</v>
      </c>
      <c r="S1259" s="5" t="s">
        <v>582</v>
      </c>
      <c r="T1259" s="8">
        <v>46298</v>
      </c>
    </row>
    <row r="1260" spans="1:20" ht="24" customHeight="1" x14ac:dyDescent="0.35">
      <c r="A1260" s="1" t="s">
        <v>3513</v>
      </c>
      <c r="B1260" s="1" t="s">
        <v>3514</v>
      </c>
      <c r="C1260" s="1" t="s">
        <v>797</v>
      </c>
      <c r="D1260" s="1" t="s">
        <v>1680</v>
      </c>
      <c r="E1260" s="10">
        <v>46266</v>
      </c>
      <c r="F1260" s="1" t="s">
        <v>771</v>
      </c>
      <c r="G1260" s="1" t="s">
        <v>772</v>
      </c>
      <c r="H1260" s="23"/>
      <c r="I1260" s="1" t="s">
        <v>603</v>
      </c>
      <c r="J1260" s="1" t="s">
        <v>546</v>
      </c>
      <c r="K1260" s="1" t="s">
        <v>590</v>
      </c>
      <c r="L1260" s="1" t="s">
        <v>608</v>
      </c>
      <c r="M1260" s="1" t="s">
        <v>581</v>
      </c>
      <c r="N1260" s="1"/>
      <c r="O1260" s="10"/>
      <c r="P1260" s="23"/>
      <c r="Q1260" s="1" t="s">
        <v>773</v>
      </c>
      <c r="R1260" s="1" t="s">
        <v>557</v>
      </c>
      <c r="S1260" s="1" t="s">
        <v>582</v>
      </c>
      <c r="T1260" s="10">
        <v>46298</v>
      </c>
    </row>
    <row r="1261" spans="1:20" ht="24" customHeight="1" x14ac:dyDescent="0.35">
      <c r="A1261" s="5" t="s">
        <v>3515</v>
      </c>
      <c r="B1261" s="5" t="s">
        <v>3516</v>
      </c>
      <c r="C1261" s="5" t="s">
        <v>685</v>
      </c>
      <c r="D1261" s="5" t="s">
        <v>624</v>
      </c>
      <c r="E1261" s="8">
        <v>46266</v>
      </c>
      <c r="F1261" s="5" t="s">
        <v>771</v>
      </c>
      <c r="G1261" s="5" t="s">
        <v>772</v>
      </c>
      <c r="H1261" s="22"/>
      <c r="I1261" s="5" t="s">
        <v>603</v>
      </c>
      <c r="J1261" s="5" t="s">
        <v>547</v>
      </c>
      <c r="K1261" s="5" t="s">
        <v>547</v>
      </c>
      <c r="L1261" s="5" t="s">
        <v>149</v>
      </c>
      <c r="M1261" s="5" t="s">
        <v>581</v>
      </c>
      <c r="N1261" s="5"/>
      <c r="O1261" s="8"/>
      <c r="P1261" s="22"/>
      <c r="Q1261" s="5" t="s">
        <v>773</v>
      </c>
      <c r="R1261" s="5" t="s">
        <v>557</v>
      </c>
      <c r="S1261" s="5" t="s">
        <v>582</v>
      </c>
      <c r="T1261" s="8">
        <v>46298</v>
      </c>
    </row>
    <row r="1262" spans="1:20" ht="24" customHeight="1" x14ac:dyDescent="0.35">
      <c r="A1262" s="1" t="s">
        <v>3517</v>
      </c>
      <c r="B1262" s="1" t="s">
        <v>3518</v>
      </c>
      <c r="C1262" s="1" t="s">
        <v>3519</v>
      </c>
      <c r="D1262" s="1" t="s">
        <v>596</v>
      </c>
      <c r="E1262" s="10">
        <v>46266</v>
      </c>
      <c r="F1262" s="1" t="s">
        <v>587</v>
      </c>
      <c r="G1262" s="1" t="s">
        <v>588</v>
      </c>
      <c r="H1262" s="23">
        <v>3400000</v>
      </c>
      <c r="I1262" s="1" t="s">
        <v>589</v>
      </c>
      <c r="J1262" s="1" t="s">
        <v>590</v>
      </c>
      <c r="K1262" s="1" t="s">
        <v>548</v>
      </c>
      <c r="L1262" s="1" t="s">
        <v>608</v>
      </c>
      <c r="M1262" s="1" t="s">
        <v>581</v>
      </c>
      <c r="N1262" s="1"/>
      <c r="O1262" s="10"/>
      <c r="P1262" s="23"/>
      <c r="Q1262" s="1"/>
      <c r="R1262" s="1" t="s">
        <v>557</v>
      </c>
      <c r="S1262" s="1" t="s">
        <v>582</v>
      </c>
      <c r="T1262" s="10">
        <v>46298</v>
      </c>
    </row>
    <row r="1263" spans="1:20" ht="24" customHeight="1" x14ac:dyDescent="0.35">
      <c r="A1263" s="5" t="s">
        <v>3520</v>
      </c>
      <c r="B1263" s="5" t="s">
        <v>3521</v>
      </c>
      <c r="C1263" s="5" t="s">
        <v>1271</v>
      </c>
      <c r="D1263" s="5" t="s">
        <v>1034</v>
      </c>
      <c r="E1263" s="8">
        <v>46266</v>
      </c>
      <c r="F1263" s="5" t="s">
        <v>771</v>
      </c>
      <c r="G1263" s="5" t="s">
        <v>772</v>
      </c>
      <c r="H1263" s="22"/>
      <c r="I1263" s="5" t="s">
        <v>603</v>
      </c>
      <c r="J1263" s="5" t="s">
        <v>590</v>
      </c>
      <c r="K1263" s="5" t="s">
        <v>546</v>
      </c>
      <c r="L1263" s="5" t="s">
        <v>591</v>
      </c>
      <c r="M1263" s="5" t="s">
        <v>581</v>
      </c>
      <c r="N1263" s="5"/>
      <c r="O1263" s="8"/>
      <c r="P1263" s="22"/>
      <c r="Q1263" s="5" t="s">
        <v>773</v>
      </c>
      <c r="R1263" s="5" t="s">
        <v>557</v>
      </c>
      <c r="S1263" s="5" t="s">
        <v>582</v>
      </c>
      <c r="T1263" s="8">
        <v>46298</v>
      </c>
    </row>
    <row r="1264" spans="1:20" ht="24" customHeight="1" x14ac:dyDescent="0.35">
      <c r="A1264" s="1" t="s">
        <v>3522</v>
      </c>
      <c r="B1264" s="1" t="s">
        <v>3523</v>
      </c>
      <c r="C1264" s="1" t="s">
        <v>162</v>
      </c>
      <c r="D1264" s="1" t="s">
        <v>1031</v>
      </c>
      <c r="E1264" s="10">
        <v>46266</v>
      </c>
      <c r="F1264" s="1" t="s">
        <v>771</v>
      </c>
      <c r="G1264" s="1" t="s">
        <v>772</v>
      </c>
      <c r="H1264" s="23"/>
      <c r="I1264" s="1" t="s">
        <v>603</v>
      </c>
      <c r="J1264" s="1" t="s">
        <v>590</v>
      </c>
      <c r="K1264" s="1" t="s">
        <v>548</v>
      </c>
      <c r="L1264" s="1" t="s">
        <v>640</v>
      </c>
      <c r="M1264" s="1" t="s">
        <v>581</v>
      </c>
      <c r="N1264" s="1"/>
      <c r="O1264" s="10"/>
      <c r="P1264" s="23"/>
      <c r="Q1264" s="1" t="s">
        <v>773</v>
      </c>
      <c r="R1264" s="1" t="s">
        <v>557</v>
      </c>
      <c r="S1264" s="1" t="s">
        <v>582</v>
      </c>
      <c r="T1264" s="10">
        <v>46298</v>
      </c>
    </row>
    <row r="1265" spans="1:20" ht="24" customHeight="1" x14ac:dyDescent="0.35">
      <c r="A1265" s="5" t="s">
        <v>3524</v>
      </c>
      <c r="B1265" s="5" t="s">
        <v>3525</v>
      </c>
      <c r="C1265" s="5" t="s">
        <v>128</v>
      </c>
      <c r="D1265" s="5" t="s">
        <v>2245</v>
      </c>
      <c r="E1265" s="8">
        <v>46266</v>
      </c>
      <c r="F1265" s="5" t="s">
        <v>771</v>
      </c>
      <c r="G1265" s="5" t="s">
        <v>772</v>
      </c>
      <c r="H1265" s="22"/>
      <c r="I1265" s="5" t="s">
        <v>603</v>
      </c>
      <c r="J1265" s="5" t="s">
        <v>544</v>
      </c>
      <c r="K1265" s="5" t="s">
        <v>590</v>
      </c>
      <c r="L1265" s="5" t="s">
        <v>149</v>
      </c>
      <c r="M1265" s="5" t="s">
        <v>581</v>
      </c>
      <c r="N1265" s="5"/>
      <c r="O1265" s="8"/>
      <c r="P1265" s="22"/>
      <c r="Q1265" s="5" t="s">
        <v>773</v>
      </c>
      <c r="R1265" s="5" t="s">
        <v>557</v>
      </c>
      <c r="S1265" s="5" t="s">
        <v>582</v>
      </c>
      <c r="T1265" s="8">
        <v>46298</v>
      </c>
    </row>
    <row r="1266" spans="1:20" ht="24" customHeight="1" x14ac:dyDescent="0.35">
      <c r="A1266" s="1" t="s">
        <v>3526</v>
      </c>
      <c r="B1266" s="1" t="s">
        <v>3527</v>
      </c>
      <c r="C1266" s="1" t="s">
        <v>624</v>
      </c>
      <c r="D1266" s="1" t="s">
        <v>856</v>
      </c>
      <c r="E1266" s="10">
        <v>46266</v>
      </c>
      <c r="F1266" s="1" t="s">
        <v>771</v>
      </c>
      <c r="G1266" s="1" t="s">
        <v>772</v>
      </c>
      <c r="H1266" s="23"/>
      <c r="I1266" s="1" t="s">
        <v>603</v>
      </c>
      <c r="J1266" s="1" t="s">
        <v>547</v>
      </c>
      <c r="K1266" s="1" t="s">
        <v>546</v>
      </c>
      <c r="L1266" s="1" t="s">
        <v>591</v>
      </c>
      <c r="M1266" s="1" t="s">
        <v>581</v>
      </c>
      <c r="N1266" s="1"/>
      <c r="O1266" s="10"/>
      <c r="P1266" s="23"/>
      <c r="Q1266" s="1" t="s">
        <v>773</v>
      </c>
      <c r="R1266" s="1" t="s">
        <v>557</v>
      </c>
      <c r="S1266" s="1" t="s">
        <v>582</v>
      </c>
      <c r="T1266" s="10">
        <v>46298</v>
      </c>
    </row>
    <row r="1267" spans="1:20" ht="24" customHeight="1" x14ac:dyDescent="0.35">
      <c r="A1267" s="5" t="s">
        <v>3528</v>
      </c>
      <c r="B1267" s="5" t="s">
        <v>3529</v>
      </c>
      <c r="C1267" s="5" t="s">
        <v>599</v>
      </c>
      <c r="D1267" s="5" t="s">
        <v>1220</v>
      </c>
      <c r="E1267" s="8">
        <v>46266</v>
      </c>
      <c r="F1267" s="5" t="s">
        <v>771</v>
      </c>
      <c r="G1267" s="5" t="s">
        <v>772</v>
      </c>
      <c r="H1267" s="22"/>
      <c r="I1267" s="5" t="s">
        <v>603</v>
      </c>
      <c r="J1267" s="5" t="s">
        <v>544</v>
      </c>
      <c r="K1267" s="5" t="s">
        <v>590</v>
      </c>
      <c r="L1267" s="5" t="s">
        <v>591</v>
      </c>
      <c r="M1267" s="5" t="s">
        <v>581</v>
      </c>
      <c r="N1267" s="5"/>
      <c r="O1267" s="8"/>
      <c r="P1267" s="22"/>
      <c r="Q1267" s="5" t="s">
        <v>773</v>
      </c>
      <c r="R1267" s="5" t="s">
        <v>557</v>
      </c>
      <c r="S1267" s="5" t="s">
        <v>582</v>
      </c>
      <c r="T1267" s="8">
        <v>46298</v>
      </c>
    </row>
    <row r="1268" spans="1:20" ht="24" customHeight="1" x14ac:dyDescent="0.35">
      <c r="A1268" s="1" t="s">
        <v>3530</v>
      </c>
      <c r="B1268" s="1" t="s">
        <v>3531</v>
      </c>
      <c r="C1268" s="1" t="s">
        <v>355</v>
      </c>
      <c r="D1268" s="1" t="s">
        <v>1112</v>
      </c>
      <c r="E1268" s="10">
        <v>46266</v>
      </c>
      <c r="F1268" s="1" t="s">
        <v>771</v>
      </c>
      <c r="G1268" s="1" t="s">
        <v>772</v>
      </c>
      <c r="H1268" s="23"/>
      <c r="I1268" s="1" t="s">
        <v>603</v>
      </c>
      <c r="J1268" s="1" t="s">
        <v>544</v>
      </c>
      <c r="K1268" s="1" t="s">
        <v>590</v>
      </c>
      <c r="L1268" s="1" t="s">
        <v>608</v>
      </c>
      <c r="M1268" s="1" t="s">
        <v>581</v>
      </c>
      <c r="N1268" s="1"/>
      <c r="O1268" s="10"/>
      <c r="P1268" s="23"/>
      <c r="Q1268" s="1" t="s">
        <v>773</v>
      </c>
      <c r="R1268" s="1" t="s">
        <v>557</v>
      </c>
      <c r="S1268" s="1" t="s">
        <v>582</v>
      </c>
      <c r="T1268" s="10">
        <v>46298</v>
      </c>
    </row>
    <row r="1269" spans="1:20" ht="24" customHeight="1" x14ac:dyDescent="0.35">
      <c r="A1269" s="5" t="s">
        <v>3532</v>
      </c>
      <c r="B1269" s="5" t="s">
        <v>3533</v>
      </c>
      <c r="C1269" s="5" t="s">
        <v>425</v>
      </c>
      <c r="D1269" s="5" t="s">
        <v>1738</v>
      </c>
      <c r="E1269" s="8">
        <v>46266</v>
      </c>
      <c r="F1269" s="5" t="s">
        <v>771</v>
      </c>
      <c r="G1269" s="5" t="s">
        <v>772</v>
      </c>
      <c r="H1269" s="22"/>
      <c r="I1269" s="5" t="s">
        <v>603</v>
      </c>
      <c r="J1269" s="5" t="s">
        <v>544</v>
      </c>
      <c r="K1269" s="5" t="s">
        <v>590</v>
      </c>
      <c r="L1269" s="5" t="s">
        <v>608</v>
      </c>
      <c r="M1269" s="5" t="s">
        <v>581</v>
      </c>
      <c r="N1269" s="5"/>
      <c r="O1269" s="8"/>
      <c r="P1269" s="22"/>
      <c r="Q1269" s="5" t="s">
        <v>773</v>
      </c>
      <c r="R1269" s="5" t="s">
        <v>557</v>
      </c>
      <c r="S1269" s="5" t="s">
        <v>582</v>
      </c>
      <c r="T1269" s="8">
        <v>46298</v>
      </c>
    </row>
    <row r="1270" spans="1:20" ht="24" customHeight="1" x14ac:dyDescent="0.35">
      <c r="A1270" s="1" t="s">
        <v>3534</v>
      </c>
      <c r="B1270" s="1" t="s">
        <v>3535</v>
      </c>
      <c r="C1270" s="1" t="s">
        <v>374</v>
      </c>
      <c r="D1270" s="1" t="s">
        <v>1738</v>
      </c>
      <c r="E1270" s="10">
        <v>46266</v>
      </c>
      <c r="F1270" s="1" t="s">
        <v>771</v>
      </c>
      <c r="G1270" s="1" t="s">
        <v>772</v>
      </c>
      <c r="H1270" s="23"/>
      <c r="I1270" s="1" t="s">
        <v>603</v>
      </c>
      <c r="J1270" s="1" t="s">
        <v>544</v>
      </c>
      <c r="K1270" s="1" t="s">
        <v>590</v>
      </c>
      <c r="L1270" s="1" t="s">
        <v>149</v>
      </c>
      <c r="M1270" s="1" t="s">
        <v>581</v>
      </c>
      <c r="N1270" s="1"/>
      <c r="O1270" s="10"/>
      <c r="P1270" s="23"/>
      <c r="Q1270" s="1" t="s">
        <v>773</v>
      </c>
      <c r="R1270" s="1" t="s">
        <v>557</v>
      </c>
      <c r="S1270" s="1" t="s">
        <v>582</v>
      </c>
      <c r="T1270" s="10">
        <v>46298</v>
      </c>
    </row>
    <row r="1271" spans="1:20" ht="24" customHeight="1" x14ac:dyDescent="0.35">
      <c r="A1271" s="5" t="s">
        <v>3536</v>
      </c>
      <c r="B1271" s="5" t="s">
        <v>3537</v>
      </c>
      <c r="C1271" s="5" t="s">
        <v>128</v>
      </c>
      <c r="D1271" s="5" t="s">
        <v>2975</v>
      </c>
      <c r="E1271" s="8">
        <v>46266</v>
      </c>
      <c r="F1271" s="5" t="s">
        <v>601</v>
      </c>
      <c r="G1271" s="5" t="s">
        <v>602</v>
      </c>
      <c r="H1271" s="22"/>
      <c r="I1271" s="5" t="s">
        <v>603</v>
      </c>
      <c r="J1271" s="5" t="s">
        <v>544</v>
      </c>
      <c r="K1271" s="5" t="s">
        <v>590</v>
      </c>
      <c r="L1271" s="5" t="s">
        <v>591</v>
      </c>
      <c r="M1271" s="5" t="s">
        <v>581</v>
      </c>
      <c r="N1271" s="5"/>
      <c r="O1271" s="8"/>
      <c r="P1271" s="22"/>
      <c r="Q1271" s="5"/>
      <c r="R1271" s="5" t="s">
        <v>557</v>
      </c>
      <c r="S1271" s="5" t="s">
        <v>582</v>
      </c>
      <c r="T1271" s="8">
        <v>46298</v>
      </c>
    </row>
    <row r="1272" spans="1:20" ht="24" customHeight="1" x14ac:dyDescent="0.35">
      <c r="A1272" s="1" t="s">
        <v>3538</v>
      </c>
      <c r="B1272" s="1" t="s">
        <v>3539</v>
      </c>
      <c r="C1272" s="1" t="s">
        <v>469</v>
      </c>
      <c r="D1272" s="1" t="s">
        <v>1220</v>
      </c>
      <c r="E1272" s="10">
        <v>46265</v>
      </c>
      <c r="F1272" s="1" t="s">
        <v>771</v>
      </c>
      <c r="G1272" s="1" t="s">
        <v>772</v>
      </c>
      <c r="H1272" s="23"/>
      <c r="I1272" s="1" t="s">
        <v>603</v>
      </c>
      <c r="J1272" s="1" t="s">
        <v>544</v>
      </c>
      <c r="K1272" s="1" t="s">
        <v>590</v>
      </c>
      <c r="L1272" s="1" t="s">
        <v>608</v>
      </c>
      <c r="M1272" s="1" t="s">
        <v>581</v>
      </c>
      <c r="N1272" s="1"/>
      <c r="O1272" s="10"/>
      <c r="P1272" s="23"/>
      <c r="Q1272" s="1" t="s">
        <v>773</v>
      </c>
      <c r="R1272" s="1" t="s">
        <v>557</v>
      </c>
      <c r="S1272" s="1" t="s">
        <v>582</v>
      </c>
      <c r="T1272" s="10">
        <v>46298</v>
      </c>
    </row>
    <row r="1273" spans="1:20" ht="24" customHeight="1" x14ac:dyDescent="0.35">
      <c r="A1273" s="5" t="s">
        <v>3540</v>
      </c>
      <c r="B1273" s="5" t="s">
        <v>3541</v>
      </c>
      <c r="C1273" s="5" t="s">
        <v>210</v>
      </c>
      <c r="D1273" s="5" t="s">
        <v>3542</v>
      </c>
      <c r="E1273" s="8">
        <v>46265</v>
      </c>
      <c r="F1273" s="5" t="s">
        <v>578</v>
      </c>
      <c r="G1273" s="5" t="s">
        <v>579</v>
      </c>
      <c r="H1273" s="22"/>
      <c r="I1273" s="5" t="s">
        <v>580</v>
      </c>
      <c r="J1273" s="5" t="s">
        <v>544</v>
      </c>
      <c r="K1273" s="5" t="s">
        <v>590</v>
      </c>
      <c r="L1273" s="5" t="s">
        <v>640</v>
      </c>
      <c r="M1273" s="5" t="s">
        <v>581</v>
      </c>
      <c r="N1273" s="5"/>
      <c r="O1273" s="8"/>
      <c r="P1273" s="22"/>
      <c r="Q1273" s="5"/>
      <c r="R1273" s="5" t="s">
        <v>557</v>
      </c>
      <c r="S1273" s="5" t="s">
        <v>582</v>
      </c>
      <c r="T1273" s="8">
        <v>46298</v>
      </c>
    </row>
    <row r="1274" spans="1:20" ht="24" customHeight="1" x14ac:dyDescent="0.35">
      <c r="A1274" s="1" t="s">
        <v>3543</v>
      </c>
      <c r="B1274" s="1" t="s">
        <v>3544</v>
      </c>
      <c r="C1274" s="1" t="s">
        <v>607</v>
      </c>
      <c r="D1274" s="1" t="s">
        <v>912</v>
      </c>
      <c r="E1274" s="10">
        <v>46266</v>
      </c>
      <c r="F1274" s="1" t="s">
        <v>771</v>
      </c>
      <c r="G1274" s="1" t="s">
        <v>772</v>
      </c>
      <c r="H1274" s="23"/>
      <c r="I1274" s="1" t="s">
        <v>603</v>
      </c>
      <c r="J1274" s="1" t="s">
        <v>547</v>
      </c>
      <c r="K1274" s="1" t="s">
        <v>590</v>
      </c>
      <c r="L1274" s="1" t="s">
        <v>640</v>
      </c>
      <c r="M1274" s="1" t="s">
        <v>581</v>
      </c>
      <c r="N1274" s="1"/>
      <c r="O1274" s="10"/>
      <c r="P1274" s="23"/>
      <c r="Q1274" s="1" t="s">
        <v>773</v>
      </c>
      <c r="R1274" s="1" t="s">
        <v>557</v>
      </c>
      <c r="S1274" s="1" t="s">
        <v>582</v>
      </c>
      <c r="T1274" s="10">
        <v>46298</v>
      </c>
    </row>
    <row r="1275" spans="1:20" ht="24" customHeight="1" x14ac:dyDescent="0.35">
      <c r="A1275" s="5" t="s">
        <v>3545</v>
      </c>
      <c r="B1275" s="5" t="s">
        <v>3546</v>
      </c>
      <c r="C1275" s="5" t="s">
        <v>1213</v>
      </c>
      <c r="D1275" s="5" t="s">
        <v>797</v>
      </c>
      <c r="E1275" s="8">
        <v>46266</v>
      </c>
      <c r="F1275" s="5" t="s">
        <v>771</v>
      </c>
      <c r="G1275" s="5" t="s">
        <v>772</v>
      </c>
      <c r="H1275" s="22"/>
      <c r="I1275" s="5" t="s">
        <v>603</v>
      </c>
      <c r="J1275" s="5" t="s">
        <v>590</v>
      </c>
      <c r="K1275" s="5" t="s">
        <v>546</v>
      </c>
      <c r="L1275" s="5" t="s">
        <v>149</v>
      </c>
      <c r="M1275" s="5" t="s">
        <v>581</v>
      </c>
      <c r="N1275" s="5"/>
      <c r="O1275" s="8"/>
      <c r="P1275" s="22"/>
      <c r="Q1275" s="5" t="s">
        <v>773</v>
      </c>
      <c r="R1275" s="5" t="s">
        <v>557</v>
      </c>
      <c r="S1275" s="5" t="s">
        <v>582</v>
      </c>
      <c r="T1275" s="8">
        <v>46298</v>
      </c>
    </row>
    <row r="1276" spans="1:20" ht="24" customHeight="1" x14ac:dyDescent="0.35">
      <c r="A1276" s="1" t="s">
        <v>3547</v>
      </c>
      <c r="B1276" s="1" t="s">
        <v>3548</v>
      </c>
      <c r="C1276" s="1" t="s">
        <v>692</v>
      </c>
      <c r="D1276" s="1" t="s">
        <v>1063</v>
      </c>
      <c r="E1276" s="10">
        <v>46266</v>
      </c>
      <c r="F1276" s="1" t="s">
        <v>601</v>
      </c>
      <c r="G1276" s="1" t="s">
        <v>602</v>
      </c>
      <c r="H1276" s="23"/>
      <c r="I1276" s="1" t="s">
        <v>603</v>
      </c>
      <c r="J1276" s="1" t="s">
        <v>547</v>
      </c>
      <c r="K1276" s="1" t="s">
        <v>590</v>
      </c>
      <c r="L1276" s="1" t="s">
        <v>149</v>
      </c>
      <c r="M1276" s="1" t="s">
        <v>581</v>
      </c>
      <c r="N1276" s="1"/>
      <c r="O1276" s="10"/>
      <c r="P1276" s="23"/>
      <c r="Q1276" s="1"/>
      <c r="R1276" s="1" t="s">
        <v>557</v>
      </c>
      <c r="S1276" s="1" t="s">
        <v>582</v>
      </c>
      <c r="T1276" s="10">
        <v>46298</v>
      </c>
    </row>
    <row r="1277" spans="1:20" ht="24" customHeight="1" x14ac:dyDescent="0.35">
      <c r="A1277" s="5" t="s">
        <v>3549</v>
      </c>
      <c r="B1277" s="5" t="s">
        <v>3550</v>
      </c>
      <c r="C1277" s="5" t="s">
        <v>856</v>
      </c>
      <c r="D1277" s="5" t="s">
        <v>176</v>
      </c>
      <c r="E1277" s="8">
        <v>46266</v>
      </c>
      <c r="F1277" s="5" t="s">
        <v>771</v>
      </c>
      <c r="G1277" s="5" t="s">
        <v>772</v>
      </c>
      <c r="H1277" s="22"/>
      <c r="I1277" s="5" t="s">
        <v>603</v>
      </c>
      <c r="J1277" s="5" t="s">
        <v>546</v>
      </c>
      <c r="K1277" s="5" t="s">
        <v>546</v>
      </c>
      <c r="L1277" s="5" t="s">
        <v>640</v>
      </c>
      <c r="M1277" s="5" t="s">
        <v>581</v>
      </c>
      <c r="N1277" s="5"/>
      <c r="O1277" s="8"/>
      <c r="P1277" s="22"/>
      <c r="Q1277" s="5" t="s">
        <v>1008</v>
      </c>
      <c r="R1277" s="5" t="s">
        <v>557</v>
      </c>
      <c r="S1277" s="5" t="s">
        <v>582</v>
      </c>
      <c r="T1277" s="8">
        <v>46298</v>
      </c>
    </row>
    <row r="1278" spans="1:20" ht="24" customHeight="1" x14ac:dyDescent="0.35">
      <c r="A1278" s="1" t="s">
        <v>3551</v>
      </c>
      <c r="B1278" s="1" t="s">
        <v>3552</v>
      </c>
      <c r="C1278" s="1" t="s">
        <v>476</v>
      </c>
      <c r="D1278" s="1" t="s">
        <v>652</v>
      </c>
      <c r="E1278" s="10">
        <v>46266</v>
      </c>
      <c r="F1278" s="1" t="s">
        <v>771</v>
      </c>
      <c r="G1278" s="1" t="s">
        <v>772</v>
      </c>
      <c r="H1278" s="23"/>
      <c r="I1278" s="1" t="s">
        <v>603</v>
      </c>
      <c r="J1278" s="1" t="s">
        <v>590</v>
      </c>
      <c r="K1278" s="1" t="s">
        <v>547</v>
      </c>
      <c r="L1278" s="1" t="s">
        <v>149</v>
      </c>
      <c r="M1278" s="1" t="s">
        <v>581</v>
      </c>
      <c r="N1278" s="1"/>
      <c r="O1278" s="10"/>
      <c r="P1278" s="23"/>
      <c r="Q1278" s="1" t="s">
        <v>773</v>
      </c>
      <c r="R1278" s="1" t="s">
        <v>557</v>
      </c>
      <c r="S1278" s="1" t="s">
        <v>582</v>
      </c>
      <c r="T1278" s="10">
        <v>46298</v>
      </c>
    </row>
    <row r="1279" spans="1:20" ht="24" customHeight="1" x14ac:dyDescent="0.35">
      <c r="A1279" s="5" t="s">
        <v>3553</v>
      </c>
      <c r="B1279" s="5" t="s">
        <v>3554</v>
      </c>
      <c r="C1279" s="5" t="s">
        <v>176</v>
      </c>
      <c r="D1279" s="5" t="s">
        <v>614</v>
      </c>
      <c r="E1279" s="8">
        <v>46266</v>
      </c>
      <c r="F1279" s="5" t="s">
        <v>771</v>
      </c>
      <c r="G1279" s="5" t="s">
        <v>772</v>
      </c>
      <c r="H1279" s="22"/>
      <c r="I1279" s="5" t="s">
        <v>603</v>
      </c>
      <c r="J1279" s="5" t="s">
        <v>546</v>
      </c>
      <c r="K1279" s="5" t="s">
        <v>546</v>
      </c>
      <c r="L1279" s="5" t="s">
        <v>608</v>
      </c>
      <c r="M1279" s="5" t="s">
        <v>581</v>
      </c>
      <c r="N1279" s="5"/>
      <c r="O1279" s="8"/>
      <c r="P1279" s="22"/>
      <c r="Q1279" s="5" t="s">
        <v>773</v>
      </c>
      <c r="R1279" s="5" t="s">
        <v>557</v>
      </c>
      <c r="S1279" s="5" t="s">
        <v>582</v>
      </c>
      <c r="T1279" s="8">
        <v>46298</v>
      </c>
    </row>
    <row r="1280" spans="1:20" ht="24" customHeight="1" x14ac:dyDescent="0.35">
      <c r="A1280" s="1" t="s">
        <v>3555</v>
      </c>
      <c r="B1280" s="1" t="s">
        <v>3556</v>
      </c>
      <c r="C1280" s="1" t="s">
        <v>1031</v>
      </c>
      <c r="D1280" s="1" t="s">
        <v>1084</v>
      </c>
      <c r="E1280" s="10">
        <v>46266</v>
      </c>
      <c r="F1280" s="1" t="s">
        <v>771</v>
      </c>
      <c r="G1280" s="1" t="s">
        <v>772</v>
      </c>
      <c r="H1280" s="23"/>
      <c r="I1280" s="1" t="s">
        <v>603</v>
      </c>
      <c r="J1280" s="1" t="s">
        <v>548</v>
      </c>
      <c r="K1280" s="1" t="s">
        <v>590</v>
      </c>
      <c r="L1280" s="1" t="s">
        <v>640</v>
      </c>
      <c r="M1280" s="1" t="s">
        <v>581</v>
      </c>
      <c r="N1280" s="1"/>
      <c r="O1280" s="10"/>
      <c r="P1280" s="23"/>
      <c r="Q1280" s="1" t="s">
        <v>773</v>
      </c>
      <c r="R1280" s="1" t="s">
        <v>557</v>
      </c>
      <c r="S1280" s="1" t="s">
        <v>582</v>
      </c>
      <c r="T1280" s="10">
        <v>46298</v>
      </c>
    </row>
    <row r="1281" spans="1:20" ht="24" customHeight="1" x14ac:dyDescent="0.35">
      <c r="A1281" s="5" t="s">
        <v>3557</v>
      </c>
      <c r="B1281" s="5" t="s">
        <v>3558</v>
      </c>
      <c r="C1281" s="5" t="s">
        <v>423</v>
      </c>
      <c r="D1281" s="5" t="s">
        <v>529</v>
      </c>
      <c r="E1281" s="8">
        <v>46266</v>
      </c>
      <c r="F1281" s="5" t="s">
        <v>771</v>
      </c>
      <c r="G1281" s="5" t="s">
        <v>772</v>
      </c>
      <c r="H1281" s="22"/>
      <c r="I1281" s="5" t="s">
        <v>603</v>
      </c>
      <c r="J1281" s="5" t="s">
        <v>546</v>
      </c>
      <c r="K1281" s="5" t="s">
        <v>547</v>
      </c>
      <c r="L1281" s="5" t="s">
        <v>591</v>
      </c>
      <c r="M1281" s="5" t="s">
        <v>581</v>
      </c>
      <c r="N1281" s="5"/>
      <c r="O1281" s="8"/>
      <c r="P1281" s="22"/>
      <c r="Q1281" s="5" t="s">
        <v>773</v>
      </c>
      <c r="R1281" s="5" t="s">
        <v>557</v>
      </c>
      <c r="S1281" s="5" t="s">
        <v>582</v>
      </c>
      <c r="T1281" s="8">
        <v>46298</v>
      </c>
    </row>
    <row r="1282" spans="1:20" ht="24" customHeight="1" x14ac:dyDescent="0.35">
      <c r="A1282" s="1" t="s">
        <v>3559</v>
      </c>
      <c r="B1282" s="1" t="s">
        <v>3560</v>
      </c>
      <c r="C1282" s="1" t="s">
        <v>1099</v>
      </c>
      <c r="D1282" s="1" t="s">
        <v>1378</v>
      </c>
      <c r="E1282" s="10">
        <v>46266</v>
      </c>
      <c r="F1282" s="1" t="s">
        <v>771</v>
      </c>
      <c r="G1282" s="1" t="s">
        <v>772</v>
      </c>
      <c r="H1282" s="23"/>
      <c r="I1282" s="1" t="s">
        <v>603</v>
      </c>
      <c r="J1282" s="1" t="s">
        <v>545</v>
      </c>
      <c r="K1282" s="1" t="s">
        <v>545</v>
      </c>
      <c r="L1282" s="1" t="s">
        <v>608</v>
      </c>
      <c r="M1282" s="1" t="s">
        <v>581</v>
      </c>
      <c r="N1282" s="1"/>
      <c r="O1282" s="10"/>
      <c r="P1282" s="23"/>
      <c r="Q1282" s="1" t="s">
        <v>773</v>
      </c>
      <c r="R1282" s="1" t="s">
        <v>557</v>
      </c>
      <c r="S1282" s="1" t="s">
        <v>582</v>
      </c>
      <c r="T1282" s="10">
        <v>46298</v>
      </c>
    </row>
    <row r="1283" spans="1:20" ht="24" customHeight="1" x14ac:dyDescent="0.35">
      <c r="A1283" s="5" t="s">
        <v>3561</v>
      </c>
      <c r="B1283" s="5" t="s">
        <v>3562</v>
      </c>
      <c r="C1283" s="5" t="s">
        <v>801</v>
      </c>
      <c r="D1283" s="5" t="s">
        <v>257</v>
      </c>
      <c r="E1283" s="8">
        <v>46265</v>
      </c>
      <c r="F1283" s="5" t="s">
        <v>771</v>
      </c>
      <c r="G1283" s="5" t="s">
        <v>772</v>
      </c>
      <c r="H1283" s="22"/>
      <c r="I1283" s="5" t="s">
        <v>603</v>
      </c>
      <c r="J1283" s="5" t="s">
        <v>546</v>
      </c>
      <c r="K1283" s="5" t="s">
        <v>590</v>
      </c>
      <c r="L1283" s="5" t="s">
        <v>640</v>
      </c>
      <c r="M1283" s="5" t="s">
        <v>581</v>
      </c>
      <c r="N1283" s="5"/>
      <c r="O1283" s="8"/>
      <c r="P1283" s="22"/>
      <c r="Q1283" s="5" t="s">
        <v>1008</v>
      </c>
      <c r="R1283" s="5" t="s">
        <v>557</v>
      </c>
      <c r="S1283" s="5" t="s">
        <v>582</v>
      </c>
      <c r="T1283" s="8">
        <v>46298</v>
      </c>
    </row>
    <row r="1284" spans="1:20" ht="24" customHeight="1" x14ac:dyDescent="0.35">
      <c r="A1284" s="1" t="s">
        <v>3563</v>
      </c>
      <c r="B1284" s="1" t="s">
        <v>3564</v>
      </c>
      <c r="C1284" s="1" t="s">
        <v>1700</v>
      </c>
      <c r="D1284" s="1" t="s">
        <v>856</v>
      </c>
      <c r="E1284" s="10">
        <v>46266</v>
      </c>
      <c r="F1284" s="1" t="s">
        <v>587</v>
      </c>
      <c r="G1284" s="1" t="s">
        <v>588</v>
      </c>
      <c r="H1284" s="23">
        <v>5150000</v>
      </c>
      <c r="I1284" s="1" t="s">
        <v>589</v>
      </c>
      <c r="J1284" s="1" t="s">
        <v>590</v>
      </c>
      <c r="K1284" s="1" t="s">
        <v>546</v>
      </c>
      <c r="L1284" s="1" t="s">
        <v>640</v>
      </c>
      <c r="M1284" s="1" t="s">
        <v>581</v>
      </c>
      <c r="N1284" s="1"/>
      <c r="O1284" s="10"/>
      <c r="P1284" s="23"/>
      <c r="Q1284" s="1"/>
      <c r="R1284" s="1" t="s">
        <v>557</v>
      </c>
      <c r="S1284" s="1" t="s">
        <v>582</v>
      </c>
      <c r="T1284" s="10">
        <v>46298</v>
      </c>
    </row>
    <row r="1285" spans="1:20" ht="24" customHeight="1" x14ac:dyDescent="0.35">
      <c r="A1285" s="5" t="s">
        <v>3565</v>
      </c>
      <c r="B1285" s="5" t="s">
        <v>3566</v>
      </c>
      <c r="C1285" s="5" t="s">
        <v>639</v>
      </c>
      <c r="D1285" s="5" t="s">
        <v>685</v>
      </c>
      <c r="E1285" s="8">
        <v>46266</v>
      </c>
      <c r="F1285" s="5" t="s">
        <v>587</v>
      </c>
      <c r="G1285" s="5" t="s">
        <v>588</v>
      </c>
      <c r="H1285" s="22">
        <v>25700000</v>
      </c>
      <c r="I1285" s="5" t="s">
        <v>589</v>
      </c>
      <c r="J1285" s="5" t="s">
        <v>548</v>
      </c>
      <c r="K1285" s="5" t="s">
        <v>547</v>
      </c>
      <c r="L1285" s="5" t="s">
        <v>149</v>
      </c>
      <c r="M1285" s="5" t="s">
        <v>581</v>
      </c>
      <c r="N1285" s="5"/>
      <c r="O1285" s="8"/>
      <c r="P1285" s="22"/>
      <c r="Q1285" s="5"/>
      <c r="R1285" s="5" t="s">
        <v>557</v>
      </c>
      <c r="S1285" s="5" t="s">
        <v>582</v>
      </c>
      <c r="T1285" s="8">
        <v>46298</v>
      </c>
    </row>
    <row r="1286" spans="1:20" ht="24" customHeight="1" x14ac:dyDescent="0.35">
      <c r="A1286" s="1" t="s">
        <v>3567</v>
      </c>
      <c r="B1286" s="1" t="s">
        <v>3568</v>
      </c>
      <c r="C1286" s="1" t="s">
        <v>160</v>
      </c>
      <c r="D1286" s="1" t="s">
        <v>157</v>
      </c>
      <c r="E1286" s="10">
        <v>46266</v>
      </c>
      <c r="F1286" s="1" t="s">
        <v>587</v>
      </c>
      <c r="G1286" s="1" t="s">
        <v>588</v>
      </c>
      <c r="H1286" s="23">
        <v>15440000</v>
      </c>
      <c r="I1286" s="1" t="s">
        <v>589</v>
      </c>
      <c r="J1286" s="1" t="s">
        <v>544</v>
      </c>
      <c r="K1286" s="1" t="s">
        <v>546</v>
      </c>
      <c r="L1286" s="1" t="s">
        <v>640</v>
      </c>
      <c r="M1286" s="1" t="s">
        <v>581</v>
      </c>
      <c r="N1286" s="1"/>
      <c r="O1286" s="10"/>
      <c r="P1286" s="23"/>
      <c r="Q1286" s="1" t="s">
        <v>1005</v>
      </c>
      <c r="R1286" s="1" t="s">
        <v>557</v>
      </c>
      <c r="S1286" s="1" t="s">
        <v>582</v>
      </c>
      <c r="T1286" s="10">
        <v>46298</v>
      </c>
    </row>
    <row r="1287" spans="1:20" ht="24" customHeight="1" x14ac:dyDescent="0.35">
      <c r="A1287" s="5" t="s">
        <v>3569</v>
      </c>
      <c r="B1287" s="5" t="s">
        <v>3570</v>
      </c>
      <c r="C1287" s="5" t="s">
        <v>137</v>
      </c>
      <c r="D1287" s="5" t="s">
        <v>707</v>
      </c>
      <c r="E1287" s="8">
        <v>46266</v>
      </c>
      <c r="F1287" s="5" t="s">
        <v>771</v>
      </c>
      <c r="G1287" s="5" t="s">
        <v>772</v>
      </c>
      <c r="H1287" s="22"/>
      <c r="I1287" s="5" t="s">
        <v>603</v>
      </c>
      <c r="J1287" s="5" t="s">
        <v>548</v>
      </c>
      <c r="K1287" s="5" t="s">
        <v>545</v>
      </c>
      <c r="L1287" s="5" t="s">
        <v>591</v>
      </c>
      <c r="M1287" s="5" t="s">
        <v>581</v>
      </c>
      <c r="N1287" s="5"/>
      <c r="O1287" s="8"/>
      <c r="P1287" s="22"/>
      <c r="Q1287" s="5" t="s">
        <v>773</v>
      </c>
      <c r="R1287" s="5" t="s">
        <v>557</v>
      </c>
      <c r="S1287" s="5" t="s">
        <v>582</v>
      </c>
      <c r="T1287" s="8">
        <v>46298</v>
      </c>
    </row>
    <row r="1288" spans="1:20" ht="24" customHeight="1" x14ac:dyDescent="0.35">
      <c r="A1288" s="1" t="s">
        <v>3571</v>
      </c>
      <c r="B1288" s="1" t="s">
        <v>3572</v>
      </c>
      <c r="C1288" s="1" t="s">
        <v>162</v>
      </c>
      <c r="D1288" s="1" t="s">
        <v>661</v>
      </c>
      <c r="E1288" s="10">
        <v>46266</v>
      </c>
      <c r="F1288" s="1" t="s">
        <v>771</v>
      </c>
      <c r="G1288" s="1" t="s">
        <v>772</v>
      </c>
      <c r="H1288" s="23"/>
      <c r="I1288" s="1" t="s">
        <v>603</v>
      </c>
      <c r="J1288" s="1" t="s">
        <v>590</v>
      </c>
      <c r="K1288" s="1" t="s">
        <v>546</v>
      </c>
      <c r="L1288" s="1" t="s">
        <v>149</v>
      </c>
      <c r="M1288" s="1" t="s">
        <v>581</v>
      </c>
      <c r="N1288" s="1"/>
      <c r="O1288" s="10"/>
      <c r="P1288" s="23"/>
      <c r="Q1288" s="1" t="s">
        <v>773</v>
      </c>
      <c r="R1288" s="1" t="s">
        <v>557</v>
      </c>
      <c r="S1288" s="1" t="s">
        <v>582</v>
      </c>
      <c r="T1288" s="10">
        <v>46298</v>
      </c>
    </row>
    <row r="1289" spans="1:20" ht="24" customHeight="1" x14ac:dyDescent="0.35">
      <c r="A1289" s="5" t="s">
        <v>3573</v>
      </c>
      <c r="B1289" s="5" t="s">
        <v>3574</v>
      </c>
      <c r="C1289" s="5" t="s">
        <v>919</v>
      </c>
      <c r="D1289" s="5" t="s">
        <v>1031</v>
      </c>
      <c r="E1289" s="8">
        <v>46266</v>
      </c>
      <c r="F1289" s="5" t="s">
        <v>578</v>
      </c>
      <c r="G1289" s="5" t="s">
        <v>579</v>
      </c>
      <c r="H1289" s="22"/>
      <c r="I1289" s="5" t="s">
        <v>580</v>
      </c>
      <c r="J1289" s="5" t="s">
        <v>590</v>
      </c>
      <c r="K1289" s="5" t="s">
        <v>548</v>
      </c>
      <c r="L1289" s="5" t="s">
        <v>149</v>
      </c>
      <c r="M1289" s="5" t="s">
        <v>581</v>
      </c>
      <c r="N1289" s="5"/>
      <c r="O1289" s="8"/>
      <c r="P1289" s="22"/>
      <c r="Q1289" s="5"/>
      <c r="R1289" s="5" t="s">
        <v>557</v>
      </c>
      <c r="S1289" s="5" t="s">
        <v>582</v>
      </c>
      <c r="T1289" s="8">
        <v>46298</v>
      </c>
    </row>
    <row r="1290" spans="1:20" ht="24" customHeight="1" x14ac:dyDescent="0.35">
      <c r="A1290" s="1" t="s">
        <v>3575</v>
      </c>
      <c r="B1290" s="1" t="s">
        <v>3576</v>
      </c>
      <c r="C1290" s="1" t="s">
        <v>174</v>
      </c>
      <c r="D1290" s="1" t="s">
        <v>684</v>
      </c>
      <c r="E1290" s="10">
        <v>46266</v>
      </c>
      <c r="F1290" s="1" t="s">
        <v>771</v>
      </c>
      <c r="G1290" s="1" t="s">
        <v>772</v>
      </c>
      <c r="H1290" s="23"/>
      <c r="I1290" s="1" t="s">
        <v>603</v>
      </c>
      <c r="J1290" s="1" t="s">
        <v>546</v>
      </c>
      <c r="K1290" s="1" t="s">
        <v>590</v>
      </c>
      <c r="L1290" s="1" t="s">
        <v>608</v>
      </c>
      <c r="M1290" s="1" t="s">
        <v>581</v>
      </c>
      <c r="N1290" s="1"/>
      <c r="O1290" s="10"/>
      <c r="P1290" s="23"/>
      <c r="Q1290" s="1" t="s">
        <v>1008</v>
      </c>
      <c r="R1290" s="1" t="s">
        <v>557</v>
      </c>
      <c r="S1290" s="1" t="s">
        <v>582</v>
      </c>
      <c r="T1290" s="10">
        <v>46298</v>
      </c>
    </row>
    <row r="1291" spans="1:20" ht="24" customHeight="1" x14ac:dyDescent="0.35">
      <c r="A1291" s="5" t="s">
        <v>3577</v>
      </c>
      <c r="B1291" s="5" t="s">
        <v>185</v>
      </c>
      <c r="C1291" s="5" t="s">
        <v>391</v>
      </c>
      <c r="D1291" s="5" t="s">
        <v>123</v>
      </c>
      <c r="E1291" s="8">
        <v>46266</v>
      </c>
      <c r="F1291" s="5" t="s">
        <v>771</v>
      </c>
      <c r="G1291" s="5" t="s">
        <v>772</v>
      </c>
      <c r="H1291" s="22"/>
      <c r="I1291" s="5" t="s">
        <v>603</v>
      </c>
      <c r="J1291" s="5" t="s">
        <v>544</v>
      </c>
      <c r="K1291" s="5" t="s">
        <v>546</v>
      </c>
      <c r="L1291" s="5" t="s">
        <v>640</v>
      </c>
      <c r="M1291" s="5" t="s">
        <v>581</v>
      </c>
      <c r="N1291" s="5"/>
      <c r="O1291" s="8"/>
      <c r="P1291" s="22"/>
      <c r="Q1291" s="5" t="s">
        <v>773</v>
      </c>
      <c r="R1291" s="5" t="s">
        <v>557</v>
      </c>
      <c r="S1291" s="5" t="s">
        <v>582</v>
      </c>
      <c r="T1291" s="8">
        <v>46298</v>
      </c>
    </row>
    <row r="1292" spans="1:20" ht="24" customHeight="1" x14ac:dyDescent="0.35">
      <c r="A1292" s="1" t="s">
        <v>3578</v>
      </c>
      <c r="B1292" s="1" t="s">
        <v>3579</v>
      </c>
      <c r="C1292" s="1" t="s">
        <v>103</v>
      </c>
      <c r="D1292" s="1" t="s">
        <v>639</v>
      </c>
      <c r="E1292" s="10">
        <v>46266</v>
      </c>
      <c r="F1292" s="1" t="s">
        <v>587</v>
      </c>
      <c r="G1292" s="1" t="s">
        <v>588</v>
      </c>
      <c r="H1292" s="23">
        <v>6900000</v>
      </c>
      <c r="I1292" s="1" t="s">
        <v>589</v>
      </c>
      <c r="J1292" s="1" t="s">
        <v>544</v>
      </c>
      <c r="K1292" s="1" t="s">
        <v>548</v>
      </c>
      <c r="L1292" s="1" t="s">
        <v>640</v>
      </c>
      <c r="M1292" s="1" t="s">
        <v>581</v>
      </c>
      <c r="N1292" s="1"/>
      <c r="O1292" s="10"/>
      <c r="P1292" s="23"/>
      <c r="Q1292" s="1"/>
      <c r="R1292" s="1" t="s">
        <v>557</v>
      </c>
      <c r="S1292" s="1" t="s">
        <v>582</v>
      </c>
      <c r="T1292" s="10">
        <v>46298</v>
      </c>
    </row>
    <row r="1293" spans="1:20" ht="24" customHeight="1" x14ac:dyDescent="0.35">
      <c r="A1293" s="5" t="s">
        <v>3580</v>
      </c>
      <c r="B1293" s="5" t="s">
        <v>3581</v>
      </c>
      <c r="C1293" s="5" t="s">
        <v>178</v>
      </c>
      <c r="D1293" s="5" t="s">
        <v>1379</v>
      </c>
      <c r="E1293" s="8">
        <v>46266</v>
      </c>
      <c r="F1293" s="5" t="s">
        <v>771</v>
      </c>
      <c r="G1293" s="5" t="s">
        <v>772</v>
      </c>
      <c r="H1293" s="22"/>
      <c r="I1293" s="5" t="s">
        <v>603</v>
      </c>
      <c r="J1293" s="5" t="s">
        <v>545</v>
      </c>
      <c r="K1293" s="5" t="s">
        <v>590</v>
      </c>
      <c r="L1293" s="5" t="s">
        <v>608</v>
      </c>
      <c r="M1293" s="5" t="s">
        <v>581</v>
      </c>
      <c r="N1293" s="5"/>
      <c r="O1293" s="8"/>
      <c r="P1293" s="22"/>
      <c r="Q1293" s="5" t="s">
        <v>773</v>
      </c>
      <c r="R1293" s="5" t="s">
        <v>557</v>
      </c>
      <c r="S1293" s="5" t="s">
        <v>582</v>
      </c>
      <c r="T1293" s="8">
        <v>46298</v>
      </c>
    </row>
    <row r="1294" spans="1:20" ht="24" customHeight="1" x14ac:dyDescent="0.35">
      <c r="A1294" s="1" t="s">
        <v>3582</v>
      </c>
      <c r="B1294" s="1" t="s">
        <v>3583</v>
      </c>
      <c r="C1294" s="1" t="s">
        <v>91</v>
      </c>
      <c r="D1294" s="1" t="s">
        <v>1209</v>
      </c>
      <c r="E1294" s="10">
        <v>46266</v>
      </c>
      <c r="F1294" s="1" t="s">
        <v>587</v>
      </c>
      <c r="G1294" s="1" t="s">
        <v>588</v>
      </c>
      <c r="H1294" s="23">
        <v>3400000</v>
      </c>
      <c r="I1294" s="1" t="s">
        <v>589</v>
      </c>
      <c r="J1294" s="1" t="s">
        <v>545</v>
      </c>
      <c r="K1294" s="1" t="s">
        <v>590</v>
      </c>
      <c r="L1294" s="1" t="s">
        <v>608</v>
      </c>
      <c r="M1294" s="1" t="s">
        <v>581</v>
      </c>
      <c r="N1294" s="1"/>
      <c r="O1294" s="10"/>
      <c r="P1294" s="23"/>
      <c r="Q1294" s="1"/>
      <c r="R1294" s="1" t="s">
        <v>557</v>
      </c>
      <c r="S1294" s="1" t="s">
        <v>582</v>
      </c>
      <c r="T1294" s="10">
        <v>46298</v>
      </c>
    </row>
    <row r="1295" spans="1:20" ht="24" customHeight="1" x14ac:dyDescent="0.35">
      <c r="A1295" s="5" t="s">
        <v>3584</v>
      </c>
      <c r="B1295" s="5" t="s">
        <v>3585</v>
      </c>
      <c r="C1295" s="5" t="s">
        <v>157</v>
      </c>
      <c r="D1295" s="5" t="s">
        <v>423</v>
      </c>
      <c r="E1295" s="8">
        <v>46266</v>
      </c>
      <c r="F1295" s="5" t="s">
        <v>771</v>
      </c>
      <c r="G1295" s="5" t="s">
        <v>772</v>
      </c>
      <c r="H1295" s="22"/>
      <c r="I1295" s="5" t="s">
        <v>603</v>
      </c>
      <c r="J1295" s="5" t="s">
        <v>546</v>
      </c>
      <c r="K1295" s="5" t="s">
        <v>546</v>
      </c>
      <c r="L1295" s="5" t="s">
        <v>640</v>
      </c>
      <c r="M1295" s="5" t="s">
        <v>581</v>
      </c>
      <c r="N1295" s="5"/>
      <c r="O1295" s="8"/>
      <c r="P1295" s="22"/>
      <c r="Q1295" s="5" t="s">
        <v>3586</v>
      </c>
      <c r="R1295" s="5" t="s">
        <v>557</v>
      </c>
      <c r="S1295" s="5" t="s">
        <v>582</v>
      </c>
      <c r="T1295" s="8">
        <v>46298</v>
      </c>
    </row>
    <row r="1296" spans="1:20" ht="24" customHeight="1" x14ac:dyDescent="0.35">
      <c r="A1296" s="1" t="s">
        <v>3587</v>
      </c>
      <c r="B1296" s="1" t="s">
        <v>3588</v>
      </c>
      <c r="C1296" s="1" t="s">
        <v>157</v>
      </c>
      <c r="D1296" s="1" t="s">
        <v>1184</v>
      </c>
      <c r="E1296" s="10">
        <v>46266</v>
      </c>
      <c r="F1296" s="1" t="s">
        <v>771</v>
      </c>
      <c r="G1296" s="1" t="s">
        <v>772</v>
      </c>
      <c r="H1296" s="23"/>
      <c r="I1296" s="1" t="s">
        <v>603</v>
      </c>
      <c r="J1296" s="1" t="s">
        <v>546</v>
      </c>
      <c r="K1296" s="1" t="s">
        <v>546</v>
      </c>
      <c r="L1296" s="1" t="s">
        <v>640</v>
      </c>
      <c r="M1296" s="1" t="s">
        <v>581</v>
      </c>
      <c r="N1296" s="1"/>
      <c r="O1296" s="10"/>
      <c r="P1296" s="23"/>
      <c r="Q1296" s="1" t="s">
        <v>1008</v>
      </c>
      <c r="R1296" s="1" t="s">
        <v>557</v>
      </c>
      <c r="S1296" s="1" t="s">
        <v>582</v>
      </c>
      <c r="T1296" s="10">
        <v>46298</v>
      </c>
    </row>
    <row r="1297" spans="1:20" ht="24" customHeight="1" x14ac:dyDescent="0.35">
      <c r="A1297" s="5" t="s">
        <v>3589</v>
      </c>
      <c r="B1297" s="5" t="s">
        <v>3590</v>
      </c>
      <c r="C1297" s="5" t="s">
        <v>791</v>
      </c>
      <c r="D1297" s="5" t="s">
        <v>778</v>
      </c>
      <c r="E1297" s="8">
        <v>46266</v>
      </c>
      <c r="F1297" s="5" t="s">
        <v>601</v>
      </c>
      <c r="G1297" s="5" t="s">
        <v>602</v>
      </c>
      <c r="H1297" s="22"/>
      <c r="I1297" s="5" t="s">
        <v>603</v>
      </c>
      <c r="J1297" s="5" t="s">
        <v>548</v>
      </c>
      <c r="K1297" s="5" t="s">
        <v>590</v>
      </c>
      <c r="L1297" s="5" t="s">
        <v>149</v>
      </c>
      <c r="M1297" s="5" t="s">
        <v>581</v>
      </c>
      <c r="N1297" s="5"/>
      <c r="O1297" s="8"/>
      <c r="P1297" s="22"/>
      <c r="Q1297" s="5"/>
      <c r="R1297" s="5" t="s">
        <v>557</v>
      </c>
      <c r="S1297" s="5" t="s">
        <v>582</v>
      </c>
      <c r="T1297" s="8">
        <v>46298</v>
      </c>
    </row>
    <row r="1298" spans="1:20" ht="24" customHeight="1" x14ac:dyDescent="0.35">
      <c r="A1298" s="1" t="s">
        <v>3591</v>
      </c>
      <c r="B1298" s="1" t="s">
        <v>3592</v>
      </c>
      <c r="C1298" s="1" t="s">
        <v>423</v>
      </c>
      <c r="D1298" s="1" t="s">
        <v>733</v>
      </c>
      <c r="E1298" s="10">
        <v>46266</v>
      </c>
      <c r="F1298" s="1" t="s">
        <v>771</v>
      </c>
      <c r="G1298" s="1" t="s">
        <v>772</v>
      </c>
      <c r="H1298" s="23"/>
      <c r="I1298" s="1" t="s">
        <v>603</v>
      </c>
      <c r="J1298" s="1" t="s">
        <v>546</v>
      </c>
      <c r="K1298" s="1" t="s">
        <v>545</v>
      </c>
      <c r="L1298" s="1" t="s">
        <v>640</v>
      </c>
      <c r="M1298" s="1" t="s">
        <v>581</v>
      </c>
      <c r="N1298" s="1"/>
      <c r="O1298" s="10"/>
      <c r="P1298" s="23"/>
      <c r="Q1298" s="1" t="s">
        <v>773</v>
      </c>
      <c r="R1298" s="1" t="s">
        <v>557</v>
      </c>
      <c r="S1298" s="1" t="s">
        <v>582</v>
      </c>
      <c r="T1298" s="10">
        <v>46298</v>
      </c>
    </row>
    <row r="1299" spans="1:20" ht="24" customHeight="1" x14ac:dyDescent="0.35">
      <c r="A1299" s="5" t="s">
        <v>3593</v>
      </c>
      <c r="B1299" s="5" t="s">
        <v>3594</v>
      </c>
      <c r="C1299" s="5" t="s">
        <v>1129</v>
      </c>
      <c r="D1299" s="5" t="s">
        <v>627</v>
      </c>
      <c r="E1299" s="8">
        <v>46266</v>
      </c>
      <c r="F1299" s="5" t="s">
        <v>601</v>
      </c>
      <c r="G1299" s="5" t="s">
        <v>602</v>
      </c>
      <c r="H1299" s="22"/>
      <c r="I1299" s="5" t="s">
        <v>603</v>
      </c>
      <c r="J1299" s="5" t="s">
        <v>545</v>
      </c>
      <c r="K1299" s="5" t="s">
        <v>545</v>
      </c>
      <c r="L1299" s="5" t="s">
        <v>149</v>
      </c>
      <c r="M1299" s="5" t="s">
        <v>581</v>
      </c>
      <c r="N1299" s="5"/>
      <c r="O1299" s="8"/>
      <c r="P1299" s="22"/>
      <c r="Q1299" s="5"/>
      <c r="R1299" s="5" t="s">
        <v>557</v>
      </c>
      <c r="S1299" s="5" t="s">
        <v>582</v>
      </c>
      <c r="T1299" s="8">
        <v>46298</v>
      </c>
    </row>
    <row r="1300" spans="1:20" ht="24" customHeight="1" x14ac:dyDescent="0.35">
      <c r="A1300" s="1" t="s">
        <v>3595</v>
      </c>
      <c r="B1300" s="1" t="s">
        <v>3596</v>
      </c>
      <c r="C1300" s="1" t="s">
        <v>374</v>
      </c>
      <c r="D1300" s="1" t="s">
        <v>162</v>
      </c>
      <c r="E1300" s="10">
        <v>46266</v>
      </c>
      <c r="F1300" s="1" t="s">
        <v>771</v>
      </c>
      <c r="G1300" s="1" t="s">
        <v>772</v>
      </c>
      <c r="H1300" s="23"/>
      <c r="I1300" s="1" t="s">
        <v>603</v>
      </c>
      <c r="J1300" s="1" t="s">
        <v>544</v>
      </c>
      <c r="K1300" s="1" t="s">
        <v>590</v>
      </c>
      <c r="L1300" s="1" t="s">
        <v>149</v>
      </c>
      <c r="M1300" s="1" t="s">
        <v>581</v>
      </c>
      <c r="N1300" s="1"/>
      <c r="O1300" s="10"/>
      <c r="P1300" s="23"/>
      <c r="Q1300" s="1" t="s">
        <v>773</v>
      </c>
      <c r="R1300" s="1" t="s">
        <v>557</v>
      </c>
      <c r="S1300" s="1" t="s">
        <v>582</v>
      </c>
      <c r="T1300" s="10">
        <v>46298</v>
      </c>
    </row>
    <row r="1301" spans="1:20" ht="24" customHeight="1" x14ac:dyDescent="0.35">
      <c r="A1301" s="5" t="s">
        <v>3597</v>
      </c>
      <c r="B1301" s="5" t="s">
        <v>3598</v>
      </c>
      <c r="C1301" s="5" t="s">
        <v>2328</v>
      </c>
      <c r="D1301" s="5" t="s">
        <v>101</v>
      </c>
      <c r="E1301" s="8">
        <v>46266</v>
      </c>
      <c r="F1301" s="5" t="s">
        <v>587</v>
      </c>
      <c r="G1301" s="5" t="s">
        <v>588</v>
      </c>
      <c r="H1301" s="22">
        <v>30000000</v>
      </c>
      <c r="I1301" s="5" t="s">
        <v>589</v>
      </c>
      <c r="J1301" s="5" t="s">
        <v>590</v>
      </c>
      <c r="K1301" s="5" t="s">
        <v>544</v>
      </c>
      <c r="L1301" s="5" t="s">
        <v>172</v>
      </c>
      <c r="M1301" s="5" t="s">
        <v>581</v>
      </c>
      <c r="N1301" s="5"/>
      <c r="O1301" s="8"/>
      <c r="P1301" s="22"/>
      <c r="Q1301" s="5"/>
      <c r="R1301" s="5" t="s">
        <v>557</v>
      </c>
      <c r="S1301" s="5" t="s">
        <v>582</v>
      </c>
      <c r="T1301" s="8">
        <v>46298</v>
      </c>
    </row>
    <row r="1302" spans="1:20" ht="24" customHeight="1" x14ac:dyDescent="0.35">
      <c r="A1302" s="1" t="s">
        <v>3599</v>
      </c>
      <c r="B1302" s="1" t="s">
        <v>3600</v>
      </c>
      <c r="C1302" s="1" t="s">
        <v>126</v>
      </c>
      <c r="D1302" s="1" t="s">
        <v>401</v>
      </c>
      <c r="E1302" s="10">
        <v>46266</v>
      </c>
      <c r="F1302" s="1" t="s">
        <v>771</v>
      </c>
      <c r="G1302" s="1" t="s">
        <v>772</v>
      </c>
      <c r="H1302" s="23"/>
      <c r="I1302" s="1" t="s">
        <v>603</v>
      </c>
      <c r="J1302" s="1" t="s">
        <v>544</v>
      </c>
      <c r="K1302" s="1" t="s">
        <v>547</v>
      </c>
      <c r="L1302" s="1" t="s">
        <v>608</v>
      </c>
      <c r="M1302" s="1" t="s">
        <v>581</v>
      </c>
      <c r="N1302" s="1"/>
      <c r="O1302" s="10"/>
      <c r="P1302" s="23"/>
      <c r="Q1302" s="1" t="s">
        <v>773</v>
      </c>
      <c r="R1302" s="1" t="s">
        <v>557</v>
      </c>
      <c r="S1302" s="1" t="s">
        <v>582</v>
      </c>
      <c r="T1302" s="10">
        <v>46298</v>
      </c>
    </row>
    <row r="1303" spans="1:20" ht="24" customHeight="1" x14ac:dyDescent="0.35">
      <c r="A1303" s="5" t="s">
        <v>3601</v>
      </c>
      <c r="B1303" s="5" t="s">
        <v>3602</v>
      </c>
      <c r="C1303" s="5" t="s">
        <v>717</v>
      </c>
      <c r="D1303" s="5" t="s">
        <v>3603</v>
      </c>
      <c r="E1303" s="8">
        <v>46266</v>
      </c>
      <c r="F1303" s="5" t="s">
        <v>771</v>
      </c>
      <c r="G1303" s="5" t="s">
        <v>772</v>
      </c>
      <c r="H1303" s="22"/>
      <c r="I1303" s="5" t="s">
        <v>603</v>
      </c>
      <c r="J1303" s="5" t="s">
        <v>547</v>
      </c>
      <c r="K1303" s="5" t="s">
        <v>590</v>
      </c>
      <c r="L1303" s="5" t="s">
        <v>149</v>
      </c>
      <c r="M1303" s="5" t="s">
        <v>581</v>
      </c>
      <c r="N1303" s="5"/>
      <c r="O1303" s="8"/>
      <c r="P1303" s="22"/>
      <c r="Q1303" s="5" t="s">
        <v>773</v>
      </c>
      <c r="R1303" s="5" t="s">
        <v>557</v>
      </c>
      <c r="S1303" s="5" t="s">
        <v>582</v>
      </c>
      <c r="T1303" s="8">
        <v>46298</v>
      </c>
    </row>
    <row r="1304" spans="1:20" ht="24" customHeight="1" x14ac:dyDescent="0.35">
      <c r="A1304" s="1" t="s">
        <v>3604</v>
      </c>
      <c r="B1304" s="1" t="s">
        <v>3605</v>
      </c>
      <c r="C1304" s="1" t="s">
        <v>119</v>
      </c>
      <c r="D1304" s="1" t="s">
        <v>1320</v>
      </c>
      <c r="E1304" s="10">
        <v>46266</v>
      </c>
      <c r="F1304" s="1" t="s">
        <v>587</v>
      </c>
      <c r="G1304" s="1" t="s">
        <v>588</v>
      </c>
      <c r="H1304" s="23">
        <v>860000</v>
      </c>
      <c r="I1304" s="1" t="s">
        <v>589</v>
      </c>
      <c r="J1304" s="1" t="s">
        <v>547</v>
      </c>
      <c r="K1304" s="1" t="s">
        <v>590</v>
      </c>
      <c r="L1304" s="1" t="s">
        <v>591</v>
      </c>
      <c r="M1304" s="1" t="s">
        <v>581</v>
      </c>
      <c r="N1304" s="1"/>
      <c r="O1304" s="10"/>
      <c r="P1304" s="23"/>
      <c r="Q1304" s="1"/>
      <c r="R1304" s="1" t="s">
        <v>557</v>
      </c>
      <c r="S1304" s="1" t="s">
        <v>582</v>
      </c>
      <c r="T1304" s="10">
        <v>46298</v>
      </c>
    </row>
    <row r="1305" spans="1:20" ht="24" customHeight="1" x14ac:dyDescent="0.35">
      <c r="A1305" s="5" t="s">
        <v>3606</v>
      </c>
      <c r="B1305" s="5" t="s">
        <v>3607</v>
      </c>
      <c r="C1305" s="5" t="s">
        <v>3608</v>
      </c>
      <c r="D1305" s="5" t="s">
        <v>1311</v>
      </c>
      <c r="E1305" s="8">
        <v>46266</v>
      </c>
      <c r="F1305" s="5" t="s">
        <v>587</v>
      </c>
      <c r="G1305" s="5" t="s">
        <v>588</v>
      </c>
      <c r="H1305" s="22">
        <v>3860000</v>
      </c>
      <c r="I1305" s="5" t="s">
        <v>589</v>
      </c>
      <c r="J1305" s="5" t="s">
        <v>590</v>
      </c>
      <c r="K1305" s="5" t="s">
        <v>546</v>
      </c>
      <c r="L1305" s="5" t="s">
        <v>591</v>
      </c>
      <c r="M1305" s="5" t="s">
        <v>581</v>
      </c>
      <c r="N1305" s="5"/>
      <c r="O1305" s="8"/>
      <c r="P1305" s="22"/>
      <c r="Q1305" s="5"/>
      <c r="R1305" s="5" t="s">
        <v>557</v>
      </c>
      <c r="S1305" s="5" t="s">
        <v>582</v>
      </c>
      <c r="T1305" s="8">
        <v>46298</v>
      </c>
    </row>
    <row r="1306" spans="1:20" ht="24" customHeight="1" x14ac:dyDescent="0.35">
      <c r="A1306" s="1" t="s">
        <v>3609</v>
      </c>
      <c r="B1306" s="1" t="s">
        <v>3610</v>
      </c>
      <c r="C1306" s="1" t="s">
        <v>103</v>
      </c>
      <c r="D1306" s="1" t="s">
        <v>639</v>
      </c>
      <c r="E1306" s="10">
        <v>46266</v>
      </c>
      <c r="F1306" s="1" t="s">
        <v>771</v>
      </c>
      <c r="G1306" s="1" t="s">
        <v>772</v>
      </c>
      <c r="H1306" s="23"/>
      <c r="I1306" s="1" t="s">
        <v>603</v>
      </c>
      <c r="J1306" s="1" t="s">
        <v>544</v>
      </c>
      <c r="K1306" s="1" t="s">
        <v>548</v>
      </c>
      <c r="L1306" s="1" t="s">
        <v>608</v>
      </c>
      <c r="M1306" s="1" t="s">
        <v>581</v>
      </c>
      <c r="N1306" s="1"/>
      <c r="O1306" s="10"/>
      <c r="P1306" s="23"/>
      <c r="Q1306" s="1" t="s">
        <v>773</v>
      </c>
      <c r="R1306" s="1" t="s">
        <v>557</v>
      </c>
      <c r="S1306" s="1" t="s">
        <v>582</v>
      </c>
      <c r="T1306" s="10">
        <v>46298</v>
      </c>
    </row>
    <row r="1307" spans="1:20" ht="24" customHeight="1" x14ac:dyDescent="0.35">
      <c r="A1307" s="5" t="s">
        <v>3611</v>
      </c>
      <c r="B1307" s="5" t="s">
        <v>3612</v>
      </c>
      <c r="C1307" s="5" t="s">
        <v>123</v>
      </c>
      <c r="D1307" s="5" t="s">
        <v>1004</v>
      </c>
      <c r="E1307" s="8">
        <v>46266</v>
      </c>
      <c r="F1307" s="5" t="s">
        <v>771</v>
      </c>
      <c r="G1307" s="5" t="s">
        <v>772</v>
      </c>
      <c r="H1307" s="22"/>
      <c r="I1307" s="5" t="s">
        <v>603</v>
      </c>
      <c r="J1307" s="5" t="s">
        <v>546</v>
      </c>
      <c r="K1307" s="5" t="s">
        <v>545</v>
      </c>
      <c r="L1307" s="5" t="s">
        <v>640</v>
      </c>
      <c r="M1307" s="5" t="s">
        <v>581</v>
      </c>
      <c r="N1307" s="5"/>
      <c r="O1307" s="8"/>
      <c r="P1307" s="22"/>
      <c r="Q1307" s="5" t="s">
        <v>1008</v>
      </c>
      <c r="R1307" s="5" t="s">
        <v>557</v>
      </c>
      <c r="S1307" s="5" t="s">
        <v>582</v>
      </c>
      <c r="T1307" s="8">
        <v>46298</v>
      </c>
    </row>
    <row r="1308" spans="1:20" ht="24" customHeight="1" x14ac:dyDescent="0.35">
      <c r="A1308" s="1" t="s">
        <v>3613</v>
      </c>
      <c r="B1308" s="1" t="s">
        <v>3614</v>
      </c>
      <c r="C1308" s="1" t="s">
        <v>103</v>
      </c>
      <c r="D1308" s="1" t="s">
        <v>423</v>
      </c>
      <c r="E1308" s="10">
        <v>46266</v>
      </c>
      <c r="F1308" s="1" t="s">
        <v>771</v>
      </c>
      <c r="G1308" s="1" t="s">
        <v>772</v>
      </c>
      <c r="H1308" s="23"/>
      <c r="I1308" s="1" t="s">
        <v>603</v>
      </c>
      <c r="J1308" s="1" t="s">
        <v>544</v>
      </c>
      <c r="K1308" s="1" t="s">
        <v>546</v>
      </c>
      <c r="L1308" s="1" t="s">
        <v>172</v>
      </c>
      <c r="M1308" s="1" t="s">
        <v>581</v>
      </c>
      <c r="N1308" s="1"/>
      <c r="O1308" s="10"/>
      <c r="P1308" s="23"/>
      <c r="Q1308" s="1" t="s">
        <v>773</v>
      </c>
      <c r="R1308" s="1" t="s">
        <v>557</v>
      </c>
      <c r="S1308" s="1" t="s">
        <v>582</v>
      </c>
      <c r="T1308" s="10">
        <v>46298</v>
      </c>
    </row>
    <row r="1309" spans="1:20" ht="24" customHeight="1" x14ac:dyDescent="0.35">
      <c r="A1309" s="5" t="s">
        <v>3615</v>
      </c>
      <c r="B1309" s="5" t="s">
        <v>3616</v>
      </c>
      <c r="C1309" s="5" t="s">
        <v>128</v>
      </c>
      <c r="D1309" s="5" t="s">
        <v>1855</v>
      </c>
      <c r="E1309" s="8">
        <v>46266</v>
      </c>
      <c r="F1309" s="5" t="s">
        <v>578</v>
      </c>
      <c r="G1309" s="5" t="s">
        <v>579</v>
      </c>
      <c r="H1309" s="22"/>
      <c r="I1309" s="5" t="s">
        <v>580</v>
      </c>
      <c r="J1309" s="5" t="s">
        <v>544</v>
      </c>
      <c r="K1309" s="5" t="s">
        <v>590</v>
      </c>
      <c r="L1309" s="5" t="s">
        <v>149</v>
      </c>
      <c r="M1309" s="5" t="s">
        <v>581</v>
      </c>
      <c r="N1309" s="5"/>
      <c r="O1309" s="8"/>
      <c r="P1309" s="22"/>
      <c r="Q1309" s="5"/>
      <c r="R1309" s="5" t="s">
        <v>557</v>
      </c>
      <c r="S1309" s="5" t="s">
        <v>582</v>
      </c>
      <c r="T1309" s="8">
        <v>46298</v>
      </c>
    </row>
    <row r="1310" spans="1:20" ht="24" customHeight="1" x14ac:dyDescent="0.35">
      <c r="A1310" s="1" t="s">
        <v>3617</v>
      </c>
      <c r="B1310" s="1" t="s">
        <v>3618</v>
      </c>
      <c r="C1310" s="1" t="s">
        <v>1378</v>
      </c>
      <c r="D1310" s="1" t="s">
        <v>782</v>
      </c>
      <c r="E1310" s="10">
        <v>46266</v>
      </c>
      <c r="F1310" s="1" t="s">
        <v>587</v>
      </c>
      <c r="G1310" s="1" t="s">
        <v>588</v>
      </c>
      <c r="H1310" s="23">
        <v>17100000</v>
      </c>
      <c r="I1310" s="1" t="s">
        <v>589</v>
      </c>
      <c r="J1310" s="1" t="s">
        <v>545</v>
      </c>
      <c r="K1310" s="1" t="s">
        <v>590</v>
      </c>
      <c r="L1310" s="1" t="s">
        <v>608</v>
      </c>
      <c r="M1310" s="1" t="s">
        <v>581</v>
      </c>
      <c r="N1310" s="1"/>
      <c r="O1310" s="10"/>
      <c r="P1310" s="23"/>
      <c r="Q1310" s="1"/>
      <c r="R1310" s="1" t="s">
        <v>557</v>
      </c>
      <c r="S1310" s="1" t="s">
        <v>582</v>
      </c>
      <c r="T1310" s="10">
        <v>46298</v>
      </c>
    </row>
    <row r="1311" spans="1:20" ht="24" customHeight="1" x14ac:dyDescent="0.35">
      <c r="A1311" s="5" t="s">
        <v>3619</v>
      </c>
      <c r="B1311" s="5" t="s">
        <v>3620</v>
      </c>
      <c r="C1311" s="5" t="s">
        <v>1083</v>
      </c>
      <c r="D1311" s="5" t="s">
        <v>1683</v>
      </c>
      <c r="E1311" s="8">
        <v>46266</v>
      </c>
      <c r="F1311" s="5" t="s">
        <v>771</v>
      </c>
      <c r="G1311" s="5" t="s">
        <v>772</v>
      </c>
      <c r="H1311" s="22"/>
      <c r="I1311" s="5" t="s">
        <v>603</v>
      </c>
      <c r="J1311" s="5" t="s">
        <v>544</v>
      </c>
      <c r="K1311" s="5" t="s">
        <v>590</v>
      </c>
      <c r="L1311" s="5" t="s">
        <v>591</v>
      </c>
      <c r="M1311" s="5" t="s">
        <v>581</v>
      </c>
      <c r="N1311" s="5"/>
      <c r="O1311" s="8"/>
      <c r="P1311" s="22"/>
      <c r="Q1311" s="5" t="s">
        <v>773</v>
      </c>
      <c r="R1311" s="5" t="s">
        <v>557</v>
      </c>
      <c r="S1311" s="5" t="s">
        <v>582</v>
      </c>
      <c r="T1311" s="8">
        <v>46298</v>
      </c>
    </row>
    <row r="1312" spans="1:20" ht="24" customHeight="1" x14ac:dyDescent="0.35">
      <c r="A1312" s="1" t="s">
        <v>3621</v>
      </c>
      <c r="B1312" s="1" t="s">
        <v>3622</v>
      </c>
      <c r="C1312" s="1" t="s">
        <v>171</v>
      </c>
      <c r="D1312" s="1" t="s">
        <v>1129</v>
      </c>
      <c r="E1312" s="10">
        <v>46266</v>
      </c>
      <c r="F1312" s="1" t="s">
        <v>771</v>
      </c>
      <c r="G1312" s="1" t="s">
        <v>772</v>
      </c>
      <c r="H1312" s="23"/>
      <c r="I1312" s="1" t="s">
        <v>603</v>
      </c>
      <c r="J1312" s="1" t="s">
        <v>545</v>
      </c>
      <c r="K1312" s="1" t="s">
        <v>545</v>
      </c>
      <c r="L1312" s="1" t="s">
        <v>149</v>
      </c>
      <c r="M1312" s="1" t="s">
        <v>581</v>
      </c>
      <c r="N1312" s="1"/>
      <c r="O1312" s="10"/>
      <c r="P1312" s="23"/>
      <c r="Q1312" s="1" t="s">
        <v>1008</v>
      </c>
      <c r="R1312" s="1" t="s">
        <v>557</v>
      </c>
      <c r="S1312" s="1" t="s">
        <v>582</v>
      </c>
      <c r="T1312" s="10">
        <v>46298</v>
      </c>
    </row>
    <row r="1313" spans="1:20" ht="24" customHeight="1" x14ac:dyDescent="0.35">
      <c r="A1313" s="5" t="s">
        <v>3623</v>
      </c>
      <c r="B1313" s="5" t="s">
        <v>3624</v>
      </c>
      <c r="C1313" s="5" t="s">
        <v>137</v>
      </c>
      <c r="D1313" s="5" t="s">
        <v>863</v>
      </c>
      <c r="E1313" s="8">
        <v>46266</v>
      </c>
      <c r="F1313" s="5" t="s">
        <v>771</v>
      </c>
      <c r="G1313" s="5" t="s">
        <v>772</v>
      </c>
      <c r="H1313" s="22"/>
      <c r="I1313" s="5" t="s">
        <v>603</v>
      </c>
      <c r="J1313" s="5" t="s">
        <v>548</v>
      </c>
      <c r="K1313" s="5" t="s">
        <v>548</v>
      </c>
      <c r="L1313" s="5" t="s">
        <v>591</v>
      </c>
      <c r="M1313" s="5" t="s">
        <v>581</v>
      </c>
      <c r="N1313" s="5"/>
      <c r="O1313" s="8"/>
      <c r="P1313" s="22"/>
      <c r="Q1313" s="5" t="s">
        <v>773</v>
      </c>
      <c r="R1313" s="5" t="s">
        <v>557</v>
      </c>
      <c r="S1313" s="5" t="s">
        <v>582</v>
      </c>
      <c r="T1313" s="8">
        <v>46298</v>
      </c>
    </row>
    <row r="1314" spans="1:20" ht="24" customHeight="1" x14ac:dyDescent="0.35">
      <c r="A1314" s="1" t="s">
        <v>3625</v>
      </c>
      <c r="B1314" s="1" t="s">
        <v>3626</v>
      </c>
      <c r="C1314" s="1" t="s">
        <v>3627</v>
      </c>
      <c r="D1314" s="1" t="s">
        <v>707</v>
      </c>
      <c r="E1314" s="10">
        <v>46266</v>
      </c>
      <c r="F1314" s="1" t="s">
        <v>771</v>
      </c>
      <c r="G1314" s="1" t="s">
        <v>772</v>
      </c>
      <c r="H1314" s="23"/>
      <c r="I1314" s="1" t="s">
        <v>603</v>
      </c>
      <c r="J1314" s="1" t="s">
        <v>590</v>
      </c>
      <c r="K1314" s="1" t="s">
        <v>545</v>
      </c>
      <c r="L1314" s="1" t="s">
        <v>640</v>
      </c>
      <c r="M1314" s="1" t="s">
        <v>581</v>
      </c>
      <c r="N1314" s="1"/>
      <c r="O1314" s="10"/>
      <c r="P1314" s="23"/>
      <c r="Q1314" s="1" t="s">
        <v>1008</v>
      </c>
      <c r="R1314" s="1" t="s">
        <v>557</v>
      </c>
      <c r="S1314" s="1" t="s">
        <v>582</v>
      </c>
      <c r="T1314" s="10">
        <v>46298</v>
      </c>
    </row>
    <row r="1315" spans="1:20" ht="24" customHeight="1" x14ac:dyDescent="0.35">
      <c r="A1315" s="5" t="s">
        <v>3628</v>
      </c>
      <c r="B1315" s="5" t="s">
        <v>3629</v>
      </c>
      <c r="C1315" s="5" t="s">
        <v>643</v>
      </c>
      <c r="D1315" s="5" t="s">
        <v>850</v>
      </c>
      <c r="E1315" s="8">
        <v>46266</v>
      </c>
      <c r="F1315" s="5" t="s">
        <v>771</v>
      </c>
      <c r="G1315" s="5" t="s">
        <v>772</v>
      </c>
      <c r="H1315" s="22"/>
      <c r="I1315" s="5" t="s">
        <v>603</v>
      </c>
      <c r="J1315" s="5" t="s">
        <v>544</v>
      </c>
      <c r="K1315" s="5" t="s">
        <v>544</v>
      </c>
      <c r="L1315" s="5" t="s">
        <v>149</v>
      </c>
      <c r="M1315" s="5" t="s">
        <v>581</v>
      </c>
      <c r="N1315" s="5"/>
      <c r="O1315" s="8"/>
      <c r="P1315" s="22"/>
      <c r="Q1315" s="5" t="s">
        <v>773</v>
      </c>
      <c r="R1315" s="5" t="s">
        <v>557</v>
      </c>
      <c r="S1315" s="5" t="s">
        <v>582</v>
      </c>
      <c r="T1315" s="8">
        <v>46298</v>
      </c>
    </row>
    <row r="1316" spans="1:20" ht="24" customHeight="1" x14ac:dyDescent="0.35">
      <c r="A1316" s="1" t="s">
        <v>3630</v>
      </c>
      <c r="B1316" s="1" t="s">
        <v>3631</v>
      </c>
      <c r="C1316" s="1" t="s">
        <v>128</v>
      </c>
      <c r="D1316" s="1" t="s">
        <v>919</v>
      </c>
      <c r="E1316" s="10">
        <v>46266</v>
      </c>
      <c r="F1316" s="1" t="s">
        <v>587</v>
      </c>
      <c r="G1316" s="1" t="s">
        <v>588</v>
      </c>
      <c r="H1316" s="23">
        <v>3000000</v>
      </c>
      <c r="I1316" s="1" t="s">
        <v>589</v>
      </c>
      <c r="J1316" s="1" t="s">
        <v>544</v>
      </c>
      <c r="K1316" s="1" t="s">
        <v>590</v>
      </c>
      <c r="L1316" s="1" t="s">
        <v>149</v>
      </c>
      <c r="M1316" s="1" t="s">
        <v>581</v>
      </c>
      <c r="N1316" s="1"/>
      <c r="O1316" s="10"/>
      <c r="P1316" s="23"/>
      <c r="Q1316" s="1"/>
      <c r="R1316" s="1" t="s">
        <v>557</v>
      </c>
      <c r="S1316" s="1" t="s">
        <v>582</v>
      </c>
      <c r="T1316" s="10">
        <v>46298</v>
      </c>
    </row>
    <row r="1317" spans="1:20" ht="24" customHeight="1" x14ac:dyDescent="0.35">
      <c r="A1317" s="5" t="s">
        <v>3632</v>
      </c>
      <c r="B1317" s="5" t="s">
        <v>3633</v>
      </c>
      <c r="C1317" s="5" t="s">
        <v>1184</v>
      </c>
      <c r="D1317" s="5" t="s">
        <v>651</v>
      </c>
      <c r="E1317" s="8">
        <v>46266</v>
      </c>
      <c r="F1317" s="5" t="s">
        <v>771</v>
      </c>
      <c r="G1317" s="5" t="s">
        <v>772</v>
      </c>
      <c r="H1317" s="22"/>
      <c r="I1317" s="5" t="s">
        <v>603</v>
      </c>
      <c r="J1317" s="5" t="s">
        <v>546</v>
      </c>
      <c r="K1317" s="5" t="s">
        <v>548</v>
      </c>
      <c r="L1317" s="5" t="s">
        <v>640</v>
      </c>
      <c r="M1317" s="5" t="s">
        <v>581</v>
      </c>
      <c r="N1317" s="5"/>
      <c r="O1317" s="8"/>
      <c r="P1317" s="22"/>
      <c r="Q1317" s="5" t="s">
        <v>773</v>
      </c>
      <c r="R1317" s="5" t="s">
        <v>557</v>
      </c>
      <c r="S1317" s="5" t="s">
        <v>582</v>
      </c>
      <c r="T1317" s="8">
        <v>46298</v>
      </c>
    </row>
    <row r="1318" spans="1:20" ht="24" customHeight="1" x14ac:dyDescent="0.35">
      <c r="A1318" s="1" t="s">
        <v>3634</v>
      </c>
      <c r="B1318" s="1" t="s">
        <v>3635</v>
      </c>
      <c r="C1318" s="1" t="s">
        <v>999</v>
      </c>
      <c r="D1318" s="1" t="s">
        <v>1299</v>
      </c>
      <c r="E1318" s="10">
        <v>46266</v>
      </c>
      <c r="F1318" s="1" t="s">
        <v>771</v>
      </c>
      <c r="G1318" s="1" t="s">
        <v>772</v>
      </c>
      <c r="H1318" s="23"/>
      <c r="I1318" s="1" t="s">
        <v>603</v>
      </c>
      <c r="J1318" s="1" t="s">
        <v>544</v>
      </c>
      <c r="K1318" s="1" t="s">
        <v>590</v>
      </c>
      <c r="L1318" s="1" t="s">
        <v>149</v>
      </c>
      <c r="M1318" s="1" t="s">
        <v>581</v>
      </c>
      <c r="N1318" s="1"/>
      <c r="O1318" s="10"/>
      <c r="P1318" s="23"/>
      <c r="Q1318" s="1" t="s">
        <v>773</v>
      </c>
      <c r="R1318" s="1" t="s">
        <v>557</v>
      </c>
      <c r="S1318" s="1" t="s">
        <v>582</v>
      </c>
      <c r="T1318" s="10">
        <v>46298</v>
      </c>
    </row>
    <row r="1319" spans="1:20" ht="24" customHeight="1" x14ac:dyDescent="0.35">
      <c r="A1319" s="5" t="s">
        <v>3636</v>
      </c>
      <c r="B1319" s="5" t="s">
        <v>3637</v>
      </c>
      <c r="C1319" s="5" t="s">
        <v>210</v>
      </c>
      <c r="D1319" s="5" t="s">
        <v>630</v>
      </c>
      <c r="E1319" s="8">
        <v>46266</v>
      </c>
      <c r="F1319" s="5" t="s">
        <v>771</v>
      </c>
      <c r="G1319" s="5" t="s">
        <v>772</v>
      </c>
      <c r="H1319" s="22"/>
      <c r="I1319" s="5" t="s">
        <v>603</v>
      </c>
      <c r="J1319" s="5" t="s">
        <v>544</v>
      </c>
      <c r="K1319" s="5" t="s">
        <v>547</v>
      </c>
      <c r="L1319" s="5" t="s">
        <v>149</v>
      </c>
      <c r="M1319" s="5" t="s">
        <v>581</v>
      </c>
      <c r="N1319" s="5"/>
      <c r="O1319" s="8"/>
      <c r="P1319" s="22"/>
      <c r="Q1319" s="5" t="s">
        <v>773</v>
      </c>
      <c r="R1319" s="5" t="s">
        <v>557</v>
      </c>
      <c r="S1319" s="5" t="s">
        <v>582</v>
      </c>
      <c r="T1319" s="8">
        <v>46298</v>
      </c>
    </row>
    <row r="1320" spans="1:20" ht="24" customHeight="1" x14ac:dyDescent="0.35">
      <c r="A1320" s="1" t="s">
        <v>3638</v>
      </c>
      <c r="B1320" s="1" t="s">
        <v>3639</v>
      </c>
      <c r="C1320" s="1" t="s">
        <v>743</v>
      </c>
      <c r="D1320" s="1" t="s">
        <v>623</v>
      </c>
      <c r="E1320" s="10">
        <v>46266</v>
      </c>
      <c r="F1320" s="1" t="s">
        <v>771</v>
      </c>
      <c r="G1320" s="1" t="s">
        <v>772</v>
      </c>
      <c r="H1320" s="23"/>
      <c r="I1320" s="1" t="s">
        <v>603</v>
      </c>
      <c r="J1320" s="1" t="s">
        <v>545</v>
      </c>
      <c r="K1320" s="1" t="s">
        <v>590</v>
      </c>
      <c r="L1320" s="1" t="s">
        <v>591</v>
      </c>
      <c r="M1320" s="1" t="s">
        <v>581</v>
      </c>
      <c r="N1320" s="1"/>
      <c r="O1320" s="10"/>
      <c r="P1320" s="23"/>
      <c r="Q1320" s="1" t="s">
        <v>1008</v>
      </c>
      <c r="R1320" s="1" t="s">
        <v>557</v>
      </c>
      <c r="S1320" s="1" t="s">
        <v>582</v>
      </c>
      <c r="T1320" s="10">
        <v>46298</v>
      </c>
    </row>
    <row r="1321" spans="1:20" ht="24" customHeight="1" x14ac:dyDescent="0.35">
      <c r="A1321" s="5" t="s">
        <v>3640</v>
      </c>
      <c r="B1321" s="5" t="s">
        <v>3641</v>
      </c>
      <c r="C1321" s="5" t="s">
        <v>3642</v>
      </c>
      <c r="D1321" s="5" t="s">
        <v>627</v>
      </c>
      <c r="E1321" s="8">
        <v>46266</v>
      </c>
      <c r="F1321" s="5" t="s">
        <v>587</v>
      </c>
      <c r="G1321" s="5" t="s">
        <v>588</v>
      </c>
      <c r="H1321" s="22">
        <v>2100000</v>
      </c>
      <c r="I1321" s="5" t="s">
        <v>589</v>
      </c>
      <c r="J1321" s="5" t="s">
        <v>590</v>
      </c>
      <c r="K1321" s="5" t="s">
        <v>545</v>
      </c>
      <c r="L1321" s="5" t="s">
        <v>149</v>
      </c>
      <c r="M1321" s="5" t="s">
        <v>581</v>
      </c>
      <c r="N1321" s="5"/>
      <c r="O1321" s="8"/>
      <c r="P1321" s="22"/>
      <c r="Q1321" s="5"/>
      <c r="R1321" s="5" t="s">
        <v>557</v>
      </c>
      <c r="S1321" s="5" t="s">
        <v>582</v>
      </c>
      <c r="T1321" s="8">
        <v>46298</v>
      </c>
    </row>
    <row r="1322" spans="1:20" ht="24" customHeight="1" x14ac:dyDescent="0.35">
      <c r="A1322" s="1" t="s">
        <v>3643</v>
      </c>
      <c r="B1322" s="1" t="s">
        <v>3644</v>
      </c>
      <c r="C1322" s="1" t="s">
        <v>374</v>
      </c>
      <c r="D1322" s="1" t="s">
        <v>408</v>
      </c>
      <c r="E1322" s="10">
        <v>46266</v>
      </c>
      <c r="F1322" s="1" t="s">
        <v>771</v>
      </c>
      <c r="G1322" s="1" t="s">
        <v>772</v>
      </c>
      <c r="H1322" s="23"/>
      <c r="I1322" s="1" t="s">
        <v>603</v>
      </c>
      <c r="J1322" s="1" t="s">
        <v>544</v>
      </c>
      <c r="K1322" s="1" t="s">
        <v>590</v>
      </c>
      <c r="L1322" s="1" t="s">
        <v>149</v>
      </c>
      <c r="M1322" s="1" t="s">
        <v>581</v>
      </c>
      <c r="N1322" s="1"/>
      <c r="O1322" s="10"/>
      <c r="P1322" s="23"/>
      <c r="Q1322" s="1" t="s">
        <v>773</v>
      </c>
      <c r="R1322" s="1" t="s">
        <v>557</v>
      </c>
      <c r="S1322" s="1" t="s">
        <v>582</v>
      </c>
      <c r="T1322" s="10">
        <v>46298</v>
      </c>
    </row>
    <row r="1323" spans="1:20" ht="24" customHeight="1" x14ac:dyDescent="0.35">
      <c r="A1323" s="5" t="s">
        <v>3645</v>
      </c>
      <c r="B1323" s="5" t="s">
        <v>3646</v>
      </c>
      <c r="C1323" s="5" t="s">
        <v>791</v>
      </c>
      <c r="D1323" s="5" t="s">
        <v>3451</v>
      </c>
      <c r="E1323" s="8">
        <v>46266</v>
      </c>
      <c r="F1323" s="5" t="s">
        <v>601</v>
      </c>
      <c r="G1323" s="5" t="s">
        <v>602</v>
      </c>
      <c r="H1323" s="22"/>
      <c r="I1323" s="5" t="s">
        <v>603</v>
      </c>
      <c r="J1323" s="5" t="s">
        <v>548</v>
      </c>
      <c r="K1323" s="5" t="s">
        <v>590</v>
      </c>
      <c r="L1323" s="5" t="s">
        <v>591</v>
      </c>
      <c r="M1323" s="5" t="s">
        <v>581</v>
      </c>
      <c r="N1323" s="5"/>
      <c r="O1323" s="8"/>
      <c r="P1323" s="22"/>
      <c r="Q1323" s="5"/>
      <c r="R1323" s="5" t="s">
        <v>557</v>
      </c>
      <c r="S1323" s="5" t="s">
        <v>582</v>
      </c>
      <c r="T1323" s="8">
        <v>46298</v>
      </c>
    </row>
    <row r="1324" spans="1:20" ht="24" customHeight="1" x14ac:dyDescent="0.35">
      <c r="A1324" s="1" t="s">
        <v>3647</v>
      </c>
      <c r="B1324" s="1" t="s">
        <v>3648</v>
      </c>
      <c r="C1324" s="1" t="s">
        <v>103</v>
      </c>
      <c r="D1324" s="1" t="s">
        <v>2245</v>
      </c>
      <c r="E1324" s="10">
        <v>46266</v>
      </c>
      <c r="F1324" s="1" t="s">
        <v>771</v>
      </c>
      <c r="G1324" s="1" t="s">
        <v>772</v>
      </c>
      <c r="H1324" s="23"/>
      <c r="I1324" s="1" t="s">
        <v>603</v>
      </c>
      <c r="J1324" s="1" t="s">
        <v>544</v>
      </c>
      <c r="K1324" s="1" t="s">
        <v>590</v>
      </c>
      <c r="L1324" s="1" t="s">
        <v>640</v>
      </c>
      <c r="M1324" s="1" t="s">
        <v>581</v>
      </c>
      <c r="N1324" s="1"/>
      <c r="O1324" s="10"/>
      <c r="P1324" s="23"/>
      <c r="Q1324" s="1" t="s">
        <v>773</v>
      </c>
      <c r="R1324" s="1" t="s">
        <v>557</v>
      </c>
      <c r="S1324" s="1" t="s">
        <v>582</v>
      </c>
      <c r="T1324" s="10">
        <v>46298</v>
      </c>
    </row>
    <row r="1325" spans="1:20" ht="24" customHeight="1" x14ac:dyDescent="0.35">
      <c r="A1325" s="5" t="s">
        <v>3649</v>
      </c>
      <c r="B1325" s="5" t="s">
        <v>3650</v>
      </c>
      <c r="C1325" s="5" t="s">
        <v>160</v>
      </c>
      <c r="D1325" s="5" t="s">
        <v>3651</v>
      </c>
      <c r="E1325" s="8">
        <v>46266</v>
      </c>
      <c r="F1325" s="5" t="s">
        <v>771</v>
      </c>
      <c r="G1325" s="5" t="s">
        <v>772</v>
      </c>
      <c r="H1325" s="22"/>
      <c r="I1325" s="5" t="s">
        <v>603</v>
      </c>
      <c r="J1325" s="5" t="s">
        <v>544</v>
      </c>
      <c r="K1325" s="5" t="s">
        <v>590</v>
      </c>
      <c r="L1325" s="5" t="s">
        <v>149</v>
      </c>
      <c r="M1325" s="5" t="s">
        <v>581</v>
      </c>
      <c r="N1325" s="5"/>
      <c r="O1325" s="8"/>
      <c r="P1325" s="22"/>
      <c r="Q1325" s="5" t="s">
        <v>773</v>
      </c>
      <c r="R1325" s="5" t="s">
        <v>557</v>
      </c>
      <c r="S1325" s="5" t="s">
        <v>582</v>
      </c>
      <c r="T1325" s="8">
        <v>46298</v>
      </c>
    </row>
    <row r="1326" spans="1:20" ht="24" customHeight="1" x14ac:dyDescent="0.35">
      <c r="A1326" s="1" t="s">
        <v>3652</v>
      </c>
      <c r="B1326" s="1" t="s">
        <v>3653</v>
      </c>
      <c r="C1326" s="1" t="s">
        <v>106</v>
      </c>
      <c r="D1326" s="1" t="s">
        <v>1223</v>
      </c>
      <c r="E1326" s="10">
        <v>46266</v>
      </c>
      <c r="F1326" s="1" t="s">
        <v>771</v>
      </c>
      <c r="G1326" s="1" t="s">
        <v>772</v>
      </c>
      <c r="H1326" s="23"/>
      <c r="I1326" s="1" t="s">
        <v>603</v>
      </c>
      <c r="J1326" s="1" t="s">
        <v>544</v>
      </c>
      <c r="K1326" s="1" t="s">
        <v>590</v>
      </c>
      <c r="L1326" s="1" t="s">
        <v>608</v>
      </c>
      <c r="M1326" s="1" t="s">
        <v>581</v>
      </c>
      <c r="N1326" s="1"/>
      <c r="O1326" s="10"/>
      <c r="P1326" s="23"/>
      <c r="Q1326" s="1" t="s">
        <v>773</v>
      </c>
      <c r="R1326" s="1" t="s">
        <v>557</v>
      </c>
      <c r="S1326" s="1" t="s">
        <v>582</v>
      </c>
      <c r="T1326" s="10">
        <v>46298</v>
      </c>
    </row>
    <row r="1327" spans="1:20" ht="24" customHeight="1" x14ac:dyDescent="0.35">
      <c r="A1327" s="5" t="s">
        <v>3654</v>
      </c>
      <c r="B1327" s="5" t="s">
        <v>3655</v>
      </c>
      <c r="C1327" s="5" t="s">
        <v>476</v>
      </c>
      <c r="D1327" s="5" t="s">
        <v>721</v>
      </c>
      <c r="E1327" s="8">
        <v>46266</v>
      </c>
      <c r="F1327" s="5" t="s">
        <v>771</v>
      </c>
      <c r="G1327" s="5" t="s">
        <v>772</v>
      </c>
      <c r="H1327" s="22"/>
      <c r="I1327" s="5" t="s">
        <v>603</v>
      </c>
      <c r="J1327" s="5" t="s">
        <v>590</v>
      </c>
      <c r="K1327" s="5" t="s">
        <v>547</v>
      </c>
      <c r="L1327" s="5" t="s">
        <v>640</v>
      </c>
      <c r="M1327" s="5" t="s">
        <v>581</v>
      </c>
      <c r="N1327" s="5"/>
      <c r="O1327" s="8"/>
      <c r="P1327" s="22"/>
      <c r="Q1327" s="5" t="s">
        <v>773</v>
      </c>
      <c r="R1327" s="5" t="s">
        <v>557</v>
      </c>
      <c r="S1327" s="5" t="s">
        <v>582</v>
      </c>
      <c r="T1327" s="8">
        <v>46298</v>
      </c>
    </row>
    <row r="1328" spans="1:20" ht="24" customHeight="1" x14ac:dyDescent="0.35">
      <c r="A1328" s="1" t="s">
        <v>3656</v>
      </c>
      <c r="B1328" s="1" t="s">
        <v>3657</v>
      </c>
      <c r="C1328" s="1" t="s">
        <v>198</v>
      </c>
      <c r="D1328" s="1" t="s">
        <v>119</v>
      </c>
      <c r="E1328" s="10">
        <v>46266</v>
      </c>
      <c r="F1328" s="1" t="s">
        <v>771</v>
      </c>
      <c r="G1328" s="1" t="s">
        <v>772</v>
      </c>
      <c r="H1328" s="23"/>
      <c r="I1328" s="1" t="s">
        <v>603</v>
      </c>
      <c r="J1328" s="1" t="s">
        <v>546</v>
      </c>
      <c r="K1328" s="1" t="s">
        <v>547</v>
      </c>
      <c r="L1328" s="1" t="s">
        <v>608</v>
      </c>
      <c r="M1328" s="1" t="s">
        <v>581</v>
      </c>
      <c r="N1328" s="1"/>
      <c r="O1328" s="10"/>
      <c r="P1328" s="23"/>
      <c r="Q1328" s="1" t="s">
        <v>1008</v>
      </c>
      <c r="R1328" s="1" t="s">
        <v>557</v>
      </c>
      <c r="S1328" s="1" t="s">
        <v>582</v>
      </c>
      <c r="T1328" s="10">
        <v>46298</v>
      </c>
    </row>
    <row r="1329" spans="1:20" ht="24" customHeight="1" x14ac:dyDescent="0.35">
      <c r="A1329" s="5" t="s">
        <v>3658</v>
      </c>
      <c r="B1329" s="5" t="s">
        <v>3659</v>
      </c>
      <c r="C1329" s="5" t="s">
        <v>176</v>
      </c>
      <c r="D1329" s="5" t="s">
        <v>856</v>
      </c>
      <c r="E1329" s="8">
        <v>46266</v>
      </c>
      <c r="F1329" s="5" t="s">
        <v>601</v>
      </c>
      <c r="G1329" s="5" t="s">
        <v>602</v>
      </c>
      <c r="H1329" s="22"/>
      <c r="I1329" s="5" t="s">
        <v>603</v>
      </c>
      <c r="J1329" s="5" t="s">
        <v>546</v>
      </c>
      <c r="K1329" s="5" t="s">
        <v>546</v>
      </c>
      <c r="L1329" s="5" t="s">
        <v>608</v>
      </c>
      <c r="M1329" s="5" t="s">
        <v>581</v>
      </c>
      <c r="N1329" s="5"/>
      <c r="O1329" s="8"/>
      <c r="P1329" s="22"/>
      <c r="Q1329" s="5"/>
      <c r="R1329" s="5" t="s">
        <v>557</v>
      </c>
      <c r="S1329" s="5" t="s">
        <v>582</v>
      </c>
      <c r="T1329" s="8">
        <v>46298</v>
      </c>
    </row>
    <row r="1330" spans="1:20" ht="24" customHeight="1" x14ac:dyDescent="0.35">
      <c r="A1330" s="1" t="s">
        <v>3660</v>
      </c>
      <c r="B1330" s="1" t="s">
        <v>3661</v>
      </c>
      <c r="C1330" s="1" t="s">
        <v>643</v>
      </c>
      <c r="D1330" s="1" t="s">
        <v>3662</v>
      </c>
      <c r="E1330" s="10">
        <v>46266</v>
      </c>
      <c r="F1330" s="1" t="s">
        <v>771</v>
      </c>
      <c r="G1330" s="1" t="s">
        <v>772</v>
      </c>
      <c r="H1330" s="23"/>
      <c r="I1330" s="1" t="s">
        <v>603</v>
      </c>
      <c r="J1330" s="1" t="s">
        <v>544</v>
      </c>
      <c r="K1330" s="1" t="s">
        <v>590</v>
      </c>
      <c r="L1330" s="1" t="s">
        <v>608</v>
      </c>
      <c r="M1330" s="1" t="s">
        <v>581</v>
      </c>
      <c r="N1330" s="1"/>
      <c r="O1330" s="10"/>
      <c r="P1330" s="23"/>
      <c r="Q1330" s="1" t="s">
        <v>773</v>
      </c>
      <c r="R1330" s="1" t="s">
        <v>557</v>
      </c>
      <c r="S1330" s="1" t="s">
        <v>582</v>
      </c>
      <c r="T1330" s="10">
        <v>46298</v>
      </c>
    </row>
    <row r="1331" spans="1:20" ht="24" customHeight="1" x14ac:dyDescent="0.35">
      <c r="A1331" s="5" t="s">
        <v>3663</v>
      </c>
      <c r="B1331" s="5" t="s">
        <v>3664</v>
      </c>
      <c r="C1331" s="5" t="s">
        <v>2070</v>
      </c>
      <c r="D1331" s="5" t="s">
        <v>1014</v>
      </c>
      <c r="E1331" s="8">
        <v>46266</v>
      </c>
      <c r="F1331" s="5" t="s">
        <v>587</v>
      </c>
      <c r="G1331" s="5" t="s">
        <v>588</v>
      </c>
      <c r="H1331" s="22">
        <v>3900000</v>
      </c>
      <c r="I1331" s="5" t="s">
        <v>589</v>
      </c>
      <c r="J1331" s="5" t="s">
        <v>590</v>
      </c>
      <c r="K1331" s="5" t="s">
        <v>545</v>
      </c>
      <c r="L1331" s="5" t="s">
        <v>149</v>
      </c>
      <c r="M1331" s="5" t="s">
        <v>581</v>
      </c>
      <c r="N1331" s="5"/>
      <c r="O1331" s="8"/>
      <c r="P1331" s="22"/>
      <c r="Q1331" s="5"/>
      <c r="R1331" s="5" t="s">
        <v>557</v>
      </c>
      <c r="S1331" s="5" t="s">
        <v>582</v>
      </c>
      <c r="T1331" s="8">
        <v>46298</v>
      </c>
    </row>
    <row r="1332" spans="1:20" ht="24" customHeight="1" x14ac:dyDescent="0.35">
      <c r="A1332" s="1" t="s">
        <v>3665</v>
      </c>
      <c r="B1332" s="1" t="s">
        <v>3666</v>
      </c>
      <c r="C1332" s="1" t="s">
        <v>2328</v>
      </c>
      <c r="D1332" s="1" t="s">
        <v>1163</v>
      </c>
      <c r="E1332" s="10">
        <v>46266</v>
      </c>
      <c r="F1332" s="1" t="s">
        <v>771</v>
      </c>
      <c r="G1332" s="1" t="s">
        <v>772</v>
      </c>
      <c r="H1332" s="23"/>
      <c r="I1332" s="1" t="s">
        <v>603</v>
      </c>
      <c r="J1332" s="1" t="s">
        <v>590</v>
      </c>
      <c r="K1332" s="1" t="s">
        <v>545</v>
      </c>
      <c r="L1332" s="1" t="s">
        <v>149</v>
      </c>
      <c r="M1332" s="1" t="s">
        <v>581</v>
      </c>
      <c r="N1332" s="1"/>
      <c r="O1332" s="10"/>
      <c r="P1332" s="23"/>
      <c r="Q1332" s="1" t="s">
        <v>773</v>
      </c>
      <c r="R1332" s="1" t="s">
        <v>557</v>
      </c>
      <c r="S1332" s="1" t="s">
        <v>582</v>
      </c>
      <c r="T1332" s="10">
        <v>46298</v>
      </c>
    </row>
    <row r="1333" spans="1:20" ht="24" customHeight="1" x14ac:dyDescent="0.35">
      <c r="A1333" s="5" t="s">
        <v>3667</v>
      </c>
      <c r="B1333" s="5" t="s">
        <v>3668</v>
      </c>
      <c r="C1333" s="5" t="s">
        <v>717</v>
      </c>
      <c r="D1333" s="5" t="s">
        <v>749</v>
      </c>
      <c r="E1333" s="8">
        <v>46217</v>
      </c>
      <c r="F1333" s="5" t="s">
        <v>578</v>
      </c>
      <c r="G1333" s="5" t="s">
        <v>579</v>
      </c>
      <c r="H1333" s="22"/>
      <c r="I1333" s="5" t="s">
        <v>580</v>
      </c>
      <c r="J1333" s="5" t="s">
        <v>547</v>
      </c>
      <c r="K1333" s="5" t="s">
        <v>547</v>
      </c>
      <c r="L1333" s="5" t="s">
        <v>172</v>
      </c>
      <c r="M1333" s="5" t="s">
        <v>581</v>
      </c>
      <c r="N1333" s="5"/>
      <c r="O1333" s="8"/>
      <c r="P1333" s="22"/>
      <c r="Q1333" s="5"/>
      <c r="R1333" s="5" t="s">
        <v>557</v>
      </c>
      <c r="S1333" s="5" t="s">
        <v>582</v>
      </c>
      <c r="T1333" s="8">
        <v>46298</v>
      </c>
    </row>
    <row r="1334" spans="1:20" ht="24" customHeight="1" x14ac:dyDescent="0.35">
      <c r="A1334" s="1" t="s">
        <v>3669</v>
      </c>
      <c r="B1334" s="1" t="s">
        <v>3670</v>
      </c>
      <c r="C1334" s="1" t="s">
        <v>3671</v>
      </c>
      <c r="D1334" s="1" t="s">
        <v>1157</v>
      </c>
      <c r="E1334" s="10">
        <v>46266</v>
      </c>
      <c r="F1334" s="1" t="s">
        <v>771</v>
      </c>
      <c r="G1334" s="1" t="s">
        <v>772</v>
      </c>
      <c r="H1334" s="23"/>
      <c r="I1334" s="1" t="s">
        <v>603</v>
      </c>
      <c r="J1334" s="1" t="s">
        <v>590</v>
      </c>
      <c r="K1334" s="1" t="s">
        <v>548</v>
      </c>
      <c r="L1334" s="1" t="s">
        <v>640</v>
      </c>
      <c r="M1334" s="1" t="s">
        <v>581</v>
      </c>
      <c r="N1334" s="1"/>
      <c r="O1334" s="10"/>
      <c r="P1334" s="23"/>
      <c r="Q1334" s="1" t="s">
        <v>1008</v>
      </c>
      <c r="R1334" s="1" t="s">
        <v>557</v>
      </c>
      <c r="S1334" s="1" t="s">
        <v>582</v>
      </c>
      <c r="T1334" s="10">
        <v>46298</v>
      </c>
    </row>
    <row r="1335" spans="1:20" ht="24" customHeight="1" x14ac:dyDescent="0.35">
      <c r="A1335" s="5" t="s">
        <v>3672</v>
      </c>
      <c r="B1335" s="5" t="s">
        <v>3673</v>
      </c>
      <c r="C1335" s="5" t="s">
        <v>91</v>
      </c>
      <c r="D1335" s="5" t="s">
        <v>767</v>
      </c>
      <c r="E1335" s="8">
        <v>46266</v>
      </c>
      <c r="F1335" s="5" t="s">
        <v>587</v>
      </c>
      <c r="G1335" s="5" t="s">
        <v>588</v>
      </c>
      <c r="H1335" s="22">
        <v>3000000</v>
      </c>
      <c r="I1335" s="5" t="s">
        <v>589</v>
      </c>
      <c r="J1335" s="5" t="s">
        <v>545</v>
      </c>
      <c r="K1335" s="5" t="s">
        <v>590</v>
      </c>
      <c r="L1335" s="5" t="s">
        <v>149</v>
      </c>
      <c r="M1335" s="5" t="s">
        <v>581</v>
      </c>
      <c r="N1335" s="5"/>
      <c r="O1335" s="8"/>
      <c r="P1335" s="22"/>
      <c r="Q1335" s="5"/>
      <c r="R1335" s="5" t="s">
        <v>557</v>
      </c>
      <c r="S1335" s="5" t="s">
        <v>582</v>
      </c>
      <c r="T1335" s="8">
        <v>46298</v>
      </c>
    </row>
    <row r="1336" spans="1:20" ht="24" customHeight="1" x14ac:dyDescent="0.35">
      <c r="A1336" s="1" t="s">
        <v>3674</v>
      </c>
      <c r="B1336" s="1" t="s">
        <v>3675</v>
      </c>
      <c r="C1336" s="1" t="s">
        <v>114</v>
      </c>
      <c r="D1336" s="1" t="s">
        <v>292</v>
      </c>
      <c r="E1336" s="10">
        <v>46266</v>
      </c>
      <c r="F1336" s="1" t="s">
        <v>587</v>
      </c>
      <c r="G1336" s="1" t="s">
        <v>588</v>
      </c>
      <c r="H1336" s="23">
        <v>3400000</v>
      </c>
      <c r="I1336" s="1" t="s">
        <v>589</v>
      </c>
      <c r="J1336" s="1" t="s">
        <v>545</v>
      </c>
      <c r="K1336" s="1" t="s">
        <v>544</v>
      </c>
      <c r="L1336" s="1" t="s">
        <v>608</v>
      </c>
      <c r="M1336" s="1" t="s">
        <v>581</v>
      </c>
      <c r="N1336" s="1"/>
      <c r="O1336" s="10"/>
      <c r="P1336" s="23"/>
      <c r="Q1336" s="1"/>
      <c r="R1336" s="1" t="s">
        <v>557</v>
      </c>
      <c r="S1336" s="1" t="s">
        <v>582</v>
      </c>
      <c r="T1336" s="10">
        <v>46298</v>
      </c>
    </row>
    <row r="1337" spans="1:20" ht="24" customHeight="1" x14ac:dyDescent="0.35">
      <c r="A1337" s="5" t="s">
        <v>3676</v>
      </c>
      <c r="B1337" s="5" t="s">
        <v>3677</v>
      </c>
      <c r="C1337" s="5" t="s">
        <v>651</v>
      </c>
      <c r="D1337" s="5" t="s">
        <v>448</v>
      </c>
      <c r="E1337" s="8">
        <v>46266</v>
      </c>
      <c r="F1337" s="5" t="s">
        <v>587</v>
      </c>
      <c r="G1337" s="5" t="s">
        <v>588</v>
      </c>
      <c r="H1337" s="22">
        <v>8500000</v>
      </c>
      <c r="I1337" s="5" t="s">
        <v>589</v>
      </c>
      <c r="J1337" s="5" t="s">
        <v>548</v>
      </c>
      <c r="K1337" s="5" t="s">
        <v>547</v>
      </c>
      <c r="L1337" s="5" t="s">
        <v>149</v>
      </c>
      <c r="M1337" s="5" t="s">
        <v>581</v>
      </c>
      <c r="N1337" s="5"/>
      <c r="O1337" s="8"/>
      <c r="P1337" s="22"/>
      <c r="Q1337" s="5"/>
      <c r="R1337" s="5" t="s">
        <v>557</v>
      </c>
      <c r="S1337" s="5" t="s">
        <v>582</v>
      </c>
      <c r="T1337" s="8">
        <v>46298</v>
      </c>
    </row>
    <row r="1338" spans="1:20" ht="24" customHeight="1" x14ac:dyDescent="0.35">
      <c r="A1338" s="1" t="s">
        <v>3678</v>
      </c>
      <c r="B1338" s="1" t="s">
        <v>3679</v>
      </c>
      <c r="C1338" s="1" t="s">
        <v>144</v>
      </c>
      <c r="D1338" s="1" t="s">
        <v>624</v>
      </c>
      <c r="E1338" s="10">
        <v>46266</v>
      </c>
      <c r="F1338" s="1" t="s">
        <v>771</v>
      </c>
      <c r="G1338" s="1" t="s">
        <v>772</v>
      </c>
      <c r="H1338" s="23"/>
      <c r="I1338" s="1" t="s">
        <v>603</v>
      </c>
      <c r="J1338" s="1" t="s">
        <v>590</v>
      </c>
      <c r="K1338" s="1" t="s">
        <v>547</v>
      </c>
      <c r="L1338" s="1" t="s">
        <v>608</v>
      </c>
      <c r="M1338" s="1" t="s">
        <v>581</v>
      </c>
      <c r="N1338" s="1"/>
      <c r="O1338" s="10"/>
      <c r="P1338" s="23"/>
      <c r="Q1338" s="1" t="s">
        <v>773</v>
      </c>
      <c r="R1338" s="1" t="s">
        <v>557</v>
      </c>
      <c r="S1338" s="1" t="s">
        <v>582</v>
      </c>
      <c r="T1338" s="10">
        <v>46298</v>
      </c>
    </row>
    <row r="1339" spans="1:20" ht="24" customHeight="1" x14ac:dyDescent="0.35">
      <c r="A1339" s="5" t="s">
        <v>3680</v>
      </c>
      <c r="B1339" s="5" t="s">
        <v>3681</v>
      </c>
      <c r="C1339" s="5" t="s">
        <v>614</v>
      </c>
      <c r="D1339" s="5" t="s">
        <v>878</v>
      </c>
      <c r="E1339" s="8">
        <v>46266</v>
      </c>
      <c r="F1339" s="5" t="s">
        <v>771</v>
      </c>
      <c r="G1339" s="5" t="s">
        <v>772</v>
      </c>
      <c r="H1339" s="22"/>
      <c r="I1339" s="5" t="s">
        <v>603</v>
      </c>
      <c r="J1339" s="5" t="s">
        <v>546</v>
      </c>
      <c r="K1339" s="5" t="s">
        <v>590</v>
      </c>
      <c r="L1339" s="5" t="s">
        <v>149</v>
      </c>
      <c r="M1339" s="5" t="s">
        <v>581</v>
      </c>
      <c r="N1339" s="5"/>
      <c r="O1339" s="8"/>
      <c r="P1339" s="22"/>
      <c r="Q1339" s="5" t="s">
        <v>773</v>
      </c>
      <c r="R1339" s="5" t="s">
        <v>557</v>
      </c>
      <c r="S1339" s="5" t="s">
        <v>582</v>
      </c>
      <c r="T1339" s="8">
        <v>46298</v>
      </c>
    </row>
    <row r="1340" spans="1:20" ht="24" customHeight="1" x14ac:dyDescent="0.35">
      <c r="A1340" s="1" t="s">
        <v>3682</v>
      </c>
      <c r="B1340" s="1" t="s">
        <v>3683</v>
      </c>
      <c r="C1340" s="1" t="s">
        <v>128</v>
      </c>
      <c r="D1340" s="1" t="s">
        <v>2975</v>
      </c>
      <c r="E1340" s="10">
        <v>46266</v>
      </c>
      <c r="F1340" s="1" t="s">
        <v>771</v>
      </c>
      <c r="G1340" s="1" t="s">
        <v>772</v>
      </c>
      <c r="H1340" s="23"/>
      <c r="I1340" s="1" t="s">
        <v>603</v>
      </c>
      <c r="J1340" s="1" t="s">
        <v>544</v>
      </c>
      <c r="K1340" s="1" t="s">
        <v>590</v>
      </c>
      <c r="L1340" s="1" t="s">
        <v>640</v>
      </c>
      <c r="M1340" s="1" t="s">
        <v>581</v>
      </c>
      <c r="N1340" s="1"/>
      <c r="O1340" s="10"/>
      <c r="P1340" s="23"/>
      <c r="Q1340" s="1" t="s">
        <v>773</v>
      </c>
      <c r="R1340" s="1" t="s">
        <v>557</v>
      </c>
      <c r="S1340" s="1" t="s">
        <v>582</v>
      </c>
      <c r="T1340" s="10">
        <v>46298</v>
      </c>
    </row>
    <row r="1341" spans="1:20" ht="24" customHeight="1" x14ac:dyDescent="0.35">
      <c r="A1341" s="5" t="s">
        <v>3684</v>
      </c>
      <c r="B1341" s="5" t="s">
        <v>3685</v>
      </c>
      <c r="C1341" s="5" t="s">
        <v>157</v>
      </c>
      <c r="D1341" s="5" t="s">
        <v>299</v>
      </c>
      <c r="E1341" s="8">
        <v>46266</v>
      </c>
      <c r="F1341" s="5" t="s">
        <v>587</v>
      </c>
      <c r="G1341" s="5" t="s">
        <v>588</v>
      </c>
      <c r="H1341" s="22">
        <v>4300000</v>
      </c>
      <c r="I1341" s="5" t="s">
        <v>589</v>
      </c>
      <c r="J1341" s="5" t="s">
        <v>546</v>
      </c>
      <c r="K1341" s="5" t="s">
        <v>546</v>
      </c>
      <c r="L1341" s="5" t="s">
        <v>608</v>
      </c>
      <c r="M1341" s="5" t="s">
        <v>581</v>
      </c>
      <c r="N1341" s="5"/>
      <c r="O1341" s="8"/>
      <c r="P1341" s="22"/>
      <c r="Q1341" s="5"/>
      <c r="R1341" s="5" t="s">
        <v>557</v>
      </c>
      <c r="S1341" s="5" t="s">
        <v>582</v>
      </c>
      <c r="T1341" s="8">
        <v>46298</v>
      </c>
    </row>
    <row r="1342" spans="1:20" ht="24" customHeight="1" x14ac:dyDescent="0.35">
      <c r="A1342" s="1" t="s">
        <v>3686</v>
      </c>
      <c r="B1342" s="1" t="s">
        <v>3687</v>
      </c>
      <c r="C1342" s="1" t="s">
        <v>3688</v>
      </c>
      <c r="D1342" s="1" t="s">
        <v>685</v>
      </c>
      <c r="E1342" s="10">
        <v>46129</v>
      </c>
      <c r="F1342" s="1" t="s">
        <v>601</v>
      </c>
      <c r="G1342" s="1" t="s">
        <v>602</v>
      </c>
      <c r="H1342" s="23"/>
      <c r="I1342" s="1" t="s">
        <v>603</v>
      </c>
      <c r="J1342" s="1" t="s">
        <v>590</v>
      </c>
      <c r="K1342" s="1" t="s">
        <v>547</v>
      </c>
      <c r="L1342" s="1" t="s">
        <v>640</v>
      </c>
      <c r="M1342" s="1" t="s">
        <v>581</v>
      </c>
      <c r="N1342" s="1"/>
      <c r="O1342" s="10"/>
      <c r="P1342" s="23"/>
      <c r="Q1342" s="1" t="s">
        <v>592</v>
      </c>
      <c r="R1342" s="1" t="s">
        <v>557</v>
      </c>
      <c r="S1342" s="1" t="s">
        <v>582</v>
      </c>
      <c r="T1342" s="10">
        <v>46298</v>
      </c>
    </row>
    <row r="1343" spans="1:20" ht="24" customHeight="1" x14ac:dyDescent="0.35">
      <c r="A1343" s="5" t="s">
        <v>3689</v>
      </c>
      <c r="B1343" s="5" t="s">
        <v>3690</v>
      </c>
      <c r="C1343" s="5" t="s">
        <v>685</v>
      </c>
      <c r="D1343" s="5" t="s">
        <v>2065</v>
      </c>
      <c r="E1343" s="8">
        <v>46246</v>
      </c>
      <c r="F1343" s="5" t="s">
        <v>771</v>
      </c>
      <c r="G1343" s="5" t="s">
        <v>772</v>
      </c>
      <c r="H1343" s="22"/>
      <c r="I1343" s="5" t="s">
        <v>603</v>
      </c>
      <c r="J1343" s="5" t="s">
        <v>547</v>
      </c>
      <c r="K1343" s="5" t="s">
        <v>590</v>
      </c>
      <c r="L1343" s="5" t="s">
        <v>608</v>
      </c>
      <c r="M1343" s="5" t="s">
        <v>581</v>
      </c>
      <c r="N1343" s="5"/>
      <c r="O1343" s="8"/>
      <c r="P1343" s="22"/>
      <c r="Q1343" s="5" t="s">
        <v>773</v>
      </c>
      <c r="R1343" s="5" t="s">
        <v>557</v>
      </c>
      <c r="S1343" s="5" t="s">
        <v>582</v>
      </c>
      <c r="T1343" s="8">
        <v>46298</v>
      </c>
    </row>
    <row r="1344" spans="1:20" ht="24" customHeight="1" x14ac:dyDescent="0.35">
      <c r="A1344" s="1" t="s">
        <v>3691</v>
      </c>
      <c r="B1344" s="1" t="s">
        <v>3692</v>
      </c>
      <c r="C1344" s="1" t="s">
        <v>160</v>
      </c>
      <c r="D1344" s="1" t="s">
        <v>1083</v>
      </c>
      <c r="E1344" s="10">
        <v>46266</v>
      </c>
      <c r="F1344" s="1" t="s">
        <v>587</v>
      </c>
      <c r="G1344" s="1" t="s">
        <v>588</v>
      </c>
      <c r="H1344" s="23">
        <v>13000000</v>
      </c>
      <c r="I1344" s="1" t="s">
        <v>589</v>
      </c>
      <c r="J1344" s="1" t="s">
        <v>544</v>
      </c>
      <c r="K1344" s="1" t="s">
        <v>544</v>
      </c>
      <c r="L1344" s="1" t="s">
        <v>608</v>
      </c>
      <c r="M1344" s="1" t="s">
        <v>581</v>
      </c>
      <c r="N1344" s="1"/>
      <c r="O1344" s="10"/>
      <c r="P1344" s="23"/>
      <c r="Q1344" s="1"/>
      <c r="R1344" s="1" t="s">
        <v>557</v>
      </c>
      <c r="S1344" s="1" t="s">
        <v>582</v>
      </c>
      <c r="T1344" s="10">
        <v>46298</v>
      </c>
    </row>
    <row r="1345" spans="1:20" ht="24" customHeight="1" x14ac:dyDescent="0.35">
      <c r="A1345" s="5" t="s">
        <v>3693</v>
      </c>
      <c r="B1345" s="5" t="s">
        <v>3694</v>
      </c>
      <c r="C1345" s="5" t="s">
        <v>685</v>
      </c>
      <c r="D1345" s="5" t="s">
        <v>1949</v>
      </c>
      <c r="E1345" s="8">
        <v>46231</v>
      </c>
      <c r="F1345" s="5" t="s">
        <v>587</v>
      </c>
      <c r="G1345" s="5" t="s">
        <v>588</v>
      </c>
      <c r="H1345" s="22">
        <v>2000000</v>
      </c>
      <c r="I1345" s="5" t="s">
        <v>589</v>
      </c>
      <c r="J1345" s="5" t="s">
        <v>547</v>
      </c>
      <c r="K1345" s="5" t="s">
        <v>590</v>
      </c>
      <c r="L1345" s="5" t="s">
        <v>149</v>
      </c>
      <c r="M1345" s="5" t="s">
        <v>581</v>
      </c>
      <c r="N1345" s="5"/>
      <c r="O1345" s="8"/>
      <c r="P1345" s="22"/>
      <c r="Q1345" s="5"/>
      <c r="R1345" s="5" t="s">
        <v>557</v>
      </c>
      <c r="S1345" s="5" t="s">
        <v>582</v>
      </c>
      <c r="T1345" s="8">
        <v>46298</v>
      </c>
    </row>
    <row r="1346" spans="1:20" ht="24" customHeight="1" x14ac:dyDescent="0.35">
      <c r="A1346" s="1" t="s">
        <v>3695</v>
      </c>
      <c r="B1346" s="1" t="s">
        <v>3696</v>
      </c>
      <c r="C1346" s="1" t="s">
        <v>103</v>
      </c>
      <c r="D1346" s="1" t="s">
        <v>643</v>
      </c>
      <c r="E1346" s="10">
        <v>46266</v>
      </c>
      <c r="F1346" s="1" t="s">
        <v>771</v>
      </c>
      <c r="G1346" s="1" t="s">
        <v>772</v>
      </c>
      <c r="H1346" s="23"/>
      <c r="I1346" s="1" t="s">
        <v>603</v>
      </c>
      <c r="J1346" s="1" t="s">
        <v>544</v>
      </c>
      <c r="K1346" s="1" t="s">
        <v>544</v>
      </c>
      <c r="L1346" s="1" t="s">
        <v>591</v>
      </c>
      <c r="M1346" s="1" t="s">
        <v>581</v>
      </c>
      <c r="N1346" s="1"/>
      <c r="O1346" s="10"/>
      <c r="P1346" s="23"/>
      <c r="Q1346" s="1" t="s">
        <v>773</v>
      </c>
      <c r="R1346" s="1" t="s">
        <v>557</v>
      </c>
      <c r="S1346" s="1" t="s">
        <v>582</v>
      </c>
      <c r="T1346" s="10">
        <v>46298</v>
      </c>
    </row>
    <row r="1347" spans="1:20" ht="24" customHeight="1" x14ac:dyDescent="0.35">
      <c r="A1347" s="5" t="s">
        <v>3697</v>
      </c>
      <c r="B1347" s="5" t="s">
        <v>3698</v>
      </c>
      <c r="C1347" s="5" t="s">
        <v>448</v>
      </c>
      <c r="D1347" s="5" t="s">
        <v>292</v>
      </c>
      <c r="E1347" s="8">
        <v>46266</v>
      </c>
      <c r="F1347" s="5" t="s">
        <v>771</v>
      </c>
      <c r="G1347" s="5" t="s">
        <v>772</v>
      </c>
      <c r="H1347" s="22"/>
      <c r="I1347" s="5" t="s">
        <v>603</v>
      </c>
      <c r="J1347" s="5" t="s">
        <v>547</v>
      </c>
      <c r="K1347" s="5" t="s">
        <v>544</v>
      </c>
      <c r="L1347" s="5" t="s">
        <v>608</v>
      </c>
      <c r="M1347" s="5" t="s">
        <v>581</v>
      </c>
      <c r="N1347" s="5"/>
      <c r="O1347" s="8"/>
      <c r="P1347" s="22"/>
      <c r="Q1347" s="5" t="s">
        <v>773</v>
      </c>
      <c r="R1347" s="5" t="s">
        <v>557</v>
      </c>
      <c r="S1347" s="5" t="s">
        <v>582</v>
      </c>
      <c r="T1347" s="8">
        <v>46298</v>
      </c>
    </row>
    <row r="1348" spans="1:20" ht="24" customHeight="1" x14ac:dyDescent="0.35">
      <c r="A1348" s="1" t="s">
        <v>3699</v>
      </c>
      <c r="B1348" s="1" t="s">
        <v>3700</v>
      </c>
      <c r="C1348" s="1" t="s">
        <v>91</v>
      </c>
      <c r="D1348" s="1" t="s">
        <v>620</v>
      </c>
      <c r="E1348" s="10">
        <v>46266</v>
      </c>
      <c r="F1348" s="1" t="s">
        <v>771</v>
      </c>
      <c r="G1348" s="1" t="s">
        <v>772</v>
      </c>
      <c r="H1348" s="23"/>
      <c r="I1348" s="1" t="s">
        <v>603</v>
      </c>
      <c r="J1348" s="1" t="s">
        <v>545</v>
      </c>
      <c r="K1348" s="1" t="s">
        <v>546</v>
      </c>
      <c r="L1348" s="1" t="s">
        <v>640</v>
      </c>
      <c r="M1348" s="1" t="s">
        <v>581</v>
      </c>
      <c r="N1348" s="1"/>
      <c r="O1348" s="10"/>
      <c r="P1348" s="23"/>
      <c r="Q1348" s="1" t="s">
        <v>1008</v>
      </c>
      <c r="R1348" s="1" t="s">
        <v>557</v>
      </c>
      <c r="S1348" s="1" t="s">
        <v>582</v>
      </c>
      <c r="T1348" s="10">
        <v>46298</v>
      </c>
    </row>
    <row r="1349" spans="1:20" ht="24" customHeight="1" x14ac:dyDescent="0.35">
      <c r="A1349" s="5" t="s">
        <v>3701</v>
      </c>
      <c r="B1349" s="5" t="s">
        <v>121</v>
      </c>
      <c r="C1349" s="5" t="s">
        <v>355</v>
      </c>
      <c r="D1349" s="5" t="s">
        <v>160</v>
      </c>
      <c r="E1349" s="8">
        <v>46266</v>
      </c>
      <c r="F1349" s="5" t="s">
        <v>771</v>
      </c>
      <c r="G1349" s="5" t="s">
        <v>772</v>
      </c>
      <c r="H1349" s="22"/>
      <c r="I1349" s="5" t="s">
        <v>603</v>
      </c>
      <c r="J1349" s="5" t="s">
        <v>544</v>
      </c>
      <c r="K1349" s="5" t="s">
        <v>544</v>
      </c>
      <c r="L1349" s="5" t="s">
        <v>591</v>
      </c>
      <c r="M1349" s="5" t="s">
        <v>581</v>
      </c>
      <c r="N1349" s="5"/>
      <c r="O1349" s="8"/>
      <c r="P1349" s="22"/>
      <c r="Q1349" s="5" t="s">
        <v>773</v>
      </c>
      <c r="R1349" s="5" t="s">
        <v>557</v>
      </c>
      <c r="S1349" s="5" t="s">
        <v>582</v>
      </c>
      <c r="T1349" s="8">
        <v>46298</v>
      </c>
    </row>
    <row r="1350" spans="1:20" ht="24" customHeight="1" x14ac:dyDescent="0.35">
      <c r="A1350" s="1" t="s">
        <v>3702</v>
      </c>
      <c r="B1350" s="1" t="s">
        <v>3703</v>
      </c>
      <c r="C1350" s="1" t="s">
        <v>142</v>
      </c>
      <c r="D1350" s="1" t="s">
        <v>756</v>
      </c>
      <c r="E1350" s="10">
        <v>46186</v>
      </c>
      <c r="F1350" s="1" t="s">
        <v>1477</v>
      </c>
      <c r="G1350" s="1" t="s">
        <v>772</v>
      </c>
      <c r="H1350" s="23"/>
      <c r="I1350" s="1" t="s">
        <v>603</v>
      </c>
      <c r="J1350" s="1" t="s">
        <v>547</v>
      </c>
      <c r="K1350" s="1" t="s">
        <v>590</v>
      </c>
      <c r="L1350" s="1" t="s">
        <v>608</v>
      </c>
      <c r="M1350" s="1" t="s">
        <v>581</v>
      </c>
      <c r="N1350" s="1"/>
      <c r="O1350" s="10"/>
      <c r="P1350" s="23"/>
      <c r="Q1350" s="1"/>
      <c r="R1350" s="1" t="s">
        <v>557</v>
      </c>
      <c r="S1350" s="1" t="s">
        <v>582</v>
      </c>
      <c r="T1350" s="10">
        <v>46298</v>
      </c>
    </row>
    <row r="1351" spans="1:20" ht="24" customHeight="1" x14ac:dyDescent="0.35">
      <c r="A1351" s="5" t="s">
        <v>3704</v>
      </c>
      <c r="B1351" s="5" t="s">
        <v>3705</v>
      </c>
      <c r="C1351" s="5" t="s">
        <v>174</v>
      </c>
      <c r="D1351" s="5" t="s">
        <v>1727</v>
      </c>
      <c r="E1351" s="8">
        <v>46266</v>
      </c>
      <c r="F1351" s="5" t="s">
        <v>771</v>
      </c>
      <c r="G1351" s="5" t="s">
        <v>772</v>
      </c>
      <c r="H1351" s="22"/>
      <c r="I1351" s="5" t="s">
        <v>603</v>
      </c>
      <c r="J1351" s="5" t="s">
        <v>546</v>
      </c>
      <c r="K1351" s="5" t="s">
        <v>545</v>
      </c>
      <c r="L1351" s="5" t="s">
        <v>608</v>
      </c>
      <c r="M1351" s="5" t="s">
        <v>581</v>
      </c>
      <c r="N1351" s="5"/>
      <c r="O1351" s="8"/>
      <c r="P1351" s="22"/>
      <c r="Q1351" s="5" t="s">
        <v>773</v>
      </c>
      <c r="R1351" s="5" t="s">
        <v>557</v>
      </c>
      <c r="S1351" s="5" t="s">
        <v>582</v>
      </c>
      <c r="T1351" s="8">
        <v>46298</v>
      </c>
    </row>
    <row r="1352" spans="1:20" ht="24" customHeight="1" x14ac:dyDescent="0.35">
      <c r="A1352" s="1" t="s">
        <v>3706</v>
      </c>
      <c r="B1352" s="1" t="s">
        <v>3707</v>
      </c>
      <c r="C1352" s="1" t="s">
        <v>142</v>
      </c>
      <c r="D1352" s="1" t="s">
        <v>655</v>
      </c>
      <c r="E1352" s="10">
        <v>46261</v>
      </c>
      <c r="F1352" s="1" t="s">
        <v>587</v>
      </c>
      <c r="G1352" s="1" t="s">
        <v>588</v>
      </c>
      <c r="H1352" s="23">
        <v>4500000</v>
      </c>
      <c r="I1352" s="1" t="s">
        <v>589</v>
      </c>
      <c r="J1352" s="1" t="s">
        <v>547</v>
      </c>
      <c r="K1352" s="1" t="s">
        <v>590</v>
      </c>
      <c r="L1352" s="1" t="s">
        <v>591</v>
      </c>
      <c r="M1352" s="1" t="s">
        <v>581</v>
      </c>
      <c r="N1352" s="1"/>
      <c r="O1352" s="10"/>
      <c r="P1352" s="23"/>
      <c r="Q1352" s="1"/>
      <c r="R1352" s="1" t="s">
        <v>557</v>
      </c>
      <c r="S1352" s="1" t="s">
        <v>582</v>
      </c>
      <c r="T1352" s="10">
        <v>46298</v>
      </c>
    </row>
    <row r="1353" spans="1:20" ht="24" customHeight="1" x14ac:dyDescent="0.35">
      <c r="A1353" s="5" t="s">
        <v>3708</v>
      </c>
      <c r="B1353" s="5" t="s">
        <v>3709</v>
      </c>
      <c r="C1353" s="5" t="s">
        <v>1034</v>
      </c>
      <c r="D1353" s="5" t="s">
        <v>1083</v>
      </c>
      <c r="E1353" s="8">
        <v>46266</v>
      </c>
      <c r="F1353" s="5" t="s">
        <v>587</v>
      </c>
      <c r="G1353" s="5" t="s">
        <v>588</v>
      </c>
      <c r="H1353" s="22">
        <v>12000000</v>
      </c>
      <c r="I1353" s="5" t="s">
        <v>589</v>
      </c>
      <c r="J1353" s="5" t="s">
        <v>546</v>
      </c>
      <c r="K1353" s="5" t="s">
        <v>544</v>
      </c>
      <c r="L1353" s="5" t="s">
        <v>149</v>
      </c>
      <c r="M1353" s="5" t="s">
        <v>581</v>
      </c>
      <c r="N1353" s="5"/>
      <c r="O1353" s="8"/>
      <c r="P1353" s="22"/>
      <c r="Q1353" s="5"/>
      <c r="R1353" s="5" t="s">
        <v>557</v>
      </c>
      <c r="S1353" s="5" t="s">
        <v>582</v>
      </c>
      <c r="T1353" s="8">
        <v>46298</v>
      </c>
    </row>
    <row r="1354" spans="1:20" ht="24" customHeight="1" x14ac:dyDescent="0.35">
      <c r="A1354" s="1" t="s">
        <v>3710</v>
      </c>
      <c r="B1354" s="1" t="s">
        <v>3711</v>
      </c>
      <c r="C1354" s="1" t="s">
        <v>1083</v>
      </c>
      <c r="D1354" s="1" t="s">
        <v>1034</v>
      </c>
      <c r="E1354" s="10">
        <v>46266</v>
      </c>
      <c r="F1354" s="1" t="s">
        <v>587</v>
      </c>
      <c r="G1354" s="1" t="s">
        <v>588</v>
      </c>
      <c r="H1354" s="23">
        <v>3850000</v>
      </c>
      <c r="I1354" s="1" t="s">
        <v>589</v>
      </c>
      <c r="J1354" s="1" t="s">
        <v>544</v>
      </c>
      <c r="K1354" s="1" t="s">
        <v>546</v>
      </c>
      <c r="L1354" s="1" t="s">
        <v>149</v>
      </c>
      <c r="M1354" s="1" t="s">
        <v>581</v>
      </c>
      <c r="N1354" s="1"/>
      <c r="O1354" s="10"/>
      <c r="P1354" s="23"/>
      <c r="Q1354" s="1"/>
      <c r="R1354" s="1" t="s">
        <v>557</v>
      </c>
      <c r="S1354" s="1" t="s">
        <v>582</v>
      </c>
      <c r="T1354" s="10">
        <v>46298</v>
      </c>
    </row>
    <row r="1355" spans="1:20" ht="24" customHeight="1" x14ac:dyDescent="0.35">
      <c r="A1355" s="5" t="s">
        <v>3712</v>
      </c>
      <c r="B1355" s="5" t="s">
        <v>3713</v>
      </c>
      <c r="C1355" s="5" t="s">
        <v>684</v>
      </c>
      <c r="D1355" s="5" t="s">
        <v>401</v>
      </c>
      <c r="E1355" s="8">
        <v>46204</v>
      </c>
      <c r="F1355" s="5" t="s">
        <v>587</v>
      </c>
      <c r="G1355" s="5" t="s">
        <v>588</v>
      </c>
      <c r="H1355" s="22">
        <v>16700000</v>
      </c>
      <c r="I1355" s="5" t="s">
        <v>589</v>
      </c>
      <c r="J1355" s="5" t="s">
        <v>590</v>
      </c>
      <c r="K1355" s="5" t="s">
        <v>547</v>
      </c>
      <c r="L1355" s="5" t="s">
        <v>149</v>
      </c>
      <c r="M1355" s="5" t="s">
        <v>581</v>
      </c>
      <c r="N1355" s="5"/>
      <c r="O1355" s="8"/>
      <c r="P1355" s="22"/>
      <c r="Q1355" s="5"/>
      <c r="R1355" s="5" t="s">
        <v>557</v>
      </c>
      <c r="S1355" s="5" t="s">
        <v>582</v>
      </c>
      <c r="T1355" s="8">
        <v>46298</v>
      </c>
    </row>
    <row r="1356" spans="1:20" ht="24" customHeight="1" x14ac:dyDescent="0.35">
      <c r="A1356" s="1" t="s">
        <v>3714</v>
      </c>
      <c r="B1356" s="1" t="s">
        <v>3715</v>
      </c>
      <c r="C1356" s="1" t="s">
        <v>3115</v>
      </c>
      <c r="D1356" s="1" t="s">
        <v>401</v>
      </c>
      <c r="E1356" s="10">
        <v>46204</v>
      </c>
      <c r="F1356" s="1" t="s">
        <v>587</v>
      </c>
      <c r="G1356" s="1" t="s">
        <v>588</v>
      </c>
      <c r="H1356" s="23">
        <v>3000000</v>
      </c>
      <c r="I1356" s="1" t="s">
        <v>589</v>
      </c>
      <c r="J1356" s="1" t="s">
        <v>590</v>
      </c>
      <c r="K1356" s="1" t="s">
        <v>547</v>
      </c>
      <c r="L1356" s="1" t="s">
        <v>608</v>
      </c>
      <c r="M1356" s="1" t="s">
        <v>581</v>
      </c>
      <c r="N1356" s="1"/>
      <c r="O1356" s="10"/>
      <c r="P1356" s="23"/>
      <c r="Q1356" s="1"/>
      <c r="R1356" s="1" t="s">
        <v>557</v>
      </c>
      <c r="S1356" s="1" t="s">
        <v>582</v>
      </c>
      <c r="T1356" s="10">
        <v>46298</v>
      </c>
    </row>
    <row r="1357" spans="1:20" ht="24" customHeight="1" x14ac:dyDescent="0.35">
      <c r="A1357" s="5" t="s">
        <v>3716</v>
      </c>
      <c r="B1357" s="5" t="s">
        <v>3717</v>
      </c>
      <c r="C1357" s="5" t="s">
        <v>401</v>
      </c>
      <c r="D1357" s="5" t="s">
        <v>794</v>
      </c>
      <c r="E1357" s="8">
        <v>46262</v>
      </c>
      <c r="F1357" s="5" t="s">
        <v>771</v>
      </c>
      <c r="G1357" s="5" t="s">
        <v>772</v>
      </c>
      <c r="H1357" s="22"/>
      <c r="I1357" s="5" t="s">
        <v>603</v>
      </c>
      <c r="J1357" s="5" t="s">
        <v>547</v>
      </c>
      <c r="K1357" s="5" t="s">
        <v>590</v>
      </c>
      <c r="L1357" s="5" t="s">
        <v>149</v>
      </c>
      <c r="M1357" s="5" t="s">
        <v>581</v>
      </c>
      <c r="N1357" s="5"/>
      <c r="O1357" s="8"/>
      <c r="P1357" s="22"/>
      <c r="Q1357" s="5" t="s">
        <v>773</v>
      </c>
      <c r="R1357" s="5" t="s">
        <v>557</v>
      </c>
      <c r="S1357" s="5" t="s">
        <v>582</v>
      </c>
      <c r="T1357" s="8">
        <v>46298</v>
      </c>
    </row>
    <row r="1358" spans="1:20" ht="24" customHeight="1" x14ac:dyDescent="0.35">
      <c r="A1358" s="1" t="s">
        <v>3718</v>
      </c>
      <c r="B1358" s="1" t="s">
        <v>3719</v>
      </c>
      <c r="C1358" s="1" t="s">
        <v>868</v>
      </c>
      <c r="D1358" s="1" t="s">
        <v>1378</v>
      </c>
      <c r="E1358" s="10">
        <v>46266</v>
      </c>
      <c r="F1358" s="1" t="s">
        <v>587</v>
      </c>
      <c r="G1358" s="1" t="s">
        <v>588</v>
      </c>
      <c r="H1358" s="23">
        <v>4700000</v>
      </c>
      <c r="I1358" s="1" t="s">
        <v>589</v>
      </c>
      <c r="J1358" s="1" t="s">
        <v>545</v>
      </c>
      <c r="K1358" s="1" t="s">
        <v>545</v>
      </c>
      <c r="L1358" s="1" t="s">
        <v>591</v>
      </c>
      <c r="M1358" s="1" t="s">
        <v>581</v>
      </c>
      <c r="N1358" s="1"/>
      <c r="O1358" s="10"/>
      <c r="P1358" s="23"/>
      <c r="Q1358" s="1"/>
      <c r="R1358" s="1" t="s">
        <v>557</v>
      </c>
      <c r="S1358" s="1" t="s">
        <v>582</v>
      </c>
      <c r="T1358" s="10">
        <v>46298</v>
      </c>
    </row>
    <row r="1359" spans="1:20" ht="24" customHeight="1" x14ac:dyDescent="0.35">
      <c r="A1359" s="5" t="s">
        <v>3720</v>
      </c>
      <c r="B1359" s="5" t="s">
        <v>3721</v>
      </c>
      <c r="C1359" s="5" t="s">
        <v>401</v>
      </c>
      <c r="D1359" s="5" t="s">
        <v>3506</v>
      </c>
      <c r="E1359" s="8">
        <v>46206</v>
      </c>
      <c r="F1359" s="5" t="s">
        <v>587</v>
      </c>
      <c r="G1359" s="5" t="s">
        <v>588</v>
      </c>
      <c r="H1359" s="22">
        <v>400000</v>
      </c>
      <c r="I1359" s="5" t="s">
        <v>589</v>
      </c>
      <c r="J1359" s="5" t="s">
        <v>547</v>
      </c>
      <c r="K1359" s="5" t="s">
        <v>590</v>
      </c>
      <c r="L1359" s="5" t="s">
        <v>591</v>
      </c>
      <c r="M1359" s="5" t="s">
        <v>581</v>
      </c>
      <c r="N1359" s="5"/>
      <c r="O1359" s="8"/>
      <c r="P1359" s="22"/>
      <c r="Q1359" s="5"/>
      <c r="R1359" s="5" t="s">
        <v>557</v>
      </c>
      <c r="S1359" s="5" t="s">
        <v>582</v>
      </c>
      <c r="T1359" s="8">
        <v>46298</v>
      </c>
    </row>
    <row r="1360" spans="1:20" ht="24" customHeight="1" x14ac:dyDescent="0.35">
      <c r="A1360" s="1" t="s">
        <v>3722</v>
      </c>
      <c r="B1360" s="1" t="s">
        <v>201</v>
      </c>
      <c r="C1360" s="1" t="s">
        <v>1004</v>
      </c>
      <c r="D1360" s="1" t="s">
        <v>627</v>
      </c>
      <c r="E1360" s="10">
        <v>46266</v>
      </c>
      <c r="F1360" s="1" t="s">
        <v>771</v>
      </c>
      <c r="G1360" s="1" t="s">
        <v>772</v>
      </c>
      <c r="H1360" s="23"/>
      <c r="I1360" s="1" t="s">
        <v>603</v>
      </c>
      <c r="J1360" s="1" t="s">
        <v>545</v>
      </c>
      <c r="K1360" s="1" t="s">
        <v>545</v>
      </c>
      <c r="L1360" s="1" t="s">
        <v>608</v>
      </c>
      <c r="M1360" s="1" t="s">
        <v>581</v>
      </c>
      <c r="N1360" s="1"/>
      <c r="O1360" s="10"/>
      <c r="P1360" s="23"/>
      <c r="Q1360" s="1" t="s">
        <v>773</v>
      </c>
      <c r="R1360" s="1" t="s">
        <v>557</v>
      </c>
      <c r="S1360" s="1" t="s">
        <v>582</v>
      </c>
      <c r="T1360" s="10">
        <v>46298</v>
      </c>
    </row>
    <row r="1361" spans="1:20" ht="24" customHeight="1" x14ac:dyDescent="0.35">
      <c r="A1361" s="5" t="s">
        <v>3723</v>
      </c>
      <c r="B1361" s="5" t="s">
        <v>3724</v>
      </c>
      <c r="C1361" s="5" t="s">
        <v>1184</v>
      </c>
      <c r="D1361" s="5" t="s">
        <v>743</v>
      </c>
      <c r="E1361" s="8">
        <v>46266</v>
      </c>
      <c r="F1361" s="5" t="s">
        <v>771</v>
      </c>
      <c r="G1361" s="5" t="s">
        <v>772</v>
      </c>
      <c r="H1361" s="22"/>
      <c r="I1361" s="5" t="s">
        <v>603</v>
      </c>
      <c r="J1361" s="5" t="s">
        <v>546</v>
      </c>
      <c r="K1361" s="5" t="s">
        <v>545</v>
      </c>
      <c r="L1361" s="5" t="s">
        <v>640</v>
      </c>
      <c r="M1361" s="5" t="s">
        <v>581</v>
      </c>
      <c r="N1361" s="5"/>
      <c r="O1361" s="8"/>
      <c r="P1361" s="22"/>
      <c r="Q1361" s="5" t="s">
        <v>773</v>
      </c>
      <c r="R1361" s="5" t="s">
        <v>557</v>
      </c>
      <c r="S1361" s="5" t="s">
        <v>582</v>
      </c>
      <c r="T1361" s="8">
        <v>46298</v>
      </c>
    </row>
    <row r="1362" spans="1:20" ht="24" customHeight="1" x14ac:dyDescent="0.35">
      <c r="A1362" s="1" t="s">
        <v>3725</v>
      </c>
      <c r="B1362" s="1" t="s">
        <v>3726</v>
      </c>
      <c r="C1362" s="1" t="s">
        <v>401</v>
      </c>
      <c r="D1362" s="1" t="s">
        <v>3727</v>
      </c>
      <c r="E1362" s="10">
        <v>46208</v>
      </c>
      <c r="F1362" s="1" t="s">
        <v>578</v>
      </c>
      <c r="G1362" s="1" t="s">
        <v>579</v>
      </c>
      <c r="H1362" s="23"/>
      <c r="I1362" s="1" t="s">
        <v>580</v>
      </c>
      <c r="J1362" s="1" t="s">
        <v>547</v>
      </c>
      <c r="K1362" s="1" t="s">
        <v>590</v>
      </c>
      <c r="L1362" s="1" t="s">
        <v>149</v>
      </c>
      <c r="M1362" s="1" t="s">
        <v>581</v>
      </c>
      <c r="N1362" s="1"/>
      <c r="O1362" s="10"/>
      <c r="P1362" s="23"/>
      <c r="Q1362" s="1"/>
      <c r="R1362" s="1" t="s">
        <v>557</v>
      </c>
      <c r="S1362" s="1" t="s">
        <v>582</v>
      </c>
      <c r="T1362" s="10">
        <v>46298</v>
      </c>
    </row>
    <row r="1363" spans="1:20" ht="24" customHeight="1" x14ac:dyDescent="0.35">
      <c r="A1363" s="5" t="s">
        <v>3728</v>
      </c>
      <c r="B1363" s="5" t="s">
        <v>3729</v>
      </c>
      <c r="C1363" s="5" t="s">
        <v>160</v>
      </c>
      <c r="D1363" s="5" t="s">
        <v>299</v>
      </c>
      <c r="E1363" s="8">
        <v>46266</v>
      </c>
      <c r="F1363" s="5" t="s">
        <v>578</v>
      </c>
      <c r="G1363" s="5" t="s">
        <v>579</v>
      </c>
      <c r="H1363" s="22"/>
      <c r="I1363" s="5" t="s">
        <v>580</v>
      </c>
      <c r="J1363" s="5" t="s">
        <v>544</v>
      </c>
      <c r="K1363" s="5" t="s">
        <v>546</v>
      </c>
      <c r="L1363" s="5" t="s">
        <v>149</v>
      </c>
      <c r="M1363" s="5" t="s">
        <v>581</v>
      </c>
      <c r="N1363" s="5"/>
      <c r="O1363" s="8"/>
      <c r="P1363" s="22"/>
      <c r="Q1363" s="5"/>
      <c r="R1363" s="5" t="s">
        <v>557</v>
      </c>
      <c r="S1363" s="5" t="s">
        <v>582</v>
      </c>
      <c r="T1363" s="8">
        <v>46298</v>
      </c>
    </row>
    <row r="1364" spans="1:20" ht="24" customHeight="1" x14ac:dyDescent="0.35">
      <c r="A1364" s="1" t="s">
        <v>3730</v>
      </c>
      <c r="B1364" s="1" t="s">
        <v>3731</v>
      </c>
      <c r="C1364" s="1" t="s">
        <v>126</v>
      </c>
      <c r="D1364" s="1" t="s">
        <v>761</v>
      </c>
      <c r="E1364" s="10">
        <v>46266</v>
      </c>
      <c r="F1364" s="1" t="s">
        <v>771</v>
      </c>
      <c r="G1364" s="1" t="s">
        <v>772</v>
      </c>
      <c r="H1364" s="23"/>
      <c r="I1364" s="1" t="s">
        <v>603</v>
      </c>
      <c r="J1364" s="1" t="s">
        <v>544</v>
      </c>
      <c r="K1364" s="1" t="s">
        <v>590</v>
      </c>
      <c r="L1364" s="1" t="s">
        <v>172</v>
      </c>
      <c r="M1364" s="1" t="s">
        <v>581</v>
      </c>
      <c r="N1364" s="1"/>
      <c r="O1364" s="10"/>
      <c r="P1364" s="23"/>
      <c r="Q1364" s="1" t="s">
        <v>773</v>
      </c>
      <c r="R1364" s="1" t="s">
        <v>557</v>
      </c>
      <c r="S1364" s="1" t="s">
        <v>582</v>
      </c>
      <c r="T1364" s="10">
        <v>46298</v>
      </c>
    </row>
    <row r="1365" spans="1:20" ht="24" customHeight="1" x14ac:dyDescent="0.35">
      <c r="A1365" s="5" t="s">
        <v>3732</v>
      </c>
      <c r="B1365" s="5" t="s">
        <v>3733</v>
      </c>
      <c r="C1365" s="5" t="s">
        <v>190</v>
      </c>
      <c r="D1365" s="5" t="s">
        <v>2632</v>
      </c>
      <c r="E1365" s="8">
        <v>46266</v>
      </c>
      <c r="F1365" s="5" t="s">
        <v>771</v>
      </c>
      <c r="G1365" s="5" t="s">
        <v>772</v>
      </c>
      <c r="H1365" s="22"/>
      <c r="I1365" s="5" t="s">
        <v>603</v>
      </c>
      <c r="J1365" s="5" t="s">
        <v>544</v>
      </c>
      <c r="K1365" s="5" t="s">
        <v>590</v>
      </c>
      <c r="L1365" s="5" t="s">
        <v>149</v>
      </c>
      <c r="M1365" s="5" t="s">
        <v>581</v>
      </c>
      <c r="N1365" s="5"/>
      <c r="O1365" s="8"/>
      <c r="P1365" s="22"/>
      <c r="Q1365" s="5" t="s">
        <v>773</v>
      </c>
      <c r="R1365" s="5" t="s">
        <v>557</v>
      </c>
      <c r="S1365" s="5" t="s">
        <v>582</v>
      </c>
      <c r="T1365" s="8">
        <v>46298</v>
      </c>
    </row>
    <row r="1366" spans="1:20" ht="24" customHeight="1" x14ac:dyDescent="0.35">
      <c r="A1366" s="1" t="s">
        <v>3734</v>
      </c>
      <c r="B1366" s="1" t="s">
        <v>3735</v>
      </c>
      <c r="C1366" s="1" t="s">
        <v>215</v>
      </c>
      <c r="D1366" s="1" t="s">
        <v>157</v>
      </c>
      <c r="E1366" s="10">
        <v>46266</v>
      </c>
      <c r="F1366" s="1" t="s">
        <v>771</v>
      </c>
      <c r="G1366" s="1" t="s">
        <v>772</v>
      </c>
      <c r="H1366" s="23"/>
      <c r="I1366" s="1" t="s">
        <v>603</v>
      </c>
      <c r="J1366" s="1" t="s">
        <v>590</v>
      </c>
      <c r="K1366" s="1" t="s">
        <v>546</v>
      </c>
      <c r="L1366" s="1" t="s">
        <v>591</v>
      </c>
      <c r="M1366" s="1" t="s">
        <v>581</v>
      </c>
      <c r="N1366" s="1"/>
      <c r="O1366" s="10"/>
      <c r="P1366" s="23"/>
      <c r="Q1366" s="1" t="s">
        <v>1008</v>
      </c>
      <c r="R1366" s="1" t="s">
        <v>557</v>
      </c>
      <c r="S1366" s="1" t="s">
        <v>582</v>
      </c>
      <c r="T1366" s="10">
        <v>46298</v>
      </c>
    </row>
    <row r="1367" spans="1:20" ht="24" customHeight="1" x14ac:dyDescent="0.35">
      <c r="A1367" s="5" t="s">
        <v>3736</v>
      </c>
      <c r="B1367" s="5" t="s">
        <v>3737</v>
      </c>
      <c r="C1367" s="5" t="s">
        <v>692</v>
      </c>
      <c r="D1367" s="5" t="s">
        <v>529</v>
      </c>
      <c r="E1367" s="8">
        <v>46204</v>
      </c>
      <c r="F1367" s="5" t="s">
        <v>578</v>
      </c>
      <c r="G1367" s="5" t="s">
        <v>579</v>
      </c>
      <c r="H1367" s="22"/>
      <c r="I1367" s="5" t="s">
        <v>580</v>
      </c>
      <c r="J1367" s="5" t="s">
        <v>547</v>
      </c>
      <c r="K1367" s="5" t="s">
        <v>547</v>
      </c>
      <c r="L1367" s="5" t="s">
        <v>172</v>
      </c>
      <c r="M1367" s="5" t="s">
        <v>581</v>
      </c>
      <c r="N1367" s="5"/>
      <c r="O1367" s="8"/>
      <c r="P1367" s="22"/>
      <c r="Q1367" s="5"/>
      <c r="R1367" s="5" t="s">
        <v>557</v>
      </c>
      <c r="S1367" s="5" t="s">
        <v>582</v>
      </c>
      <c r="T1367" s="8">
        <v>46298</v>
      </c>
    </row>
    <row r="1368" spans="1:20" ht="24" customHeight="1" x14ac:dyDescent="0.35">
      <c r="A1368" s="1" t="s">
        <v>3738</v>
      </c>
      <c r="B1368" s="1" t="s">
        <v>3739</v>
      </c>
      <c r="C1368" s="1" t="s">
        <v>785</v>
      </c>
      <c r="D1368" s="1" t="s">
        <v>425</v>
      </c>
      <c r="E1368" s="10">
        <v>46266</v>
      </c>
      <c r="F1368" s="1" t="s">
        <v>771</v>
      </c>
      <c r="G1368" s="1" t="s">
        <v>772</v>
      </c>
      <c r="H1368" s="23"/>
      <c r="I1368" s="1" t="s">
        <v>603</v>
      </c>
      <c r="J1368" s="1" t="s">
        <v>548</v>
      </c>
      <c r="K1368" s="1" t="s">
        <v>544</v>
      </c>
      <c r="L1368" s="1" t="s">
        <v>149</v>
      </c>
      <c r="M1368" s="1" t="s">
        <v>581</v>
      </c>
      <c r="N1368" s="1"/>
      <c r="O1368" s="10"/>
      <c r="P1368" s="23"/>
      <c r="Q1368" s="1" t="s">
        <v>773</v>
      </c>
      <c r="R1368" s="1" t="s">
        <v>557</v>
      </c>
      <c r="S1368" s="1" t="s">
        <v>582</v>
      </c>
      <c r="T1368" s="10">
        <v>46298</v>
      </c>
    </row>
    <row r="1369" spans="1:20" ht="24" customHeight="1" x14ac:dyDescent="0.35">
      <c r="A1369" s="5" t="s">
        <v>3740</v>
      </c>
      <c r="B1369" s="5" t="s">
        <v>3741</v>
      </c>
      <c r="C1369" s="5" t="s">
        <v>1635</v>
      </c>
      <c r="D1369" s="5" t="s">
        <v>529</v>
      </c>
      <c r="E1369" s="8">
        <v>46204</v>
      </c>
      <c r="F1369" s="5" t="s">
        <v>587</v>
      </c>
      <c r="G1369" s="5" t="s">
        <v>588</v>
      </c>
      <c r="H1369" s="22">
        <v>1500000</v>
      </c>
      <c r="I1369" s="5" t="s">
        <v>589</v>
      </c>
      <c r="J1369" s="5" t="s">
        <v>590</v>
      </c>
      <c r="K1369" s="5" t="s">
        <v>547</v>
      </c>
      <c r="L1369" s="5" t="s">
        <v>608</v>
      </c>
      <c r="M1369" s="5" t="s">
        <v>581</v>
      </c>
      <c r="N1369" s="5"/>
      <c r="O1369" s="8"/>
      <c r="P1369" s="22"/>
      <c r="Q1369" s="5"/>
      <c r="R1369" s="5" t="s">
        <v>557</v>
      </c>
      <c r="S1369" s="5" t="s">
        <v>582</v>
      </c>
      <c r="T1369" s="8">
        <v>46298</v>
      </c>
    </row>
    <row r="1370" spans="1:20" ht="24" customHeight="1" x14ac:dyDescent="0.35">
      <c r="A1370" s="1" t="s">
        <v>3742</v>
      </c>
      <c r="B1370" s="1" t="s">
        <v>3743</v>
      </c>
      <c r="C1370" s="1" t="s">
        <v>739</v>
      </c>
      <c r="D1370" s="1" t="s">
        <v>529</v>
      </c>
      <c r="E1370" s="10">
        <v>46204</v>
      </c>
      <c r="F1370" s="1" t="s">
        <v>587</v>
      </c>
      <c r="G1370" s="1" t="s">
        <v>2108</v>
      </c>
      <c r="H1370" s="23"/>
      <c r="I1370" s="1" t="s">
        <v>603</v>
      </c>
      <c r="J1370" s="1" t="s">
        <v>590</v>
      </c>
      <c r="K1370" s="1" t="s">
        <v>547</v>
      </c>
      <c r="L1370" s="1" t="s">
        <v>149</v>
      </c>
      <c r="M1370" s="1" t="s">
        <v>581</v>
      </c>
      <c r="N1370" s="1"/>
      <c r="O1370" s="10"/>
      <c r="P1370" s="23"/>
      <c r="Q1370" s="1"/>
      <c r="R1370" s="1" t="s">
        <v>557</v>
      </c>
      <c r="S1370" s="1" t="s">
        <v>582</v>
      </c>
      <c r="T1370" s="10">
        <v>46298</v>
      </c>
    </row>
    <row r="1371" spans="1:20" ht="24" customHeight="1" x14ac:dyDescent="0.35">
      <c r="A1371" s="5" t="s">
        <v>3744</v>
      </c>
      <c r="B1371" s="5" t="s">
        <v>3745</v>
      </c>
      <c r="C1371" s="5" t="s">
        <v>103</v>
      </c>
      <c r="D1371" s="5" t="s">
        <v>643</v>
      </c>
      <c r="E1371" s="8">
        <v>46266</v>
      </c>
      <c r="F1371" s="5" t="s">
        <v>587</v>
      </c>
      <c r="G1371" s="5" t="s">
        <v>588</v>
      </c>
      <c r="H1371" s="22">
        <v>7000000</v>
      </c>
      <c r="I1371" s="5" t="s">
        <v>589</v>
      </c>
      <c r="J1371" s="5" t="s">
        <v>544</v>
      </c>
      <c r="K1371" s="5" t="s">
        <v>544</v>
      </c>
      <c r="L1371" s="5" t="s">
        <v>149</v>
      </c>
      <c r="M1371" s="5" t="s">
        <v>581</v>
      </c>
      <c r="N1371" s="5"/>
      <c r="O1371" s="8"/>
      <c r="P1371" s="22"/>
      <c r="Q1371" s="5"/>
      <c r="R1371" s="5" t="s">
        <v>557</v>
      </c>
      <c r="S1371" s="5" t="s">
        <v>582</v>
      </c>
      <c r="T1371" s="8">
        <v>46298</v>
      </c>
    </row>
    <row r="1372" spans="1:20" ht="24" customHeight="1" x14ac:dyDescent="0.35">
      <c r="A1372" s="1" t="s">
        <v>3746</v>
      </c>
      <c r="B1372" s="1" t="s">
        <v>3747</v>
      </c>
      <c r="C1372" s="1" t="s">
        <v>3320</v>
      </c>
      <c r="D1372" s="1" t="s">
        <v>529</v>
      </c>
      <c r="E1372" s="10">
        <v>46204</v>
      </c>
      <c r="F1372" s="1" t="s">
        <v>578</v>
      </c>
      <c r="G1372" s="1" t="s">
        <v>579</v>
      </c>
      <c r="H1372" s="23"/>
      <c r="I1372" s="1" t="s">
        <v>580</v>
      </c>
      <c r="J1372" s="1" t="s">
        <v>590</v>
      </c>
      <c r="K1372" s="1" t="s">
        <v>547</v>
      </c>
      <c r="L1372" s="1" t="s">
        <v>149</v>
      </c>
      <c r="M1372" s="1" t="s">
        <v>581</v>
      </c>
      <c r="N1372" s="1"/>
      <c r="O1372" s="10"/>
      <c r="P1372" s="23"/>
      <c r="Q1372" s="1"/>
      <c r="R1372" s="1" t="s">
        <v>557</v>
      </c>
      <c r="S1372" s="1" t="s">
        <v>582</v>
      </c>
      <c r="T1372" s="10">
        <v>46298</v>
      </c>
    </row>
    <row r="1373" spans="1:20" ht="24" customHeight="1" x14ac:dyDescent="0.35">
      <c r="A1373" s="5" t="s">
        <v>3748</v>
      </c>
      <c r="B1373" s="5" t="s">
        <v>3749</v>
      </c>
      <c r="C1373" s="5" t="s">
        <v>91</v>
      </c>
      <c r="D1373" s="5" t="s">
        <v>1210</v>
      </c>
      <c r="E1373" s="8">
        <v>46266</v>
      </c>
      <c r="F1373" s="5" t="s">
        <v>771</v>
      </c>
      <c r="G1373" s="5" t="s">
        <v>772</v>
      </c>
      <c r="H1373" s="22"/>
      <c r="I1373" s="5" t="s">
        <v>603</v>
      </c>
      <c r="J1373" s="5" t="s">
        <v>545</v>
      </c>
      <c r="K1373" s="5" t="s">
        <v>545</v>
      </c>
      <c r="L1373" s="5" t="s">
        <v>608</v>
      </c>
      <c r="M1373" s="5" t="s">
        <v>581</v>
      </c>
      <c r="N1373" s="5"/>
      <c r="O1373" s="8"/>
      <c r="P1373" s="22"/>
      <c r="Q1373" s="5" t="s">
        <v>773</v>
      </c>
      <c r="R1373" s="5" t="s">
        <v>557</v>
      </c>
      <c r="S1373" s="5" t="s">
        <v>582</v>
      </c>
      <c r="T1373" s="8">
        <v>46298</v>
      </c>
    </row>
    <row r="1374" spans="1:20" ht="24" customHeight="1" x14ac:dyDescent="0.35">
      <c r="A1374" s="1" t="s">
        <v>3750</v>
      </c>
      <c r="B1374" s="1" t="s">
        <v>3751</v>
      </c>
      <c r="C1374" s="1" t="s">
        <v>919</v>
      </c>
      <c r="D1374" s="1" t="s">
        <v>599</v>
      </c>
      <c r="E1374" s="10">
        <v>46266</v>
      </c>
      <c r="F1374" s="1" t="s">
        <v>587</v>
      </c>
      <c r="G1374" s="1" t="s">
        <v>588</v>
      </c>
      <c r="H1374" s="23">
        <v>20000000</v>
      </c>
      <c r="I1374" s="1" t="s">
        <v>589</v>
      </c>
      <c r="J1374" s="1" t="s">
        <v>590</v>
      </c>
      <c r="K1374" s="1" t="s">
        <v>544</v>
      </c>
      <c r="L1374" s="1" t="s">
        <v>640</v>
      </c>
      <c r="M1374" s="1" t="s">
        <v>581</v>
      </c>
      <c r="N1374" s="1"/>
      <c r="O1374" s="10"/>
      <c r="P1374" s="23"/>
      <c r="Q1374" s="1"/>
      <c r="R1374" s="1" t="s">
        <v>557</v>
      </c>
      <c r="S1374" s="1" t="s">
        <v>582</v>
      </c>
      <c r="T1374" s="10">
        <v>46298</v>
      </c>
    </row>
    <row r="1375" spans="1:20" ht="24" customHeight="1" x14ac:dyDescent="0.35">
      <c r="A1375" s="5" t="s">
        <v>3752</v>
      </c>
      <c r="B1375" s="5" t="s">
        <v>3753</v>
      </c>
      <c r="C1375" s="5" t="s">
        <v>599</v>
      </c>
      <c r="D1375" s="5" t="s">
        <v>2062</v>
      </c>
      <c r="E1375" s="8">
        <v>46266</v>
      </c>
      <c r="F1375" s="5" t="s">
        <v>771</v>
      </c>
      <c r="G1375" s="5" t="s">
        <v>772</v>
      </c>
      <c r="H1375" s="22"/>
      <c r="I1375" s="5" t="s">
        <v>603</v>
      </c>
      <c r="J1375" s="5" t="s">
        <v>544</v>
      </c>
      <c r="K1375" s="5" t="s">
        <v>590</v>
      </c>
      <c r="L1375" s="5" t="s">
        <v>591</v>
      </c>
      <c r="M1375" s="5" t="s">
        <v>581</v>
      </c>
      <c r="N1375" s="5"/>
      <c r="O1375" s="8"/>
      <c r="P1375" s="22"/>
      <c r="Q1375" s="5" t="s">
        <v>773</v>
      </c>
      <c r="R1375" s="5" t="s">
        <v>557</v>
      </c>
      <c r="S1375" s="5" t="s">
        <v>582</v>
      </c>
      <c r="T1375" s="8">
        <v>46298</v>
      </c>
    </row>
    <row r="1376" spans="1:20" ht="24" customHeight="1" x14ac:dyDescent="0.35">
      <c r="A1376" s="1" t="s">
        <v>3754</v>
      </c>
      <c r="B1376" s="1" t="s">
        <v>3755</v>
      </c>
      <c r="C1376" s="1" t="s">
        <v>423</v>
      </c>
      <c r="D1376" s="1" t="s">
        <v>1163</v>
      </c>
      <c r="E1376" s="10">
        <v>46266</v>
      </c>
      <c r="F1376" s="1" t="s">
        <v>771</v>
      </c>
      <c r="G1376" s="1" t="s">
        <v>772</v>
      </c>
      <c r="H1376" s="23"/>
      <c r="I1376" s="1" t="s">
        <v>603</v>
      </c>
      <c r="J1376" s="1" t="s">
        <v>546</v>
      </c>
      <c r="K1376" s="1" t="s">
        <v>545</v>
      </c>
      <c r="L1376" s="1" t="s">
        <v>172</v>
      </c>
      <c r="M1376" s="1" t="s">
        <v>581</v>
      </c>
      <c r="N1376" s="1"/>
      <c r="O1376" s="10"/>
      <c r="P1376" s="23"/>
      <c r="Q1376" s="1" t="s">
        <v>773</v>
      </c>
      <c r="R1376" s="1" t="s">
        <v>557</v>
      </c>
      <c r="S1376" s="1" t="s">
        <v>582</v>
      </c>
      <c r="T1376" s="10">
        <v>46298</v>
      </c>
    </row>
    <row r="1377" spans="1:20" ht="24" customHeight="1" x14ac:dyDescent="0.35">
      <c r="A1377" s="5" t="s">
        <v>3756</v>
      </c>
      <c r="B1377" s="5" t="s">
        <v>3757</v>
      </c>
      <c r="C1377" s="5" t="s">
        <v>198</v>
      </c>
      <c r="D1377" s="5" t="s">
        <v>1083</v>
      </c>
      <c r="E1377" s="8">
        <v>46266</v>
      </c>
      <c r="F1377" s="5" t="s">
        <v>771</v>
      </c>
      <c r="G1377" s="5" t="s">
        <v>772</v>
      </c>
      <c r="H1377" s="22"/>
      <c r="I1377" s="5" t="s">
        <v>603</v>
      </c>
      <c r="J1377" s="5" t="s">
        <v>546</v>
      </c>
      <c r="K1377" s="5" t="s">
        <v>544</v>
      </c>
      <c r="L1377" s="5" t="s">
        <v>640</v>
      </c>
      <c r="M1377" s="5" t="s">
        <v>581</v>
      </c>
      <c r="N1377" s="5"/>
      <c r="O1377" s="8"/>
      <c r="P1377" s="22"/>
      <c r="Q1377" s="5" t="s">
        <v>773</v>
      </c>
      <c r="R1377" s="5" t="s">
        <v>557</v>
      </c>
      <c r="S1377" s="5" t="s">
        <v>582</v>
      </c>
      <c r="T1377" s="8">
        <v>46298</v>
      </c>
    </row>
    <row r="1378" spans="1:20" ht="24" customHeight="1" x14ac:dyDescent="0.35">
      <c r="A1378" s="1" t="s">
        <v>3758</v>
      </c>
      <c r="B1378" s="1" t="s">
        <v>3759</v>
      </c>
      <c r="C1378" s="1" t="s">
        <v>639</v>
      </c>
      <c r="D1378" s="1" t="s">
        <v>1248</v>
      </c>
      <c r="E1378" s="10">
        <v>46266</v>
      </c>
      <c r="F1378" s="1" t="s">
        <v>771</v>
      </c>
      <c r="G1378" s="1" t="s">
        <v>772</v>
      </c>
      <c r="H1378" s="23"/>
      <c r="I1378" s="1" t="s">
        <v>603</v>
      </c>
      <c r="J1378" s="1" t="s">
        <v>548</v>
      </c>
      <c r="K1378" s="1" t="s">
        <v>590</v>
      </c>
      <c r="L1378" s="1" t="s">
        <v>149</v>
      </c>
      <c r="M1378" s="1" t="s">
        <v>581</v>
      </c>
      <c r="N1378" s="1"/>
      <c r="O1378" s="10"/>
      <c r="P1378" s="23"/>
      <c r="Q1378" s="1" t="s">
        <v>773</v>
      </c>
      <c r="R1378" s="1" t="s">
        <v>557</v>
      </c>
      <c r="S1378" s="1" t="s">
        <v>582</v>
      </c>
      <c r="T1378" s="10">
        <v>46298</v>
      </c>
    </row>
    <row r="1379" spans="1:20" ht="24" customHeight="1" x14ac:dyDescent="0.35">
      <c r="A1379" s="5" t="s">
        <v>3760</v>
      </c>
      <c r="B1379" s="5" t="s">
        <v>3761</v>
      </c>
      <c r="C1379" s="5" t="s">
        <v>801</v>
      </c>
      <c r="D1379" s="5" t="s">
        <v>707</v>
      </c>
      <c r="E1379" s="8">
        <v>46266</v>
      </c>
      <c r="F1379" s="5" t="s">
        <v>771</v>
      </c>
      <c r="G1379" s="5" t="s">
        <v>772</v>
      </c>
      <c r="H1379" s="22"/>
      <c r="I1379" s="5" t="s">
        <v>603</v>
      </c>
      <c r="J1379" s="5" t="s">
        <v>546</v>
      </c>
      <c r="K1379" s="5" t="s">
        <v>545</v>
      </c>
      <c r="L1379" s="5" t="s">
        <v>608</v>
      </c>
      <c r="M1379" s="5" t="s">
        <v>581</v>
      </c>
      <c r="N1379" s="5"/>
      <c r="O1379" s="8"/>
      <c r="P1379" s="22"/>
      <c r="Q1379" s="5" t="s">
        <v>773</v>
      </c>
      <c r="R1379" s="5" t="s">
        <v>557</v>
      </c>
      <c r="S1379" s="5" t="s">
        <v>582</v>
      </c>
      <c r="T1379" s="8">
        <v>46298</v>
      </c>
    </row>
    <row r="1380" spans="1:20" ht="24" customHeight="1" x14ac:dyDescent="0.35">
      <c r="A1380" s="1" t="s">
        <v>3762</v>
      </c>
      <c r="B1380" s="1" t="s">
        <v>3763</v>
      </c>
      <c r="C1380" s="1" t="s">
        <v>128</v>
      </c>
      <c r="D1380" s="1" t="s">
        <v>1094</v>
      </c>
      <c r="E1380" s="10">
        <v>46266</v>
      </c>
      <c r="F1380" s="1" t="s">
        <v>771</v>
      </c>
      <c r="G1380" s="1" t="s">
        <v>772</v>
      </c>
      <c r="H1380" s="23"/>
      <c r="I1380" s="1" t="s">
        <v>603</v>
      </c>
      <c r="J1380" s="1" t="s">
        <v>544</v>
      </c>
      <c r="K1380" s="1" t="s">
        <v>590</v>
      </c>
      <c r="L1380" s="1" t="s">
        <v>591</v>
      </c>
      <c r="M1380" s="1" t="s">
        <v>581</v>
      </c>
      <c r="N1380" s="1"/>
      <c r="O1380" s="10"/>
      <c r="P1380" s="23"/>
      <c r="Q1380" s="1" t="s">
        <v>773</v>
      </c>
      <c r="R1380" s="1" t="s">
        <v>557</v>
      </c>
      <c r="S1380" s="1" t="s">
        <v>582</v>
      </c>
      <c r="T1380" s="10">
        <v>46298</v>
      </c>
    </row>
    <row r="1381" spans="1:20" ht="24" customHeight="1" x14ac:dyDescent="0.35">
      <c r="A1381" s="5" t="s">
        <v>3764</v>
      </c>
      <c r="B1381" s="5" t="s">
        <v>3765</v>
      </c>
      <c r="C1381" s="5" t="s">
        <v>1004</v>
      </c>
      <c r="D1381" s="5" t="s">
        <v>1210</v>
      </c>
      <c r="E1381" s="8">
        <v>46266</v>
      </c>
      <c r="F1381" s="5" t="s">
        <v>771</v>
      </c>
      <c r="G1381" s="5" t="s">
        <v>772</v>
      </c>
      <c r="H1381" s="22"/>
      <c r="I1381" s="5" t="s">
        <v>603</v>
      </c>
      <c r="J1381" s="5" t="s">
        <v>545</v>
      </c>
      <c r="K1381" s="5" t="s">
        <v>545</v>
      </c>
      <c r="L1381" s="5" t="s">
        <v>149</v>
      </c>
      <c r="M1381" s="5" t="s">
        <v>581</v>
      </c>
      <c r="N1381" s="5"/>
      <c r="O1381" s="8"/>
      <c r="P1381" s="22"/>
      <c r="Q1381" s="5" t="s">
        <v>773</v>
      </c>
      <c r="R1381" s="5" t="s">
        <v>557</v>
      </c>
      <c r="S1381" s="5" t="s">
        <v>582</v>
      </c>
      <c r="T1381" s="8">
        <v>46298</v>
      </c>
    </row>
    <row r="1382" spans="1:20" ht="24" customHeight="1" x14ac:dyDescent="0.35">
      <c r="A1382" s="1" t="s">
        <v>3766</v>
      </c>
      <c r="B1382" s="1" t="s">
        <v>3767</v>
      </c>
      <c r="C1382" s="1" t="s">
        <v>3022</v>
      </c>
      <c r="D1382" s="1" t="s">
        <v>1083</v>
      </c>
      <c r="E1382" s="10">
        <v>46266</v>
      </c>
      <c r="F1382" s="1" t="s">
        <v>587</v>
      </c>
      <c r="G1382" s="1" t="s">
        <v>588</v>
      </c>
      <c r="H1382" s="23">
        <v>7500000</v>
      </c>
      <c r="I1382" s="1" t="s">
        <v>589</v>
      </c>
      <c r="J1382" s="1" t="s">
        <v>590</v>
      </c>
      <c r="K1382" s="1" t="s">
        <v>544</v>
      </c>
      <c r="L1382" s="1" t="s">
        <v>591</v>
      </c>
      <c r="M1382" s="1" t="s">
        <v>581</v>
      </c>
      <c r="N1382" s="1"/>
      <c r="O1382" s="10"/>
      <c r="P1382" s="23"/>
      <c r="Q1382" s="1"/>
      <c r="R1382" s="1" t="s">
        <v>557</v>
      </c>
      <c r="S1382" s="1" t="s">
        <v>582</v>
      </c>
      <c r="T1382" s="10">
        <v>46298</v>
      </c>
    </row>
    <row r="1383" spans="1:20" ht="24" customHeight="1" x14ac:dyDescent="0.35">
      <c r="A1383" s="5" t="s">
        <v>3768</v>
      </c>
      <c r="B1383" s="5" t="s">
        <v>3769</v>
      </c>
      <c r="C1383" s="5" t="s">
        <v>186</v>
      </c>
      <c r="D1383" s="5" t="s">
        <v>128</v>
      </c>
      <c r="E1383" s="8">
        <v>46266</v>
      </c>
      <c r="F1383" s="5" t="s">
        <v>587</v>
      </c>
      <c r="G1383" s="5" t="s">
        <v>588</v>
      </c>
      <c r="H1383" s="22">
        <v>18900000</v>
      </c>
      <c r="I1383" s="5" t="s">
        <v>589</v>
      </c>
      <c r="J1383" s="5" t="s">
        <v>547</v>
      </c>
      <c r="K1383" s="5" t="s">
        <v>544</v>
      </c>
      <c r="L1383" s="5" t="s">
        <v>608</v>
      </c>
      <c r="M1383" s="5" t="s">
        <v>581</v>
      </c>
      <c r="N1383" s="5"/>
      <c r="O1383" s="8"/>
      <c r="P1383" s="22"/>
      <c r="Q1383" s="5"/>
      <c r="R1383" s="5" t="s">
        <v>557</v>
      </c>
      <c r="S1383" s="5" t="s">
        <v>582</v>
      </c>
      <c r="T1383" s="8">
        <v>46298</v>
      </c>
    </row>
    <row r="1384" spans="1:20" ht="24" customHeight="1" x14ac:dyDescent="0.35">
      <c r="A1384" s="1" t="s">
        <v>3770</v>
      </c>
      <c r="B1384" s="1" t="s">
        <v>302</v>
      </c>
      <c r="C1384" s="1" t="s">
        <v>639</v>
      </c>
      <c r="D1384" s="1" t="s">
        <v>210</v>
      </c>
      <c r="E1384" s="10">
        <v>46266</v>
      </c>
      <c r="F1384" s="1" t="s">
        <v>601</v>
      </c>
      <c r="G1384" s="1" t="s">
        <v>602</v>
      </c>
      <c r="H1384" s="23"/>
      <c r="I1384" s="1" t="s">
        <v>603</v>
      </c>
      <c r="J1384" s="1" t="s">
        <v>548</v>
      </c>
      <c r="K1384" s="1" t="s">
        <v>544</v>
      </c>
      <c r="L1384" s="1" t="s">
        <v>149</v>
      </c>
      <c r="M1384" s="1" t="s">
        <v>581</v>
      </c>
      <c r="N1384" s="1"/>
      <c r="O1384" s="10"/>
      <c r="P1384" s="23"/>
      <c r="Q1384" s="1"/>
      <c r="R1384" s="1" t="s">
        <v>557</v>
      </c>
      <c r="S1384" s="1" t="s">
        <v>582</v>
      </c>
      <c r="T1384" s="10">
        <v>46298</v>
      </c>
    </row>
    <row r="1385" spans="1:20" ht="24" customHeight="1" x14ac:dyDescent="0.35">
      <c r="A1385" s="5" t="s">
        <v>3771</v>
      </c>
      <c r="B1385" s="5" t="s">
        <v>3772</v>
      </c>
      <c r="C1385" s="5" t="s">
        <v>782</v>
      </c>
      <c r="D1385" s="5" t="s">
        <v>1083</v>
      </c>
      <c r="E1385" s="8">
        <v>46266</v>
      </c>
      <c r="F1385" s="5" t="s">
        <v>587</v>
      </c>
      <c r="G1385" s="5" t="s">
        <v>588</v>
      </c>
      <c r="H1385" s="22">
        <v>12900000</v>
      </c>
      <c r="I1385" s="5" t="s">
        <v>589</v>
      </c>
      <c r="J1385" s="5" t="s">
        <v>590</v>
      </c>
      <c r="K1385" s="5" t="s">
        <v>544</v>
      </c>
      <c r="L1385" s="5" t="s">
        <v>608</v>
      </c>
      <c r="M1385" s="5" t="s">
        <v>581</v>
      </c>
      <c r="N1385" s="5"/>
      <c r="O1385" s="8"/>
      <c r="P1385" s="22"/>
      <c r="Q1385" s="5"/>
      <c r="R1385" s="5" t="s">
        <v>557</v>
      </c>
      <c r="S1385" s="5" t="s">
        <v>582</v>
      </c>
      <c r="T1385" s="8">
        <v>46298</v>
      </c>
    </row>
    <row r="1386" spans="1:20" ht="24" customHeight="1" x14ac:dyDescent="0.35">
      <c r="A1386" s="1" t="s">
        <v>3773</v>
      </c>
      <c r="B1386" s="1" t="s">
        <v>3774</v>
      </c>
      <c r="C1386" s="1" t="s">
        <v>3775</v>
      </c>
      <c r="D1386" s="1" t="s">
        <v>627</v>
      </c>
      <c r="E1386" s="10">
        <v>46266</v>
      </c>
      <c r="F1386" s="1" t="s">
        <v>587</v>
      </c>
      <c r="G1386" s="1" t="s">
        <v>588</v>
      </c>
      <c r="H1386" s="23">
        <v>4000000</v>
      </c>
      <c r="I1386" s="1" t="s">
        <v>589</v>
      </c>
      <c r="J1386" s="1" t="s">
        <v>590</v>
      </c>
      <c r="K1386" s="1" t="s">
        <v>545</v>
      </c>
      <c r="L1386" s="1" t="s">
        <v>149</v>
      </c>
      <c r="M1386" s="1" t="s">
        <v>581</v>
      </c>
      <c r="N1386" s="1"/>
      <c r="O1386" s="10"/>
      <c r="P1386" s="23"/>
      <c r="Q1386" s="1"/>
      <c r="R1386" s="1" t="s">
        <v>557</v>
      </c>
      <c r="S1386" s="1" t="s">
        <v>582</v>
      </c>
      <c r="T1386" s="10">
        <v>46298</v>
      </c>
    </row>
    <row r="1387" spans="1:20" ht="24" customHeight="1" x14ac:dyDescent="0.35">
      <c r="A1387" s="5" t="s">
        <v>3776</v>
      </c>
      <c r="B1387" s="5" t="s">
        <v>3777</v>
      </c>
      <c r="C1387" s="5" t="s">
        <v>186</v>
      </c>
      <c r="D1387" s="5" t="s">
        <v>91</v>
      </c>
      <c r="E1387" s="8">
        <v>46266</v>
      </c>
      <c r="F1387" s="5" t="s">
        <v>771</v>
      </c>
      <c r="G1387" s="5" t="s">
        <v>772</v>
      </c>
      <c r="H1387" s="22"/>
      <c r="I1387" s="5" t="s">
        <v>603</v>
      </c>
      <c r="J1387" s="5" t="s">
        <v>547</v>
      </c>
      <c r="K1387" s="5" t="s">
        <v>545</v>
      </c>
      <c r="L1387" s="5" t="s">
        <v>608</v>
      </c>
      <c r="M1387" s="5" t="s">
        <v>581</v>
      </c>
      <c r="N1387" s="5"/>
      <c r="O1387" s="8"/>
      <c r="P1387" s="22"/>
      <c r="Q1387" s="5" t="s">
        <v>773</v>
      </c>
      <c r="R1387" s="5" t="s">
        <v>557</v>
      </c>
      <c r="S1387" s="5" t="s">
        <v>582</v>
      </c>
      <c r="T1387" s="8">
        <v>46298</v>
      </c>
    </row>
    <row r="1388" spans="1:20" ht="24" customHeight="1" x14ac:dyDescent="0.35">
      <c r="A1388" s="1" t="s">
        <v>3778</v>
      </c>
      <c r="B1388" s="1" t="s">
        <v>3779</v>
      </c>
      <c r="C1388" s="1" t="s">
        <v>171</v>
      </c>
      <c r="D1388" s="1" t="s">
        <v>2031</v>
      </c>
      <c r="E1388" s="10">
        <v>46266</v>
      </c>
      <c r="F1388" s="1" t="s">
        <v>578</v>
      </c>
      <c r="G1388" s="1" t="s">
        <v>579</v>
      </c>
      <c r="H1388" s="23"/>
      <c r="I1388" s="1" t="s">
        <v>580</v>
      </c>
      <c r="J1388" s="1" t="s">
        <v>545</v>
      </c>
      <c r="K1388" s="1" t="s">
        <v>590</v>
      </c>
      <c r="L1388" s="1" t="s">
        <v>608</v>
      </c>
      <c r="M1388" s="1" t="s">
        <v>581</v>
      </c>
      <c r="N1388" s="1"/>
      <c r="O1388" s="10"/>
      <c r="P1388" s="23"/>
      <c r="Q1388" s="1"/>
      <c r="R1388" s="1" t="s">
        <v>557</v>
      </c>
      <c r="S1388" s="1" t="s">
        <v>582</v>
      </c>
      <c r="T1388" s="10">
        <v>46298</v>
      </c>
    </row>
    <row r="1389" spans="1:20" ht="24" customHeight="1" x14ac:dyDescent="0.35">
      <c r="A1389" s="5" t="s">
        <v>3780</v>
      </c>
      <c r="B1389" s="5" t="s">
        <v>3781</v>
      </c>
      <c r="C1389" s="5" t="s">
        <v>627</v>
      </c>
      <c r="D1389" s="5" t="s">
        <v>292</v>
      </c>
      <c r="E1389" s="8">
        <v>46266</v>
      </c>
      <c r="F1389" s="5" t="s">
        <v>587</v>
      </c>
      <c r="G1389" s="5" t="s">
        <v>588</v>
      </c>
      <c r="H1389" s="22">
        <v>10300000</v>
      </c>
      <c r="I1389" s="5" t="s">
        <v>589</v>
      </c>
      <c r="J1389" s="5" t="s">
        <v>545</v>
      </c>
      <c r="K1389" s="5" t="s">
        <v>544</v>
      </c>
      <c r="L1389" s="5" t="s">
        <v>149</v>
      </c>
      <c r="M1389" s="5" t="s">
        <v>581</v>
      </c>
      <c r="N1389" s="5"/>
      <c r="O1389" s="8"/>
      <c r="P1389" s="22"/>
      <c r="Q1389" s="5"/>
      <c r="R1389" s="5" t="s">
        <v>557</v>
      </c>
      <c r="S1389" s="5" t="s">
        <v>582</v>
      </c>
      <c r="T1389" s="8">
        <v>46298</v>
      </c>
    </row>
    <row r="1390" spans="1:20" ht="24" customHeight="1" x14ac:dyDescent="0.35">
      <c r="A1390" s="1" t="s">
        <v>3782</v>
      </c>
      <c r="B1390" s="1" t="s">
        <v>3783</v>
      </c>
      <c r="C1390" s="1" t="s">
        <v>240</v>
      </c>
      <c r="D1390" s="1" t="s">
        <v>160</v>
      </c>
      <c r="E1390" s="10">
        <v>46266</v>
      </c>
      <c r="F1390" s="1" t="s">
        <v>587</v>
      </c>
      <c r="G1390" s="1" t="s">
        <v>588</v>
      </c>
      <c r="H1390" s="23">
        <v>4300000</v>
      </c>
      <c r="I1390" s="1" t="s">
        <v>589</v>
      </c>
      <c r="J1390" s="1" t="s">
        <v>548</v>
      </c>
      <c r="K1390" s="1" t="s">
        <v>544</v>
      </c>
      <c r="L1390" s="1" t="s">
        <v>149</v>
      </c>
      <c r="M1390" s="1" t="s">
        <v>581</v>
      </c>
      <c r="N1390" s="1"/>
      <c r="O1390" s="10"/>
      <c r="P1390" s="23"/>
      <c r="Q1390" s="1"/>
      <c r="R1390" s="1" t="s">
        <v>557</v>
      </c>
      <c r="S1390" s="1" t="s">
        <v>582</v>
      </c>
      <c r="T1390" s="10">
        <v>46298</v>
      </c>
    </row>
    <row r="1391" spans="1:20" ht="24" customHeight="1" x14ac:dyDescent="0.35">
      <c r="A1391" s="5" t="s">
        <v>3784</v>
      </c>
      <c r="B1391" s="5" t="s">
        <v>3785</v>
      </c>
      <c r="C1391" s="5" t="s">
        <v>240</v>
      </c>
      <c r="D1391" s="5" t="s">
        <v>850</v>
      </c>
      <c r="E1391" s="8">
        <v>46267</v>
      </c>
      <c r="F1391" s="5" t="s">
        <v>587</v>
      </c>
      <c r="G1391" s="5" t="s">
        <v>588</v>
      </c>
      <c r="H1391" s="22">
        <v>31000000</v>
      </c>
      <c r="I1391" s="5" t="s">
        <v>589</v>
      </c>
      <c r="J1391" s="5" t="s">
        <v>548</v>
      </c>
      <c r="K1391" s="5" t="s">
        <v>544</v>
      </c>
      <c r="L1391" s="5" t="s">
        <v>591</v>
      </c>
      <c r="M1391" s="5" t="s">
        <v>581</v>
      </c>
      <c r="N1391" s="5"/>
      <c r="O1391" s="8"/>
      <c r="P1391" s="22"/>
      <c r="Q1391" s="5" t="s">
        <v>3267</v>
      </c>
      <c r="R1391" s="5" t="s">
        <v>557</v>
      </c>
      <c r="S1391" s="5" t="s">
        <v>582</v>
      </c>
      <c r="T1391" s="8">
        <v>46298</v>
      </c>
    </row>
    <row r="1392" spans="1:20" ht="24" customHeight="1" x14ac:dyDescent="0.35">
      <c r="A1392" s="1" t="s">
        <v>3786</v>
      </c>
      <c r="B1392" s="1" t="s">
        <v>3787</v>
      </c>
      <c r="C1392" s="1" t="s">
        <v>210</v>
      </c>
      <c r="D1392" s="1" t="s">
        <v>1855</v>
      </c>
      <c r="E1392" s="10">
        <v>46267</v>
      </c>
      <c r="F1392" s="1" t="s">
        <v>587</v>
      </c>
      <c r="G1392" s="1" t="s">
        <v>588</v>
      </c>
      <c r="H1392" s="23">
        <v>4000000</v>
      </c>
      <c r="I1392" s="1" t="s">
        <v>589</v>
      </c>
      <c r="J1392" s="1" t="s">
        <v>544</v>
      </c>
      <c r="K1392" s="1" t="s">
        <v>590</v>
      </c>
      <c r="L1392" s="1" t="s">
        <v>608</v>
      </c>
      <c r="M1392" s="1" t="s">
        <v>581</v>
      </c>
      <c r="N1392" s="1"/>
      <c r="O1392" s="10"/>
      <c r="P1392" s="23"/>
      <c r="Q1392" s="1" t="s">
        <v>3267</v>
      </c>
      <c r="R1392" s="1" t="s">
        <v>557</v>
      </c>
      <c r="S1392" s="1" t="s">
        <v>582</v>
      </c>
      <c r="T1392" s="10">
        <v>46298</v>
      </c>
    </row>
    <row r="1393" spans="1:20" ht="24" customHeight="1" x14ac:dyDescent="0.35">
      <c r="A1393" s="5" t="s">
        <v>3788</v>
      </c>
      <c r="B1393" s="5" t="s">
        <v>3789</v>
      </c>
      <c r="C1393" s="5" t="s">
        <v>1563</v>
      </c>
      <c r="D1393" s="5" t="s">
        <v>210</v>
      </c>
      <c r="E1393" s="8">
        <v>46267</v>
      </c>
      <c r="F1393" s="5" t="s">
        <v>587</v>
      </c>
      <c r="G1393" s="5" t="s">
        <v>588</v>
      </c>
      <c r="H1393" s="22">
        <v>15000000</v>
      </c>
      <c r="I1393" s="5" t="s">
        <v>589</v>
      </c>
      <c r="J1393" s="5" t="s">
        <v>548</v>
      </c>
      <c r="K1393" s="5" t="s">
        <v>544</v>
      </c>
      <c r="L1393" s="5" t="s">
        <v>608</v>
      </c>
      <c r="M1393" s="5" t="s">
        <v>581</v>
      </c>
      <c r="N1393" s="5"/>
      <c r="O1393" s="8"/>
      <c r="P1393" s="22"/>
      <c r="Q1393" s="5" t="s">
        <v>3267</v>
      </c>
      <c r="R1393" s="5" t="s">
        <v>557</v>
      </c>
      <c r="S1393" s="5" t="s">
        <v>582</v>
      </c>
      <c r="T1393" s="8">
        <v>46298</v>
      </c>
    </row>
    <row r="1394" spans="1:20" ht="24" customHeight="1" x14ac:dyDescent="0.35">
      <c r="A1394" s="1" t="s">
        <v>3790</v>
      </c>
      <c r="B1394" s="1" t="s">
        <v>3791</v>
      </c>
      <c r="C1394" s="1" t="s">
        <v>448</v>
      </c>
      <c r="D1394" s="1" t="s">
        <v>425</v>
      </c>
      <c r="E1394" s="10">
        <v>46267</v>
      </c>
      <c r="F1394" s="1" t="s">
        <v>771</v>
      </c>
      <c r="G1394" s="1" t="s">
        <v>772</v>
      </c>
      <c r="H1394" s="23"/>
      <c r="I1394" s="1" t="s">
        <v>603</v>
      </c>
      <c r="J1394" s="1" t="s">
        <v>547</v>
      </c>
      <c r="K1394" s="1" t="s">
        <v>544</v>
      </c>
      <c r="L1394" s="1" t="s">
        <v>640</v>
      </c>
      <c r="M1394" s="1" t="s">
        <v>581</v>
      </c>
      <c r="N1394" s="1"/>
      <c r="O1394" s="10"/>
      <c r="P1394" s="23"/>
      <c r="Q1394" s="1" t="s">
        <v>3792</v>
      </c>
      <c r="R1394" s="1" t="s">
        <v>557</v>
      </c>
      <c r="S1394" s="1" t="s">
        <v>582</v>
      </c>
      <c r="T1394" s="10">
        <v>46298</v>
      </c>
    </row>
    <row r="1395" spans="1:20" ht="24" customHeight="1" x14ac:dyDescent="0.35">
      <c r="A1395" s="5" t="s">
        <v>3793</v>
      </c>
      <c r="B1395" s="5" t="s">
        <v>3794</v>
      </c>
      <c r="C1395" s="5" t="s">
        <v>1047</v>
      </c>
      <c r="D1395" s="5" t="s">
        <v>210</v>
      </c>
      <c r="E1395" s="8">
        <v>46267</v>
      </c>
      <c r="F1395" s="5" t="s">
        <v>771</v>
      </c>
      <c r="G1395" s="5" t="s">
        <v>772</v>
      </c>
      <c r="H1395" s="22"/>
      <c r="I1395" s="5" t="s">
        <v>603</v>
      </c>
      <c r="J1395" s="5" t="s">
        <v>590</v>
      </c>
      <c r="K1395" s="5" t="s">
        <v>544</v>
      </c>
      <c r="L1395" s="5" t="s">
        <v>591</v>
      </c>
      <c r="M1395" s="5" t="s">
        <v>581</v>
      </c>
      <c r="N1395" s="5"/>
      <c r="O1395" s="8"/>
      <c r="P1395" s="22"/>
      <c r="Q1395" s="5" t="s">
        <v>3795</v>
      </c>
      <c r="R1395" s="5" t="s">
        <v>557</v>
      </c>
      <c r="S1395" s="5" t="s">
        <v>582</v>
      </c>
      <c r="T1395" s="8">
        <v>46298</v>
      </c>
    </row>
    <row r="1396" spans="1:20" ht="24" customHeight="1" x14ac:dyDescent="0.35">
      <c r="A1396" s="1" t="s">
        <v>3796</v>
      </c>
      <c r="B1396" s="1" t="s">
        <v>3797</v>
      </c>
      <c r="C1396" s="1" t="s">
        <v>448</v>
      </c>
      <c r="D1396" s="1" t="s">
        <v>425</v>
      </c>
      <c r="E1396" s="10">
        <v>46232</v>
      </c>
      <c r="F1396" s="1" t="s">
        <v>587</v>
      </c>
      <c r="G1396" s="1" t="s">
        <v>588</v>
      </c>
      <c r="H1396" s="23">
        <v>4000000</v>
      </c>
      <c r="I1396" s="1" t="s">
        <v>589</v>
      </c>
      <c r="J1396" s="1" t="s">
        <v>547</v>
      </c>
      <c r="K1396" s="1" t="s">
        <v>544</v>
      </c>
      <c r="L1396" s="1" t="s">
        <v>172</v>
      </c>
      <c r="M1396" s="1" t="s">
        <v>581</v>
      </c>
      <c r="N1396" s="1"/>
      <c r="O1396" s="10"/>
      <c r="P1396" s="23"/>
      <c r="Q1396" s="1"/>
      <c r="R1396" s="1" t="s">
        <v>557</v>
      </c>
      <c r="S1396" s="1" t="s">
        <v>582</v>
      </c>
      <c r="T1396" s="10">
        <v>46298</v>
      </c>
    </row>
    <row r="1397" spans="1:20" ht="24" customHeight="1" x14ac:dyDescent="0.35">
      <c r="A1397" s="5" t="s">
        <v>3798</v>
      </c>
      <c r="B1397" s="5" t="s">
        <v>3799</v>
      </c>
      <c r="C1397" s="5" t="s">
        <v>1582</v>
      </c>
      <c r="D1397" s="5" t="s">
        <v>128</v>
      </c>
      <c r="E1397" s="8">
        <v>46267</v>
      </c>
      <c r="F1397" s="5" t="s">
        <v>587</v>
      </c>
      <c r="G1397" s="5" t="s">
        <v>588</v>
      </c>
      <c r="H1397" s="22">
        <v>15000000</v>
      </c>
      <c r="I1397" s="5" t="s">
        <v>589</v>
      </c>
      <c r="J1397" s="5" t="s">
        <v>590</v>
      </c>
      <c r="K1397" s="5" t="s">
        <v>544</v>
      </c>
      <c r="L1397" s="5" t="s">
        <v>608</v>
      </c>
      <c r="M1397" s="5" t="s">
        <v>581</v>
      </c>
      <c r="N1397" s="5"/>
      <c r="O1397" s="8"/>
      <c r="P1397" s="22"/>
      <c r="Q1397" s="5" t="s">
        <v>3267</v>
      </c>
      <c r="R1397" s="5" t="s">
        <v>557</v>
      </c>
      <c r="S1397" s="5" t="s">
        <v>582</v>
      </c>
      <c r="T1397" s="8">
        <v>46298</v>
      </c>
    </row>
    <row r="1398" spans="1:20" ht="24" customHeight="1" x14ac:dyDescent="0.35">
      <c r="A1398" s="1" t="s">
        <v>3800</v>
      </c>
      <c r="B1398" s="1" t="s">
        <v>3801</v>
      </c>
      <c r="C1398" s="1" t="s">
        <v>643</v>
      </c>
      <c r="D1398" s="1" t="s">
        <v>695</v>
      </c>
      <c r="E1398" s="10">
        <v>46266</v>
      </c>
      <c r="F1398" s="1" t="s">
        <v>771</v>
      </c>
      <c r="G1398" s="1" t="s">
        <v>772</v>
      </c>
      <c r="H1398" s="23"/>
      <c r="I1398" s="1" t="s">
        <v>603</v>
      </c>
      <c r="J1398" s="1" t="s">
        <v>544</v>
      </c>
      <c r="K1398" s="1" t="s">
        <v>590</v>
      </c>
      <c r="L1398" s="1" t="s">
        <v>591</v>
      </c>
      <c r="M1398" s="1" t="s">
        <v>581</v>
      </c>
      <c r="N1398" s="1"/>
      <c r="O1398" s="10"/>
      <c r="P1398" s="23"/>
      <c r="Q1398" s="1" t="s">
        <v>773</v>
      </c>
      <c r="R1398" s="1" t="s">
        <v>557</v>
      </c>
      <c r="S1398" s="1" t="s">
        <v>582</v>
      </c>
      <c r="T1398" s="10">
        <v>46298</v>
      </c>
    </row>
    <row r="1399" spans="1:20" ht="24" customHeight="1" x14ac:dyDescent="0.35">
      <c r="A1399" s="5" t="s">
        <v>3802</v>
      </c>
      <c r="B1399" s="5" t="s">
        <v>3803</v>
      </c>
      <c r="C1399" s="5" t="s">
        <v>128</v>
      </c>
      <c r="D1399" s="5" t="s">
        <v>611</v>
      </c>
      <c r="E1399" s="8">
        <v>46266</v>
      </c>
      <c r="F1399" s="5" t="s">
        <v>771</v>
      </c>
      <c r="G1399" s="5" t="s">
        <v>772</v>
      </c>
      <c r="H1399" s="22"/>
      <c r="I1399" s="5" t="s">
        <v>603</v>
      </c>
      <c r="J1399" s="5" t="s">
        <v>544</v>
      </c>
      <c r="K1399" s="5" t="s">
        <v>590</v>
      </c>
      <c r="L1399" s="5" t="s">
        <v>608</v>
      </c>
      <c r="M1399" s="5" t="s">
        <v>581</v>
      </c>
      <c r="N1399" s="5"/>
      <c r="O1399" s="8"/>
      <c r="P1399" s="22"/>
      <c r="Q1399" s="5" t="s">
        <v>773</v>
      </c>
      <c r="R1399" s="5" t="s">
        <v>557</v>
      </c>
      <c r="S1399" s="5" t="s">
        <v>582</v>
      </c>
      <c r="T1399" s="8">
        <v>46298</v>
      </c>
    </row>
    <row r="1400" spans="1:20" ht="24" customHeight="1" x14ac:dyDescent="0.35">
      <c r="A1400" s="1" t="s">
        <v>3804</v>
      </c>
      <c r="B1400" s="1" t="s">
        <v>3805</v>
      </c>
      <c r="C1400" s="1" t="s">
        <v>171</v>
      </c>
      <c r="D1400" s="1" t="s">
        <v>408</v>
      </c>
      <c r="E1400" s="10">
        <v>46267</v>
      </c>
      <c r="F1400" s="1" t="s">
        <v>771</v>
      </c>
      <c r="G1400" s="1" t="s">
        <v>772</v>
      </c>
      <c r="H1400" s="23"/>
      <c r="I1400" s="1" t="s">
        <v>603</v>
      </c>
      <c r="J1400" s="1" t="s">
        <v>545</v>
      </c>
      <c r="K1400" s="1" t="s">
        <v>590</v>
      </c>
      <c r="L1400" s="1" t="s">
        <v>149</v>
      </c>
      <c r="M1400" s="1" t="s">
        <v>581</v>
      </c>
      <c r="N1400" s="1"/>
      <c r="O1400" s="10"/>
      <c r="P1400" s="23"/>
      <c r="Q1400" s="1" t="s">
        <v>3795</v>
      </c>
      <c r="R1400" s="1" t="s">
        <v>557</v>
      </c>
      <c r="S1400" s="1" t="s">
        <v>582</v>
      </c>
      <c r="T1400" s="10">
        <v>46298</v>
      </c>
    </row>
    <row r="1401" spans="1:20" ht="24" customHeight="1" x14ac:dyDescent="0.35">
      <c r="A1401" s="5" t="s">
        <v>3806</v>
      </c>
      <c r="B1401" s="5" t="s">
        <v>3807</v>
      </c>
      <c r="C1401" s="5" t="s">
        <v>733</v>
      </c>
      <c r="D1401" s="5" t="s">
        <v>3808</v>
      </c>
      <c r="E1401" s="8">
        <v>46267</v>
      </c>
      <c r="F1401" s="5" t="s">
        <v>771</v>
      </c>
      <c r="G1401" s="5" t="s">
        <v>772</v>
      </c>
      <c r="H1401" s="22"/>
      <c r="I1401" s="5" t="s">
        <v>603</v>
      </c>
      <c r="J1401" s="5" t="s">
        <v>545</v>
      </c>
      <c r="K1401" s="5" t="s">
        <v>590</v>
      </c>
      <c r="L1401" s="5" t="s">
        <v>608</v>
      </c>
      <c r="M1401" s="5" t="s">
        <v>581</v>
      </c>
      <c r="N1401" s="5"/>
      <c r="O1401" s="8"/>
      <c r="P1401" s="22"/>
      <c r="Q1401" s="5" t="s">
        <v>3795</v>
      </c>
      <c r="R1401" s="5" t="s">
        <v>557</v>
      </c>
      <c r="S1401" s="5" t="s">
        <v>582</v>
      </c>
      <c r="T1401" s="8">
        <v>46298</v>
      </c>
    </row>
    <row r="1402" spans="1:20" ht="24" customHeight="1" x14ac:dyDescent="0.35">
      <c r="A1402" s="1" t="s">
        <v>3809</v>
      </c>
      <c r="B1402" s="1" t="s">
        <v>659</v>
      </c>
      <c r="C1402" s="1" t="s">
        <v>661</v>
      </c>
      <c r="D1402" s="1" t="s">
        <v>3400</v>
      </c>
      <c r="E1402" s="10">
        <v>46267</v>
      </c>
      <c r="F1402" s="1" t="s">
        <v>771</v>
      </c>
      <c r="G1402" s="1" t="s">
        <v>772</v>
      </c>
      <c r="H1402" s="23"/>
      <c r="I1402" s="1" t="s">
        <v>603</v>
      </c>
      <c r="J1402" s="1" t="s">
        <v>546</v>
      </c>
      <c r="K1402" s="1" t="s">
        <v>590</v>
      </c>
      <c r="L1402" s="1" t="s">
        <v>640</v>
      </c>
      <c r="M1402" s="1" t="s">
        <v>581</v>
      </c>
      <c r="N1402" s="1"/>
      <c r="O1402" s="10"/>
      <c r="P1402" s="23"/>
      <c r="Q1402" s="1" t="s">
        <v>3795</v>
      </c>
      <c r="R1402" s="1" t="s">
        <v>557</v>
      </c>
      <c r="S1402" s="1" t="s">
        <v>582</v>
      </c>
      <c r="T1402" s="10">
        <v>46298</v>
      </c>
    </row>
    <row r="1403" spans="1:20" ht="24" customHeight="1" x14ac:dyDescent="0.35">
      <c r="A1403" s="5" t="s">
        <v>3810</v>
      </c>
      <c r="B1403" s="5" t="s">
        <v>3811</v>
      </c>
      <c r="C1403" s="5" t="s">
        <v>630</v>
      </c>
      <c r="D1403" s="5" t="s">
        <v>3812</v>
      </c>
      <c r="E1403" s="8">
        <v>46267</v>
      </c>
      <c r="F1403" s="5" t="s">
        <v>771</v>
      </c>
      <c r="G1403" s="5" t="s">
        <v>772</v>
      </c>
      <c r="H1403" s="22"/>
      <c r="I1403" s="5" t="s">
        <v>603</v>
      </c>
      <c r="J1403" s="5" t="s">
        <v>547</v>
      </c>
      <c r="K1403" s="5" t="s">
        <v>590</v>
      </c>
      <c r="L1403" s="5" t="s">
        <v>149</v>
      </c>
      <c r="M1403" s="5" t="s">
        <v>581</v>
      </c>
      <c r="N1403" s="5"/>
      <c r="O1403" s="8"/>
      <c r="P1403" s="22"/>
      <c r="Q1403" s="5" t="s">
        <v>3795</v>
      </c>
      <c r="R1403" s="5" t="s">
        <v>557</v>
      </c>
      <c r="S1403" s="5" t="s">
        <v>582</v>
      </c>
      <c r="T1403" s="8">
        <v>46298</v>
      </c>
    </row>
    <row r="1404" spans="1:20" ht="24" customHeight="1" x14ac:dyDescent="0.35">
      <c r="A1404" s="1" t="s">
        <v>3813</v>
      </c>
      <c r="B1404" s="1" t="s">
        <v>3814</v>
      </c>
      <c r="C1404" s="1" t="s">
        <v>95</v>
      </c>
      <c r="D1404" s="1" t="s">
        <v>144</v>
      </c>
      <c r="E1404" s="10">
        <v>46267</v>
      </c>
      <c r="F1404" s="1" t="s">
        <v>771</v>
      </c>
      <c r="G1404" s="1" t="s">
        <v>772</v>
      </c>
      <c r="H1404" s="23"/>
      <c r="I1404" s="1" t="s">
        <v>603</v>
      </c>
      <c r="J1404" s="1" t="s">
        <v>548</v>
      </c>
      <c r="K1404" s="1" t="s">
        <v>590</v>
      </c>
      <c r="L1404" s="1" t="s">
        <v>149</v>
      </c>
      <c r="M1404" s="1" t="s">
        <v>581</v>
      </c>
      <c r="N1404" s="1"/>
      <c r="O1404" s="10"/>
      <c r="P1404" s="23"/>
      <c r="Q1404" s="1" t="s">
        <v>3795</v>
      </c>
      <c r="R1404" s="1" t="s">
        <v>557</v>
      </c>
      <c r="S1404" s="1" t="s">
        <v>582</v>
      </c>
      <c r="T1404" s="10">
        <v>46298</v>
      </c>
    </row>
    <row r="1405" spans="1:20" ht="24" customHeight="1" x14ac:dyDescent="0.35">
      <c r="A1405" s="5" t="s">
        <v>3815</v>
      </c>
      <c r="B1405" s="5" t="s">
        <v>3816</v>
      </c>
      <c r="C1405" s="5" t="s">
        <v>119</v>
      </c>
      <c r="D1405" s="5" t="s">
        <v>188</v>
      </c>
      <c r="E1405" s="8">
        <v>46267</v>
      </c>
      <c r="F1405" s="5" t="s">
        <v>771</v>
      </c>
      <c r="G1405" s="5" t="s">
        <v>772</v>
      </c>
      <c r="H1405" s="22"/>
      <c r="I1405" s="5" t="s">
        <v>603</v>
      </c>
      <c r="J1405" s="5" t="s">
        <v>547</v>
      </c>
      <c r="K1405" s="5" t="s">
        <v>590</v>
      </c>
      <c r="L1405" s="5" t="s">
        <v>149</v>
      </c>
      <c r="M1405" s="5" t="s">
        <v>581</v>
      </c>
      <c r="N1405" s="5"/>
      <c r="O1405" s="8"/>
      <c r="P1405" s="22"/>
      <c r="Q1405" s="5" t="s">
        <v>3795</v>
      </c>
      <c r="R1405" s="5" t="s">
        <v>557</v>
      </c>
      <c r="S1405" s="5" t="s">
        <v>582</v>
      </c>
      <c r="T1405" s="8">
        <v>46298</v>
      </c>
    </row>
    <row r="1406" spans="1:20" ht="24" customHeight="1" x14ac:dyDescent="0.35">
      <c r="A1406" s="1" t="s">
        <v>3817</v>
      </c>
      <c r="B1406" s="1" t="s">
        <v>3818</v>
      </c>
      <c r="C1406" s="1" t="s">
        <v>355</v>
      </c>
      <c r="D1406" s="1" t="s">
        <v>749</v>
      </c>
      <c r="E1406" s="10">
        <v>46266</v>
      </c>
      <c r="F1406" s="1" t="s">
        <v>771</v>
      </c>
      <c r="G1406" s="1" t="s">
        <v>772</v>
      </c>
      <c r="H1406" s="23"/>
      <c r="I1406" s="1" t="s">
        <v>603</v>
      </c>
      <c r="J1406" s="1" t="s">
        <v>544</v>
      </c>
      <c r="K1406" s="1" t="s">
        <v>547</v>
      </c>
      <c r="L1406" s="1" t="s">
        <v>149</v>
      </c>
      <c r="M1406" s="1" t="s">
        <v>581</v>
      </c>
      <c r="N1406" s="1"/>
      <c r="O1406" s="10"/>
      <c r="P1406" s="23"/>
      <c r="Q1406" s="1" t="s">
        <v>773</v>
      </c>
      <c r="R1406" s="1" t="s">
        <v>557</v>
      </c>
      <c r="S1406" s="1" t="s">
        <v>582</v>
      </c>
      <c r="T1406" s="10">
        <v>46298</v>
      </c>
    </row>
    <row r="1407" spans="1:20" ht="24" customHeight="1" x14ac:dyDescent="0.35">
      <c r="A1407" s="5" t="s">
        <v>3819</v>
      </c>
      <c r="B1407" s="5" t="s">
        <v>3820</v>
      </c>
      <c r="C1407" s="5" t="s">
        <v>210</v>
      </c>
      <c r="D1407" s="5" t="s">
        <v>1582</v>
      </c>
      <c r="E1407" s="8">
        <v>46267</v>
      </c>
      <c r="F1407" s="5" t="s">
        <v>771</v>
      </c>
      <c r="G1407" s="5" t="s">
        <v>772</v>
      </c>
      <c r="H1407" s="22"/>
      <c r="I1407" s="5" t="s">
        <v>603</v>
      </c>
      <c r="J1407" s="5" t="s">
        <v>544</v>
      </c>
      <c r="K1407" s="5" t="s">
        <v>590</v>
      </c>
      <c r="L1407" s="5" t="s">
        <v>591</v>
      </c>
      <c r="M1407" s="5" t="s">
        <v>581</v>
      </c>
      <c r="N1407" s="5"/>
      <c r="O1407" s="8"/>
      <c r="P1407" s="22"/>
      <c r="Q1407" s="5" t="s">
        <v>3795</v>
      </c>
      <c r="R1407" s="5" t="s">
        <v>557</v>
      </c>
      <c r="S1407" s="5" t="s">
        <v>582</v>
      </c>
      <c r="T1407" s="8">
        <v>46298</v>
      </c>
    </row>
    <row r="1408" spans="1:20" ht="24" customHeight="1" x14ac:dyDescent="0.35">
      <c r="A1408" s="1" t="s">
        <v>3821</v>
      </c>
      <c r="B1408" s="1" t="s">
        <v>3822</v>
      </c>
      <c r="C1408" s="1" t="s">
        <v>210</v>
      </c>
      <c r="D1408" s="1" t="s">
        <v>3022</v>
      </c>
      <c r="E1408" s="10">
        <v>46266</v>
      </c>
      <c r="F1408" s="1" t="s">
        <v>587</v>
      </c>
      <c r="G1408" s="1" t="s">
        <v>588</v>
      </c>
      <c r="H1408" s="23">
        <v>5000000</v>
      </c>
      <c r="I1408" s="1" t="s">
        <v>589</v>
      </c>
      <c r="J1408" s="1" t="s">
        <v>544</v>
      </c>
      <c r="K1408" s="1" t="s">
        <v>590</v>
      </c>
      <c r="L1408" s="1" t="s">
        <v>608</v>
      </c>
      <c r="M1408" s="1" t="s">
        <v>581</v>
      </c>
      <c r="N1408" s="1"/>
      <c r="O1408" s="10"/>
      <c r="P1408" s="23"/>
      <c r="Q1408" s="1"/>
      <c r="R1408" s="1" t="s">
        <v>557</v>
      </c>
      <c r="S1408" s="1" t="s">
        <v>582</v>
      </c>
      <c r="T1408" s="10">
        <v>46298</v>
      </c>
    </row>
    <row r="1409" spans="1:20" ht="24" customHeight="1" x14ac:dyDescent="0.35">
      <c r="A1409" s="5" t="s">
        <v>3823</v>
      </c>
      <c r="B1409" s="5" t="s">
        <v>1422</v>
      </c>
      <c r="C1409" s="5" t="s">
        <v>355</v>
      </c>
      <c r="D1409" s="5" t="s">
        <v>323</v>
      </c>
      <c r="E1409" s="8">
        <v>46267</v>
      </c>
      <c r="F1409" s="5" t="s">
        <v>771</v>
      </c>
      <c r="G1409" s="5" t="s">
        <v>772</v>
      </c>
      <c r="H1409" s="22"/>
      <c r="I1409" s="5" t="s">
        <v>603</v>
      </c>
      <c r="J1409" s="5" t="s">
        <v>544</v>
      </c>
      <c r="K1409" s="5" t="s">
        <v>590</v>
      </c>
      <c r="L1409" s="5" t="s">
        <v>591</v>
      </c>
      <c r="M1409" s="5" t="s">
        <v>581</v>
      </c>
      <c r="N1409" s="5"/>
      <c r="O1409" s="8"/>
      <c r="P1409" s="22"/>
      <c r="Q1409" s="5" t="s">
        <v>3795</v>
      </c>
      <c r="R1409" s="5" t="s">
        <v>557</v>
      </c>
      <c r="S1409" s="5" t="s">
        <v>582</v>
      </c>
      <c r="T1409" s="8">
        <v>46298</v>
      </c>
    </row>
    <row r="1410" spans="1:20" ht="24" customHeight="1" x14ac:dyDescent="0.35">
      <c r="A1410" s="1" t="s">
        <v>3824</v>
      </c>
      <c r="B1410" s="1" t="s">
        <v>3825</v>
      </c>
      <c r="C1410" s="1" t="s">
        <v>999</v>
      </c>
      <c r="D1410" s="1" t="s">
        <v>1444</v>
      </c>
      <c r="E1410" s="10">
        <v>46266</v>
      </c>
      <c r="F1410" s="1" t="s">
        <v>771</v>
      </c>
      <c r="G1410" s="1" t="s">
        <v>772</v>
      </c>
      <c r="H1410" s="23"/>
      <c r="I1410" s="1" t="s">
        <v>603</v>
      </c>
      <c r="J1410" s="1" t="s">
        <v>544</v>
      </c>
      <c r="K1410" s="1" t="s">
        <v>590</v>
      </c>
      <c r="L1410" s="1" t="s">
        <v>172</v>
      </c>
      <c r="M1410" s="1" t="s">
        <v>581</v>
      </c>
      <c r="N1410" s="1"/>
      <c r="O1410" s="10"/>
      <c r="P1410" s="23"/>
      <c r="Q1410" s="1" t="s">
        <v>773</v>
      </c>
      <c r="R1410" s="1" t="s">
        <v>557</v>
      </c>
      <c r="S1410" s="1" t="s">
        <v>582</v>
      </c>
      <c r="T1410" s="10">
        <v>46298</v>
      </c>
    </row>
    <row r="1411" spans="1:20" ht="24" customHeight="1" x14ac:dyDescent="0.35">
      <c r="A1411" s="5" t="s">
        <v>3826</v>
      </c>
      <c r="B1411" s="5" t="s">
        <v>3827</v>
      </c>
      <c r="C1411" s="5" t="s">
        <v>3506</v>
      </c>
      <c r="D1411" s="5" t="s">
        <v>529</v>
      </c>
      <c r="E1411" s="8">
        <v>46169</v>
      </c>
      <c r="F1411" s="5" t="s">
        <v>578</v>
      </c>
      <c r="G1411" s="5" t="s">
        <v>579</v>
      </c>
      <c r="H1411" s="22"/>
      <c r="I1411" s="5" t="s">
        <v>580</v>
      </c>
      <c r="J1411" s="5" t="s">
        <v>590</v>
      </c>
      <c r="K1411" s="5" t="s">
        <v>547</v>
      </c>
      <c r="L1411" s="5" t="s">
        <v>608</v>
      </c>
      <c r="M1411" s="5" t="s">
        <v>581</v>
      </c>
      <c r="N1411" s="5"/>
      <c r="O1411" s="8"/>
      <c r="P1411" s="22"/>
      <c r="Q1411" s="5" t="s">
        <v>592</v>
      </c>
      <c r="R1411" s="5" t="s">
        <v>557</v>
      </c>
      <c r="S1411" s="5" t="s">
        <v>582</v>
      </c>
      <c r="T1411" s="8">
        <v>46298</v>
      </c>
    </row>
    <row r="1412" spans="1:20" ht="24" customHeight="1" x14ac:dyDescent="0.35">
      <c r="A1412" s="1" t="s">
        <v>3828</v>
      </c>
      <c r="B1412" s="1" t="s">
        <v>3829</v>
      </c>
      <c r="C1412" s="1" t="s">
        <v>3830</v>
      </c>
      <c r="D1412" s="1" t="s">
        <v>529</v>
      </c>
      <c r="E1412" s="10">
        <v>46206</v>
      </c>
      <c r="F1412" s="1" t="s">
        <v>587</v>
      </c>
      <c r="G1412" s="1" t="s">
        <v>588</v>
      </c>
      <c r="H1412" s="23">
        <v>2000000</v>
      </c>
      <c r="I1412" s="1" t="s">
        <v>589</v>
      </c>
      <c r="J1412" s="1" t="s">
        <v>590</v>
      </c>
      <c r="K1412" s="1" t="s">
        <v>547</v>
      </c>
      <c r="L1412" s="1" t="s">
        <v>149</v>
      </c>
      <c r="M1412" s="1" t="s">
        <v>581</v>
      </c>
      <c r="N1412" s="1"/>
      <c r="O1412" s="10"/>
      <c r="P1412" s="23"/>
      <c r="Q1412" s="1"/>
      <c r="R1412" s="1" t="s">
        <v>557</v>
      </c>
      <c r="S1412" s="1" t="s">
        <v>582</v>
      </c>
      <c r="T1412" s="10">
        <v>46298</v>
      </c>
    </row>
    <row r="1413" spans="1:20" ht="24" customHeight="1" x14ac:dyDescent="0.35">
      <c r="A1413" s="5" t="s">
        <v>3831</v>
      </c>
      <c r="B1413" s="5" t="s">
        <v>3832</v>
      </c>
      <c r="C1413" s="5" t="s">
        <v>529</v>
      </c>
      <c r="D1413" s="5" t="s">
        <v>3833</v>
      </c>
      <c r="E1413" s="8">
        <v>46261</v>
      </c>
      <c r="F1413" s="5" t="s">
        <v>771</v>
      </c>
      <c r="G1413" s="5" t="s">
        <v>772</v>
      </c>
      <c r="H1413" s="22"/>
      <c r="I1413" s="5" t="s">
        <v>603</v>
      </c>
      <c r="J1413" s="5" t="s">
        <v>547</v>
      </c>
      <c r="K1413" s="5" t="s">
        <v>590</v>
      </c>
      <c r="L1413" s="5" t="s">
        <v>608</v>
      </c>
      <c r="M1413" s="5" t="s">
        <v>581</v>
      </c>
      <c r="N1413" s="5"/>
      <c r="O1413" s="8"/>
      <c r="P1413" s="22"/>
      <c r="Q1413" s="5" t="s">
        <v>773</v>
      </c>
      <c r="R1413" s="5" t="s">
        <v>557</v>
      </c>
      <c r="S1413" s="5" t="s">
        <v>582</v>
      </c>
      <c r="T1413" s="8">
        <v>46298</v>
      </c>
    </row>
    <row r="1414" spans="1:20" ht="24" customHeight="1" x14ac:dyDescent="0.35">
      <c r="A1414" s="1" t="s">
        <v>3834</v>
      </c>
      <c r="B1414" s="1" t="s">
        <v>528</v>
      </c>
      <c r="C1414" s="1" t="s">
        <v>529</v>
      </c>
      <c r="D1414" s="1" t="s">
        <v>119</v>
      </c>
      <c r="E1414" s="10">
        <v>46097</v>
      </c>
      <c r="F1414" s="1" t="s">
        <v>587</v>
      </c>
      <c r="G1414" s="1" t="s">
        <v>588</v>
      </c>
      <c r="H1414" s="23">
        <v>15000000</v>
      </c>
      <c r="I1414" s="1" t="s">
        <v>589</v>
      </c>
      <c r="J1414" s="1" t="s">
        <v>547</v>
      </c>
      <c r="K1414" s="1" t="s">
        <v>547</v>
      </c>
      <c r="L1414" s="1" t="s">
        <v>608</v>
      </c>
      <c r="M1414" s="1" t="s">
        <v>581</v>
      </c>
      <c r="N1414" s="1"/>
      <c r="O1414" s="10"/>
      <c r="P1414" s="23"/>
      <c r="Q1414" s="1" t="s">
        <v>592</v>
      </c>
      <c r="R1414" s="1" t="s">
        <v>557</v>
      </c>
      <c r="S1414" s="1" t="s">
        <v>582</v>
      </c>
      <c r="T1414" s="10">
        <v>46298</v>
      </c>
    </row>
    <row r="1415" spans="1:20" ht="24" customHeight="1" x14ac:dyDescent="0.35">
      <c r="A1415" s="5" t="s">
        <v>3835</v>
      </c>
      <c r="B1415" s="5" t="s">
        <v>3836</v>
      </c>
      <c r="C1415" s="5" t="s">
        <v>529</v>
      </c>
      <c r="D1415" s="5" t="s">
        <v>3837</v>
      </c>
      <c r="E1415" s="8">
        <v>46204</v>
      </c>
      <c r="F1415" s="5" t="s">
        <v>771</v>
      </c>
      <c r="G1415" s="5" t="s">
        <v>772</v>
      </c>
      <c r="H1415" s="22"/>
      <c r="I1415" s="5" t="s">
        <v>603</v>
      </c>
      <c r="J1415" s="5" t="s">
        <v>547</v>
      </c>
      <c r="K1415" s="5" t="s">
        <v>590</v>
      </c>
      <c r="L1415" s="5" t="s">
        <v>149</v>
      </c>
      <c r="M1415" s="5" t="s">
        <v>581</v>
      </c>
      <c r="N1415" s="5"/>
      <c r="O1415" s="8"/>
      <c r="P1415" s="22"/>
      <c r="Q1415" s="5" t="s">
        <v>773</v>
      </c>
      <c r="R1415" s="5" t="s">
        <v>557</v>
      </c>
      <c r="S1415" s="5" t="s">
        <v>582</v>
      </c>
      <c r="T1415" s="8">
        <v>46298</v>
      </c>
    </row>
    <row r="1416" spans="1:20" ht="24" customHeight="1" x14ac:dyDescent="0.35">
      <c r="A1416" s="1" t="s">
        <v>3838</v>
      </c>
      <c r="B1416" s="1" t="s">
        <v>3839</v>
      </c>
      <c r="C1416" s="1" t="s">
        <v>749</v>
      </c>
      <c r="D1416" s="1" t="s">
        <v>3434</v>
      </c>
      <c r="E1416" s="10">
        <v>46268</v>
      </c>
      <c r="F1416" s="1" t="s">
        <v>771</v>
      </c>
      <c r="G1416" s="1" t="s">
        <v>772</v>
      </c>
      <c r="H1416" s="23"/>
      <c r="I1416" s="1" t="s">
        <v>603</v>
      </c>
      <c r="J1416" s="1" t="s">
        <v>547</v>
      </c>
      <c r="K1416" s="1" t="s">
        <v>590</v>
      </c>
      <c r="L1416" s="1" t="s">
        <v>591</v>
      </c>
      <c r="M1416" s="1" t="s">
        <v>581</v>
      </c>
      <c r="N1416" s="1"/>
      <c r="O1416" s="10"/>
      <c r="P1416" s="23"/>
      <c r="Q1416" s="1" t="s">
        <v>3795</v>
      </c>
      <c r="R1416" s="1" t="s">
        <v>557</v>
      </c>
      <c r="S1416" s="1" t="s">
        <v>582</v>
      </c>
      <c r="T1416" s="10">
        <v>46298</v>
      </c>
    </row>
    <row r="1417" spans="1:20" ht="24" customHeight="1" x14ac:dyDescent="0.35">
      <c r="A1417" s="5" t="s">
        <v>3840</v>
      </c>
      <c r="B1417" s="5" t="s">
        <v>3841</v>
      </c>
      <c r="C1417" s="5" t="s">
        <v>1031</v>
      </c>
      <c r="D1417" s="5" t="s">
        <v>2992</v>
      </c>
      <c r="E1417" s="8">
        <v>46267</v>
      </c>
      <c r="F1417" s="5" t="s">
        <v>771</v>
      </c>
      <c r="G1417" s="5" t="s">
        <v>772</v>
      </c>
      <c r="H1417" s="22"/>
      <c r="I1417" s="5" t="s">
        <v>603</v>
      </c>
      <c r="J1417" s="5" t="s">
        <v>548</v>
      </c>
      <c r="K1417" s="5" t="s">
        <v>590</v>
      </c>
      <c r="L1417" s="5" t="s">
        <v>591</v>
      </c>
      <c r="M1417" s="5" t="s">
        <v>581</v>
      </c>
      <c r="N1417" s="5"/>
      <c r="O1417" s="8"/>
      <c r="P1417" s="22"/>
      <c r="Q1417" s="5" t="s">
        <v>3795</v>
      </c>
      <c r="R1417" s="5" t="s">
        <v>557</v>
      </c>
      <c r="S1417" s="5" t="s">
        <v>582</v>
      </c>
      <c r="T1417" s="8">
        <v>46298</v>
      </c>
    </row>
    <row r="1418" spans="1:20" ht="24" customHeight="1" x14ac:dyDescent="0.35">
      <c r="A1418" s="1" t="s">
        <v>3842</v>
      </c>
      <c r="B1418" s="1" t="s">
        <v>3843</v>
      </c>
      <c r="C1418" s="1" t="s">
        <v>1004</v>
      </c>
      <c r="D1418" s="1" t="s">
        <v>3519</v>
      </c>
      <c r="E1418" s="10">
        <v>46267</v>
      </c>
      <c r="F1418" s="1" t="s">
        <v>771</v>
      </c>
      <c r="G1418" s="1" t="s">
        <v>772</v>
      </c>
      <c r="H1418" s="23"/>
      <c r="I1418" s="1" t="s">
        <v>603</v>
      </c>
      <c r="J1418" s="1" t="s">
        <v>545</v>
      </c>
      <c r="K1418" s="1" t="s">
        <v>590</v>
      </c>
      <c r="L1418" s="1" t="s">
        <v>591</v>
      </c>
      <c r="M1418" s="1" t="s">
        <v>581</v>
      </c>
      <c r="N1418" s="1"/>
      <c r="O1418" s="10"/>
      <c r="P1418" s="23"/>
      <c r="Q1418" s="1" t="s">
        <v>3795</v>
      </c>
      <c r="R1418" s="1" t="s">
        <v>557</v>
      </c>
      <c r="S1418" s="1" t="s">
        <v>582</v>
      </c>
      <c r="T1418" s="10">
        <v>46298</v>
      </c>
    </row>
    <row r="1419" spans="1:20" ht="24" customHeight="1" x14ac:dyDescent="0.35">
      <c r="A1419" s="5" t="s">
        <v>3844</v>
      </c>
      <c r="B1419" s="5" t="s">
        <v>3845</v>
      </c>
      <c r="C1419" s="5" t="s">
        <v>953</v>
      </c>
      <c r="D1419" s="5" t="s">
        <v>3846</v>
      </c>
      <c r="E1419" s="8">
        <v>46267</v>
      </c>
      <c r="F1419" s="5" t="s">
        <v>601</v>
      </c>
      <c r="G1419" s="5" t="s">
        <v>602</v>
      </c>
      <c r="H1419" s="22"/>
      <c r="I1419" s="5" t="s">
        <v>603</v>
      </c>
      <c r="J1419" s="5" t="s">
        <v>548</v>
      </c>
      <c r="K1419" s="5" t="s">
        <v>590</v>
      </c>
      <c r="L1419" s="5" t="s">
        <v>640</v>
      </c>
      <c r="M1419" s="5" t="s">
        <v>581</v>
      </c>
      <c r="N1419" s="5"/>
      <c r="O1419" s="8"/>
      <c r="P1419" s="22"/>
      <c r="Q1419" s="5" t="s">
        <v>3267</v>
      </c>
      <c r="R1419" s="5" t="s">
        <v>557</v>
      </c>
      <c r="S1419" s="5" t="s">
        <v>582</v>
      </c>
      <c r="T1419" s="8">
        <v>46298</v>
      </c>
    </row>
    <row r="1420" spans="1:20" ht="24" customHeight="1" x14ac:dyDescent="0.35">
      <c r="A1420" s="1" t="s">
        <v>3847</v>
      </c>
      <c r="B1420" s="1" t="s">
        <v>3848</v>
      </c>
      <c r="C1420" s="1" t="s">
        <v>355</v>
      </c>
      <c r="D1420" s="1" t="s">
        <v>111</v>
      </c>
      <c r="E1420" s="10">
        <v>46267</v>
      </c>
      <c r="F1420" s="1" t="s">
        <v>771</v>
      </c>
      <c r="G1420" s="1" t="s">
        <v>772</v>
      </c>
      <c r="H1420" s="23"/>
      <c r="I1420" s="1" t="s">
        <v>603</v>
      </c>
      <c r="J1420" s="1" t="s">
        <v>544</v>
      </c>
      <c r="K1420" s="1" t="s">
        <v>590</v>
      </c>
      <c r="L1420" s="1" t="s">
        <v>608</v>
      </c>
      <c r="M1420" s="1" t="s">
        <v>581</v>
      </c>
      <c r="N1420" s="1"/>
      <c r="O1420" s="10"/>
      <c r="P1420" s="23"/>
      <c r="Q1420" s="1" t="s">
        <v>3795</v>
      </c>
      <c r="R1420" s="1" t="s">
        <v>557</v>
      </c>
      <c r="S1420" s="1" t="s">
        <v>582</v>
      </c>
      <c r="T1420" s="10">
        <v>46298</v>
      </c>
    </row>
    <row r="1421" spans="1:20" ht="24" customHeight="1" x14ac:dyDescent="0.35">
      <c r="A1421" s="5" t="s">
        <v>3849</v>
      </c>
      <c r="B1421" s="5" t="s">
        <v>3850</v>
      </c>
      <c r="C1421" s="5" t="s">
        <v>469</v>
      </c>
      <c r="D1421" s="5" t="s">
        <v>3851</v>
      </c>
      <c r="E1421" s="8">
        <v>46267</v>
      </c>
      <c r="F1421" s="5" t="s">
        <v>771</v>
      </c>
      <c r="G1421" s="5" t="s">
        <v>772</v>
      </c>
      <c r="H1421" s="22"/>
      <c r="I1421" s="5" t="s">
        <v>603</v>
      </c>
      <c r="J1421" s="5" t="s">
        <v>544</v>
      </c>
      <c r="K1421" s="5" t="s">
        <v>590</v>
      </c>
      <c r="L1421" s="5" t="s">
        <v>640</v>
      </c>
      <c r="M1421" s="5" t="s">
        <v>581</v>
      </c>
      <c r="N1421" s="5"/>
      <c r="O1421" s="8"/>
      <c r="P1421" s="22"/>
      <c r="Q1421" s="5" t="s">
        <v>3795</v>
      </c>
      <c r="R1421" s="5" t="s">
        <v>557</v>
      </c>
      <c r="S1421" s="5" t="s">
        <v>582</v>
      </c>
      <c r="T1421" s="8">
        <v>46298</v>
      </c>
    </row>
    <row r="1422" spans="1:20" ht="24" customHeight="1" x14ac:dyDescent="0.35">
      <c r="A1422" s="1" t="s">
        <v>3852</v>
      </c>
      <c r="B1422" s="1" t="s">
        <v>3853</v>
      </c>
      <c r="C1422" s="1" t="s">
        <v>106</v>
      </c>
      <c r="D1422" s="1" t="s">
        <v>782</v>
      </c>
      <c r="E1422" s="10">
        <v>46267</v>
      </c>
      <c r="F1422" s="1" t="s">
        <v>587</v>
      </c>
      <c r="G1422" s="1" t="s">
        <v>588</v>
      </c>
      <c r="H1422" s="23">
        <v>4000000</v>
      </c>
      <c r="I1422" s="1" t="s">
        <v>589</v>
      </c>
      <c r="J1422" s="1" t="s">
        <v>544</v>
      </c>
      <c r="K1422" s="1" t="s">
        <v>590</v>
      </c>
      <c r="L1422" s="1" t="s">
        <v>591</v>
      </c>
      <c r="M1422" s="1" t="s">
        <v>581</v>
      </c>
      <c r="N1422" s="1"/>
      <c r="O1422" s="10"/>
      <c r="P1422" s="23"/>
      <c r="Q1422" s="1" t="s">
        <v>3267</v>
      </c>
      <c r="R1422" s="1" t="s">
        <v>557</v>
      </c>
      <c r="S1422" s="1" t="s">
        <v>582</v>
      </c>
      <c r="T1422" s="10">
        <v>46298</v>
      </c>
    </row>
    <row r="1423" spans="1:20" ht="24" customHeight="1" x14ac:dyDescent="0.35">
      <c r="A1423" s="5" t="s">
        <v>3854</v>
      </c>
      <c r="B1423" s="5" t="s">
        <v>3855</v>
      </c>
      <c r="C1423" s="5" t="s">
        <v>529</v>
      </c>
      <c r="D1423" s="5" t="s">
        <v>3856</v>
      </c>
      <c r="E1423" s="8">
        <v>46268</v>
      </c>
      <c r="F1423" s="5" t="s">
        <v>771</v>
      </c>
      <c r="G1423" s="5" t="s">
        <v>772</v>
      </c>
      <c r="H1423" s="22"/>
      <c r="I1423" s="5" t="s">
        <v>603</v>
      </c>
      <c r="J1423" s="5" t="s">
        <v>547</v>
      </c>
      <c r="K1423" s="5" t="s">
        <v>590</v>
      </c>
      <c r="L1423" s="5" t="s">
        <v>640</v>
      </c>
      <c r="M1423" s="5" t="s">
        <v>581</v>
      </c>
      <c r="N1423" s="5"/>
      <c r="O1423" s="8"/>
      <c r="P1423" s="22"/>
      <c r="Q1423" s="5" t="s">
        <v>3795</v>
      </c>
      <c r="R1423" s="5" t="s">
        <v>557</v>
      </c>
      <c r="S1423" s="5" t="s">
        <v>582</v>
      </c>
      <c r="T1423" s="8">
        <v>46298</v>
      </c>
    </row>
    <row r="1424" spans="1:20" ht="24" customHeight="1" x14ac:dyDescent="0.35">
      <c r="A1424" s="1" t="s">
        <v>3857</v>
      </c>
      <c r="B1424" s="1" t="s">
        <v>3858</v>
      </c>
      <c r="C1424" s="1" t="s">
        <v>365</v>
      </c>
      <c r="D1424" s="1" t="s">
        <v>630</v>
      </c>
      <c r="E1424" s="10">
        <v>46227</v>
      </c>
      <c r="F1424" s="1" t="s">
        <v>578</v>
      </c>
      <c r="G1424" s="1" t="s">
        <v>579</v>
      </c>
      <c r="H1424" s="23"/>
      <c r="I1424" s="1" t="s">
        <v>580</v>
      </c>
      <c r="J1424" s="1" t="s">
        <v>548</v>
      </c>
      <c r="K1424" s="1" t="s">
        <v>547</v>
      </c>
      <c r="L1424" s="1" t="s">
        <v>172</v>
      </c>
      <c r="M1424" s="1" t="s">
        <v>581</v>
      </c>
      <c r="N1424" s="1"/>
      <c r="O1424" s="10"/>
      <c r="P1424" s="23"/>
      <c r="Q1424" s="1"/>
      <c r="R1424" s="1" t="s">
        <v>557</v>
      </c>
      <c r="S1424" s="1" t="s">
        <v>582</v>
      </c>
      <c r="T1424" s="10">
        <v>46298</v>
      </c>
    </row>
    <row r="1425" spans="1:20" ht="24" customHeight="1" x14ac:dyDescent="0.35">
      <c r="A1425" s="5" t="s">
        <v>3859</v>
      </c>
      <c r="B1425" s="5" t="s">
        <v>505</v>
      </c>
      <c r="C1425" s="5" t="s">
        <v>126</v>
      </c>
      <c r="D1425" s="5" t="s">
        <v>146</v>
      </c>
      <c r="E1425" s="8">
        <v>46268</v>
      </c>
      <c r="F1425" s="5" t="s">
        <v>587</v>
      </c>
      <c r="G1425" s="5" t="s">
        <v>588</v>
      </c>
      <c r="H1425" s="22">
        <v>60000000</v>
      </c>
      <c r="I1425" s="5" t="s">
        <v>589</v>
      </c>
      <c r="J1425" s="5" t="s">
        <v>544</v>
      </c>
      <c r="K1425" s="5" t="s">
        <v>590</v>
      </c>
      <c r="L1425" s="5" t="s">
        <v>591</v>
      </c>
      <c r="M1425" s="5" t="s">
        <v>581</v>
      </c>
      <c r="N1425" s="5"/>
      <c r="O1425" s="8"/>
      <c r="P1425" s="22"/>
      <c r="Q1425" s="5" t="s">
        <v>3267</v>
      </c>
      <c r="R1425" s="5" t="s">
        <v>557</v>
      </c>
      <c r="S1425" s="5" t="s">
        <v>582</v>
      </c>
      <c r="T1425" s="8">
        <v>46298</v>
      </c>
    </row>
    <row r="1426" spans="1:20" ht="24" customHeight="1" x14ac:dyDescent="0.35">
      <c r="A1426" s="1" t="s">
        <v>3860</v>
      </c>
      <c r="B1426" s="1" t="s">
        <v>3861</v>
      </c>
      <c r="C1426" s="1" t="s">
        <v>630</v>
      </c>
      <c r="D1426" s="1" t="s">
        <v>959</v>
      </c>
      <c r="E1426" s="10">
        <v>46266</v>
      </c>
      <c r="F1426" s="1" t="s">
        <v>771</v>
      </c>
      <c r="G1426" s="1" t="s">
        <v>772</v>
      </c>
      <c r="H1426" s="23"/>
      <c r="I1426" s="1" t="s">
        <v>603</v>
      </c>
      <c r="J1426" s="1" t="s">
        <v>547</v>
      </c>
      <c r="K1426" s="1" t="s">
        <v>590</v>
      </c>
      <c r="L1426" s="1" t="s">
        <v>149</v>
      </c>
      <c r="M1426" s="1" t="s">
        <v>581</v>
      </c>
      <c r="N1426" s="1"/>
      <c r="O1426" s="10"/>
      <c r="P1426" s="23"/>
      <c r="Q1426" s="1" t="s">
        <v>773</v>
      </c>
      <c r="R1426" s="1" t="s">
        <v>557</v>
      </c>
      <c r="S1426" s="1" t="s">
        <v>582</v>
      </c>
      <c r="T1426" s="10">
        <v>46298</v>
      </c>
    </row>
    <row r="1427" spans="1:20" ht="24" customHeight="1" x14ac:dyDescent="0.35">
      <c r="A1427" s="5" t="s">
        <v>3862</v>
      </c>
      <c r="B1427" s="5" t="s">
        <v>3863</v>
      </c>
      <c r="C1427" s="5" t="s">
        <v>630</v>
      </c>
      <c r="D1427" s="5" t="s">
        <v>1091</v>
      </c>
      <c r="E1427" s="8">
        <v>46266</v>
      </c>
      <c r="F1427" s="5" t="s">
        <v>771</v>
      </c>
      <c r="G1427" s="5" t="s">
        <v>772</v>
      </c>
      <c r="H1427" s="22"/>
      <c r="I1427" s="5" t="s">
        <v>603</v>
      </c>
      <c r="J1427" s="5" t="s">
        <v>547</v>
      </c>
      <c r="K1427" s="5" t="s">
        <v>590</v>
      </c>
      <c r="L1427" s="5" t="s">
        <v>608</v>
      </c>
      <c r="M1427" s="5" t="s">
        <v>581</v>
      </c>
      <c r="N1427" s="5"/>
      <c r="O1427" s="8"/>
      <c r="P1427" s="22"/>
      <c r="Q1427" s="5" t="s">
        <v>1008</v>
      </c>
      <c r="R1427" s="5" t="s">
        <v>557</v>
      </c>
      <c r="S1427" s="5" t="s">
        <v>582</v>
      </c>
      <c r="T1427" s="8">
        <v>46298</v>
      </c>
    </row>
    <row r="1428" spans="1:20" ht="24" customHeight="1" x14ac:dyDescent="0.35">
      <c r="A1428" s="1" t="s">
        <v>3864</v>
      </c>
      <c r="B1428" s="1" t="s">
        <v>3865</v>
      </c>
      <c r="C1428" s="1" t="s">
        <v>630</v>
      </c>
      <c r="D1428" s="1" t="s">
        <v>692</v>
      </c>
      <c r="E1428" s="10">
        <v>46204</v>
      </c>
      <c r="F1428" s="1" t="s">
        <v>578</v>
      </c>
      <c r="G1428" s="1" t="s">
        <v>579</v>
      </c>
      <c r="H1428" s="23"/>
      <c r="I1428" s="1" t="s">
        <v>580</v>
      </c>
      <c r="J1428" s="1" t="s">
        <v>547</v>
      </c>
      <c r="K1428" s="1" t="s">
        <v>547</v>
      </c>
      <c r="L1428" s="1" t="s">
        <v>608</v>
      </c>
      <c r="M1428" s="1" t="s">
        <v>581</v>
      </c>
      <c r="N1428" s="1"/>
      <c r="O1428" s="10"/>
      <c r="P1428" s="23"/>
      <c r="Q1428" s="1"/>
      <c r="R1428" s="1" t="s">
        <v>557</v>
      </c>
      <c r="S1428" s="1" t="s">
        <v>582</v>
      </c>
      <c r="T1428" s="10">
        <v>46298</v>
      </c>
    </row>
    <row r="1429" spans="1:20" ht="24" customHeight="1" x14ac:dyDescent="0.35">
      <c r="A1429" s="5" t="s">
        <v>3866</v>
      </c>
      <c r="B1429" s="5" t="s">
        <v>3867</v>
      </c>
      <c r="C1429" s="5" t="s">
        <v>1004</v>
      </c>
      <c r="D1429" s="5" t="s">
        <v>1163</v>
      </c>
      <c r="E1429" s="8">
        <v>46268</v>
      </c>
      <c r="F1429" s="5" t="s">
        <v>587</v>
      </c>
      <c r="G1429" s="5" t="s">
        <v>588</v>
      </c>
      <c r="H1429" s="22">
        <v>450000</v>
      </c>
      <c r="I1429" s="5" t="s">
        <v>589</v>
      </c>
      <c r="J1429" s="5" t="s">
        <v>545</v>
      </c>
      <c r="K1429" s="5" t="s">
        <v>545</v>
      </c>
      <c r="L1429" s="5" t="s">
        <v>608</v>
      </c>
      <c r="M1429" s="5" t="s">
        <v>581</v>
      </c>
      <c r="N1429" s="5"/>
      <c r="O1429" s="8"/>
      <c r="P1429" s="22"/>
      <c r="Q1429" s="5" t="s">
        <v>3267</v>
      </c>
      <c r="R1429" s="5" t="s">
        <v>557</v>
      </c>
      <c r="S1429" s="5" t="s">
        <v>582</v>
      </c>
      <c r="T1429" s="8">
        <v>46298</v>
      </c>
    </row>
    <row r="1430" spans="1:20" ht="24" customHeight="1" x14ac:dyDescent="0.35">
      <c r="A1430" s="1" t="s">
        <v>3868</v>
      </c>
      <c r="B1430" s="1" t="s">
        <v>3869</v>
      </c>
      <c r="C1430" s="1" t="s">
        <v>743</v>
      </c>
      <c r="D1430" s="1" t="s">
        <v>2070</v>
      </c>
      <c r="E1430" s="10">
        <v>46267</v>
      </c>
      <c r="F1430" s="1" t="s">
        <v>587</v>
      </c>
      <c r="G1430" s="1" t="s">
        <v>588</v>
      </c>
      <c r="H1430" s="23">
        <v>5200000</v>
      </c>
      <c r="I1430" s="1" t="s">
        <v>589</v>
      </c>
      <c r="J1430" s="1" t="s">
        <v>545</v>
      </c>
      <c r="K1430" s="1" t="s">
        <v>590</v>
      </c>
      <c r="L1430" s="1" t="s">
        <v>608</v>
      </c>
      <c r="M1430" s="1" t="s">
        <v>581</v>
      </c>
      <c r="N1430" s="1"/>
      <c r="O1430" s="10"/>
      <c r="P1430" s="23"/>
      <c r="Q1430" s="1" t="s">
        <v>3267</v>
      </c>
      <c r="R1430" s="1" t="s">
        <v>557</v>
      </c>
      <c r="S1430" s="1" t="s">
        <v>582</v>
      </c>
      <c r="T1430" s="10">
        <v>46298</v>
      </c>
    </row>
    <row r="1431" spans="1:20" ht="24" customHeight="1" x14ac:dyDescent="0.35">
      <c r="A1431" s="5" t="s">
        <v>3870</v>
      </c>
      <c r="B1431" s="5" t="s">
        <v>3871</v>
      </c>
      <c r="C1431" s="5" t="s">
        <v>596</v>
      </c>
      <c r="D1431" s="5" t="s">
        <v>999</v>
      </c>
      <c r="E1431" s="8">
        <v>46269</v>
      </c>
      <c r="F1431" s="5" t="s">
        <v>587</v>
      </c>
      <c r="G1431" s="5" t="s">
        <v>588</v>
      </c>
      <c r="H1431" s="22">
        <v>10300000</v>
      </c>
      <c r="I1431" s="5" t="s">
        <v>589</v>
      </c>
      <c r="J1431" s="5" t="s">
        <v>548</v>
      </c>
      <c r="K1431" s="5" t="s">
        <v>544</v>
      </c>
      <c r="L1431" s="5" t="s">
        <v>591</v>
      </c>
      <c r="M1431" s="5" t="s">
        <v>581</v>
      </c>
      <c r="N1431" s="5"/>
      <c r="O1431" s="8"/>
      <c r="P1431" s="22"/>
      <c r="Q1431" s="5" t="s">
        <v>3267</v>
      </c>
      <c r="R1431" s="5" t="s">
        <v>557</v>
      </c>
      <c r="S1431" s="5" t="s">
        <v>582</v>
      </c>
      <c r="T1431" s="8">
        <v>46298</v>
      </c>
    </row>
    <row r="1432" spans="1:20" ht="24" customHeight="1" x14ac:dyDescent="0.35">
      <c r="A1432" s="1" t="s">
        <v>3872</v>
      </c>
      <c r="B1432" s="1" t="s">
        <v>3873</v>
      </c>
      <c r="C1432" s="1" t="s">
        <v>953</v>
      </c>
      <c r="D1432" s="1" t="s">
        <v>1427</v>
      </c>
      <c r="E1432" s="10">
        <v>46268</v>
      </c>
      <c r="F1432" s="1" t="s">
        <v>771</v>
      </c>
      <c r="G1432" s="1" t="s">
        <v>772</v>
      </c>
      <c r="H1432" s="23"/>
      <c r="I1432" s="1" t="s">
        <v>603</v>
      </c>
      <c r="J1432" s="1" t="s">
        <v>548</v>
      </c>
      <c r="K1432" s="1" t="s">
        <v>590</v>
      </c>
      <c r="L1432" s="1" t="s">
        <v>591</v>
      </c>
      <c r="M1432" s="1" t="s">
        <v>581</v>
      </c>
      <c r="N1432" s="1"/>
      <c r="O1432" s="10"/>
      <c r="P1432" s="23"/>
      <c r="Q1432" s="1" t="s">
        <v>3795</v>
      </c>
      <c r="R1432" s="1" t="s">
        <v>557</v>
      </c>
      <c r="S1432" s="1" t="s">
        <v>582</v>
      </c>
      <c r="T1432" s="10">
        <v>46298</v>
      </c>
    </row>
    <row r="1433" spans="1:20" ht="24" customHeight="1" x14ac:dyDescent="0.35">
      <c r="A1433" s="5" t="s">
        <v>3874</v>
      </c>
      <c r="B1433" s="5" t="s">
        <v>3875</v>
      </c>
      <c r="C1433" s="5" t="s">
        <v>785</v>
      </c>
      <c r="D1433" s="5" t="s">
        <v>3876</v>
      </c>
      <c r="E1433" s="8">
        <v>46268</v>
      </c>
      <c r="F1433" s="5" t="s">
        <v>771</v>
      </c>
      <c r="G1433" s="5" t="s">
        <v>772</v>
      </c>
      <c r="H1433" s="22"/>
      <c r="I1433" s="5" t="s">
        <v>603</v>
      </c>
      <c r="J1433" s="5" t="s">
        <v>548</v>
      </c>
      <c r="K1433" s="5" t="s">
        <v>590</v>
      </c>
      <c r="L1433" s="5" t="s">
        <v>149</v>
      </c>
      <c r="M1433" s="5" t="s">
        <v>581</v>
      </c>
      <c r="N1433" s="5"/>
      <c r="O1433" s="8"/>
      <c r="P1433" s="22"/>
      <c r="Q1433" s="5" t="s">
        <v>3795</v>
      </c>
      <c r="R1433" s="5" t="s">
        <v>557</v>
      </c>
      <c r="S1433" s="5" t="s">
        <v>582</v>
      </c>
      <c r="T1433" s="8">
        <v>46298</v>
      </c>
    </row>
    <row r="1434" spans="1:20" ht="24" customHeight="1" x14ac:dyDescent="0.35">
      <c r="A1434" s="1" t="s">
        <v>3877</v>
      </c>
      <c r="B1434" s="1" t="s">
        <v>3878</v>
      </c>
      <c r="C1434" s="1" t="s">
        <v>863</v>
      </c>
      <c r="D1434" s="1" t="s">
        <v>2331</v>
      </c>
      <c r="E1434" s="10">
        <v>46268</v>
      </c>
      <c r="F1434" s="1" t="s">
        <v>601</v>
      </c>
      <c r="G1434" s="1" t="s">
        <v>602</v>
      </c>
      <c r="H1434" s="23"/>
      <c r="I1434" s="1" t="s">
        <v>603</v>
      </c>
      <c r="J1434" s="1" t="s">
        <v>548</v>
      </c>
      <c r="K1434" s="1" t="s">
        <v>590</v>
      </c>
      <c r="L1434" s="1" t="s">
        <v>591</v>
      </c>
      <c r="M1434" s="1" t="s">
        <v>581</v>
      </c>
      <c r="N1434" s="1"/>
      <c r="O1434" s="10"/>
      <c r="P1434" s="23"/>
      <c r="Q1434" s="1" t="s">
        <v>3267</v>
      </c>
      <c r="R1434" s="1" t="s">
        <v>557</v>
      </c>
      <c r="S1434" s="1" t="s">
        <v>582</v>
      </c>
      <c r="T1434" s="10">
        <v>46298</v>
      </c>
    </row>
    <row r="1435" spans="1:20" ht="24" customHeight="1" x14ac:dyDescent="0.35">
      <c r="A1435" s="5" t="s">
        <v>3879</v>
      </c>
      <c r="B1435" s="5" t="s">
        <v>3880</v>
      </c>
      <c r="C1435" s="5" t="s">
        <v>743</v>
      </c>
      <c r="D1435" s="5" t="s">
        <v>3881</v>
      </c>
      <c r="E1435" s="8">
        <v>46269</v>
      </c>
      <c r="F1435" s="5" t="s">
        <v>578</v>
      </c>
      <c r="G1435" s="5" t="s">
        <v>579</v>
      </c>
      <c r="H1435" s="22"/>
      <c r="I1435" s="5" t="s">
        <v>580</v>
      </c>
      <c r="J1435" s="5" t="s">
        <v>545</v>
      </c>
      <c r="K1435" s="5" t="s">
        <v>590</v>
      </c>
      <c r="L1435" s="5" t="s">
        <v>149</v>
      </c>
      <c r="M1435" s="5" t="s">
        <v>581</v>
      </c>
      <c r="N1435" s="5"/>
      <c r="O1435" s="8"/>
      <c r="P1435" s="22"/>
      <c r="Q1435" s="5" t="s">
        <v>3267</v>
      </c>
      <c r="R1435" s="5" t="s">
        <v>557</v>
      </c>
      <c r="S1435" s="5" t="s">
        <v>582</v>
      </c>
      <c r="T1435" s="8">
        <v>46298</v>
      </c>
    </row>
    <row r="1436" spans="1:20" ht="24" customHeight="1" x14ac:dyDescent="0.35">
      <c r="A1436" s="1" t="s">
        <v>3882</v>
      </c>
      <c r="B1436" s="1" t="s">
        <v>3883</v>
      </c>
      <c r="C1436" s="1" t="s">
        <v>210</v>
      </c>
      <c r="D1436" s="1" t="s">
        <v>3112</v>
      </c>
      <c r="E1436" s="10">
        <v>46269</v>
      </c>
      <c r="F1436" s="1" t="s">
        <v>771</v>
      </c>
      <c r="G1436" s="1" t="s">
        <v>772</v>
      </c>
      <c r="H1436" s="23"/>
      <c r="I1436" s="1" t="s">
        <v>603</v>
      </c>
      <c r="J1436" s="1" t="s">
        <v>544</v>
      </c>
      <c r="K1436" s="1" t="s">
        <v>590</v>
      </c>
      <c r="L1436" s="1" t="s">
        <v>640</v>
      </c>
      <c r="M1436" s="1" t="s">
        <v>581</v>
      </c>
      <c r="N1436" s="1"/>
      <c r="O1436" s="10"/>
      <c r="P1436" s="23"/>
      <c r="Q1436" s="1" t="s">
        <v>3795</v>
      </c>
      <c r="R1436" s="1" t="s">
        <v>557</v>
      </c>
      <c r="S1436" s="1" t="s">
        <v>582</v>
      </c>
      <c r="T1436" s="10">
        <v>46298</v>
      </c>
    </row>
    <row r="1437" spans="1:20" ht="24" customHeight="1" x14ac:dyDescent="0.35">
      <c r="A1437" s="5" t="s">
        <v>3884</v>
      </c>
      <c r="B1437" s="5" t="s">
        <v>3885</v>
      </c>
      <c r="C1437" s="5" t="s">
        <v>210</v>
      </c>
      <c r="D1437" s="5" t="s">
        <v>2075</v>
      </c>
      <c r="E1437" s="8">
        <v>46269</v>
      </c>
      <c r="F1437" s="5" t="s">
        <v>771</v>
      </c>
      <c r="G1437" s="5" t="s">
        <v>772</v>
      </c>
      <c r="H1437" s="22"/>
      <c r="I1437" s="5" t="s">
        <v>603</v>
      </c>
      <c r="J1437" s="5" t="s">
        <v>544</v>
      </c>
      <c r="K1437" s="5" t="s">
        <v>590</v>
      </c>
      <c r="L1437" s="5" t="s">
        <v>591</v>
      </c>
      <c r="M1437" s="5" t="s">
        <v>581</v>
      </c>
      <c r="N1437" s="5"/>
      <c r="O1437" s="8"/>
      <c r="P1437" s="22"/>
      <c r="Q1437" s="5" t="s">
        <v>3795</v>
      </c>
      <c r="R1437" s="5" t="s">
        <v>557</v>
      </c>
      <c r="S1437" s="5" t="s">
        <v>582</v>
      </c>
      <c r="T1437" s="8">
        <v>46298</v>
      </c>
    </row>
    <row r="1438" spans="1:20" ht="24" customHeight="1" x14ac:dyDescent="0.35">
      <c r="A1438" s="1" t="s">
        <v>3886</v>
      </c>
      <c r="B1438" s="1" t="s">
        <v>3887</v>
      </c>
      <c r="C1438" s="1" t="s">
        <v>130</v>
      </c>
      <c r="D1438" s="1" t="s">
        <v>1004</v>
      </c>
      <c r="E1438" s="10">
        <v>46266</v>
      </c>
      <c r="F1438" s="1" t="s">
        <v>587</v>
      </c>
      <c r="G1438" s="1" t="s">
        <v>588</v>
      </c>
      <c r="H1438" s="23">
        <v>1700000</v>
      </c>
      <c r="I1438" s="1" t="s">
        <v>589</v>
      </c>
      <c r="J1438" s="1" t="s">
        <v>546</v>
      </c>
      <c r="K1438" s="1" t="s">
        <v>545</v>
      </c>
      <c r="L1438" s="1" t="s">
        <v>591</v>
      </c>
      <c r="M1438" s="1" t="s">
        <v>581</v>
      </c>
      <c r="N1438" s="1"/>
      <c r="O1438" s="10"/>
      <c r="P1438" s="23"/>
      <c r="Q1438" s="1"/>
      <c r="R1438" s="1" t="s">
        <v>557</v>
      </c>
      <c r="S1438" s="1" t="s">
        <v>582</v>
      </c>
      <c r="T1438" s="10">
        <v>46298</v>
      </c>
    </row>
    <row r="1439" spans="1:20" ht="24" customHeight="1" x14ac:dyDescent="0.35">
      <c r="A1439" s="5" t="s">
        <v>3888</v>
      </c>
      <c r="B1439" s="5" t="s">
        <v>3889</v>
      </c>
      <c r="C1439" s="5" t="s">
        <v>1004</v>
      </c>
      <c r="D1439" s="5" t="s">
        <v>144</v>
      </c>
      <c r="E1439" s="8">
        <v>46267</v>
      </c>
      <c r="F1439" s="5" t="s">
        <v>587</v>
      </c>
      <c r="G1439" s="5" t="s">
        <v>588</v>
      </c>
      <c r="H1439" s="22">
        <v>340000</v>
      </c>
      <c r="I1439" s="5" t="s">
        <v>589</v>
      </c>
      <c r="J1439" s="5" t="s">
        <v>545</v>
      </c>
      <c r="K1439" s="5" t="s">
        <v>590</v>
      </c>
      <c r="L1439" s="5" t="s">
        <v>149</v>
      </c>
      <c r="M1439" s="5" t="s">
        <v>581</v>
      </c>
      <c r="N1439" s="5"/>
      <c r="O1439" s="8"/>
      <c r="P1439" s="22"/>
      <c r="Q1439" s="5" t="s">
        <v>3267</v>
      </c>
      <c r="R1439" s="5" t="s">
        <v>557</v>
      </c>
      <c r="S1439" s="5" t="s">
        <v>582</v>
      </c>
      <c r="T1439" s="8">
        <v>46298</v>
      </c>
    </row>
    <row r="1440" spans="1:20" ht="24" customHeight="1" x14ac:dyDescent="0.35">
      <c r="A1440" s="1" t="s">
        <v>3890</v>
      </c>
      <c r="B1440" s="1" t="s">
        <v>3891</v>
      </c>
      <c r="C1440" s="1" t="s">
        <v>1004</v>
      </c>
      <c r="D1440" s="1" t="s">
        <v>1378</v>
      </c>
      <c r="E1440" s="10">
        <v>46266</v>
      </c>
      <c r="F1440" s="1" t="s">
        <v>587</v>
      </c>
      <c r="G1440" s="1" t="s">
        <v>588</v>
      </c>
      <c r="H1440" s="23">
        <v>850000</v>
      </c>
      <c r="I1440" s="1" t="s">
        <v>589</v>
      </c>
      <c r="J1440" s="1" t="s">
        <v>545</v>
      </c>
      <c r="K1440" s="1" t="s">
        <v>545</v>
      </c>
      <c r="L1440" s="1" t="s">
        <v>591</v>
      </c>
      <c r="M1440" s="1" t="s">
        <v>581</v>
      </c>
      <c r="N1440" s="1"/>
      <c r="O1440" s="10"/>
      <c r="P1440" s="23"/>
      <c r="Q1440" s="1"/>
      <c r="R1440" s="1" t="s">
        <v>557</v>
      </c>
      <c r="S1440" s="1" t="s">
        <v>582</v>
      </c>
      <c r="T1440" s="10">
        <v>46298</v>
      </c>
    </row>
    <row r="1441" spans="1:20" ht="24" customHeight="1" x14ac:dyDescent="0.35">
      <c r="A1441" s="5" t="s">
        <v>3892</v>
      </c>
      <c r="B1441" s="5" t="s">
        <v>3893</v>
      </c>
      <c r="C1441" s="5" t="s">
        <v>1210</v>
      </c>
      <c r="D1441" s="5" t="s">
        <v>2642</v>
      </c>
      <c r="E1441" s="8">
        <v>46266</v>
      </c>
      <c r="F1441" s="5" t="s">
        <v>771</v>
      </c>
      <c r="G1441" s="5" t="s">
        <v>772</v>
      </c>
      <c r="H1441" s="22"/>
      <c r="I1441" s="5" t="s">
        <v>603</v>
      </c>
      <c r="J1441" s="5" t="s">
        <v>545</v>
      </c>
      <c r="K1441" s="5" t="s">
        <v>590</v>
      </c>
      <c r="L1441" s="5" t="s">
        <v>608</v>
      </c>
      <c r="M1441" s="5" t="s">
        <v>581</v>
      </c>
      <c r="N1441" s="5"/>
      <c r="O1441" s="8"/>
      <c r="P1441" s="22"/>
      <c r="Q1441" s="5" t="s">
        <v>773</v>
      </c>
      <c r="R1441" s="5" t="s">
        <v>557</v>
      </c>
      <c r="S1441" s="5" t="s">
        <v>582</v>
      </c>
      <c r="T1441" s="8">
        <v>46298</v>
      </c>
    </row>
    <row r="1442" spans="1:20" ht="24" customHeight="1" x14ac:dyDescent="0.35">
      <c r="A1442" s="1" t="s">
        <v>3894</v>
      </c>
      <c r="B1442" s="1" t="s">
        <v>3895</v>
      </c>
      <c r="C1442" s="1" t="s">
        <v>91</v>
      </c>
      <c r="D1442" s="1" t="s">
        <v>178</v>
      </c>
      <c r="E1442" s="10">
        <v>46264</v>
      </c>
      <c r="F1442" s="1" t="s">
        <v>587</v>
      </c>
      <c r="G1442" s="1" t="s">
        <v>588</v>
      </c>
      <c r="H1442" s="23">
        <v>7200000</v>
      </c>
      <c r="I1442" s="1" t="s">
        <v>589</v>
      </c>
      <c r="J1442" s="1" t="s">
        <v>545</v>
      </c>
      <c r="K1442" s="1" t="s">
        <v>545</v>
      </c>
      <c r="L1442" s="1" t="s">
        <v>149</v>
      </c>
      <c r="M1442" s="1" t="s">
        <v>581</v>
      </c>
      <c r="N1442" s="1"/>
      <c r="O1442" s="10"/>
      <c r="P1442" s="23"/>
      <c r="Q1442" s="1"/>
      <c r="R1442" s="1" t="s">
        <v>557</v>
      </c>
      <c r="S1442" s="1" t="s">
        <v>582</v>
      </c>
      <c r="T1442" s="10">
        <v>46298</v>
      </c>
    </row>
    <row r="1443" spans="1:20" ht="24" customHeight="1" x14ac:dyDescent="0.35">
      <c r="A1443" s="5" t="s">
        <v>3896</v>
      </c>
      <c r="B1443" s="5" t="s">
        <v>3897</v>
      </c>
      <c r="C1443" s="5" t="s">
        <v>2665</v>
      </c>
      <c r="D1443" s="5" t="s">
        <v>114</v>
      </c>
      <c r="E1443" s="8">
        <v>46261</v>
      </c>
      <c r="F1443" s="5" t="s">
        <v>587</v>
      </c>
      <c r="G1443" s="5" t="s">
        <v>588</v>
      </c>
      <c r="H1443" s="22">
        <v>1700000</v>
      </c>
      <c r="I1443" s="5" t="s">
        <v>589</v>
      </c>
      <c r="J1443" s="5" t="s">
        <v>590</v>
      </c>
      <c r="K1443" s="5" t="s">
        <v>545</v>
      </c>
      <c r="L1443" s="5" t="s">
        <v>149</v>
      </c>
      <c r="M1443" s="5" t="s">
        <v>581</v>
      </c>
      <c r="N1443" s="5"/>
      <c r="O1443" s="8"/>
      <c r="P1443" s="22"/>
      <c r="Q1443" s="5"/>
      <c r="R1443" s="5" t="s">
        <v>557</v>
      </c>
      <c r="S1443" s="5" t="s">
        <v>582</v>
      </c>
      <c r="T1443" s="8">
        <v>46298</v>
      </c>
    </row>
    <row r="1444" spans="1:20" ht="24" customHeight="1" x14ac:dyDescent="0.35">
      <c r="A1444" s="1" t="s">
        <v>3898</v>
      </c>
      <c r="B1444" s="1" t="s">
        <v>3899</v>
      </c>
      <c r="C1444" s="1" t="s">
        <v>1004</v>
      </c>
      <c r="D1444" s="1" t="s">
        <v>2954</v>
      </c>
      <c r="E1444" s="10">
        <v>46261</v>
      </c>
      <c r="F1444" s="1" t="s">
        <v>587</v>
      </c>
      <c r="G1444" s="1" t="s">
        <v>588</v>
      </c>
      <c r="H1444" s="23">
        <v>1700000</v>
      </c>
      <c r="I1444" s="1" t="s">
        <v>589</v>
      </c>
      <c r="J1444" s="1" t="s">
        <v>545</v>
      </c>
      <c r="K1444" s="1" t="s">
        <v>590</v>
      </c>
      <c r="L1444" s="1" t="s">
        <v>149</v>
      </c>
      <c r="M1444" s="1" t="s">
        <v>581</v>
      </c>
      <c r="N1444" s="1"/>
      <c r="O1444" s="10"/>
      <c r="P1444" s="23"/>
      <c r="Q1444" s="1"/>
      <c r="R1444" s="1" t="s">
        <v>557</v>
      </c>
      <c r="S1444" s="1" t="s">
        <v>582</v>
      </c>
      <c r="T1444" s="10">
        <v>46298</v>
      </c>
    </row>
    <row r="1445" spans="1:20" ht="24" customHeight="1" x14ac:dyDescent="0.35">
      <c r="A1445" s="5" t="s">
        <v>3900</v>
      </c>
      <c r="B1445" s="5" t="s">
        <v>3901</v>
      </c>
      <c r="C1445" s="5" t="s">
        <v>2234</v>
      </c>
      <c r="D1445" s="5" t="s">
        <v>863</v>
      </c>
      <c r="E1445" s="8">
        <v>46268</v>
      </c>
      <c r="F1445" s="5" t="s">
        <v>587</v>
      </c>
      <c r="G1445" s="5" t="s">
        <v>588</v>
      </c>
      <c r="H1445" s="22">
        <v>1700000</v>
      </c>
      <c r="I1445" s="5" t="s">
        <v>589</v>
      </c>
      <c r="J1445" s="5" t="s">
        <v>590</v>
      </c>
      <c r="K1445" s="5" t="s">
        <v>548</v>
      </c>
      <c r="L1445" s="5" t="s">
        <v>640</v>
      </c>
      <c r="M1445" s="5" t="s">
        <v>581</v>
      </c>
      <c r="N1445" s="5"/>
      <c r="O1445" s="8"/>
      <c r="P1445" s="22"/>
      <c r="Q1445" s="5" t="s">
        <v>3267</v>
      </c>
      <c r="R1445" s="5" t="s">
        <v>557</v>
      </c>
      <c r="S1445" s="5" t="s">
        <v>582</v>
      </c>
      <c r="T1445" s="8">
        <v>46298</v>
      </c>
    </row>
    <row r="1446" spans="1:20" ht="24" customHeight="1" x14ac:dyDescent="0.35">
      <c r="A1446" s="1" t="s">
        <v>3902</v>
      </c>
      <c r="B1446" s="1" t="s">
        <v>3903</v>
      </c>
      <c r="C1446" s="1" t="s">
        <v>680</v>
      </c>
      <c r="D1446" s="1" t="s">
        <v>240</v>
      </c>
      <c r="E1446" s="10">
        <v>46267</v>
      </c>
      <c r="F1446" s="1" t="s">
        <v>587</v>
      </c>
      <c r="G1446" s="1" t="s">
        <v>588</v>
      </c>
      <c r="H1446" s="23">
        <v>850000</v>
      </c>
      <c r="I1446" s="1" t="s">
        <v>589</v>
      </c>
      <c r="J1446" s="1" t="s">
        <v>590</v>
      </c>
      <c r="K1446" s="1" t="s">
        <v>548</v>
      </c>
      <c r="L1446" s="1" t="s">
        <v>591</v>
      </c>
      <c r="M1446" s="1" t="s">
        <v>581</v>
      </c>
      <c r="N1446" s="1"/>
      <c r="O1446" s="10"/>
      <c r="P1446" s="23"/>
      <c r="Q1446" s="1" t="s">
        <v>3267</v>
      </c>
      <c r="R1446" s="1" t="s">
        <v>557</v>
      </c>
      <c r="S1446" s="1" t="s">
        <v>582</v>
      </c>
      <c r="T1446" s="10">
        <v>46298</v>
      </c>
    </row>
    <row r="1447" spans="1:20" ht="24" customHeight="1" x14ac:dyDescent="0.35">
      <c r="A1447" s="5" t="s">
        <v>3904</v>
      </c>
      <c r="B1447" s="5" t="s">
        <v>3905</v>
      </c>
      <c r="C1447" s="5" t="s">
        <v>2992</v>
      </c>
      <c r="D1447" s="5" t="s">
        <v>1157</v>
      </c>
      <c r="E1447" s="8">
        <v>46265</v>
      </c>
      <c r="F1447" s="5" t="s">
        <v>587</v>
      </c>
      <c r="G1447" s="5" t="s">
        <v>588</v>
      </c>
      <c r="H1447" s="22">
        <v>2600000</v>
      </c>
      <c r="I1447" s="5" t="s">
        <v>589</v>
      </c>
      <c r="J1447" s="5" t="s">
        <v>590</v>
      </c>
      <c r="K1447" s="5" t="s">
        <v>548</v>
      </c>
      <c r="L1447" s="5" t="s">
        <v>149</v>
      </c>
      <c r="M1447" s="5" t="s">
        <v>581</v>
      </c>
      <c r="N1447" s="5"/>
      <c r="O1447" s="8"/>
      <c r="P1447" s="22"/>
      <c r="Q1447" s="5"/>
      <c r="R1447" s="5" t="s">
        <v>557</v>
      </c>
      <c r="S1447" s="5" t="s">
        <v>582</v>
      </c>
      <c r="T1447" s="8">
        <v>46298</v>
      </c>
    </row>
    <row r="1448" spans="1:20" ht="24" customHeight="1" x14ac:dyDescent="0.35">
      <c r="A1448" s="1" t="s">
        <v>3906</v>
      </c>
      <c r="B1448" s="1" t="s">
        <v>3907</v>
      </c>
      <c r="C1448" s="1" t="s">
        <v>860</v>
      </c>
      <c r="D1448" s="1" t="s">
        <v>596</v>
      </c>
      <c r="E1448" s="10">
        <v>46266</v>
      </c>
      <c r="F1448" s="1" t="s">
        <v>587</v>
      </c>
      <c r="G1448" s="1" t="s">
        <v>588</v>
      </c>
      <c r="H1448" s="23">
        <v>3400000</v>
      </c>
      <c r="I1448" s="1" t="s">
        <v>589</v>
      </c>
      <c r="J1448" s="1" t="s">
        <v>590</v>
      </c>
      <c r="K1448" s="1" t="s">
        <v>548</v>
      </c>
      <c r="L1448" s="1" t="s">
        <v>640</v>
      </c>
      <c r="M1448" s="1" t="s">
        <v>581</v>
      </c>
      <c r="N1448" s="1"/>
      <c r="O1448" s="10"/>
      <c r="P1448" s="23"/>
      <c r="Q1448" s="1"/>
      <c r="R1448" s="1" t="s">
        <v>557</v>
      </c>
      <c r="S1448" s="1" t="s">
        <v>582</v>
      </c>
      <c r="T1448" s="10">
        <v>46298</v>
      </c>
    </row>
    <row r="1449" spans="1:20" ht="24" customHeight="1" x14ac:dyDescent="0.35">
      <c r="A1449" s="5" t="s">
        <v>3908</v>
      </c>
      <c r="B1449" s="5" t="s">
        <v>3909</v>
      </c>
      <c r="C1449" s="5" t="s">
        <v>639</v>
      </c>
      <c r="D1449" s="5" t="s">
        <v>1030</v>
      </c>
      <c r="E1449" s="8">
        <v>46230</v>
      </c>
      <c r="F1449" s="5" t="s">
        <v>587</v>
      </c>
      <c r="G1449" s="5" t="s">
        <v>588</v>
      </c>
      <c r="H1449" s="22">
        <v>1300000</v>
      </c>
      <c r="I1449" s="5" t="s">
        <v>589</v>
      </c>
      <c r="J1449" s="5" t="s">
        <v>548</v>
      </c>
      <c r="K1449" s="5" t="s">
        <v>590</v>
      </c>
      <c r="L1449" s="5" t="s">
        <v>608</v>
      </c>
      <c r="M1449" s="5" t="s">
        <v>581</v>
      </c>
      <c r="N1449" s="5"/>
      <c r="O1449" s="8"/>
      <c r="P1449" s="22"/>
      <c r="Q1449" s="5"/>
      <c r="R1449" s="5" t="s">
        <v>557</v>
      </c>
      <c r="S1449" s="5" t="s">
        <v>582</v>
      </c>
      <c r="T1449" s="8">
        <v>46298</v>
      </c>
    </row>
    <row r="1450" spans="1:20" ht="24" customHeight="1" x14ac:dyDescent="0.35">
      <c r="A1450" s="1" t="s">
        <v>3910</v>
      </c>
      <c r="B1450" s="1" t="s">
        <v>3911</v>
      </c>
      <c r="C1450" s="1" t="s">
        <v>779</v>
      </c>
      <c r="D1450" s="1" t="s">
        <v>2208</v>
      </c>
      <c r="E1450" s="10">
        <v>46230</v>
      </c>
      <c r="F1450" s="1" t="s">
        <v>587</v>
      </c>
      <c r="G1450" s="1" t="s">
        <v>588</v>
      </c>
      <c r="H1450" s="23">
        <v>6900000</v>
      </c>
      <c r="I1450" s="1" t="s">
        <v>589</v>
      </c>
      <c r="J1450" s="1" t="s">
        <v>548</v>
      </c>
      <c r="K1450" s="1" t="s">
        <v>590</v>
      </c>
      <c r="L1450" s="1" t="s">
        <v>149</v>
      </c>
      <c r="M1450" s="1" t="s">
        <v>581</v>
      </c>
      <c r="N1450" s="1"/>
      <c r="O1450" s="10"/>
      <c r="P1450" s="23"/>
      <c r="Q1450" s="1"/>
      <c r="R1450" s="1" t="s">
        <v>557</v>
      </c>
      <c r="S1450" s="1" t="s">
        <v>582</v>
      </c>
      <c r="T1450" s="10">
        <v>46298</v>
      </c>
    </row>
    <row r="1451" spans="1:20" ht="24" customHeight="1" x14ac:dyDescent="0.35">
      <c r="A1451" s="5" t="s">
        <v>3912</v>
      </c>
      <c r="B1451" s="5" t="s">
        <v>3913</v>
      </c>
      <c r="C1451" s="5" t="s">
        <v>953</v>
      </c>
      <c r="D1451" s="5" t="s">
        <v>802</v>
      </c>
      <c r="E1451" s="8">
        <v>46259</v>
      </c>
      <c r="F1451" s="5" t="s">
        <v>587</v>
      </c>
      <c r="G1451" s="5" t="s">
        <v>588</v>
      </c>
      <c r="H1451" s="22">
        <v>1200000</v>
      </c>
      <c r="I1451" s="5" t="s">
        <v>589</v>
      </c>
      <c r="J1451" s="5" t="s">
        <v>548</v>
      </c>
      <c r="K1451" s="5" t="s">
        <v>546</v>
      </c>
      <c r="L1451" s="5" t="s">
        <v>591</v>
      </c>
      <c r="M1451" s="5" t="s">
        <v>581</v>
      </c>
      <c r="N1451" s="5"/>
      <c r="O1451" s="8"/>
      <c r="P1451" s="22"/>
      <c r="Q1451" s="5"/>
      <c r="R1451" s="5" t="s">
        <v>557</v>
      </c>
      <c r="S1451" s="5" t="s">
        <v>582</v>
      </c>
      <c r="T1451" s="8">
        <v>46298</v>
      </c>
    </row>
    <row r="1452" spans="1:20" ht="24" customHeight="1" x14ac:dyDescent="0.35">
      <c r="A1452" s="1" t="s">
        <v>3914</v>
      </c>
      <c r="B1452" s="1" t="s">
        <v>3915</v>
      </c>
      <c r="C1452" s="1" t="s">
        <v>791</v>
      </c>
      <c r="D1452" s="1" t="s">
        <v>3916</v>
      </c>
      <c r="E1452" s="10">
        <v>46259</v>
      </c>
      <c r="F1452" s="1" t="s">
        <v>601</v>
      </c>
      <c r="G1452" s="1" t="s">
        <v>602</v>
      </c>
      <c r="H1452" s="23"/>
      <c r="I1452" s="1" t="s">
        <v>603</v>
      </c>
      <c r="J1452" s="1" t="s">
        <v>548</v>
      </c>
      <c r="K1452" s="1" t="s">
        <v>590</v>
      </c>
      <c r="L1452" s="1" t="s">
        <v>172</v>
      </c>
      <c r="M1452" s="1" t="s">
        <v>581</v>
      </c>
      <c r="N1452" s="1"/>
      <c r="O1452" s="10"/>
      <c r="P1452" s="23"/>
      <c r="Q1452" s="1"/>
      <c r="R1452" s="1" t="s">
        <v>557</v>
      </c>
      <c r="S1452" s="1" t="s">
        <v>582</v>
      </c>
      <c r="T1452" s="10">
        <v>46298</v>
      </c>
    </row>
    <row r="1453" spans="1:20" ht="24" customHeight="1" x14ac:dyDescent="0.35">
      <c r="A1453" s="5" t="s">
        <v>3917</v>
      </c>
      <c r="B1453" s="5" t="s">
        <v>3918</v>
      </c>
      <c r="C1453" s="5" t="s">
        <v>2234</v>
      </c>
      <c r="D1453" s="5" t="s">
        <v>779</v>
      </c>
      <c r="E1453" s="8">
        <v>46254</v>
      </c>
      <c r="F1453" s="5" t="s">
        <v>587</v>
      </c>
      <c r="G1453" s="5" t="s">
        <v>588</v>
      </c>
      <c r="H1453" s="22">
        <v>1700000</v>
      </c>
      <c r="I1453" s="5" t="s">
        <v>589</v>
      </c>
      <c r="J1453" s="5" t="s">
        <v>590</v>
      </c>
      <c r="K1453" s="5" t="s">
        <v>548</v>
      </c>
      <c r="L1453" s="5" t="s">
        <v>149</v>
      </c>
      <c r="M1453" s="5" t="s">
        <v>581</v>
      </c>
      <c r="N1453" s="5"/>
      <c r="O1453" s="8"/>
      <c r="P1453" s="22"/>
      <c r="Q1453" s="5"/>
      <c r="R1453" s="5" t="s">
        <v>557</v>
      </c>
      <c r="S1453" s="5" t="s">
        <v>582</v>
      </c>
      <c r="T1453" s="8">
        <v>46298</v>
      </c>
    </row>
    <row r="1454" spans="1:20" ht="24" customHeight="1" x14ac:dyDescent="0.35">
      <c r="A1454" s="1" t="s">
        <v>3919</v>
      </c>
      <c r="B1454" s="1" t="s">
        <v>3920</v>
      </c>
      <c r="C1454" s="1" t="s">
        <v>103</v>
      </c>
      <c r="D1454" s="1" t="s">
        <v>1664</v>
      </c>
      <c r="E1454" s="10">
        <v>46267</v>
      </c>
      <c r="F1454" s="1" t="s">
        <v>771</v>
      </c>
      <c r="G1454" s="1" t="s">
        <v>772</v>
      </c>
      <c r="H1454" s="23"/>
      <c r="I1454" s="1" t="s">
        <v>603</v>
      </c>
      <c r="J1454" s="1" t="s">
        <v>544</v>
      </c>
      <c r="K1454" s="1" t="s">
        <v>590</v>
      </c>
      <c r="L1454" s="1" t="s">
        <v>608</v>
      </c>
      <c r="M1454" s="1" t="s">
        <v>581</v>
      </c>
      <c r="N1454" s="1"/>
      <c r="O1454" s="10"/>
      <c r="P1454" s="23"/>
      <c r="Q1454" s="1" t="s">
        <v>3795</v>
      </c>
      <c r="R1454" s="1" t="s">
        <v>557</v>
      </c>
      <c r="S1454" s="1" t="s">
        <v>582</v>
      </c>
      <c r="T1454" s="10">
        <v>46298</v>
      </c>
    </row>
    <row r="1455" spans="1:20" ht="24" customHeight="1" x14ac:dyDescent="0.35">
      <c r="A1455" s="5" t="s">
        <v>3921</v>
      </c>
      <c r="B1455" s="5" t="s">
        <v>3922</v>
      </c>
      <c r="C1455" s="5" t="s">
        <v>240</v>
      </c>
      <c r="D1455" s="5" t="s">
        <v>1945</v>
      </c>
      <c r="E1455" s="8">
        <v>46272</v>
      </c>
      <c r="F1455" s="5" t="s">
        <v>587</v>
      </c>
      <c r="G1455" s="5" t="s">
        <v>588</v>
      </c>
      <c r="H1455" s="22">
        <v>900000</v>
      </c>
      <c r="I1455" s="5" t="s">
        <v>589</v>
      </c>
      <c r="J1455" s="5" t="s">
        <v>548</v>
      </c>
      <c r="K1455" s="5" t="s">
        <v>590</v>
      </c>
      <c r="L1455" s="5" t="s">
        <v>608</v>
      </c>
      <c r="M1455" s="5" t="s">
        <v>581</v>
      </c>
      <c r="N1455" s="5"/>
      <c r="O1455" s="8"/>
      <c r="P1455" s="22"/>
      <c r="Q1455" s="5" t="s">
        <v>3267</v>
      </c>
      <c r="R1455" s="5" t="s">
        <v>557</v>
      </c>
      <c r="S1455" s="5" t="s">
        <v>582</v>
      </c>
      <c r="T1455" s="8">
        <v>46298</v>
      </c>
    </row>
    <row r="1456" spans="1:20" ht="24" customHeight="1" x14ac:dyDescent="0.35">
      <c r="A1456" s="1" t="s">
        <v>3923</v>
      </c>
      <c r="B1456" s="1" t="s">
        <v>3924</v>
      </c>
      <c r="C1456" s="1" t="s">
        <v>1083</v>
      </c>
      <c r="D1456" s="1" t="s">
        <v>2495</v>
      </c>
      <c r="E1456" s="10">
        <v>46267</v>
      </c>
      <c r="F1456" s="1" t="s">
        <v>771</v>
      </c>
      <c r="G1456" s="1" t="s">
        <v>772</v>
      </c>
      <c r="H1456" s="23"/>
      <c r="I1456" s="1" t="s">
        <v>603</v>
      </c>
      <c r="J1456" s="1" t="s">
        <v>544</v>
      </c>
      <c r="K1456" s="1" t="s">
        <v>590</v>
      </c>
      <c r="L1456" s="1" t="s">
        <v>149</v>
      </c>
      <c r="M1456" s="1" t="s">
        <v>581</v>
      </c>
      <c r="N1456" s="1"/>
      <c r="O1456" s="10"/>
      <c r="P1456" s="23"/>
      <c r="Q1456" s="1" t="s">
        <v>3795</v>
      </c>
      <c r="R1456" s="1" t="s">
        <v>557</v>
      </c>
      <c r="S1456" s="1" t="s">
        <v>582</v>
      </c>
      <c r="T1456" s="10">
        <v>46298</v>
      </c>
    </row>
    <row r="1457" spans="1:20" ht="24" customHeight="1" x14ac:dyDescent="0.35">
      <c r="A1457" s="5" t="s">
        <v>3925</v>
      </c>
      <c r="B1457" s="5" t="s">
        <v>3926</v>
      </c>
      <c r="C1457" s="5" t="s">
        <v>106</v>
      </c>
      <c r="D1457" s="5" t="s">
        <v>3276</v>
      </c>
      <c r="E1457" s="8">
        <v>46267</v>
      </c>
      <c r="F1457" s="5" t="s">
        <v>771</v>
      </c>
      <c r="G1457" s="5" t="s">
        <v>772</v>
      </c>
      <c r="H1457" s="22"/>
      <c r="I1457" s="5" t="s">
        <v>603</v>
      </c>
      <c r="J1457" s="5" t="s">
        <v>544</v>
      </c>
      <c r="K1457" s="5" t="s">
        <v>590</v>
      </c>
      <c r="L1457" s="5" t="s">
        <v>591</v>
      </c>
      <c r="M1457" s="5" t="s">
        <v>581</v>
      </c>
      <c r="N1457" s="5"/>
      <c r="O1457" s="8"/>
      <c r="P1457" s="22"/>
      <c r="Q1457" s="5" t="s">
        <v>3795</v>
      </c>
      <c r="R1457" s="5" t="s">
        <v>557</v>
      </c>
      <c r="S1457" s="5" t="s">
        <v>582</v>
      </c>
      <c r="T1457" s="8">
        <v>46298</v>
      </c>
    </row>
    <row r="1458" spans="1:20" ht="24" customHeight="1" x14ac:dyDescent="0.35">
      <c r="A1458" s="1" t="s">
        <v>3927</v>
      </c>
      <c r="B1458" s="1" t="s">
        <v>3928</v>
      </c>
      <c r="C1458" s="1" t="s">
        <v>1031</v>
      </c>
      <c r="D1458" s="1" t="s">
        <v>3929</v>
      </c>
      <c r="E1458" s="10">
        <v>46274</v>
      </c>
      <c r="F1458" s="1" t="s">
        <v>771</v>
      </c>
      <c r="G1458" s="1" t="s">
        <v>772</v>
      </c>
      <c r="H1458" s="23"/>
      <c r="I1458" s="1" t="s">
        <v>603</v>
      </c>
      <c r="J1458" s="1" t="s">
        <v>548</v>
      </c>
      <c r="K1458" s="1" t="s">
        <v>590</v>
      </c>
      <c r="L1458" s="1" t="s">
        <v>149</v>
      </c>
      <c r="M1458" s="1" t="s">
        <v>581</v>
      </c>
      <c r="N1458" s="1"/>
      <c r="O1458" s="10"/>
      <c r="P1458" s="23"/>
      <c r="Q1458" s="1" t="s">
        <v>3795</v>
      </c>
      <c r="R1458" s="1" t="s">
        <v>557</v>
      </c>
      <c r="S1458" s="1" t="s">
        <v>582</v>
      </c>
      <c r="T1458" s="10">
        <v>46298</v>
      </c>
    </row>
    <row r="1459" spans="1:20" ht="24" customHeight="1" x14ac:dyDescent="0.35">
      <c r="A1459" s="5" t="s">
        <v>3930</v>
      </c>
      <c r="B1459" s="5" t="s">
        <v>3931</v>
      </c>
      <c r="C1459" s="5" t="s">
        <v>749</v>
      </c>
      <c r="D1459" s="5" t="s">
        <v>1519</v>
      </c>
      <c r="E1459" s="8">
        <v>46274</v>
      </c>
      <c r="F1459" s="5" t="s">
        <v>771</v>
      </c>
      <c r="G1459" s="5" t="s">
        <v>772</v>
      </c>
      <c r="H1459" s="22"/>
      <c r="I1459" s="5" t="s">
        <v>603</v>
      </c>
      <c r="J1459" s="5" t="s">
        <v>547</v>
      </c>
      <c r="K1459" s="5" t="s">
        <v>590</v>
      </c>
      <c r="L1459" s="5" t="s">
        <v>149</v>
      </c>
      <c r="M1459" s="5" t="s">
        <v>581</v>
      </c>
      <c r="N1459" s="5"/>
      <c r="O1459" s="8"/>
      <c r="P1459" s="22"/>
      <c r="Q1459" s="5" t="s">
        <v>3795</v>
      </c>
      <c r="R1459" s="5" t="s">
        <v>557</v>
      </c>
      <c r="S1459" s="5" t="s">
        <v>582</v>
      </c>
      <c r="T1459" s="8">
        <v>46298</v>
      </c>
    </row>
    <row r="1460" spans="1:20" ht="24" customHeight="1" x14ac:dyDescent="0.35">
      <c r="A1460" s="1" t="s">
        <v>3932</v>
      </c>
      <c r="B1460" s="1" t="s">
        <v>3933</v>
      </c>
      <c r="C1460" s="1" t="s">
        <v>856</v>
      </c>
      <c r="D1460" s="1" t="s">
        <v>3400</v>
      </c>
      <c r="E1460" s="10">
        <v>46273</v>
      </c>
      <c r="F1460" s="1" t="s">
        <v>771</v>
      </c>
      <c r="G1460" s="1" t="s">
        <v>772</v>
      </c>
      <c r="H1460" s="23"/>
      <c r="I1460" s="1" t="s">
        <v>603</v>
      </c>
      <c r="J1460" s="1" t="s">
        <v>546</v>
      </c>
      <c r="K1460" s="1" t="s">
        <v>590</v>
      </c>
      <c r="L1460" s="1" t="s">
        <v>591</v>
      </c>
      <c r="M1460" s="1" t="s">
        <v>581</v>
      </c>
      <c r="N1460" s="1"/>
      <c r="O1460" s="10"/>
      <c r="P1460" s="23"/>
      <c r="Q1460" s="1" t="s">
        <v>3795</v>
      </c>
      <c r="R1460" s="1" t="s">
        <v>557</v>
      </c>
      <c r="S1460" s="1" t="s">
        <v>582</v>
      </c>
      <c r="T1460" s="10">
        <v>46298</v>
      </c>
    </row>
    <row r="1461" spans="1:20" ht="24" customHeight="1" x14ac:dyDescent="0.35">
      <c r="A1461" s="5" t="s">
        <v>3934</v>
      </c>
      <c r="B1461" s="5" t="s">
        <v>3935</v>
      </c>
      <c r="C1461" s="5" t="s">
        <v>788</v>
      </c>
      <c r="D1461" s="5" t="s">
        <v>3936</v>
      </c>
      <c r="E1461" s="8">
        <v>46273</v>
      </c>
      <c r="F1461" s="5" t="s">
        <v>601</v>
      </c>
      <c r="G1461" s="5" t="s">
        <v>602</v>
      </c>
      <c r="H1461" s="22"/>
      <c r="I1461" s="5" t="s">
        <v>603</v>
      </c>
      <c r="J1461" s="5" t="s">
        <v>546</v>
      </c>
      <c r="K1461" s="5" t="s">
        <v>590</v>
      </c>
      <c r="L1461" s="5" t="s">
        <v>172</v>
      </c>
      <c r="M1461" s="5" t="s">
        <v>581</v>
      </c>
      <c r="N1461" s="5"/>
      <c r="O1461" s="8"/>
      <c r="P1461" s="22"/>
      <c r="Q1461" s="5" t="s">
        <v>3267</v>
      </c>
      <c r="R1461" s="5" t="s">
        <v>557</v>
      </c>
      <c r="S1461" s="5" t="s">
        <v>582</v>
      </c>
      <c r="T1461" s="8">
        <v>46298</v>
      </c>
    </row>
    <row r="1462" spans="1:20" ht="24" customHeight="1" x14ac:dyDescent="0.35">
      <c r="A1462" s="1" t="s">
        <v>3937</v>
      </c>
      <c r="B1462" s="1" t="s">
        <v>3938</v>
      </c>
      <c r="C1462" s="1" t="s">
        <v>391</v>
      </c>
      <c r="D1462" s="1" t="s">
        <v>476</v>
      </c>
      <c r="E1462" s="10">
        <v>46267</v>
      </c>
      <c r="F1462" s="1" t="s">
        <v>771</v>
      </c>
      <c r="G1462" s="1" t="s">
        <v>772</v>
      </c>
      <c r="H1462" s="23"/>
      <c r="I1462" s="1" t="s">
        <v>603</v>
      </c>
      <c r="J1462" s="1" t="s">
        <v>544</v>
      </c>
      <c r="K1462" s="1" t="s">
        <v>590</v>
      </c>
      <c r="L1462" s="1" t="s">
        <v>640</v>
      </c>
      <c r="M1462" s="1" t="s">
        <v>581</v>
      </c>
      <c r="N1462" s="1"/>
      <c r="O1462" s="10"/>
      <c r="P1462" s="23"/>
      <c r="Q1462" s="1" t="s">
        <v>3795</v>
      </c>
      <c r="R1462" s="1" t="s">
        <v>557</v>
      </c>
      <c r="S1462" s="1" t="s">
        <v>582</v>
      </c>
      <c r="T1462" s="10">
        <v>46298</v>
      </c>
    </row>
    <row r="1463" spans="1:20" ht="24" customHeight="1" x14ac:dyDescent="0.35">
      <c r="A1463" s="5" t="s">
        <v>3939</v>
      </c>
      <c r="B1463" s="5" t="s">
        <v>3940</v>
      </c>
      <c r="C1463" s="5" t="s">
        <v>128</v>
      </c>
      <c r="D1463" s="5" t="s">
        <v>3941</v>
      </c>
      <c r="E1463" s="8">
        <v>46267</v>
      </c>
      <c r="F1463" s="5" t="s">
        <v>771</v>
      </c>
      <c r="G1463" s="5" t="s">
        <v>772</v>
      </c>
      <c r="H1463" s="22"/>
      <c r="I1463" s="5" t="s">
        <v>603</v>
      </c>
      <c r="J1463" s="5" t="s">
        <v>544</v>
      </c>
      <c r="K1463" s="5" t="s">
        <v>590</v>
      </c>
      <c r="L1463" s="5" t="s">
        <v>608</v>
      </c>
      <c r="M1463" s="5" t="s">
        <v>581</v>
      </c>
      <c r="N1463" s="5"/>
      <c r="O1463" s="8"/>
      <c r="P1463" s="22"/>
      <c r="Q1463" s="5" t="s">
        <v>3795</v>
      </c>
      <c r="R1463" s="5" t="s">
        <v>557</v>
      </c>
      <c r="S1463" s="5" t="s">
        <v>582</v>
      </c>
      <c r="T1463" s="8">
        <v>46298</v>
      </c>
    </row>
    <row r="1464" spans="1:20" ht="24" customHeight="1" x14ac:dyDescent="0.35">
      <c r="A1464" s="1" t="s">
        <v>3942</v>
      </c>
      <c r="B1464" s="1" t="s">
        <v>3943</v>
      </c>
      <c r="C1464" s="1" t="s">
        <v>114</v>
      </c>
      <c r="D1464" s="1" t="s">
        <v>3944</v>
      </c>
      <c r="E1464" s="10">
        <v>46273</v>
      </c>
      <c r="F1464" s="1" t="s">
        <v>578</v>
      </c>
      <c r="G1464" s="1" t="s">
        <v>579</v>
      </c>
      <c r="H1464" s="23"/>
      <c r="I1464" s="1" t="s">
        <v>580</v>
      </c>
      <c r="J1464" s="1" t="s">
        <v>545</v>
      </c>
      <c r="K1464" s="1" t="s">
        <v>590</v>
      </c>
      <c r="L1464" s="1" t="s">
        <v>608</v>
      </c>
      <c r="M1464" s="1" t="s">
        <v>581</v>
      </c>
      <c r="N1464" s="1"/>
      <c r="O1464" s="10"/>
      <c r="P1464" s="23"/>
      <c r="Q1464" s="1" t="s">
        <v>3267</v>
      </c>
      <c r="R1464" s="1" t="s">
        <v>557</v>
      </c>
      <c r="S1464" s="1" t="s">
        <v>582</v>
      </c>
      <c r="T1464" s="10">
        <v>46298</v>
      </c>
    </row>
    <row r="1465" spans="1:20" ht="24" customHeight="1" x14ac:dyDescent="0.35">
      <c r="A1465" s="5" t="s">
        <v>3945</v>
      </c>
      <c r="B1465" s="5" t="s">
        <v>3946</v>
      </c>
      <c r="C1465" s="5" t="s">
        <v>2475</v>
      </c>
      <c r="D1465" s="5" t="s">
        <v>1184</v>
      </c>
      <c r="E1465" s="8">
        <v>46273</v>
      </c>
      <c r="F1465" s="5" t="s">
        <v>578</v>
      </c>
      <c r="G1465" s="5" t="s">
        <v>579</v>
      </c>
      <c r="H1465" s="22"/>
      <c r="I1465" s="5" t="s">
        <v>580</v>
      </c>
      <c r="J1465" s="5" t="s">
        <v>590</v>
      </c>
      <c r="K1465" s="5" t="s">
        <v>546</v>
      </c>
      <c r="L1465" s="5" t="s">
        <v>149</v>
      </c>
      <c r="M1465" s="5" t="s">
        <v>581</v>
      </c>
      <c r="N1465" s="5"/>
      <c r="O1465" s="8"/>
      <c r="P1465" s="22"/>
      <c r="Q1465" s="5" t="s">
        <v>3267</v>
      </c>
      <c r="R1465" s="5" t="s">
        <v>557</v>
      </c>
      <c r="S1465" s="5" t="s">
        <v>582</v>
      </c>
      <c r="T1465" s="8">
        <v>46298</v>
      </c>
    </row>
    <row r="1466" spans="1:20" ht="24" customHeight="1" x14ac:dyDescent="0.35">
      <c r="A1466" s="1" t="s">
        <v>3947</v>
      </c>
      <c r="B1466" s="1" t="s">
        <v>3948</v>
      </c>
      <c r="C1466" s="1" t="s">
        <v>1083</v>
      </c>
      <c r="D1466" s="1" t="s">
        <v>3949</v>
      </c>
      <c r="E1466" s="10">
        <v>46202</v>
      </c>
      <c r="F1466" s="1" t="s">
        <v>578</v>
      </c>
      <c r="G1466" s="1" t="s">
        <v>579</v>
      </c>
      <c r="H1466" s="23"/>
      <c r="I1466" s="1" t="s">
        <v>580</v>
      </c>
      <c r="J1466" s="1" t="s">
        <v>544</v>
      </c>
      <c r="K1466" s="1" t="s">
        <v>590</v>
      </c>
      <c r="L1466" s="1" t="s">
        <v>608</v>
      </c>
      <c r="M1466" s="1" t="s">
        <v>581</v>
      </c>
      <c r="N1466" s="1"/>
      <c r="O1466" s="10"/>
      <c r="P1466" s="23"/>
      <c r="Q1466" s="1"/>
      <c r="R1466" s="1" t="s">
        <v>557</v>
      </c>
      <c r="S1466" s="1" t="s">
        <v>582</v>
      </c>
      <c r="T1466" s="10">
        <v>46298</v>
      </c>
    </row>
    <row r="1467" spans="1:20" ht="24" customHeight="1" x14ac:dyDescent="0.35">
      <c r="A1467" s="5" t="s">
        <v>3950</v>
      </c>
      <c r="B1467" s="5" t="s">
        <v>3951</v>
      </c>
      <c r="C1467" s="5" t="s">
        <v>190</v>
      </c>
      <c r="D1467" s="5" t="s">
        <v>1223</v>
      </c>
      <c r="E1467" s="8">
        <v>46224</v>
      </c>
      <c r="F1467" s="5" t="s">
        <v>578</v>
      </c>
      <c r="G1467" s="5" t="s">
        <v>579</v>
      </c>
      <c r="H1467" s="22"/>
      <c r="I1467" s="5" t="s">
        <v>580</v>
      </c>
      <c r="J1467" s="5" t="s">
        <v>544</v>
      </c>
      <c r="K1467" s="5" t="s">
        <v>590</v>
      </c>
      <c r="L1467" s="5" t="s">
        <v>608</v>
      </c>
      <c r="M1467" s="5" t="s">
        <v>581</v>
      </c>
      <c r="N1467" s="5"/>
      <c r="O1467" s="8"/>
      <c r="P1467" s="22"/>
      <c r="Q1467" s="5"/>
      <c r="R1467" s="5" t="s">
        <v>557</v>
      </c>
      <c r="S1467" s="5" t="s">
        <v>582</v>
      </c>
      <c r="T1467" s="8">
        <v>46298</v>
      </c>
    </row>
    <row r="1468" spans="1:20" ht="24" customHeight="1" x14ac:dyDescent="0.35">
      <c r="A1468" s="1" t="s">
        <v>3952</v>
      </c>
      <c r="B1468" s="1" t="s">
        <v>3953</v>
      </c>
      <c r="C1468" s="1" t="s">
        <v>190</v>
      </c>
      <c r="D1468" s="1" t="s">
        <v>2632</v>
      </c>
      <c r="E1468" s="10">
        <v>46246</v>
      </c>
      <c r="F1468" s="1" t="s">
        <v>771</v>
      </c>
      <c r="G1468" s="1" t="s">
        <v>772</v>
      </c>
      <c r="H1468" s="23"/>
      <c r="I1468" s="1" t="s">
        <v>603</v>
      </c>
      <c r="J1468" s="1" t="s">
        <v>544</v>
      </c>
      <c r="K1468" s="1" t="s">
        <v>590</v>
      </c>
      <c r="L1468" s="1" t="s">
        <v>149</v>
      </c>
      <c r="M1468" s="1" t="s">
        <v>581</v>
      </c>
      <c r="N1468" s="1"/>
      <c r="O1468" s="10"/>
      <c r="P1468" s="23"/>
      <c r="Q1468" s="1" t="s">
        <v>773</v>
      </c>
      <c r="R1468" s="1" t="s">
        <v>557</v>
      </c>
      <c r="S1468" s="1" t="s">
        <v>582</v>
      </c>
      <c r="T1468" s="10">
        <v>46298</v>
      </c>
    </row>
    <row r="1469" spans="1:20" ht="24" customHeight="1" x14ac:dyDescent="0.35">
      <c r="A1469" s="5" t="s">
        <v>3954</v>
      </c>
      <c r="B1469" s="5" t="s">
        <v>3955</v>
      </c>
      <c r="C1469" s="5" t="s">
        <v>190</v>
      </c>
      <c r="D1469" s="5" t="s">
        <v>2504</v>
      </c>
      <c r="E1469" s="8">
        <v>46245</v>
      </c>
      <c r="F1469" s="5" t="s">
        <v>771</v>
      </c>
      <c r="G1469" s="5" t="s">
        <v>772</v>
      </c>
      <c r="H1469" s="22"/>
      <c r="I1469" s="5" t="s">
        <v>603</v>
      </c>
      <c r="J1469" s="5" t="s">
        <v>544</v>
      </c>
      <c r="K1469" s="5" t="s">
        <v>590</v>
      </c>
      <c r="L1469" s="5" t="s">
        <v>172</v>
      </c>
      <c r="M1469" s="5" t="s">
        <v>581</v>
      </c>
      <c r="N1469" s="5"/>
      <c r="O1469" s="8"/>
      <c r="P1469" s="22"/>
      <c r="Q1469" s="5" t="s">
        <v>773</v>
      </c>
      <c r="R1469" s="5" t="s">
        <v>557</v>
      </c>
      <c r="S1469" s="5" t="s">
        <v>582</v>
      </c>
      <c r="T1469" s="8">
        <v>46298</v>
      </c>
    </row>
    <row r="1470" spans="1:20" ht="24" customHeight="1" x14ac:dyDescent="0.35">
      <c r="A1470" s="1" t="s">
        <v>3956</v>
      </c>
      <c r="B1470" s="1" t="s">
        <v>3957</v>
      </c>
      <c r="C1470" s="1" t="s">
        <v>391</v>
      </c>
      <c r="D1470" s="1" t="s">
        <v>869</v>
      </c>
      <c r="E1470" s="10">
        <v>46269</v>
      </c>
      <c r="F1470" s="1" t="s">
        <v>771</v>
      </c>
      <c r="G1470" s="1" t="s">
        <v>772</v>
      </c>
      <c r="H1470" s="23"/>
      <c r="I1470" s="1" t="s">
        <v>603</v>
      </c>
      <c r="J1470" s="1" t="s">
        <v>544</v>
      </c>
      <c r="K1470" s="1" t="s">
        <v>590</v>
      </c>
      <c r="L1470" s="1" t="s">
        <v>149</v>
      </c>
      <c r="M1470" s="1" t="s">
        <v>581</v>
      </c>
      <c r="N1470" s="1"/>
      <c r="O1470" s="10"/>
      <c r="P1470" s="23"/>
      <c r="Q1470" s="1" t="s">
        <v>3795</v>
      </c>
      <c r="R1470" s="1" t="s">
        <v>557</v>
      </c>
      <c r="S1470" s="1" t="s">
        <v>582</v>
      </c>
      <c r="T1470" s="10">
        <v>46298</v>
      </c>
    </row>
    <row r="1471" spans="1:20" ht="24" customHeight="1" x14ac:dyDescent="0.35">
      <c r="A1471" s="5" t="s">
        <v>3958</v>
      </c>
      <c r="B1471" s="5" t="s">
        <v>3959</v>
      </c>
      <c r="C1471" s="5" t="s">
        <v>425</v>
      </c>
      <c r="D1471" s="5" t="s">
        <v>157</v>
      </c>
      <c r="E1471" s="8">
        <v>46266</v>
      </c>
      <c r="F1471" s="5" t="s">
        <v>771</v>
      </c>
      <c r="G1471" s="5" t="s">
        <v>772</v>
      </c>
      <c r="H1471" s="22"/>
      <c r="I1471" s="5" t="s">
        <v>603</v>
      </c>
      <c r="J1471" s="5" t="s">
        <v>544</v>
      </c>
      <c r="K1471" s="5" t="s">
        <v>546</v>
      </c>
      <c r="L1471" s="5" t="s">
        <v>591</v>
      </c>
      <c r="M1471" s="5" t="s">
        <v>581</v>
      </c>
      <c r="N1471" s="5"/>
      <c r="O1471" s="8"/>
      <c r="P1471" s="22"/>
      <c r="Q1471" s="5" t="s">
        <v>1008</v>
      </c>
      <c r="R1471" s="5" t="s">
        <v>557</v>
      </c>
      <c r="S1471" s="5" t="s">
        <v>582</v>
      </c>
      <c r="T1471" s="8">
        <v>46298</v>
      </c>
    </row>
    <row r="1472" spans="1:20" ht="24" customHeight="1" x14ac:dyDescent="0.35">
      <c r="A1472" s="1" t="s">
        <v>3960</v>
      </c>
      <c r="B1472" s="1" t="s">
        <v>3961</v>
      </c>
      <c r="C1472" s="1" t="s">
        <v>1031</v>
      </c>
      <c r="D1472" s="1" t="s">
        <v>3962</v>
      </c>
      <c r="E1472" s="10">
        <v>46275</v>
      </c>
      <c r="F1472" s="1" t="s">
        <v>771</v>
      </c>
      <c r="G1472" s="1" t="s">
        <v>772</v>
      </c>
      <c r="H1472" s="23"/>
      <c r="I1472" s="1" t="s">
        <v>603</v>
      </c>
      <c r="J1472" s="1" t="s">
        <v>548</v>
      </c>
      <c r="K1472" s="1" t="s">
        <v>590</v>
      </c>
      <c r="L1472" s="1" t="s">
        <v>149</v>
      </c>
      <c r="M1472" s="1" t="s">
        <v>581</v>
      </c>
      <c r="N1472" s="1"/>
      <c r="O1472" s="10"/>
      <c r="P1472" s="23"/>
      <c r="Q1472" s="1" t="s">
        <v>3792</v>
      </c>
      <c r="R1472" s="1" t="s">
        <v>557</v>
      </c>
      <c r="S1472" s="1" t="s">
        <v>582</v>
      </c>
      <c r="T1472" s="10">
        <v>46298</v>
      </c>
    </row>
    <row r="1473" spans="1:20" ht="24" customHeight="1" x14ac:dyDescent="0.35">
      <c r="A1473" s="5" t="s">
        <v>3963</v>
      </c>
      <c r="B1473" s="5" t="s">
        <v>3964</v>
      </c>
      <c r="C1473" s="5" t="s">
        <v>706</v>
      </c>
      <c r="D1473" s="5" t="s">
        <v>3965</v>
      </c>
      <c r="E1473" s="8">
        <v>46276</v>
      </c>
      <c r="F1473" s="5" t="s">
        <v>578</v>
      </c>
      <c r="G1473" s="5" t="s">
        <v>579</v>
      </c>
      <c r="H1473" s="22"/>
      <c r="I1473" s="5" t="s">
        <v>580</v>
      </c>
      <c r="J1473" s="5" t="s">
        <v>545</v>
      </c>
      <c r="K1473" s="5" t="s">
        <v>590</v>
      </c>
      <c r="L1473" s="5" t="s">
        <v>149</v>
      </c>
      <c r="M1473" s="5" t="s">
        <v>581</v>
      </c>
      <c r="N1473" s="5"/>
      <c r="O1473" s="8"/>
      <c r="P1473" s="22"/>
      <c r="Q1473" s="5" t="s">
        <v>3267</v>
      </c>
      <c r="R1473" s="5" t="s">
        <v>557</v>
      </c>
      <c r="S1473" s="5" t="s">
        <v>582</v>
      </c>
      <c r="T1473" s="8">
        <v>46298</v>
      </c>
    </row>
    <row r="1474" spans="1:20" ht="24" customHeight="1" x14ac:dyDescent="0.35">
      <c r="A1474" s="1" t="s">
        <v>3966</v>
      </c>
      <c r="B1474" s="1" t="s">
        <v>3967</v>
      </c>
      <c r="C1474" s="1" t="s">
        <v>1083</v>
      </c>
      <c r="D1474" s="1" t="s">
        <v>3968</v>
      </c>
      <c r="E1474" s="10">
        <v>46275</v>
      </c>
      <c r="F1474" s="1" t="s">
        <v>578</v>
      </c>
      <c r="G1474" s="1" t="s">
        <v>579</v>
      </c>
      <c r="H1474" s="23"/>
      <c r="I1474" s="1" t="s">
        <v>580</v>
      </c>
      <c r="J1474" s="1" t="s">
        <v>544</v>
      </c>
      <c r="K1474" s="1" t="s">
        <v>590</v>
      </c>
      <c r="L1474" s="1" t="s">
        <v>591</v>
      </c>
      <c r="M1474" s="1" t="s">
        <v>581</v>
      </c>
      <c r="N1474" s="1"/>
      <c r="O1474" s="10"/>
      <c r="P1474" s="23"/>
      <c r="Q1474" s="1" t="s">
        <v>3267</v>
      </c>
      <c r="R1474" s="1" t="s">
        <v>557</v>
      </c>
      <c r="S1474" s="1" t="s">
        <v>582</v>
      </c>
      <c r="T1474" s="10">
        <v>46298</v>
      </c>
    </row>
    <row r="1475" spans="1:20" ht="24" customHeight="1" x14ac:dyDescent="0.35">
      <c r="A1475" s="5" t="s">
        <v>3969</v>
      </c>
      <c r="B1475" s="5" t="s">
        <v>3970</v>
      </c>
      <c r="C1475" s="5" t="s">
        <v>292</v>
      </c>
      <c r="D1475" s="5" t="s">
        <v>2951</v>
      </c>
      <c r="E1475" s="8">
        <v>46267</v>
      </c>
      <c r="F1475" s="5" t="s">
        <v>771</v>
      </c>
      <c r="G1475" s="5" t="s">
        <v>772</v>
      </c>
      <c r="H1475" s="22"/>
      <c r="I1475" s="5" t="s">
        <v>603</v>
      </c>
      <c r="J1475" s="5" t="s">
        <v>544</v>
      </c>
      <c r="K1475" s="5" t="s">
        <v>590</v>
      </c>
      <c r="L1475" s="5" t="s">
        <v>149</v>
      </c>
      <c r="M1475" s="5" t="s">
        <v>581</v>
      </c>
      <c r="N1475" s="5"/>
      <c r="O1475" s="8"/>
      <c r="P1475" s="22"/>
      <c r="Q1475" s="5" t="s">
        <v>3795</v>
      </c>
      <c r="R1475" s="5" t="s">
        <v>557</v>
      </c>
      <c r="S1475" s="5" t="s">
        <v>582</v>
      </c>
      <c r="T1475" s="8">
        <v>46298</v>
      </c>
    </row>
    <row r="1476" spans="1:20" ht="24" customHeight="1" x14ac:dyDescent="0.35">
      <c r="A1476" s="1" t="s">
        <v>3971</v>
      </c>
      <c r="B1476" s="1" t="s">
        <v>3972</v>
      </c>
      <c r="C1476" s="1" t="s">
        <v>200</v>
      </c>
      <c r="D1476" s="1" t="s">
        <v>3651</v>
      </c>
      <c r="E1476" s="10">
        <v>46260</v>
      </c>
      <c r="F1476" s="1" t="s">
        <v>601</v>
      </c>
      <c r="G1476" s="1" t="s">
        <v>602</v>
      </c>
      <c r="H1476" s="23"/>
      <c r="I1476" s="1" t="s">
        <v>603</v>
      </c>
      <c r="J1476" s="1" t="s">
        <v>544</v>
      </c>
      <c r="K1476" s="1" t="s">
        <v>590</v>
      </c>
      <c r="L1476" s="1" t="s">
        <v>172</v>
      </c>
      <c r="M1476" s="1" t="s">
        <v>581</v>
      </c>
      <c r="N1476" s="1"/>
      <c r="O1476" s="10"/>
      <c r="P1476" s="23"/>
      <c r="Q1476" s="1"/>
      <c r="R1476" s="1" t="s">
        <v>557</v>
      </c>
      <c r="S1476" s="1" t="s">
        <v>582</v>
      </c>
      <c r="T147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87F5B"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3973</v>
      </c>
      <c r="B2" s="1" t="s">
        <v>231</v>
      </c>
      <c r="C2" s="1" t="s">
        <v>651</v>
      </c>
      <c r="D2" s="1" t="s">
        <v>101</v>
      </c>
      <c r="E2" s="10">
        <v>46204</v>
      </c>
      <c r="F2" s="1" t="s">
        <v>587</v>
      </c>
      <c r="G2" s="1" t="s">
        <v>588</v>
      </c>
      <c r="H2" s="23">
        <v>55000000</v>
      </c>
      <c r="I2" s="1" t="s">
        <v>589</v>
      </c>
      <c r="J2" s="1" t="s">
        <v>548</v>
      </c>
      <c r="K2" s="1" t="s">
        <v>544</v>
      </c>
      <c r="L2" s="1" t="s">
        <v>149</v>
      </c>
      <c r="M2" s="1" t="s">
        <v>3974</v>
      </c>
      <c r="N2" s="1">
        <v>102</v>
      </c>
      <c r="O2" s="10">
        <v>46204</v>
      </c>
      <c r="P2" s="23">
        <v>63600000</v>
      </c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3975</v>
      </c>
      <c r="B3" s="5" t="s">
        <v>169</v>
      </c>
      <c r="C3" s="5" t="s">
        <v>391</v>
      </c>
      <c r="D3" s="5" t="s">
        <v>91</v>
      </c>
      <c r="E3" s="8">
        <v>46171</v>
      </c>
      <c r="F3" s="5" t="s">
        <v>587</v>
      </c>
      <c r="G3" s="5" t="s">
        <v>588</v>
      </c>
      <c r="H3" s="22">
        <v>69300000</v>
      </c>
      <c r="I3" s="5" t="s">
        <v>589</v>
      </c>
      <c r="J3" s="5" t="s">
        <v>544</v>
      </c>
      <c r="K3" s="5" t="s">
        <v>545</v>
      </c>
      <c r="L3" s="5" t="s">
        <v>591</v>
      </c>
      <c r="M3" s="5" t="s">
        <v>3974</v>
      </c>
      <c r="N3" s="5">
        <v>50</v>
      </c>
      <c r="O3" s="8">
        <v>46204</v>
      </c>
      <c r="P3" s="22">
        <v>80000000</v>
      </c>
      <c r="Q3" s="5" t="s">
        <v>3976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3977</v>
      </c>
      <c r="B4" s="1" t="s">
        <v>301</v>
      </c>
      <c r="C4" s="1" t="s">
        <v>215</v>
      </c>
      <c r="D4" s="1" t="s">
        <v>103</v>
      </c>
      <c r="E4" s="10">
        <v>46211</v>
      </c>
      <c r="F4" s="1" t="s">
        <v>587</v>
      </c>
      <c r="G4" s="1" t="s">
        <v>588</v>
      </c>
      <c r="H4" s="23">
        <v>40000000</v>
      </c>
      <c r="I4" s="1" t="s">
        <v>589</v>
      </c>
      <c r="J4" s="1" t="s">
        <v>590</v>
      </c>
      <c r="K4" s="1" t="s">
        <v>544</v>
      </c>
      <c r="L4" s="1" t="s">
        <v>591</v>
      </c>
      <c r="M4" s="1" t="s">
        <v>3974</v>
      </c>
      <c r="N4" s="1">
        <v>166</v>
      </c>
      <c r="O4" s="10">
        <v>46204</v>
      </c>
      <c r="P4" s="23">
        <v>50700000</v>
      </c>
      <c r="Q4" s="1" t="s">
        <v>3978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3979</v>
      </c>
      <c r="B5" s="5" t="s">
        <v>250</v>
      </c>
      <c r="C5" s="5" t="s">
        <v>128</v>
      </c>
      <c r="D5" s="5" t="s">
        <v>643</v>
      </c>
      <c r="E5" s="8">
        <v>46191</v>
      </c>
      <c r="F5" s="5" t="s">
        <v>587</v>
      </c>
      <c r="G5" s="5" t="s">
        <v>588</v>
      </c>
      <c r="H5" s="22">
        <v>52000000</v>
      </c>
      <c r="I5" s="5" t="s">
        <v>589</v>
      </c>
      <c r="J5" s="5" t="s">
        <v>544</v>
      </c>
      <c r="K5" s="5" t="s">
        <v>544</v>
      </c>
      <c r="L5" s="5" t="s">
        <v>149</v>
      </c>
      <c r="M5" s="5" t="s">
        <v>3974</v>
      </c>
      <c r="N5" s="5">
        <v>117</v>
      </c>
      <c r="O5" s="8">
        <v>46192</v>
      </c>
      <c r="P5" s="22">
        <v>60000000</v>
      </c>
      <c r="Q5" s="5" t="s">
        <v>3978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3980</v>
      </c>
      <c r="B6" s="1" t="s">
        <v>294</v>
      </c>
      <c r="C6" s="1" t="s">
        <v>685</v>
      </c>
      <c r="D6" s="1" t="s">
        <v>126</v>
      </c>
      <c r="E6" s="10">
        <v>46198</v>
      </c>
      <c r="F6" s="1" t="s">
        <v>587</v>
      </c>
      <c r="G6" s="1" t="s">
        <v>588</v>
      </c>
      <c r="H6" s="23">
        <v>45000000</v>
      </c>
      <c r="I6" s="1" t="s">
        <v>589</v>
      </c>
      <c r="J6" s="1" t="s">
        <v>547</v>
      </c>
      <c r="K6" s="1" t="s">
        <v>544</v>
      </c>
      <c r="L6" s="1" t="s">
        <v>149</v>
      </c>
      <c r="M6" s="1" t="s">
        <v>3974</v>
      </c>
      <c r="N6" s="1">
        <v>161</v>
      </c>
      <c r="O6" s="10">
        <v>46204</v>
      </c>
      <c r="P6" s="23">
        <v>52000000</v>
      </c>
      <c r="Q6" s="1" t="s">
        <v>3978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3981</v>
      </c>
      <c r="B7" s="5" t="s">
        <v>138</v>
      </c>
      <c r="C7" s="5" t="s">
        <v>408</v>
      </c>
      <c r="D7" s="5" t="s">
        <v>643</v>
      </c>
      <c r="E7" s="8">
        <v>46205</v>
      </c>
      <c r="F7" s="5" t="s">
        <v>587</v>
      </c>
      <c r="G7" s="5" t="s">
        <v>588</v>
      </c>
      <c r="H7" s="22">
        <v>85000000</v>
      </c>
      <c r="I7" s="5" t="s">
        <v>589</v>
      </c>
      <c r="J7" s="5" t="s">
        <v>590</v>
      </c>
      <c r="K7" s="5" t="s">
        <v>544</v>
      </c>
      <c r="L7" s="5" t="s">
        <v>608</v>
      </c>
      <c r="M7" s="5" t="s">
        <v>3974</v>
      </c>
      <c r="N7" s="5">
        <v>26</v>
      </c>
      <c r="O7" s="8">
        <v>46205</v>
      </c>
      <c r="P7" s="22">
        <v>99000000</v>
      </c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3982</v>
      </c>
      <c r="B8" s="1" t="s">
        <v>108</v>
      </c>
      <c r="C8" s="1" t="s">
        <v>374</v>
      </c>
      <c r="D8" s="1" t="s">
        <v>355</v>
      </c>
      <c r="E8" s="10">
        <v>46226</v>
      </c>
      <c r="F8" s="1" t="s">
        <v>587</v>
      </c>
      <c r="G8" s="1" t="s">
        <v>588</v>
      </c>
      <c r="H8" s="23">
        <v>116000000</v>
      </c>
      <c r="I8" s="1" t="s">
        <v>589</v>
      </c>
      <c r="J8" s="1" t="s">
        <v>544</v>
      </c>
      <c r="K8" s="1" t="s">
        <v>544</v>
      </c>
      <c r="L8" s="1" t="s">
        <v>608</v>
      </c>
      <c r="M8" s="1" t="s">
        <v>3974</v>
      </c>
      <c r="N8" s="1">
        <v>9</v>
      </c>
      <c r="O8" s="10">
        <v>46218</v>
      </c>
      <c r="P8" s="23">
        <v>135000000</v>
      </c>
      <c r="Q8" s="1" t="s">
        <v>3978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3983</v>
      </c>
      <c r="B9" s="5" t="s">
        <v>131</v>
      </c>
      <c r="C9" s="5" t="s">
        <v>391</v>
      </c>
      <c r="D9" s="5" t="s">
        <v>643</v>
      </c>
      <c r="E9" s="8">
        <v>46209</v>
      </c>
      <c r="F9" s="5" t="s">
        <v>587</v>
      </c>
      <c r="G9" s="5" t="s">
        <v>588</v>
      </c>
      <c r="H9" s="22">
        <v>92500000</v>
      </c>
      <c r="I9" s="5" t="s">
        <v>589</v>
      </c>
      <c r="J9" s="5" t="s">
        <v>544</v>
      </c>
      <c r="K9" s="5" t="s">
        <v>544</v>
      </c>
      <c r="L9" s="5" t="s">
        <v>608</v>
      </c>
      <c r="M9" s="5" t="s">
        <v>3974</v>
      </c>
      <c r="N9" s="5">
        <v>22</v>
      </c>
      <c r="O9" s="8">
        <v>46235</v>
      </c>
      <c r="P9" s="22">
        <v>107000000</v>
      </c>
      <c r="Q9" s="5" t="s">
        <v>3978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3984</v>
      </c>
      <c r="B10" s="1" t="s">
        <v>105</v>
      </c>
      <c r="C10" s="1" t="s">
        <v>106</v>
      </c>
      <c r="D10" s="1" t="s">
        <v>103</v>
      </c>
      <c r="E10" s="10">
        <v>46224</v>
      </c>
      <c r="F10" s="1" t="s">
        <v>587</v>
      </c>
      <c r="G10" s="1" t="s">
        <v>588</v>
      </c>
      <c r="H10" s="23">
        <v>117000000</v>
      </c>
      <c r="I10" s="1" t="s">
        <v>589</v>
      </c>
      <c r="J10" s="1" t="s">
        <v>544</v>
      </c>
      <c r="K10" s="1" t="s">
        <v>544</v>
      </c>
      <c r="L10" s="1" t="s">
        <v>640</v>
      </c>
      <c r="M10" s="1" t="s">
        <v>3974</v>
      </c>
      <c r="N10" s="1">
        <v>7</v>
      </c>
      <c r="O10" s="10">
        <v>46254</v>
      </c>
      <c r="P10" s="23">
        <v>136000000</v>
      </c>
      <c r="Q10" s="1" t="s">
        <v>3978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3985</v>
      </c>
      <c r="B11" s="5" t="s">
        <v>118</v>
      </c>
      <c r="C11" s="5" t="s">
        <v>119</v>
      </c>
      <c r="D11" s="5" t="s">
        <v>114</v>
      </c>
      <c r="E11" s="8">
        <v>46240</v>
      </c>
      <c r="F11" s="5" t="s">
        <v>587</v>
      </c>
      <c r="G11" s="5" t="s">
        <v>588</v>
      </c>
      <c r="H11" s="22">
        <v>115700000</v>
      </c>
      <c r="I11" s="5" t="s">
        <v>589</v>
      </c>
      <c r="J11" s="5" t="s">
        <v>547</v>
      </c>
      <c r="K11" s="5" t="s">
        <v>545</v>
      </c>
      <c r="L11" s="5" t="s">
        <v>591</v>
      </c>
      <c r="M11" s="5" t="s">
        <v>3974</v>
      </c>
      <c r="N11" s="5">
        <v>14</v>
      </c>
      <c r="O11" s="8">
        <v>46244</v>
      </c>
      <c r="P11" s="22">
        <v>124000000</v>
      </c>
      <c r="Q11" s="5" t="s">
        <v>3978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3986</v>
      </c>
      <c r="B12" s="1" t="s">
        <v>153</v>
      </c>
      <c r="C12" s="1" t="s">
        <v>391</v>
      </c>
      <c r="D12" s="1" t="s">
        <v>126</v>
      </c>
      <c r="E12" s="10">
        <v>46242</v>
      </c>
      <c r="F12" s="1" t="s">
        <v>587</v>
      </c>
      <c r="G12" s="1" t="s">
        <v>588</v>
      </c>
      <c r="H12" s="23">
        <v>75000000</v>
      </c>
      <c r="I12" s="1" t="s">
        <v>589</v>
      </c>
      <c r="J12" s="1" t="s">
        <v>544</v>
      </c>
      <c r="K12" s="1" t="s">
        <v>544</v>
      </c>
      <c r="L12" s="1" t="s">
        <v>608</v>
      </c>
      <c r="M12" s="1" t="s">
        <v>3974</v>
      </c>
      <c r="N12" s="1">
        <v>36</v>
      </c>
      <c r="O12" s="10">
        <v>46213</v>
      </c>
      <c r="P12" s="23">
        <v>87000000</v>
      </c>
      <c r="Q12" s="1" t="s">
        <v>3978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3987</v>
      </c>
      <c r="B13" s="5" t="s">
        <v>181</v>
      </c>
      <c r="C13" s="5" t="s">
        <v>355</v>
      </c>
      <c r="D13" s="5" t="s">
        <v>91</v>
      </c>
      <c r="E13" s="8">
        <v>46252</v>
      </c>
      <c r="F13" s="5" t="s">
        <v>587</v>
      </c>
      <c r="G13" s="5" t="s">
        <v>588</v>
      </c>
      <c r="H13" s="22">
        <v>51300000</v>
      </c>
      <c r="I13" s="5" t="s">
        <v>589</v>
      </c>
      <c r="J13" s="5" t="s">
        <v>544</v>
      </c>
      <c r="K13" s="5" t="s">
        <v>545</v>
      </c>
      <c r="L13" s="5" t="s">
        <v>608</v>
      </c>
      <c r="M13" s="5" t="s">
        <v>3974</v>
      </c>
      <c r="N13" s="5">
        <v>57</v>
      </c>
      <c r="O13" s="8">
        <v>46252</v>
      </c>
      <c r="P13" s="22">
        <v>76500000</v>
      </c>
      <c r="Q13" s="5" t="s">
        <v>1005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3988</v>
      </c>
      <c r="B14" s="1" t="s">
        <v>265</v>
      </c>
      <c r="C14" s="1" t="s">
        <v>106</v>
      </c>
      <c r="D14" s="1" t="s">
        <v>126</v>
      </c>
      <c r="E14" s="10">
        <v>46255</v>
      </c>
      <c r="F14" s="1" t="s">
        <v>587</v>
      </c>
      <c r="G14" s="1" t="s">
        <v>588</v>
      </c>
      <c r="H14" s="23">
        <v>51000000</v>
      </c>
      <c r="I14" s="1" t="s">
        <v>589</v>
      </c>
      <c r="J14" s="1" t="s">
        <v>544</v>
      </c>
      <c r="K14" s="1" t="s">
        <v>544</v>
      </c>
      <c r="L14" s="1" t="s">
        <v>149</v>
      </c>
      <c r="M14" s="1" t="s">
        <v>3974</v>
      </c>
      <c r="N14" s="1">
        <v>130</v>
      </c>
      <c r="O14" s="10">
        <v>46204</v>
      </c>
      <c r="P14" s="23">
        <v>59000000</v>
      </c>
      <c r="Q14" s="1" t="s">
        <v>3989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3990</v>
      </c>
      <c r="B15" s="5" t="s">
        <v>136</v>
      </c>
      <c r="C15" s="5" t="s">
        <v>137</v>
      </c>
      <c r="D15" s="5" t="s">
        <v>355</v>
      </c>
      <c r="E15" s="8">
        <v>46260</v>
      </c>
      <c r="F15" s="5" t="s">
        <v>587</v>
      </c>
      <c r="G15" s="5" t="s">
        <v>588</v>
      </c>
      <c r="H15" s="22">
        <v>85700000</v>
      </c>
      <c r="I15" s="5" t="s">
        <v>589</v>
      </c>
      <c r="J15" s="5" t="s">
        <v>548</v>
      </c>
      <c r="K15" s="5" t="s">
        <v>544</v>
      </c>
      <c r="L15" s="5" t="s">
        <v>608</v>
      </c>
      <c r="M15" s="5" t="s">
        <v>3974</v>
      </c>
      <c r="N15" s="5">
        <v>25</v>
      </c>
      <c r="O15" s="8">
        <v>46223</v>
      </c>
      <c r="P15" s="22">
        <v>100000000</v>
      </c>
      <c r="Q15" s="5" t="s">
        <v>3978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3991</v>
      </c>
      <c r="B16" s="1" t="s">
        <v>117</v>
      </c>
      <c r="C16" s="1" t="s">
        <v>365</v>
      </c>
      <c r="D16" s="1" t="s">
        <v>101</v>
      </c>
      <c r="E16" s="10">
        <v>46265</v>
      </c>
      <c r="F16" s="1" t="s">
        <v>587</v>
      </c>
      <c r="G16" s="1" t="s">
        <v>588</v>
      </c>
      <c r="H16" s="23">
        <v>123000000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3974</v>
      </c>
      <c r="N16" s="1">
        <v>13</v>
      </c>
      <c r="O16" s="10">
        <v>46265</v>
      </c>
      <c r="P16" s="23">
        <v>125000000</v>
      </c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3992</v>
      </c>
      <c r="B17" s="5" t="s">
        <v>281</v>
      </c>
      <c r="C17" s="5" t="s">
        <v>365</v>
      </c>
      <c r="D17" s="5" t="s">
        <v>106</v>
      </c>
      <c r="E17" s="8">
        <v>46266</v>
      </c>
      <c r="F17" s="5" t="s">
        <v>587</v>
      </c>
      <c r="G17" s="5" t="s">
        <v>588</v>
      </c>
      <c r="H17" s="22">
        <v>47000000</v>
      </c>
      <c r="I17" s="5" t="s">
        <v>589</v>
      </c>
      <c r="J17" s="5" t="s">
        <v>548</v>
      </c>
      <c r="K17" s="5" t="s">
        <v>544</v>
      </c>
      <c r="L17" s="5" t="s">
        <v>640</v>
      </c>
      <c r="M17" s="5" t="s">
        <v>3974</v>
      </c>
      <c r="N17" s="5">
        <v>146</v>
      </c>
      <c r="O17" s="8">
        <v>46266</v>
      </c>
      <c r="P17" s="22">
        <v>55000000</v>
      </c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3993</v>
      </c>
      <c r="B18" s="1" t="s">
        <v>194</v>
      </c>
      <c r="C18" s="1" t="s">
        <v>160</v>
      </c>
      <c r="D18" s="1" t="s">
        <v>355</v>
      </c>
      <c r="E18" s="10">
        <v>46266</v>
      </c>
      <c r="F18" s="1" t="s">
        <v>587</v>
      </c>
      <c r="G18" s="1" t="s">
        <v>588</v>
      </c>
      <c r="H18" s="23">
        <v>60000000</v>
      </c>
      <c r="I18" s="1" t="s">
        <v>1676</v>
      </c>
      <c r="J18" s="1" t="s">
        <v>544</v>
      </c>
      <c r="K18" s="1" t="s">
        <v>544</v>
      </c>
      <c r="L18" s="1" t="s">
        <v>591</v>
      </c>
      <c r="M18" s="1" t="s">
        <v>3974</v>
      </c>
      <c r="N18" s="1">
        <v>68</v>
      </c>
      <c r="O18" s="10">
        <v>46266</v>
      </c>
      <c r="P18" s="23">
        <v>75000000</v>
      </c>
      <c r="Q18" s="1" t="s">
        <v>1005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3994</v>
      </c>
      <c r="B19" s="5" t="s">
        <v>102</v>
      </c>
      <c r="C19" s="5" t="s">
        <v>103</v>
      </c>
      <c r="D19" s="5" t="s">
        <v>355</v>
      </c>
      <c r="E19" s="8">
        <v>46266</v>
      </c>
      <c r="F19" s="5" t="s">
        <v>587</v>
      </c>
      <c r="G19" s="5" t="s">
        <v>588</v>
      </c>
      <c r="H19" s="22">
        <v>125000000</v>
      </c>
      <c r="I19" s="5" t="s">
        <v>589</v>
      </c>
      <c r="J19" s="5" t="s">
        <v>544</v>
      </c>
      <c r="K19" s="5" t="s">
        <v>544</v>
      </c>
      <c r="L19" s="5" t="s">
        <v>608</v>
      </c>
      <c r="M19" s="5" t="s">
        <v>3974</v>
      </c>
      <c r="N19" s="5">
        <v>6</v>
      </c>
      <c r="O19" s="8">
        <v>46266</v>
      </c>
      <c r="P19" s="22">
        <v>145000000</v>
      </c>
      <c r="Q19" s="5"/>
      <c r="R19" s="5" t="s">
        <v>557</v>
      </c>
      <c r="S19" s="5" t="s">
        <v>582</v>
      </c>
      <c r="T1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97C24"/>
  </sheetPr>
  <dimension ref="A1:T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3995</v>
      </c>
      <c r="B2" s="1" t="s">
        <v>3996</v>
      </c>
      <c r="C2" s="1" t="s">
        <v>114</v>
      </c>
      <c r="D2" s="1" t="s">
        <v>2475</v>
      </c>
      <c r="E2" s="10">
        <v>46164</v>
      </c>
      <c r="F2" s="1" t="s">
        <v>3997</v>
      </c>
      <c r="G2" s="1" t="s">
        <v>3997</v>
      </c>
      <c r="H2" s="23"/>
      <c r="I2" s="1" t="s">
        <v>603</v>
      </c>
      <c r="J2" s="1" t="s">
        <v>545</v>
      </c>
      <c r="K2" s="1" t="s">
        <v>590</v>
      </c>
      <c r="L2" s="1" t="s">
        <v>149</v>
      </c>
      <c r="M2" s="1" t="s">
        <v>537</v>
      </c>
      <c r="N2" s="1"/>
      <c r="O2" s="10"/>
      <c r="P2" s="23"/>
      <c r="Q2" s="1" t="s">
        <v>3998</v>
      </c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3999</v>
      </c>
      <c r="B3" s="5" t="s">
        <v>4000</v>
      </c>
      <c r="C3" s="5" t="s">
        <v>707</v>
      </c>
      <c r="D3" s="5" t="s">
        <v>4001</v>
      </c>
      <c r="E3" s="8">
        <v>46164</v>
      </c>
      <c r="F3" s="5" t="s">
        <v>4001</v>
      </c>
      <c r="G3" s="5" t="s">
        <v>4001</v>
      </c>
      <c r="H3" s="22"/>
      <c r="I3" s="5" t="s">
        <v>603</v>
      </c>
      <c r="J3" s="5" t="s">
        <v>545</v>
      </c>
      <c r="K3" s="5" t="s">
        <v>590</v>
      </c>
      <c r="L3" s="5" t="s">
        <v>149</v>
      </c>
      <c r="M3" s="5" t="s">
        <v>537</v>
      </c>
      <c r="N3" s="5"/>
      <c r="O3" s="8"/>
      <c r="P3" s="22"/>
      <c r="Q3" s="5" t="s">
        <v>3998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4002</v>
      </c>
      <c r="B4" s="1" t="s">
        <v>4003</v>
      </c>
      <c r="C4" s="1" t="s">
        <v>128</v>
      </c>
      <c r="D4" s="1" t="s">
        <v>4001</v>
      </c>
      <c r="E4" s="10">
        <v>46174</v>
      </c>
      <c r="F4" s="1" t="s">
        <v>4001</v>
      </c>
      <c r="G4" s="1" t="s">
        <v>4001</v>
      </c>
      <c r="H4" s="23"/>
      <c r="I4" s="1" t="s">
        <v>603</v>
      </c>
      <c r="J4" s="1" t="s">
        <v>544</v>
      </c>
      <c r="K4" s="1" t="s">
        <v>590</v>
      </c>
      <c r="L4" s="1" t="s">
        <v>608</v>
      </c>
      <c r="M4" s="1" t="s">
        <v>537</v>
      </c>
      <c r="N4" s="1"/>
      <c r="O4" s="10"/>
      <c r="P4" s="23"/>
      <c r="Q4" s="1" t="s">
        <v>4004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4005</v>
      </c>
      <c r="B5" s="5" t="s">
        <v>4006</v>
      </c>
      <c r="C5" s="5" t="s">
        <v>128</v>
      </c>
      <c r="D5" s="5" t="s">
        <v>2475</v>
      </c>
      <c r="E5" s="8">
        <v>46168</v>
      </c>
      <c r="F5" s="5" t="s">
        <v>3997</v>
      </c>
      <c r="G5" s="5" t="s">
        <v>3997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537</v>
      </c>
      <c r="N5" s="5"/>
      <c r="O5" s="8"/>
      <c r="P5" s="22"/>
      <c r="Q5" s="5" t="s">
        <v>3998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4007</v>
      </c>
      <c r="B6" s="1" t="s">
        <v>4008</v>
      </c>
      <c r="C6" s="1" t="s">
        <v>160</v>
      </c>
      <c r="D6" s="1" t="s">
        <v>2475</v>
      </c>
      <c r="E6" s="10">
        <v>46157</v>
      </c>
      <c r="F6" s="1" t="s">
        <v>3997</v>
      </c>
      <c r="G6" s="1" t="s">
        <v>3997</v>
      </c>
      <c r="H6" s="23"/>
      <c r="I6" s="1" t="s">
        <v>603</v>
      </c>
      <c r="J6" s="1" t="s">
        <v>544</v>
      </c>
      <c r="K6" s="1" t="s">
        <v>590</v>
      </c>
      <c r="L6" s="1" t="s">
        <v>149</v>
      </c>
      <c r="M6" s="1" t="s">
        <v>537</v>
      </c>
      <c r="N6" s="1"/>
      <c r="O6" s="10"/>
      <c r="P6" s="23"/>
      <c r="Q6" s="1" t="s">
        <v>3998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4009</v>
      </c>
      <c r="B7" s="5" t="s">
        <v>4010</v>
      </c>
      <c r="C7" s="5" t="s">
        <v>114</v>
      </c>
      <c r="D7" s="5" t="s">
        <v>868</v>
      </c>
      <c r="E7" s="8">
        <v>46266</v>
      </c>
      <c r="F7" s="5" t="s">
        <v>3997</v>
      </c>
      <c r="G7" s="5" t="s">
        <v>3997</v>
      </c>
      <c r="H7" s="22"/>
      <c r="I7" s="5" t="s">
        <v>603</v>
      </c>
      <c r="J7" s="5" t="s">
        <v>545</v>
      </c>
      <c r="K7" s="5" t="s">
        <v>545</v>
      </c>
      <c r="L7" s="5" t="s">
        <v>608</v>
      </c>
      <c r="M7" s="5" t="s">
        <v>537</v>
      </c>
      <c r="N7" s="5"/>
      <c r="O7" s="8"/>
      <c r="P7" s="22"/>
      <c r="Q7" s="5" t="s">
        <v>4004</v>
      </c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4011</v>
      </c>
      <c r="B8" s="1" t="s">
        <v>4012</v>
      </c>
      <c r="C8" s="1" t="s">
        <v>3671</v>
      </c>
      <c r="D8" s="1" t="s">
        <v>778</v>
      </c>
      <c r="E8" s="10">
        <v>46196</v>
      </c>
      <c r="F8" s="1" t="s">
        <v>578</v>
      </c>
      <c r="G8" s="1" t="s">
        <v>579</v>
      </c>
      <c r="H8" s="23"/>
      <c r="I8" s="1" t="s">
        <v>580</v>
      </c>
      <c r="J8" s="1" t="s">
        <v>590</v>
      </c>
      <c r="K8" s="1" t="s">
        <v>590</v>
      </c>
      <c r="L8" s="1" t="s">
        <v>608</v>
      </c>
      <c r="M8" s="1" t="s">
        <v>537</v>
      </c>
      <c r="N8" s="1"/>
      <c r="O8" s="10"/>
      <c r="P8" s="23"/>
      <c r="Q8" s="1" t="s">
        <v>4013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4014</v>
      </c>
      <c r="B9" s="5" t="s">
        <v>4015</v>
      </c>
      <c r="C9" s="5" t="s">
        <v>749</v>
      </c>
      <c r="D9" s="5" t="s">
        <v>2475</v>
      </c>
      <c r="E9" s="8">
        <v>46204</v>
      </c>
      <c r="F9" s="5" t="s">
        <v>3997</v>
      </c>
      <c r="G9" s="5" t="s">
        <v>3997</v>
      </c>
      <c r="H9" s="22"/>
      <c r="I9" s="5" t="s">
        <v>603</v>
      </c>
      <c r="J9" s="5" t="s">
        <v>547</v>
      </c>
      <c r="K9" s="5" t="s">
        <v>590</v>
      </c>
      <c r="L9" s="5" t="s">
        <v>172</v>
      </c>
      <c r="M9" s="5" t="s">
        <v>537</v>
      </c>
      <c r="N9" s="5"/>
      <c r="O9" s="8"/>
      <c r="P9" s="22"/>
      <c r="Q9" s="5" t="s">
        <v>4004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4016</v>
      </c>
      <c r="B10" s="1" t="s">
        <v>4017</v>
      </c>
      <c r="C10" s="1" t="s">
        <v>142</v>
      </c>
      <c r="D10" s="1" t="s">
        <v>2475</v>
      </c>
      <c r="E10" s="10">
        <v>46204</v>
      </c>
      <c r="F10" s="1" t="s">
        <v>3997</v>
      </c>
      <c r="G10" s="1" t="s">
        <v>3997</v>
      </c>
      <c r="H10" s="23"/>
      <c r="I10" s="1" t="s">
        <v>603</v>
      </c>
      <c r="J10" s="1" t="s">
        <v>547</v>
      </c>
      <c r="K10" s="1" t="s">
        <v>590</v>
      </c>
      <c r="L10" s="1" t="s">
        <v>149</v>
      </c>
      <c r="M10" s="1" t="s">
        <v>537</v>
      </c>
      <c r="N10" s="1"/>
      <c r="O10" s="10"/>
      <c r="P10" s="23"/>
      <c r="Q10" s="1" t="s">
        <v>4004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4018</v>
      </c>
      <c r="B11" s="5" t="s">
        <v>4019</v>
      </c>
      <c r="C11" s="5" t="s">
        <v>4020</v>
      </c>
      <c r="D11" s="5" t="s">
        <v>106</v>
      </c>
      <c r="E11" s="8">
        <v>46222</v>
      </c>
      <c r="F11" s="5" t="s">
        <v>4021</v>
      </c>
      <c r="G11" s="5" t="s">
        <v>4021</v>
      </c>
      <c r="H11" s="22"/>
      <c r="I11" s="5" t="s">
        <v>603</v>
      </c>
      <c r="J11" s="5" t="s">
        <v>590</v>
      </c>
      <c r="K11" s="5" t="s">
        <v>544</v>
      </c>
      <c r="L11" s="5" t="s">
        <v>149</v>
      </c>
      <c r="M11" s="5" t="s">
        <v>537</v>
      </c>
      <c r="N11" s="5"/>
      <c r="O11" s="8"/>
      <c r="P11" s="22"/>
      <c r="Q11" s="5" t="s">
        <v>4022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4023</v>
      </c>
      <c r="B12" s="1" t="s">
        <v>4024</v>
      </c>
      <c r="C12" s="1" t="s">
        <v>128</v>
      </c>
      <c r="D12" s="1" t="s">
        <v>2475</v>
      </c>
      <c r="E12" s="10">
        <v>46203</v>
      </c>
      <c r="F12" s="1" t="s">
        <v>3997</v>
      </c>
      <c r="G12" s="1" t="s">
        <v>3997</v>
      </c>
      <c r="H12" s="23"/>
      <c r="I12" s="1" t="s">
        <v>603</v>
      </c>
      <c r="J12" s="1" t="s">
        <v>544</v>
      </c>
      <c r="K12" s="1" t="s">
        <v>590</v>
      </c>
      <c r="L12" s="1" t="s">
        <v>149</v>
      </c>
      <c r="M12" s="1" t="s">
        <v>537</v>
      </c>
      <c r="N12" s="1"/>
      <c r="O12" s="10"/>
      <c r="P12" s="23"/>
      <c r="Q12" s="1" t="s">
        <v>4004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4025</v>
      </c>
      <c r="B13" s="5" t="s">
        <v>4026</v>
      </c>
      <c r="C13" s="5" t="s">
        <v>1129</v>
      </c>
      <c r="D13" s="5" t="s">
        <v>4027</v>
      </c>
      <c r="E13" s="8">
        <v>46204</v>
      </c>
      <c r="F13" s="5" t="s">
        <v>4028</v>
      </c>
      <c r="G13" s="5" t="s">
        <v>4028</v>
      </c>
      <c r="H13" s="22"/>
      <c r="I13" s="5" t="s">
        <v>603</v>
      </c>
      <c r="J13" s="5" t="s">
        <v>545</v>
      </c>
      <c r="K13" s="5" t="s">
        <v>590</v>
      </c>
      <c r="L13" s="5" t="s">
        <v>149</v>
      </c>
      <c r="M13" s="5" t="s">
        <v>537</v>
      </c>
      <c r="N13" s="5"/>
      <c r="O13" s="8"/>
      <c r="P13" s="22"/>
      <c r="Q13" s="5" t="s">
        <v>4029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4030</v>
      </c>
      <c r="B14" s="1" t="s">
        <v>4031</v>
      </c>
      <c r="C14" s="1" t="s">
        <v>1727</v>
      </c>
      <c r="D14" s="1" t="s">
        <v>4001</v>
      </c>
      <c r="E14" s="10">
        <v>46213</v>
      </c>
      <c r="F14" s="1" t="s">
        <v>4001</v>
      </c>
      <c r="G14" s="1" t="s">
        <v>4001</v>
      </c>
      <c r="H14" s="23"/>
      <c r="I14" s="1" t="s">
        <v>603</v>
      </c>
      <c r="J14" s="1" t="s">
        <v>545</v>
      </c>
      <c r="K14" s="1" t="s">
        <v>590</v>
      </c>
      <c r="L14" s="1" t="s">
        <v>608</v>
      </c>
      <c r="M14" s="1" t="s">
        <v>537</v>
      </c>
      <c r="N14" s="1"/>
      <c r="O14" s="10"/>
      <c r="P14" s="23"/>
      <c r="Q14" s="1" t="s">
        <v>4004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4032</v>
      </c>
      <c r="B15" s="5" t="s">
        <v>4033</v>
      </c>
      <c r="C15" s="5" t="s">
        <v>1414</v>
      </c>
      <c r="D15" s="5" t="s">
        <v>661</v>
      </c>
      <c r="E15" s="8">
        <v>46234</v>
      </c>
      <c r="F15" s="5" t="s">
        <v>587</v>
      </c>
      <c r="G15" s="5" t="s">
        <v>588</v>
      </c>
      <c r="H15" s="22">
        <v>2700000</v>
      </c>
      <c r="I15" s="5" t="s">
        <v>589</v>
      </c>
      <c r="J15" s="5" t="s">
        <v>590</v>
      </c>
      <c r="K15" s="5" t="s">
        <v>546</v>
      </c>
      <c r="L15" s="5" t="s">
        <v>149</v>
      </c>
      <c r="M15" s="5" t="s">
        <v>537</v>
      </c>
      <c r="N15" s="5"/>
      <c r="O15" s="8"/>
      <c r="P15" s="22"/>
      <c r="Q15" s="5" t="s">
        <v>4034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4035</v>
      </c>
      <c r="B16" s="1" t="s">
        <v>4036</v>
      </c>
      <c r="C16" s="1" t="s">
        <v>4037</v>
      </c>
      <c r="D16" s="1" t="s">
        <v>101</v>
      </c>
      <c r="E16" s="10">
        <v>46224</v>
      </c>
      <c r="F16" s="1" t="s">
        <v>4038</v>
      </c>
      <c r="G16" s="1" t="s">
        <v>4038</v>
      </c>
      <c r="H16" s="23"/>
      <c r="I16" s="1" t="s">
        <v>603</v>
      </c>
      <c r="J16" s="1" t="s">
        <v>590</v>
      </c>
      <c r="K16" s="1" t="s">
        <v>544</v>
      </c>
      <c r="L16" s="1" t="s">
        <v>608</v>
      </c>
      <c r="M16" s="1" t="s">
        <v>537</v>
      </c>
      <c r="N16" s="1"/>
      <c r="O16" s="10"/>
      <c r="P16" s="23"/>
      <c r="Q16" s="1" t="s">
        <v>4022</v>
      </c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4039</v>
      </c>
      <c r="B17" s="5" t="s">
        <v>4040</v>
      </c>
      <c r="C17" s="5" t="s">
        <v>801</v>
      </c>
      <c r="D17" s="5" t="s">
        <v>2475</v>
      </c>
      <c r="E17" s="8">
        <v>46241</v>
      </c>
      <c r="F17" s="5" t="s">
        <v>3997</v>
      </c>
      <c r="G17" s="5" t="s">
        <v>3997</v>
      </c>
      <c r="H17" s="22"/>
      <c r="I17" s="5" t="s">
        <v>603</v>
      </c>
      <c r="J17" s="5" t="s">
        <v>546</v>
      </c>
      <c r="K17" s="5" t="s">
        <v>590</v>
      </c>
      <c r="L17" s="5" t="s">
        <v>608</v>
      </c>
      <c r="M17" s="5" t="s">
        <v>537</v>
      </c>
      <c r="N17" s="5"/>
      <c r="O17" s="8"/>
      <c r="P17" s="22"/>
      <c r="Q17" s="5" t="s">
        <v>4004</v>
      </c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4041</v>
      </c>
      <c r="B18" s="1" t="s">
        <v>4042</v>
      </c>
      <c r="C18" s="1" t="s">
        <v>639</v>
      </c>
      <c r="D18" s="1" t="s">
        <v>887</v>
      </c>
      <c r="E18" s="10">
        <v>46245</v>
      </c>
      <c r="F18" s="1" t="s">
        <v>601</v>
      </c>
      <c r="G18" s="1" t="s">
        <v>602</v>
      </c>
      <c r="H18" s="23">
        <v>2000000</v>
      </c>
      <c r="I18" s="1" t="s">
        <v>589</v>
      </c>
      <c r="J18" s="1" t="s">
        <v>548</v>
      </c>
      <c r="K18" s="1" t="s">
        <v>590</v>
      </c>
      <c r="L18" s="1" t="s">
        <v>608</v>
      </c>
      <c r="M18" s="1" t="s">
        <v>537</v>
      </c>
      <c r="N18" s="1"/>
      <c r="O18" s="10"/>
      <c r="P18" s="23"/>
      <c r="Q18" s="1" t="s">
        <v>4043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4044</v>
      </c>
      <c r="B19" s="5" t="s">
        <v>4045</v>
      </c>
      <c r="C19" s="5" t="s">
        <v>681</v>
      </c>
      <c r="D19" s="5" t="s">
        <v>4001</v>
      </c>
      <c r="E19" s="8">
        <v>46248</v>
      </c>
      <c r="F19" s="5" t="s">
        <v>4001</v>
      </c>
      <c r="G19" s="5" t="s">
        <v>4001</v>
      </c>
      <c r="H19" s="22"/>
      <c r="I19" s="5" t="s">
        <v>603</v>
      </c>
      <c r="J19" s="5" t="s">
        <v>548</v>
      </c>
      <c r="K19" s="5" t="s">
        <v>590</v>
      </c>
      <c r="L19" s="5" t="s">
        <v>640</v>
      </c>
      <c r="M19" s="5" t="s">
        <v>537</v>
      </c>
      <c r="N19" s="5"/>
      <c r="O19" s="8"/>
      <c r="P19" s="22"/>
      <c r="Q19" s="5" t="s">
        <v>4004</v>
      </c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4046</v>
      </c>
      <c r="B20" s="1" t="s">
        <v>4047</v>
      </c>
      <c r="C20" s="1" t="s">
        <v>801</v>
      </c>
      <c r="D20" s="1" t="s">
        <v>240</v>
      </c>
      <c r="E20" s="10"/>
      <c r="F20" s="1" t="s">
        <v>771</v>
      </c>
      <c r="G20" s="1" t="s">
        <v>772</v>
      </c>
      <c r="H20" s="23"/>
      <c r="I20" s="1" t="s">
        <v>603</v>
      </c>
      <c r="J20" s="1" t="s">
        <v>546</v>
      </c>
      <c r="K20" s="1" t="s">
        <v>548</v>
      </c>
      <c r="L20" s="1" t="s">
        <v>149</v>
      </c>
      <c r="M20" s="1" t="s">
        <v>537</v>
      </c>
      <c r="N20" s="1"/>
      <c r="O20" s="10"/>
      <c r="P20" s="23"/>
      <c r="Q20" s="1" t="s">
        <v>4048</v>
      </c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4049</v>
      </c>
      <c r="B21" s="5" t="s">
        <v>4050</v>
      </c>
      <c r="C21" s="5" t="s">
        <v>1014</v>
      </c>
      <c r="D21" s="5" t="s">
        <v>2475</v>
      </c>
      <c r="E21" s="8">
        <v>46255</v>
      </c>
      <c r="F21" s="5" t="s">
        <v>3997</v>
      </c>
      <c r="G21" s="5" t="s">
        <v>3997</v>
      </c>
      <c r="H21" s="22"/>
      <c r="I21" s="5" t="s">
        <v>603</v>
      </c>
      <c r="J21" s="5" t="s">
        <v>545</v>
      </c>
      <c r="K21" s="5" t="s">
        <v>590</v>
      </c>
      <c r="L21" s="5" t="s">
        <v>608</v>
      </c>
      <c r="M21" s="5" t="s">
        <v>537</v>
      </c>
      <c r="N21" s="5"/>
      <c r="O21" s="8"/>
      <c r="P21" s="22"/>
      <c r="Q21" s="5" t="s">
        <v>4004</v>
      </c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4051</v>
      </c>
      <c r="B22" s="1" t="s">
        <v>4052</v>
      </c>
      <c r="C22" s="1" t="s">
        <v>721</v>
      </c>
      <c r="D22" s="1" t="s">
        <v>2475</v>
      </c>
      <c r="E22" s="10">
        <v>46266</v>
      </c>
      <c r="F22" s="1" t="s">
        <v>3997</v>
      </c>
      <c r="G22" s="1" t="s">
        <v>3997</v>
      </c>
      <c r="H22" s="23"/>
      <c r="I22" s="1" t="s">
        <v>603</v>
      </c>
      <c r="J22" s="1" t="s">
        <v>547</v>
      </c>
      <c r="K22" s="1" t="s">
        <v>590</v>
      </c>
      <c r="L22" s="1" t="s">
        <v>608</v>
      </c>
      <c r="M22" s="1" t="s">
        <v>537</v>
      </c>
      <c r="N22" s="1"/>
      <c r="O22" s="10"/>
      <c r="P22" s="23"/>
      <c r="Q22" s="1" t="s">
        <v>4004</v>
      </c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4053</v>
      </c>
      <c r="B23" s="5" t="s">
        <v>4054</v>
      </c>
      <c r="C23" s="5" t="s">
        <v>749</v>
      </c>
      <c r="D23" s="5" t="s">
        <v>4055</v>
      </c>
      <c r="E23" s="8">
        <v>46266</v>
      </c>
      <c r="F23" s="5" t="s">
        <v>3997</v>
      </c>
      <c r="G23" s="5" t="s">
        <v>3997</v>
      </c>
      <c r="H23" s="22"/>
      <c r="I23" s="5" t="s">
        <v>603</v>
      </c>
      <c r="J23" s="5" t="s">
        <v>547</v>
      </c>
      <c r="K23" s="5" t="s">
        <v>590</v>
      </c>
      <c r="L23" s="5" t="s">
        <v>640</v>
      </c>
      <c r="M23" s="5" t="s">
        <v>537</v>
      </c>
      <c r="N23" s="5"/>
      <c r="O23" s="8"/>
      <c r="P23" s="22"/>
      <c r="Q23" s="5" t="s">
        <v>4004</v>
      </c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4056</v>
      </c>
      <c r="B24" s="1" t="s">
        <v>4057</v>
      </c>
      <c r="C24" s="1" t="s">
        <v>401</v>
      </c>
      <c r="D24" s="1" t="s">
        <v>1688</v>
      </c>
      <c r="E24" s="10">
        <v>46204</v>
      </c>
      <c r="F24" s="1" t="s">
        <v>3997</v>
      </c>
      <c r="G24" s="1" t="s">
        <v>3997</v>
      </c>
      <c r="H24" s="23"/>
      <c r="I24" s="1" t="s">
        <v>603</v>
      </c>
      <c r="J24" s="1" t="s">
        <v>547</v>
      </c>
      <c r="K24" s="1" t="s">
        <v>590</v>
      </c>
      <c r="L24" s="1" t="s">
        <v>591</v>
      </c>
      <c r="M24" s="1" t="s">
        <v>537</v>
      </c>
      <c r="N24" s="1"/>
      <c r="O24" s="10"/>
      <c r="P24" s="23"/>
      <c r="Q24" s="1" t="s">
        <v>4004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4058</v>
      </c>
      <c r="B25" s="5" t="s">
        <v>4059</v>
      </c>
      <c r="C25" s="5" t="s">
        <v>692</v>
      </c>
      <c r="D25" s="5" t="s">
        <v>2475</v>
      </c>
      <c r="E25" s="8">
        <v>46267</v>
      </c>
      <c r="F25" s="5" t="s">
        <v>3997</v>
      </c>
      <c r="G25" s="5" t="s">
        <v>3997</v>
      </c>
      <c r="H25" s="22"/>
      <c r="I25" s="5" t="s">
        <v>603</v>
      </c>
      <c r="J25" s="5" t="s">
        <v>547</v>
      </c>
      <c r="K25" s="5" t="s">
        <v>590</v>
      </c>
      <c r="L25" s="5" t="s">
        <v>608</v>
      </c>
      <c r="M25" s="5" t="s">
        <v>537</v>
      </c>
      <c r="N25" s="5"/>
      <c r="O25" s="8"/>
      <c r="P25" s="22"/>
      <c r="Q25" s="5" t="s">
        <v>4060</v>
      </c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4061</v>
      </c>
      <c r="B26" s="1" t="s">
        <v>4062</v>
      </c>
      <c r="C26" s="1" t="s">
        <v>1014</v>
      </c>
      <c r="D26" s="1" t="s">
        <v>2475</v>
      </c>
      <c r="E26" s="10">
        <v>46266</v>
      </c>
      <c r="F26" s="1" t="s">
        <v>3997</v>
      </c>
      <c r="G26" s="1" t="s">
        <v>3997</v>
      </c>
      <c r="H26" s="23"/>
      <c r="I26" s="1" t="s">
        <v>603</v>
      </c>
      <c r="J26" s="1" t="s">
        <v>545</v>
      </c>
      <c r="K26" s="1" t="s">
        <v>590</v>
      </c>
      <c r="L26" s="1" t="s">
        <v>591</v>
      </c>
      <c r="M26" s="1" t="s">
        <v>537</v>
      </c>
      <c r="N26" s="1"/>
      <c r="O26" s="10"/>
      <c r="P26" s="23"/>
      <c r="Q26" s="1" t="s">
        <v>4004</v>
      </c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4063</v>
      </c>
      <c r="B27" s="5" t="s">
        <v>4064</v>
      </c>
      <c r="C27" s="5" t="s">
        <v>630</v>
      </c>
      <c r="D27" s="5" t="s">
        <v>4001</v>
      </c>
      <c r="E27" s="8">
        <v>46204</v>
      </c>
      <c r="F27" s="5" t="s">
        <v>4001</v>
      </c>
      <c r="G27" s="5" t="s">
        <v>4001</v>
      </c>
      <c r="H27" s="22"/>
      <c r="I27" s="5" t="s">
        <v>603</v>
      </c>
      <c r="J27" s="5" t="s">
        <v>547</v>
      </c>
      <c r="K27" s="5" t="s">
        <v>590</v>
      </c>
      <c r="L27" s="5" t="s">
        <v>608</v>
      </c>
      <c r="M27" s="5" t="s">
        <v>537</v>
      </c>
      <c r="N27" s="5"/>
      <c r="O27" s="8"/>
      <c r="P27" s="22"/>
      <c r="Q27" s="5" t="s">
        <v>4004</v>
      </c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4065</v>
      </c>
      <c r="B28" s="1" t="s">
        <v>4066</v>
      </c>
      <c r="C28" s="1" t="s">
        <v>630</v>
      </c>
      <c r="D28" s="1" t="s">
        <v>2475</v>
      </c>
      <c r="E28" s="10">
        <v>46204</v>
      </c>
      <c r="F28" s="1" t="s">
        <v>4001</v>
      </c>
      <c r="G28" s="1" t="s">
        <v>4001</v>
      </c>
      <c r="H28" s="23"/>
      <c r="I28" s="1" t="s">
        <v>603</v>
      </c>
      <c r="J28" s="1" t="s">
        <v>547</v>
      </c>
      <c r="K28" s="1" t="s">
        <v>590</v>
      </c>
      <c r="L28" s="1" t="s">
        <v>149</v>
      </c>
      <c r="M28" s="1" t="s">
        <v>537</v>
      </c>
      <c r="N28" s="1"/>
      <c r="O28" s="10"/>
      <c r="P28" s="23"/>
      <c r="Q28" s="1" t="s">
        <v>4004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4067</v>
      </c>
      <c r="B29" s="5" t="s">
        <v>4068</v>
      </c>
      <c r="C29" s="5" t="s">
        <v>3627</v>
      </c>
      <c r="D29" s="5" t="s">
        <v>101</v>
      </c>
      <c r="E29" s="8">
        <v>46269</v>
      </c>
      <c r="F29" s="5" t="s">
        <v>587</v>
      </c>
      <c r="G29" s="5" t="s">
        <v>588</v>
      </c>
      <c r="H29" s="22">
        <v>4300000</v>
      </c>
      <c r="I29" s="5" t="s">
        <v>589</v>
      </c>
      <c r="J29" s="5" t="s">
        <v>590</v>
      </c>
      <c r="K29" s="5" t="s">
        <v>544</v>
      </c>
      <c r="L29" s="5" t="s">
        <v>640</v>
      </c>
      <c r="M29" s="5" t="s">
        <v>537</v>
      </c>
      <c r="N29" s="5"/>
      <c r="O29" s="8"/>
      <c r="P29" s="22"/>
      <c r="Q29" s="5" t="s">
        <v>4069</v>
      </c>
      <c r="R29" s="5" t="s">
        <v>557</v>
      </c>
      <c r="S29" s="5" t="s">
        <v>582</v>
      </c>
      <c r="T2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87F5B"/>
  </sheetPr>
  <dimension ref="A1:G70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23" customWidth="1"/>
    <col min="4" max="4" width="26" customWidth="1"/>
    <col min="5" max="5" width="23" customWidth="1"/>
    <col min="6" max="6" width="54" customWidth="1"/>
    <col min="7" max="7" width="100" customWidth="1"/>
  </cols>
  <sheetData>
    <row r="1" spans="1:7" ht="38" customHeight="1" x14ac:dyDescent="0.35">
      <c r="A1" s="28" t="s">
        <v>559</v>
      </c>
      <c r="B1" s="28" t="s">
        <v>85</v>
      </c>
      <c r="C1" s="28" t="s">
        <v>4070</v>
      </c>
      <c r="D1" s="28" t="s">
        <v>4071</v>
      </c>
      <c r="E1" s="28" t="s">
        <v>4072</v>
      </c>
      <c r="F1" s="28" t="s">
        <v>574</v>
      </c>
      <c r="G1" s="28" t="s">
        <v>4073</v>
      </c>
    </row>
    <row r="2" spans="1:7" ht="24" customHeight="1" x14ac:dyDescent="0.35">
      <c r="A2" s="1" t="s">
        <v>672</v>
      </c>
      <c r="B2" s="1" t="s">
        <v>673</v>
      </c>
      <c r="C2" s="1" t="s">
        <v>4074</v>
      </c>
      <c r="D2" s="23">
        <v>5000000</v>
      </c>
      <c r="E2" s="1" t="s">
        <v>4075</v>
      </c>
      <c r="F2" s="1" t="s">
        <v>557</v>
      </c>
      <c r="G2" s="1" t="s">
        <v>4076</v>
      </c>
    </row>
    <row r="3" spans="1:7" ht="24" customHeight="1" x14ac:dyDescent="0.35">
      <c r="A3" s="5" t="s">
        <v>1002</v>
      </c>
      <c r="B3" s="5" t="s">
        <v>1003</v>
      </c>
      <c r="C3" s="5" t="s">
        <v>4074</v>
      </c>
      <c r="D3" s="22">
        <v>3000000</v>
      </c>
      <c r="E3" s="5" t="s">
        <v>4075</v>
      </c>
      <c r="F3" s="5" t="s">
        <v>557</v>
      </c>
      <c r="G3" s="5" t="s">
        <v>4076</v>
      </c>
    </row>
    <row r="4" spans="1:7" ht="24" customHeight="1" x14ac:dyDescent="0.35">
      <c r="A4" s="1" t="s">
        <v>1032</v>
      </c>
      <c r="B4" s="1" t="s">
        <v>1033</v>
      </c>
      <c r="C4" s="1" t="s">
        <v>4074</v>
      </c>
      <c r="D4" s="23">
        <v>1700000</v>
      </c>
      <c r="E4" s="1" t="s">
        <v>4077</v>
      </c>
      <c r="F4" s="1" t="s">
        <v>557</v>
      </c>
      <c r="G4" s="1" t="s">
        <v>4076</v>
      </c>
    </row>
    <row r="5" spans="1:7" ht="24" customHeight="1" x14ac:dyDescent="0.35">
      <c r="A5" s="5" t="s">
        <v>1092</v>
      </c>
      <c r="B5" s="5" t="s">
        <v>1093</v>
      </c>
      <c r="C5" s="5" t="s">
        <v>4078</v>
      </c>
      <c r="D5" s="22">
        <v>16500000</v>
      </c>
      <c r="E5" s="5" t="s">
        <v>4077</v>
      </c>
      <c r="F5" s="5" t="s">
        <v>557</v>
      </c>
      <c r="G5" s="5" t="s">
        <v>4076</v>
      </c>
    </row>
    <row r="6" spans="1:7" ht="24" customHeight="1" x14ac:dyDescent="0.35">
      <c r="A6" s="1" t="s">
        <v>1092</v>
      </c>
      <c r="B6" s="1" t="s">
        <v>1093</v>
      </c>
      <c r="C6" s="1" t="s">
        <v>4079</v>
      </c>
      <c r="D6" s="23">
        <v>25000000</v>
      </c>
      <c r="E6" s="1" t="s">
        <v>4077</v>
      </c>
      <c r="F6" s="1" t="s">
        <v>557</v>
      </c>
      <c r="G6" s="1" t="s">
        <v>4076</v>
      </c>
    </row>
    <row r="7" spans="1:7" ht="24" customHeight="1" x14ac:dyDescent="0.35">
      <c r="A7" s="5" t="s">
        <v>1105</v>
      </c>
      <c r="B7" s="5" t="s">
        <v>1106</v>
      </c>
      <c r="C7" s="5" t="s">
        <v>4080</v>
      </c>
      <c r="D7" s="22">
        <v>12000000</v>
      </c>
      <c r="E7" s="5" t="s">
        <v>4075</v>
      </c>
      <c r="F7" s="5" t="s">
        <v>557</v>
      </c>
      <c r="G7" s="5" t="s">
        <v>4076</v>
      </c>
    </row>
    <row r="8" spans="1:7" ht="24" customHeight="1" x14ac:dyDescent="0.35">
      <c r="A8" s="1" t="s">
        <v>1120</v>
      </c>
      <c r="B8" s="1" t="s">
        <v>1121</v>
      </c>
      <c r="C8" s="1" t="s">
        <v>4074</v>
      </c>
      <c r="D8" s="23">
        <v>3000000</v>
      </c>
      <c r="E8" s="1" t="s">
        <v>4077</v>
      </c>
      <c r="F8" s="1" t="s">
        <v>557</v>
      </c>
      <c r="G8" s="1" t="s">
        <v>4076</v>
      </c>
    </row>
    <row r="9" spans="1:7" ht="24" customHeight="1" x14ac:dyDescent="0.35">
      <c r="A9" s="5" t="s">
        <v>1201</v>
      </c>
      <c r="B9" s="5" t="s">
        <v>1202</v>
      </c>
      <c r="C9" s="5" t="s">
        <v>4074</v>
      </c>
      <c r="D9" s="22">
        <v>500000</v>
      </c>
      <c r="E9" s="5" t="s">
        <v>4077</v>
      </c>
      <c r="F9" s="5" t="s">
        <v>557</v>
      </c>
      <c r="G9" s="5" t="s">
        <v>4076</v>
      </c>
    </row>
    <row r="10" spans="1:7" ht="24" customHeight="1" x14ac:dyDescent="0.35">
      <c r="A10" s="1" t="s">
        <v>1211</v>
      </c>
      <c r="B10" s="1" t="s">
        <v>1212</v>
      </c>
      <c r="C10" s="1" t="s">
        <v>4078</v>
      </c>
      <c r="D10" s="23">
        <v>7000000</v>
      </c>
      <c r="E10" s="1" t="s">
        <v>4077</v>
      </c>
      <c r="F10" s="1" t="s">
        <v>557</v>
      </c>
      <c r="G10" s="1" t="s">
        <v>4076</v>
      </c>
    </row>
    <row r="11" spans="1:7" ht="24" customHeight="1" x14ac:dyDescent="0.35">
      <c r="A11" s="5" t="s">
        <v>1211</v>
      </c>
      <c r="B11" s="5" t="s">
        <v>1212</v>
      </c>
      <c r="C11" s="5" t="s">
        <v>4079</v>
      </c>
      <c r="D11" s="22">
        <v>8500000</v>
      </c>
      <c r="E11" s="5" t="s">
        <v>4077</v>
      </c>
      <c r="F11" s="5" t="s">
        <v>557</v>
      </c>
      <c r="G11" s="5" t="s">
        <v>4076</v>
      </c>
    </row>
    <row r="12" spans="1:7" ht="24" customHeight="1" x14ac:dyDescent="0.35">
      <c r="A12" s="1" t="s">
        <v>1243</v>
      </c>
      <c r="B12" s="1" t="s">
        <v>1244</v>
      </c>
      <c r="C12" s="1" t="s">
        <v>4078</v>
      </c>
      <c r="D12" s="23">
        <v>18000000</v>
      </c>
      <c r="E12" s="1" t="s">
        <v>4077</v>
      </c>
      <c r="F12" s="1" t="s">
        <v>557</v>
      </c>
      <c r="G12" s="1" t="s">
        <v>4076</v>
      </c>
    </row>
    <row r="13" spans="1:7" ht="24" customHeight="1" x14ac:dyDescent="0.35">
      <c r="A13" s="5" t="s">
        <v>1345</v>
      </c>
      <c r="B13" s="5" t="s">
        <v>1346</v>
      </c>
      <c r="C13" s="5" t="s">
        <v>4078</v>
      </c>
      <c r="D13" s="22">
        <v>3000000</v>
      </c>
      <c r="E13" s="5" t="s">
        <v>4077</v>
      </c>
      <c r="F13" s="5" t="s">
        <v>557</v>
      </c>
      <c r="G13" s="5" t="s">
        <v>4076</v>
      </c>
    </row>
    <row r="14" spans="1:7" ht="24" customHeight="1" x14ac:dyDescent="0.35">
      <c r="A14" s="1" t="s">
        <v>1345</v>
      </c>
      <c r="B14" s="1" t="s">
        <v>1346</v>
      </c>
      <c r="C14" s="1" t="s">
        <v>4079</v>
      </c>
      <c r="D14" s="23">
        <v>10000000</v>
      </c>
      <c r="E14" s="1" t="s">
        <v>4077</v>
      </c>
      <c r="F14" s="1" t="s">
        <v>557</v>
      </c>
      <c r="G14" s="1" t="s">
        <v>4076</v>
      </c>
    </row>
    <row r="15" spans="1:7" ht="24" customHeight="1" x14ac:dyDescent="0.35">
      <c r="A15" s="5" t="s">
        <v>1365</v>
      </c>
      <c r="B15" s="5" t="s">
        <v>1366</v>
      </c>
      <c r="C15" s="5" t="s">
        <v>4078</v>
      </c>
      <c r="D15" s="22">
        <v>7500000</v>
      </c>
      <c r="E15" s="5" t="s">
        <v>4075</v>
      </c>
      <c r="F15" s="5" t="s">
        <v>557</v>
      </c>
      <c r="G15" s="5" t="s">
        <v>4076</v>
      </c>
    </row>
    <row r="16" spans="1:7" ht="24" customHeight="1" x14ac:dyDescent="0.35">
      <c r="A16" s="1" t="s">
        <v>1365</v>
      </c>
      <c r="B16" s="1" t="s">
        <v>1366</v>
      </c>
      <c r="C16" s="1" t="s">
        <v>4074</v>
      </c>
      <c r="D16" s="23">
        <v>2000000</v>
      </c>
      <c r="E16" s="1" t="s">
        <v>4075</v>
      </c>
      <c r="F16" s="1" t="s">
        <v>557</v>
      </c>
      <c r="G16" s="1" t="s">
        <v>4076</v>
      </c>
    </row>
    <row r="17" spans="1:7" ht="24" customHeight="1" x14ac:dyDescent="0.35">
      <c r="A17" s="5" t="s">
        <v>1665</v>
      </c>
      <c r="B17" s="5" t="s">
        <v>1666</v>
      </c>
      <c r="C17" s="5" t="s">
        <v>4078</v>
      </c>
      <c r="D17" s="22">
        <v>2000000</v>
      </c>
      <c r="E17" s="5" t="s">
        <v>4077</v>
      </c>
      <c r="F17" s="5" t="s">
        <v>557</v>
      </c>
      <c r="G17" s="5" t="s">
        <v>4076</v>
      </c>
    </row>
    <row r="18" spans="1:7" ht="24" customHeight="1" x14ac:dyDescent="0.35">
      <c r="A18" s="1" t="s">
        <v>1665</v>
      </c>
      <c r="B18" s="1" t="s">
        <v>1666</v>
      </c>
      <c r="C18" s="1" t="s">
        <v>4074</v>
      </c>
      <c r="D18" s="23">
        <v>6000000</v>
      </c>
      <c r="E18" s="1" t="s">
        <v>4077</v>
      </c>
      <c r="F18" s="1" t="s">
        <v>557</v>
      </c>
      <c r="G18" s="1" t="s">
        <v>4076</v>
      </c>
    </row>
    <row r="19" spans="1:7" ht="24" customHeight="1" x14ac:dyDescent="0.35">
      <c r="A19" s="5" t="s">
        <v>1675</v>
      </c>
      <c r="B19" s="5" t="s">
        <v>367</v>
      </c>
      <c r="C19" s="5" t="s">
        <v>4078</v>
      </c>
      <c r="D19" s="22">
        <v>50000000</v>
      </c>
      <c r="E19" s="5" t="s">
        <v>4075</v>
      </c>
      <c r="F19" s="5" t="s">
        <v>557</v>
      </c>
      <c r="G19" s="5" t="s">
        <v>4076</v>
      </c>
    </row>
    <row r="20" spans="1:7" ht="24" customHeight="1" x14ac:dyDescent="0.35">
      <c r="A20" s="1" t="s">
        <v>1675</v>
      </c>
      <c r="B20" s="1" t="s">
        <v>367</v>
      </c>
      <c r="C20" s="1" t="s">
        <v>4074</v>
      </c>
      <c r="D20" s="23">
        <v>10000000</v>
      </c>
      <c r="E20" s="1" t="s">
        <v>4075</v>
      </c>
      <c r="F20" s="1" t="s">
        <v>557</v>
      </c>
      <c r="G20" s="1" t="s">
        <v>4076</v>
      </c>
    </row>
    <row r="21" spans="1:7" ht="24" customHeight="1" x14ac:dyDescent="0.35">
      <c r="A21" s="5" t="s">
        <v>1728</v>
      </c>
      <c r="B21" s="5" t="s">
        <v>1729</v>
      </c>
      <c r="C21" s="5" t="s">
        <v>4078</v>
      </c>
      <c r="D21" s="22">
        <v>26000000</v>
      </c>
      <c r="E21" s="5" t="s">
        <v>4075</v>
      </c>
      <c r="F21" s="5" t="s">
        <v>557</v>
      </c>
      <c r="G21" s="5" t="s">
        <v>4076</v>
      </c>
    </row>
    <row r="22" spans="1:7" ht="24" customHeight="1" x14ac:dyDescent="0.35">
      <c r="A22" s="1" t="s">
        <v>1808</v>
      </c>
      <c r="B22" s="1" t="s">
        <v>1809</v>
      </c>
      <c r="C22" s="1" t="s">
        <v>4078</v>
      </c>
      <c r="D22" s="23">
        <v>10000000</v>
      </c>
      <c r="E22" s="1" t="s">
        <v>4077</v>
      </c>
      <c r="F22" s="1" t="s">
        <v>557</v>
      </c>
      <c r="G22" s="1" t="s">
        <v>4076</v>
      </c>
    </row>
    <row r="23" spans="1:7" ht="24" customHeight="1" x14ac:dyDescent="0.35">
      <c r="A23" s="5" t="s">
        <v>1808</v>
      </c>
      <c r="B23" s="5" t="s">
        <v>1809</v>
      </c>
      <c r="C23" s="5" t="s">
        <v>4074</v>
      </c>
      <c r="D23" s="22">
        <v>10000000</v>
      </c>
      <c r="E23" s="5" t="s">
        <v>4077</v>
      </c>
      <c r="F23" s="5" t="s">
        <v>557</v>
      </c>
      <c r="G23" s="5" t="s">
        <v>4076</v>
      </c>
    </row>
    <row r="24" spans="1:7" ht="24" customHeight="1" x14ac:dyDescent="0.35">
      <c r="A24" s="1" t="s">
        <v>1935</v>
      </c>
      <c r="B24" s="1" t="s">
        <v>1936</v>
      </c>
      <c r="C24" s="1" t="s">
        <v>4074</v>
      </c>
      <c r="D24" s="23">
        <v>5500000</v>
      </c>
      <c r="E24" s="1" t="s">
        <v>4077</v>
      </c>
      <c r="F24" s="1" t="s">
        <v>557</v>
      </c>
      <c r="G24" s="1" t="s">
        <v>4076</v>
      </c>
    </row>
    <row r="25" spans="1:7" ht="24" customHeight="1" x14ac:dyDescent="0.35">
      <c r="A25" s="5" t="s">
        <v>2071</v>
      </c>
      <c r="B25" s="5" t="s">
        <v>2072</v>
      </c>
      <c r="C25" s="5" t="s">
        <v>2349</v>
      </c>
      <c r="D25" s="22">
        <v>3000000</v>
      </c>
      <c r="E25" s="5" t="s">
        <v>4077</v>
      </c>
      <c r="F25" s="5" t="s">
        <v>557</v>
      </c>
      <c r="G25" s="5" t="s">
        <v>4076</v>
      </c>
    </row>
    <row r="26" spans="1:7" ht="24" customHeight="1" x14ac:dyDescent="0.35">
      <c r="A26" s="1" t="s">
        <v>2192</v>
      </c>
      <c r="B26" s="1" t="s">
        <v>2193</v>
      </c>
      <c r="C26" s="1" t="s">
        <v>2349</v>
      </c>
      <c r="D26" s="23">
        <v>1000000</v>
      </c>
      <c r="E26" s="1" t="s">
        <v>4075</v>
      </c>
      <c r="F26" s="1" t="s">
        <v>557</v>
      </c>
      <c r="G26" s="1" t="s">
        <v>4076</v>
      </c>
    </row>
    <row r="27" spans="1:7" ht="24" customHeight="1" x14ac:dyDescent="0.35">
      <c r="A27" s="5" t="s">
        <v>2192</v>
      </c>
      <c r="B27" s="5" t="s">
        <v>2193</v>
      </c>
      <c r="C27" s="5" t="s">
        <v>4081</v>
      </c>
      <c r="D27" s="22">
        <v>19000000</v>
      </c>
      <c r="E27" s="5" t="s">
        <v>4075</v>
      </c>
      <c r="F27" s="5" t="s">
        <v>557</v>
      </c>
      <c r="G27" s="5" t="s">
        <v>4076</v>
      </c>
    </row>
    <row r="28" spans="1:7" ht="24" customHeight="1" x14ac:dyDescent="0.35">
      <c r="A28" s="1" t="s">
        <v>2227</v>
      </c>
      <c r="B28" s="1" t="s">
        <v>2228</v>
      </c>
      <c r="C28" s="1" t="s">
        <v>2349</v>
      </c>
      <c r="D28" s="23">
        <v>3000000</v>
      </c>
      <c r="E28" s="1" t="s">
        <v>4075</v>
      </c>
      <c r="F28" s="1" t="s">
        <v>557</v>
      </c>
      <c r="G28" s="1" t="s">
        <v>4076</v>
      </c>
    </row>
    <row r="29" spans="1:7" ht="24" customHeight="1" x14ac:dyDescent="0.35">
      <c r="A29" s="5" t="s">
        <v>2227</v>
      </c>
      <c r="B29" s="5" t="s">
        <v>2228</v>
      </c>
      <c r="C29" s="5" t="s">
        <v>4081</v>
      </c>
      <c r="D29" s="22">
        <v>18000000</v>
      </c>
      <c r="E29" s="5" t="s">
        <v>4075</v>
      </c>
      <c r="F29" s="5" t="s">
        <v>557</v>
      </c>
      <c r="G29" s="5" t="s">
        <v>4076</v>
      </c>
    </row>
    <row r="30" spans="1:7" ht="24" customHeight="1" x14ac:dyDescent="0.35">
      <c r="A30" s="1" t="s">
        <v>2241</v>
      </c>
      <c r="B30" s="1" t="s">
        <v>2242</v>
      </c>
      <c r="C30" s="1" t="s">
        <v>4082</v>
      </c>
      <c r="D30" s="23">
        <v>10500000</v>
      </c>
      <c r="E30" s="1" t="s">
        <v>4075</v>
      </c>
      <c r="F30" s="1" t="s">
        <v>557</v>
      </c>
      <c r="G30" s="1" t="s">
        <v>4076</v>
      </c>
    </row>
    <row r="31" spans="1:7" ht="24" customHeight="1" x14ac:dyDescent="0.35">
      <c r="A31" s="5" t="s">
        <v>2272</v>
      </c>
      <c r="B31" s="5" t="s">
        <v>2273</v>
      </c>
      <c r="C31" s="5" t="s">
        <v>4078</v>
      </c>
      <c r="D31" s="22">
        <v>21400000</v>
      </c>
      <c r="E31" s="5" t="s">
        <v>4077</v>
      </c>
      <c r="F31" s="5" t="s">
        <v>557</v>
      </c>
      <c r="G31" s="5" t="s">
        <v>4076</v>
      </c>
    </row>
    <row r="32" spans="1:7" ht="24" customHeight="1" x14ac:dyDescent="0.35">
      <c r="A32" s="1" t="s">
        <v>2272</v>
      </c>
      <c r="B32" s="1" t="s">
        <v>2273</v>
      </c>
      <c r="C32" s="1" t="s">
        <v>4074</v>
      </c>
      <c r="D32" s="23">
        <v>4300000</v>
      </c>
      <c r="E32" s="1" t="s">
        <v>4077</v>
      </c>
      <c r="F32" s="1" t="s">
        <v>557</v>
      </c>
      <c r="G32" s="1" t="s">
        <v>4076</v>
      </c>
    </row>
    <row r="33" spans="1:7" ht="24" customHeight="1" x14ac:dyDescent="0.35">
      <c r="A33" s="5" t="s">
        <v>2274</v>
      </c>
      <c r="B33" s="5" t="s">
        <v>2275</v>
      </c>
      <c r="C33" s="5" t="s">
        <v>4080</v>
      </c>
      <c r="D33" s="22">
        <v>2700000</v>
      </c>
      <c r="E33" s="5" t="s">
        <v>4077</v>
      </c>
      <c r="F33" s="5" t="s">
        <v>557</v>
      </c>
      <c r="G33" s="5" t="s">
        <v>4076</v>
      </c>
    </row>
    <row r="34" spans="1:7" ht="24" customHeight="1" x14ac:dyDescent="0.35">
      <c r="A34" s="1" t="s">
        <v>2317</v>
      </c>
      <c r="B34" s="1" t="s">
        <v>145</v>
      </c>
      <c r="C34" s="1" t="s">
        <v>4078</v>
      </c>
      <c r="D34" s="23">
        <v>38000000</v>
      </c>
      <c r="E34" s="1" t="s">
        <v>4075</v>
      </c>
      <c r="F34" s="1" t="s">
        <v>557</v>
      </c>
      <c r="G34" s="1" t="s">
        <v>4076</v>
      </c>
    </row>
    <row r="35" spans="1:7" ht="24" customHeight="1" x14ac:dyDescent="0.35">
      <c r="A35" s="5" t="s">
        <v>2317</v>
      </c>
      <c r="B35" s="5" t="s">
        <v>145</v>
      </c>
      <c r="C35" s="5" t="s">
        <v>4079</v>
      </c>
      <c r="D35" s="22">
        <v>50000000</v>
      </c>
      <c r="E35" s="5" t="s">
        <v>4075</v>
      </c>
      <c r="F35" s="5" t="s">
        <v>557</v>
      </c>
      <c r="G35" s="5" t="s">
        <v>4076</v>
      </c>
    </row>
    <row r="36" spans="1:7" ht="24" customHeight="1" x14ac:dyDescent="0.35">
      <c r="A36" s="1" t="s">
        <v>2346</v>
      </c>
      <c r="B36" s="1" t="s">
        <v>2347</v>
      </c>
      <c r="C36" s="1" t="s">
        <v>2349</v>
      </c>
      <c r="D36" s="23">
        <v>428000</v>
      </c>
      <c r="E36" s="1" t="s">
        <v>4077</v>
      </c>
      <c r="F36" s="1" t="s">
        <v>557</v>
      </c>
      <c r="G36" s="1" t="s">
        <v>4083</v>
      </c>
    </row>
    <row r="37" spans="1:7" ht="24" customHeight="1" x14ac:dyDescent="0.35">
      <c r="A37" s="5" t="s">
        <v>2367</v>
      </c>
      <c r="B37" s="5" t="s">
        <v>2368</v>
      </c>
      <c r="C37" s="5" t="s">
        <v>4080</v>
      </c>
      <c r="D37" s="22">
        <v>19300000</v>
      </c>
      <c r="E37" s="5" t="s">
        <v>4077</v>
      </c>
      <c r="F37" s="5" t="s">
        <v>557</v>
      </c>
      <c r="G37" s="5" t="s">
        <v>4076</v>
      </c>
    </row>
    <row r="38" spans="1:7" ht="24" customHeight="1" x14ac:dyDescent="0.35">
      <c r="A38" s="1" t="s">
        <v>2505</v>
      </c>
      <c r="B38" s="1" t="s">
        <v>2506</v>
      </c>
      <c r="C38" s="1" t="s">
        <v>4079</v>
      </c>
      <c r="D38" s="23">
        <v>1300000</v>
      </c>
      <c r="E38" s="1" t="s">
        <v>4075</v>
      </c>
      <c r="F38" s="1" t="s">
        <v>557</v>
      </c>
      <c r="G38" s="1" t="s">
        <v>4076</v>
      </c>
    </row>
    <row r="39" spans="1:7" ht="24" customHeight="1" x14ac:dyDescent="0.35">
      <c r="A39" s="5" t="s">
        <v>2530</v>
      </c>
      <c r="B39" s="5" t="s">
        <v>2531</v>
      </c>
      <c r="C39" s="5" t="s">
        <v>4078</v>
      </c>
      <c r="D39" s="22">
        <v>4000000</v>
      </c>
      <c r="E39" s="5" t="s">
        <v>4077</v>
      </c>
      <c r="F39" s="5" t="s">
        <v>557</v>
      </c>
      <c r="G39" s="5" t="s">
        <v>4076</v>
      </c>
    </row>
    <row r="40" spans="1:7" ht="24" customHeight="1" x14ac:dyDescent="0.35">
      <c r="A40" s="1" t="s">
        <v>2530</v>
      </c>
      <c r="B40" s="1" t="s">
        <v>2531</v>
      </c>
      <c r="C40" s="1" t="s">
        <v>4074</v>
      </c>
      <c r="D40" s="23">
        <v>4000000</v>
      </c>
      <c r="E40" s="1" t="s">
        <v>4077</v>
      </c>
      <c r="F40" s="1" t="s">
        <v>557</v>
      </c>
      <c r="G40" s="1" t="s">
        <v>4076</v>
      </c>
    </row>
    <row r="41" spans="1:7" ht="24" customHeight="1" x14ac:dyDescent="0.35">
      <c r="A41" s="5" t="s">
        <v>2533</v>
      </c>
      <c r="B41" s="5" t="s">
        <v>1346</v>
      </c>
      <c r="C41" s="5" t="s">
        <v>4078</v>
      </c>
      <c r="D41" s="22">
        <v>3000000</v>
      </c>
      <c r="E41" s="5" t="s">
        <v>4077</v>
      </c>
      <c r="F41" s="5" t="s">
        <v>557</v>
      </c>
      <c r="G41" s="5" t="s">
        <v>4076</v>
      </c>
    </row>
    <row r="42" spans="1:7" ht="24" customHeight="1" x14ac:dyDescent="0.35">
      <c r="A42" s="1" t="s">
        <v>2533</v>
      </c>
      <c r="B42" s="1" t="s">
        <v>1346</v>
      </c>
      <c r="C42" s="1" t="s">
        <v>4079</v>
      </c>
      <c r="D42" s="23">
        <v>10000000</v>
      </c>
      <c r="E42" s="1" t="s">
        <v>4077</v>
      </c>
      <c r="F42" s="1" t="s">
        <v>557</v>
      </c>
      <c r="G42" s="1" t="s">
        <v>4076</v>
      </c>
    </row>
    <row r="43" spans="1:7" ht="24" customHeight="1" x14ac:dyDescent="0.35">
      <c r="A43" s="5" t="s">
        <v>2770</v>
      </c>
      <c r="B43" s="5" t="s">
        <v>2771</v>
      </c>
      <c r="C43" s="5" t="s">
        <v>4084</v>
      </c>
      <c r="D43" s="22">
        <v>1300000</v>
      </c>
      <c r="E43" s="5" t="s">
        <v>4077</v>
      </c>
      <c r="F43" s="5" t="s">
        <v>557</v>
      </c>
      <c r="G43" s="5" t="s">
        <v>4076</v>
      </c>
    </row>
    <row r="44" spans="1:7" ht="24" customHeight="1" x14ac:dyDescent="0.35">
      <c r="A44" s="1" t="s">
        <v>2772</v>
      </c>
      <c r="B44" s="1" t="s">
        <v>2773</v>
      </c>
      <c r="C44" s="1" t="s">
        <v>4080</v>
      </c>
      <c r="D44" s="23">
        <v>15400000</v>
      </c>
      <c r="E44" s="1" t="s">
        <v>4077</v>
      </c>
      <c r="F44" s="1" t="s">
        <v>557</v>
      </c>
      <c r="G44" s="1" t="s">
        <v>4076</v>
      </c>
    </row>
    <row r="45" spans="1:7" ht="24" customHeight="1" x14ac:dyDescent="0.35">
      <c r="A45" s="5" t="s">
        <v>2776</v>
      </c>
      <c r="B45" s="5" t="s">
        <v>2777</v>
      </c>
      <c r="C45" s="5" t="s">
        <v>4080</v>
      </c>
      <c r="D45" s="22">
        <v>18800000</v>
      </c>
      <c r="E45" s="5" t="s">
        <v>4077</v>
      </c>
      <c r="F45" s="5" t="s">
        <v>557</v>
      </c>
      <c r="G45" s="5" t="s">
        <v>4076</v>
      </c>
    </row>
    <row r="46" spans="1:7" ht="24" customHeight="1" x14ac:dyDescent="0.35">
      <c r="A46" s="1" t="s">
        <v>3987</v>
      </c>
      <c r="B46" s="1" t="s">
        <v>181</v>
      </c>
      <c r="C46" s="1" t="s">
        <v>4078</v>
      </c>
      <c r="D46" s="23">
        <v>60000000</v>
      </c>
      <c r="E46" s="1" t="s">
        <v>4075</v>
      </c>
      <c r="F46" s="1" t="s">
        <v>557</v>
      </c>
      <c r="G46" s="1" t="s">
        <v>4076</v>
      </c>
    </row>
    <row r="47" spans="1:7" ht="24" customHeight="1" x14ac:dyDescent="0.35">
      <c r="A47" s="5" t="s">
        <v>3987</v>
      </c>
      <c r="B47" s="5" t="s">
        <v>181</v>
      </c>
      <c r="C47" s="5" t="s">
        <v>4074</v>
      </c>
      <c r="D47" s="22">
        <v>15000000</v>
      </c>
      <c r="E47" s="5" t="s">
        <v>4075</v>
      </c>
      <c r="F47" s="5" t="s">
        <v>557</v>
      </c>
      <c r="G47" s="5" t="s">
        <v>4076</v>
      </c>
    </row>
    <row r="48" spans="1:7" ht="24" customHeight="1" x14ac:dyDescent="0.35">
      <c r="A48" s="1" t="s">
        <v>2961</v>
      </c>
      <c r="B48" s="1" t="s">
        <v>2962</v>
      </c>
      <c r="C48" s="1" t="s">
        <v>4080</v>
      </c>
      <c r="D48" s="23">
        <v>22000000</v>
      </c>
      <c r="E48" s="1" t="s">
        <v>4077</v>
      </c>
      <c r="F48" s="1" t="s">
        <v>557</v>
      </c>
      <c r="G48" s="1" t="s">
        <v>4076</v>
      </c>
    </row>
    <row r="49" spans="1:7" ht="24" customHeight="1" x14ac:dyDescent="0.35">
      <c r="A49" s="5" t="s">
        <v>2984</v>
      </c>
      <c r="B49" s="5" t="s">
        <v>2985</v>
      </c>
      <c r="C49" s="5" t="s">
        <v>4078</v>
      </c>
      <c r="D49" s="22">
        <v>25000000</v>
      </c>
      <c r="E49" s="5" t="s">
        <v>4075</v>
      </c>
      <c r="F49" s="5" t="s">
        <v>557</v>
      </c>
      <c r="G49" s="5" t="s">
        <v>4076</v>
      </c>
    </row>
    <row r="50" spans="1:7" ht="24" customHeight="1" x14ac:dyDescent="0.35">
      <c r="A50" s="1" t="s">
        <v>2990</v>
      </c>
      <c r="B50" s="1" t="s">
        <v>2991</v>
      </c>
      <c r="C50" s="1" t="s">
        <v>4078</v>
      </c>
      <c r="D50" s="23">
        <v>7500000</v>
      </c>
      <c r="E50" s="1" t="s">
        <v>4075</v>
      </c>
      <c r="F50" s="1" t="s">
        <v>557</v>
      </c>
      <c r="G50" s="1" t="s">
        <v>4076</v>
      </c>
    </row>
    <row r="51" spans="1:7" ht="24" customHeight="1" x14ac:dyDescent="0.35">
      <c r="A51" s="5" t="s">
        <v>3015</v>
      </c>
      <c r="B51" s="5" t="s">
        <v>282</v>
      </c>
      <c r="C51" s="5" t="s">
        <v>4080</v>
      </c>
      <c r="D51" s="22">
        <v>25000000</v>
      </c>
      <c r="E51" s="5" t="s">
        <v>4077</v>
      </c>
      <c r="F51" s="5" t="s">
        <v>557</v>
      </c>
      <c r="G51" s="5" t="s">
        <v>4076</v>
      </c>
    </row>
    <row r="52" spans="1:7" ht="24" customHeight="1" x14ac:dyDescent="0.35">
      <c r="A52" s="1" t="s">
        <v>3988</v>
      </c>
      <c r="B52" s="1" t="s">
        <v>265</v>
      </c>
      <c r="C52" s="1" t="s">
        <v>4078</v>
      </c>
      <c r="D52" s="23">
        <v>51000000</v>
      </c>
      <c r="E52" s="1" t="s">
        <v>4077</v>
      </c>
      <c r="F52" s="1" t="s">
        <v>557</v>
      </c>
      <c r="G52" s="1" t="s">
        <v>4076</v>
      </c>
    </row>
    <row r="53" spans="1:7" ht="24" customHeight="1" x14ac:dyDescent="0.35">
      <c r="A53" s="5" t="s">
        <v>3988</v>
      </c>
      <c r="B53" s="5" t="s">
        <v>265</v>
      </c>
      <c r="C53" s="5" t="s">
        <v>4074</v>
      </c>
      <c r="D53" s="22">
        <v>4000000</v>
      </c>
      <c r="E53" s="5" t="s">
        <v>4077</v>
      </c>
      <c r="F53" s="5" t="s">
        <v>557</v>
      </c>
      <c r="G53" s="5" t="s">
        <v>4076</v>
      </c>
    </row>
    <row r="54" spans="1:7" ht="24" customHeight="1" x14ac:dyDescent="0.35">
      <c r="A54" s="1" t="s">
        <v>3042</v>
      </c>
      <c r="B54" s="1" t="s">
        <v>3043</v>
      </c>
      <c r="C54" s="1" t="s">
        <v>2349</v>
      </c>
      <c r="D54" s="23">
        <v>3000000</v>
      </c>
      <c r="E54" s="1" t="s">
        <v>4075</v>
      </c>
      <c r="F54" s="1" t="s">
        <v>557</v>
      </c>
      <c r="G54" s="1" t="s">
        <v>4076</v>
      </c>
    </row>
    <row r="55" spans="1:7" ht="24" customHeight="1" x14ac:dyDescent="0.35">
      <c r="A55" s="5" t="s">
        <v>3042</v>
      </c>
      <c r="B55" s="5" t="s">
        <v>3043</v>
      </c>
      <c r="C55" s="5" t="s">
        <v>4081</v>
      </c>
      <c r="D55" s="22">
        <v>23000000</v>
      </c>
      <c r="E55" s="5" t="s">
        <v>4075</v>
      </c>
      <c r="F55" s="5" t="s">
        <v>557</v>
      </c>
      <c r="G55" s="5" t="s">
        <v>4076</v>
      </c>
    </row>
    <row r="56" spans="1:7" ht="24" customHeight="1" x14ac:dyDescent="0.35">
      <c r="A56" s="1" t="s">
        <v>3149</v>
      </c>
      <c r="B56" s="1" t="s">
        <v>3150</v>
      </c>
      <c r="C56" s="1" t="s">
        <v>2349</v>
      </c>
      <c r="D56" s="23">
        <v>1100000</v>
      </c>
      <c r="E56" s="1" t="s">
        <v>4077</v>
      </c>
      <c r="F56" s="1" t="s">
        <v>557</v>
      </c>
      <c r="G56" s="1" t="s">
        <v>4076</v>
      </c>
    </row>
    <row r="57" spans="1:7" ht="24" customHeight="1" x14ac:dyDescent="0.35">
      <c r="A57" s="5" t="s">
        <v>3149</v>
      </c>
      <c r="B57" s="5" t="s">
        <v>3150</v>
      </c>
      <c r="C57" s="5" t="s">
        <v>4081</v>
      </c>
      <c r="D57" s="22">
        <v>10800000</v>
      </c>
      <c r="E57" s="5" t="s">
        <v>4077</v>
      </c>
      <c r="F57" s="5" t="s">
        <v>557</v>
      </c>
      <c r="G57" s="5" t="s">
        <v>4076</v>
      </c>
    </row>
    <row r="58" spans="1:7" ht="24" customHeight="1" x14ac:dyDescent="0.35">
      <c r="A58" s="1" t="s">
        <v>3204</v>
      </c>
      <c r="B58" s="1" t="s">
        <v>3205</v>
      </c>
      <c r="C58" s="1" t="s">
        <v>4080</v>
      </c>
      <c r="D58" s="23">
        <v>8000000</v>
      </c>
      <c r="E58" s="1" t="s">
        <v>4075</v>
      </c>
      <c r="F58" s="1" t="s">
        <v>557</v>
      </c>
      <c r="G58" s="1" t="s">
        <v>4076</v>
      </c>
    </row>
    <row r="59" spans="1:7" ht="24" customHeight="1" x14ac:dyDescent="0.35">
      <c r="A59" s="5" t="s">
        <v>3206</v>
      </c>
      <c r="B59" s="5" t="s">
        <v>187</v>
      </c>
      <c r="C59" s="5" t="s">
        <v>4080</v>
      </c>
      <c r="D59" s="22">
        <v>60000000</v>
      </c>
      <c r="E59" s="5" t="s">
        <v>4077</v>
      </c>
      <c r="F59" s="5" t="s">
        <v>557</v>
      </c>
      <c r="G59" s="5" t="s">
        <v>4076</v>
      </c>
    </row>
    <row r="60" spans="1:7" ht="24" customHeight="1" x14ac:dyDescent="0.35">
      <c r="A60" s="1" t="s">
        <v>3219</v>
      </c>
      <c r="B60" s="1" t="s">
        <v>3220</v>
      </c>
      <c r="C60" s="1" t="s">
        <v>4080</v>
      </c>
      <c r="D60" s="23">
        <v>12500000</v>
      </c>
      <c r="E60" s="1" t="s">
        <v>4075</v>
      </c>
      <c r="F60" s="1" t="s">
        <v>557</v>
      </c>
      <c r="G60" s="1" t="s">
        <v>4076</v>
      </c>
    </row>
    <row r="61" spans="1:7" ht="24" customHeight="1" x14ac:dyDescent="0.35">
      <c r="A61" s="5" t="s">
        <v>3237</v>
      </c>
      <c r="B61" s="5" t="s">
        <v>3238</v>
      </c>
      <c r="C61" s="5" t="s">
        <v>2349</v>
      </c>
      <c r="D61" s="22">
        <v>2100000</v>
      </c>
      <c r="E61" s="5" t="s">
        <v>4075</v>
      </c>
      <c r="F61" s="5" t="s">
        <v>557</v>
      </c>
      <c r="G61" s="5" t="s">
        <v>4076</v>
      </c>
    </row>
    <row r="62" spans="1:7" ht="24" customHeight="1" x14ac:dyDescent="0.35">
      <c r="A62" s="1" t="s">
        <v>3237</v>
      </c>
      <c r="B62" s="1" t="s">
        <v>3238</v>
      </c>
      <c r="C62" s="1" t="s">
        <v>4081</v>
      </c>
      <c r="D62" s="23">
        <v>13000000</v>
      </c>
      <c r="E62" s="1" t="s">
        <v>4075</v>
      </c>
      <c r="F62" s="1" t="s">
        <v>557</v>
      </c>
      <c r="G62" s="1" t="s">
        <v>4076</v>
      </c>
    </row>
    <row r="63" spans="1:7" ht="24" customHeight="1" x14ac:dyDescent="0.35">
      <c r="A63" s="5" t="s">
        <v>3567</v>
      </c>
      <c r="B63" s="5" t="s">
        <v>3568</v>
      </c>
      <c r="C63" s="5" t="s">
        <v>4078</v>
      </c>
      <c r="D63" s="22">
        <v>18000000</v>
      </c>
      <c r="E63" s="5" t="s">
        <v>4075</v>
      </c>
      <c r="F63" s="5" t="s">
        <v>557</v>
      </c>
      <c r="G63" s="5" t="s">
        <v>4076</v>
      </c>
    </row>
    <row r="64" spans="1:7" ht="24" customHeight="1" x14ac:dyDescent="0.35">
      <c r="A64" s="1" t="s">
        <v>3584</v>
      </c>
      <c r="B64" s="1" t="s">
        <v>3585</v>
      </c>
      <c r="C64" s="1" t="s">
        <v>4080</v>
      </c>
      <c r="D64" s="23">
        <v>30000000</v>
      </c>
      <c r="E64" s="1" t="s">
        <v>4075</v>
      </c>
      <c r="F64" s="1" t="s">
        <v>557</v>
      </c>
      <c r="G64" s="1" t="s">
        <v>4076</v>
      </c>
    </row>
    <row r="65" spans="1:7" ht="24" customHeight="1" x14ac:dyDescent="0.35">
      <c r="A65" s="5" t="s">
        <v>3584</v>
      </c>
      <c r="B65" s="5" t="s">
        <v>3585</v>
      </c>
      <c r="C65" s="5" t="s">
        <v>4085</v>
      </c>
      <c r="D65" s="22">
        <v>10000000</v>
      </c>
      <c r="E65" s="5" t="s">
        <v>4075</v>
      </c>
      <c r="F65" s="5" t="s">
        <v>557</v>
      </c>
      <c r="G65" s="5" t="s">
        <v>4076</v>
      </c>
    </row>
    <row r="66" spans="1:7" ht="24" customHeight="1" x14ac:dyDescent="0.35">
      <c r="A66" s="1" t="s">
        <v>3993</v>
      </c>
      <c r="B66" s="1" t="s">
        <v>194</v>
      </c>
      <c r="C66" s="1" t="s">
        <v>4086</v>
      </c>
      <c r="D66" s="23">
        <v>5000000</v>
      </c>
      <c r="E66" s="1" t="s">
        <v>4077</v>
      </c>
      <c r="F66" s="1" t="s">
        <v>557</v>
      </c>
      <c r="G66" s="1" t="s">
        <v>4076</v>
      </c>
    </row>
    <row r="67" spans="1:7" ht="24" customHeight="1" x14ac:dyDescent="0.35">
      <c r="A67" s="5" t="s">
        <v>3135</v>
      </c>
      <c r="B67" s="5" t="s">
        <v>3136</v>
      </c>
      <c r="C67" s="5" t="s">
        <v>4078</v>
      </c>
      <c r="D67" s="22">
        <v>75000000</v>
      </c>
      <c r="E67" s="5" t="s">
        <v>4077</v>
      </c>
      <c r="F67" s="5" t="s">
        <v>4087</v>
      </c>
      <c r="G67" s="5" t="s">
        <v>4088</v>
      </c>
    </row>
    <row r="68" spans="1:7" ht="24" customHeight="1" x14ac:dyDescent="0.35">
      <c r="A68" s="1" t="s">
        <v>3135</v>
      </c>
      <c r="B68" s="1" t="s">
        <v>3136</v>
      </c>
      <c r="C68" s="1" t="s">
        <v>4074</v>
      </c>
      <c r="D68" s="23">
        <v>10000000</v>
      </c>
      <c r="E68" s="1" t="s">
        <v>4077</v>
      </c>
      <c r="F68" s="1" t="s">
        <v>4087</v>
      </c>
      <c r="G68" s="1" t="s">
        <v>4088</v>
      </c>
    </row>
    <row r="69" spans="1:7" ht="24" customHeight="1" x14ac:dyDescent="0.35">
      <c r="A69" s="5" t="s">
        <v>3151</v>
      </c>
      <c r="B69" s="5" t="s">
        <v>3152</v>
      </c>
      <c r="C69" s="5" t="s">
        <v>4078</v>
      </c>
      <c r="D69" s="22">
        <v>65000000</v>
      </c>
      <c r="E69" s="5" t="s">
        <v>4077</v>
      </c>
      <c r="F69" s="5" t="s">
        <v>4089</v>
      </c>
      <c r="G69" s="5" t="s">
        <v>4088</v>
      </c>
    </row>
    <row r="70" spans="1:7" ht="24" customHeight="1" x14ac:dyDescent="0.35">
      <c r="A70" s="1" t="s">
        <v>3151</v>
      </c>
      <c r="B70" s="1" t="s">
        <v>3152</v>
      </c>
      <c r="C70" s="1" t="s">
        <v>4074</v>
      </c>
      <c r="D70" s="23">
        <v>5000000</v>
      </c>
      <c r="E70" s="1" t="s">
        <v>4077</v>
      </c>
      <c r="F70" s="1" t="s">
        <v>4089</v>
      </c>
      <c r="G70" s="1" t="s">
        <v>4088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A97C24"/>
  </sheetPr>
  <dimension ref="A1:H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100" customWidth="1"/>
    <col min="4" max="4" width="26" customWidth="1"/>
    <col min="5" max="6" width="23" customWidth="1"/>
    <col min="7" max="7" width="54" customWidth="1"/>
    <col min="8" max="8" width="21" customWidth="1"/>
  </cols>
  <sheetData>
    <row r="1" spans="1:8" ht="38" customHeight="1" x14ac:dyDescent="0.35">
      <c r="A1" s="28" t="s">
        <v>559</v>
      </c>
      <c r="B1" s="28" t="s">
        <v>85</v>
      </c>
      <c r="C1" s="28" t="s">
        <v>4090</v>
      </c>
      <c r="D1" s="28" t="s">
        <v>4091</v>
      </c>
      <c r="E1" s="28" t="s">
        <v>4092</v>
      </c>
      <c r="F1" s="28" t="s">
        <v>4072</v>
      </c>
      <c r="G1" s="28" t="s">
        <v>574</v>
      </c>
      <c r="H1" s="28" t="s">
        <v>4093</v>
      </c>
    </row>
    <row r="2" spans="1:8" ht="24" customHeight="1" x14ac:dyDescent="0.35">
      <c r="A2" s="1" t="s">
        <v>3135</v>
      </c>
      <c r="B2" s="1" t="s">
        <v>3136</v>
      </c>
      <c r="C2" s="1" t="s">
        <v>4094</v>
      </c>
      <c r="D2" s="23"/>
      <c r="E2" s="23"/>
      <c r="F2" s="1"/>
      <c r="G2" s="1" t="s">
        <v>4095</v>
      </c>
      <c r="H2" s="10">
        <v>46298</v>
      </c>
    </row>
    <row r="3" spans="1:8" ht="24" customHeight="1" x14ac:dyDescent="0.35">
      <c r="A3" s="5" t="s">
        <v>3135</v>
      </c>
      <c r="B3" s="5" t="s">
        <v>3136</v>
      </c>
      <c r="C3" s="5" t="s">
        <v>4096</v>
      </c>
      <c r="D3" s="22">
        <v>75000000</v>
      </c>
      <c r="E3" s="22">
        <v>10000000</v>
      </c>
      <c r="F3" s="5" t="s">
        <v>4077</v>
      </c>
      <c r="G3" s="5" t="s">
        <v>4087</v>
      </c>
      <c r="H3" s="8">
        <v>46298</v>
      </c>
    </row>
    <row r="4" spans="1:8" ht="24" customHeight="1" x14ac:dyDescent="0.35">
      <c r="A4" s="1" t="s">
        <v>3151</v>
      </c>
      <c r="B4" s="1" t="s">
        <v>3152</v>
      </c>
      <c r="C4" s="1" t="s">
        <v>4096</v>
      </c>
      <c r="D4" s="23">
        <v>65000000</v>
      </c>
      <c r="E4" s="23">
        <v>5000000</v>
      </c>
      <c r="F4" s="1" t="s">
        <v>4077</v>
      </c>
      <c r="G4" s="1" t="s">
        <v>4089</v>
      </c>
      <c r="H4" s="10">
        <v>46298</v>
      </c>
    </row>
    <row r="5" spans="1:8" ht="24" customHeight="1" x14ac:dyDescent="0.35">
      <c r="A5" s="5" t="s">
        <v>1000</v>
      </c>
      <c r="B5" s="5" t="s">
        <v>219</v>
      </c>
      <c r="C5" s="5" t="s">
        <v>4097</v>
      </c>
      <c r="D5" s="22">
        <v>65000000</v>
      </c>
      <c r="E5" s="22">
        <v>5000000</v>
      </c>
      <c r="F5" s="5" t="s">
        <v>4075</v>
      </c>
      <c r="G5" s="5" t="s">
        <v>4098</v>
      </c>
      <c r="H5" s="8">
        <v>46298</v>
      </c>
    </row>
    <row r="6" spans="1:8" ht="24" customHeight="1" x14ac:dyDescent="0.35">
      <c r="A6" s="1" t="s">
        <v>1000</v>
      </c>
      <c r="B6" s="1" t="s">
        <v>219</v>
      </c>
      <c r="C6" s="1" t="s">
        <v>4099</v>
      </c>
      <c r="D6" s="23">
        <v>74000000</v>
      </c>
      <c r="E6" s="23"/>
      <c r="F6" s="1" t="s">
        <v>4075</v>
      </c>
      <c r="G6" s="1" t="s">
        <v>4100</v>
      </c>
      <c r="H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3" hidden="0" customWidth="1"/>
    <x:col min="7" max="7" width="25" hidden="0" customWidth="1"/>
    <x:col min="8" max="8" width="17" hidden="0" customWidth="1"/>
    <x:col min="9" max="9" width="17" hidden="0" customWidth="1"/>
    <x:col min="10" max="10" width="17" hidden="0" customWidth="1"/>
    <x:col min="11" max="11" width="13" hidden="0" customWidth="1"/>
    <x:col min="12" max="12" width="20" hidden="0" customWidth="1"/>
    <x:col min="13" max="13" width="90" hidden="0" customWidth="1"/>
    <x:col min="14" max="14" width="22" hidden="0" customWidth="1"/>
    <x:col min="15" max="15" width="65" hidden="0" customWidth="1"/>
    <x:col min="16" max="16" width="85" hidden="0" customWidth="1"/>
  </x:cols>
  <x:sheetData>
    <x:row r="1" ht="25" customHeight="1">
      <x:c r="A1" s="69"/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  <x:c r="N1" s="69"/>
      <x:c r="O1" s="69"/>
      <x:c r="P1" s="69"/>
    </x:row>
    <x:row r="2" ht="30" customHeight="1">
      <x:c r="A2" s="70" t="str">
        <x:v>Transfer-value ratings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</x:row>
    <x:row r="3" ht="25" customHeight="1">
      <x:c r="A3" s="69" t="str">
        <x:v>Scouting judgments. Your scores are preserved; assistant drafts require review. Separate rows represent separate deals.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  <x:c r="O3" s="69"/>
      <x:c r="P3" s="69"/>
    </x:row>
    <x:row r="4" ht="25" customHeight="1">
      <x:c r="A4" s="69"/>
      <x:c r="B4" s="69"/>
      <x:c r="C4" s="69"/>
      <x:c r="D4" s="69"/>
      <x:c r="E4" s="69"/>
      <x:c r="F4" s="69"/>
      <x:c r="G4" s="69"/>
      <x:c r="H4" s="69"/>
      <x:c r="I4" s="69"/>
      <x:c r="J4" s="69"/>
      <x:c r="K4" s="69"/>
      <x:c r="L4" s="69"/>
      <x:c r="M4" s="69"/>
      <x:c r="N4" s="69"/>
      <x:c r="O4" s="69"/>
      <x:c r="P4" s="69"/>
    </x:row>
    <x:row r="5" ht="38" customHeight="1">
      <x:c r="A5" s="74" t="str">
        <x:v>rating_id</x:v>
      </x:c>
      <x:c r="B5" s="74" t="str">
        <x:v>player_name</x:v>
      </x:c>
      <x:c r="C5" s="74" t="str">
        <x:v>to_club</x:v>
      </x:c>
      <x:c r="D5" s="74" t="str">
        <x:v>from_club</x:v>
      </x:c>
      <x:c r="E5" s="74" t="str">
        <x:v>transfer_date</x:v>
      </x:c>
      <x:c r="F5" s="74" t="str">
        <x:v>dataset</x:v>
      </x:c>
      <x:c r="G5" s="74" t="str">
        <x:v>role</x:v>
      </x:c>
      <x:c r="H5" s="74" t="str">
        <x:v>fee_amount</x:v>
      </x:c>
      <x:c r="I5" s="74" t="str">
        <x:v>currency</x:v>
      </x:c>
      <x:c r="J5" s="74" t="str">
        <x:v>age_at_transfer</x:v>
      </x:c>
      <x:c r="K5" s="74" t="str">
        <x:v>rating</x:v>
      </x:c>
      <x:c r="L5" s="74" t="str">
        <x:v>rating_status</x:v>
      </x:c>
      <x:c r="M5" s="74" t="str">
        <x:v>rationale</x:v>
      </x:c>
      <x:c r="N5" s="74" t="str">
        <x:v>confidence</x:v>
      </x:c>
      <x:c r="O5" s="74" t="str">
        <x:v>evidence_status</x:v>
      </x:c>
      <x:c r="P5" s="74" t="str">
        <x:v>source_url</x:v>
      </x:c>
    </x:row>
    <x:row r="6" ht="25" customHeight="1">
      <x:c r="A6" s="69" t="str">
        <x:v>historical-4</x:v>
      </x:c>
      <x:c r="B6" s="69" t="str">
        <x:v>Enzo Fernández</x:v>
      </x:c>
      <x:c r="C6" s="69" t="str">
        <x:v>Man City</x:v>
      </x:c>
      <x:c r="D6" s="69" t="str">
        <x:v>Chelsea</x:v>
      </x:c>
      <x:c r="E6" s="76" t="d">
        <x:v>2026-09-01T00:00:00.000Z</x:v>
      </x:c>
      <x:c r="F6" s="69" t="str">
        <x:v>historical</x:v>
      </x:c>
      <x:c r="G6" s="69" t="str">
        <x:v>Deep / central</x:v>
      </x:c>
      <x:c r="H6" s="78" t="n">
        <x:v>145000000</x:v>
      </x:c>
      <x:c r="I6" s="69" t="str">
        <x:v>EUR</x:v>
      </x:c>
      <x:c r="J6" s="80" t="n">
        <x:v>25</x:v>
      </x:c>
      <x:c r="K6" s="82" t="n">
        <x:v>8</x:v>
      </x:c>
      <x:c r="L6" s="69" t="str">
        <x:v>Assistant draft</x:v>
      </x:c>
      <x:c r="M6" s="69" t="str">
        <x:v>Very high workbook fee reduces value despite an ambitious quality and potential assessment.</x:v>
      </x:c>
      <x:c r="N6" s="69" t="str">
        <x:v>Low</x:v>
      </x:c>
      <x:c r="O6" s="69" t="str">
        <x:v>Workbook fee and age; detailed production not verified</x:v>
      </x:c>
      <x:c r="P6" s="69" t="str">
        <x:v>https://github.com/CopiousHighlights/football-transfer-market-analysis</x:v>
      </x:c>
    </x:row>
    <x:row r="7" ht="25" customHeight="1">
      <x:c r="A7" s="75" t="str">
        <x:v>historical-7</x:v>
      </x:c>
      <x:c r="B7" s="75" t="str">
        <x:v>Elliot Anderson</x:v>
      </x:c>
      <x:c r="C7" s="75" t="str">
        <x:v>Man City</x:v>
      </x:c>
      <x:c r="D7" s="75" t="str">
        <x:v>Nottm Forest</x:v>
      </x:c>
      <x:c r="E7" s="77" t="d">
        <x:v>2026-07-15T00:00:00.000Z</x:v>
      </x:c>
      <x:c r="F7" s="75" t="str">
        <x:v>historical</x:v>
      </x:c>
      <x:c r="G7" s="75" t="str">
        <x:v>User reference</x:v>
      </x:c>
      <x:c r="H7" s="79" t="n">
        <x:v>135000000</x:v>
      </x:c>
      <x:c r="I7" s="75" t="str">
        <x:v>EUR</x:v>
      </x:c>
      <x:c r="J7" s="81" t="n">
        <x:v>24</x:v>
      </x:c>
      <x:c r="K7" s="83" t="n">
        <x:v>9.2</x:v>
      </x:c>
      <x:c r="L7" s="75" t="str">
        <x:v>Your rating</x:v>
      </x:c>
      <x:c r="M7" s="75" t="str">
        <x:v>Elite quality and high potential outweigh the very high fee, in the owner’s assessment.</x:v>
      </x:c>
      <x:c r="N7" s="75" t="str">
        <x:v>Subjective reference</x:v>
      </x:c>
      <x:c r="O7" s="75" t="str">
        <x:v>Workbook fee and age; detailed production not verified</x:v>
      </x:c>
      <x:c r="P7" s="75" t="str">
        <x:v>https://github.com/CopiousHighlights/football-transfer-market-analysis</x:v>
      </x:c>
    </x:row>
    <x:row r="8" ht="25" customHeight="1">
      <x:c r="A8" s="69" t="str">
        <x:v>historical-13</x:v>
      </x:c>
      <x:c r="B8" s="69" t="str">
        <x:v>Enzo Fernández</x:v>
      </x:c>
      <x:c r="C8" s="69" t="str">
        <x:v>Chelsea</x:v>
      </x:c>
      <x:c r="D8" s="69" t="str">
        <x:v>Benfica</x:v>
      </x:c>
      <x:c r="E8" s="76" t="d">
        <x:v>2023-01-31T00:00:00.000Z</x:v>
      </x:c>
      <x:c r="F8" s="69" t="str">
        <x:v>historical</x:v>
      </x:c>
      <x:c r="G8" s="69" t="str">
        <x:v>Deep / central</x:v>
      </x:c>
      <x:c r="H8" s="78" t="n">
        <x:v>121000000</x:v>
      </x:c>
      <x:c r="I8" s="69" t="str">
        <x:v>EUR</x:v>
      </x:c>
      <x:c r="J8" s="80" t="n">
        <x:v>22</x:v>
      </x:c>
      <x:c r="K8" s="82" t="n">
        <x:v>8.2</x:v>
      </x:c>
      <x:c r="L8" s="69" t="str">
        <x:v>Assistant draft</x:v>
      </x:c>
      <x:c r="M8" s="69" t="str">
        <x:v>Young signing with upside; the large premium over the workbook listed value lowers this draft.</x:v>
      </x:c>
      <x:c r="N8" s="69" t="str">
        <x:v>Low</x:v>
      </x:c>
      <x:c r="O8" s="69" t="str">
        <x:v>Workbook fee and age; detailed production not verified</x:v>
      </x:c>
      <x:c r="P8" s="69" t="str">
        <x:v>https://github.com/CopiousHighlights/football-transfer-market-analysis</x:v>
      </x:c>
    </x:row>
    <x:row r="9" ht="25" customHeight="1">
      <x:c r="A9" s="75" t="str">
        <x:v>historical-17</x:v>
      </x:c>
      <x:c r="B9" s="75" t="str">
        <x:v>Declan Rice</x:v>
      </x:c>
      <x:c r="C9" s="75" t="str">
        <x:v>Arsenal</x:v>
      </x:c>
      <x:c r="D9" s="75" t="str">
        <x:v>West Ham</x:v>
      </x:c>
      <x:c r="E9" s="77" t="d">
        <x:v>2023-07-15T00:00:00.000Z</x:v>
      </x:c>
      <x:c r="F9" s="75" t="str">
        <x:v>historical</x:v>
      </x:c>
      <x:c r="G9" s="75" t="str">
        <x:v>User reference</x:v>
      </x:c>
      <x:c r="H9" s="79" t="n">
        <x:v>116600000</x:v>
      </x:c>
      <x:c r="I9" s="75" t="str">
        <x:v>EUR</x:v>
      </x:c>
      <x:c r="J9" s="81" t="n">
        <x:v>24</x:v>
      </x:c>
      <x:c r="K9" s="83" t="n">
        <x:v>9.7</x:v>
      </x:c>
      <x:c r="L9" s="75" t="str">
        <x:v>Your rating</x:v>
      </x:c>
      <x:c r="M9" s="75" t="str">
        <x:v>Owner judges quality on par with Anderson or better, with a lower fee.</x:v>
      </x:c>
      <x:c r="N9" s="75" t="str">
        <x:v>Subjective reference</x:v>
      </x:c>
      <x:c r="O9" s="75" t="str">
        <x:v>Workbook fee and age; detailed production not verified</x:v>
      </x:c>
      <x:c r="P9" s="75" t="str">
        <x:v>https://github.com/CopiousHighlights/football-transfer-market-analysis</x:v>
      </x:c>
    </x:row>
    <x:row r="10" ht="25" customHeight="1">
      <x:c r="A10" s="69" t="str">
        <x:v>historical-18</x:v>
      </x:c>
      <x:c r="B10" s="69" t="str">
        <x:v>Moisés Caicedo</x:v>
      </x:c>
      <x:c r="C10" s="69" t="str">
        <x:v>Chelsea</x:v>
      </x:c>
      <x:c r="D10" s="69" t="str">
        <x:v>Brighton</x:v>
      </x:c>
      <x:c r="E10" s="76" t="d">
        <x:v>2023-08-14T00:00:00.000Z</x:v>
      </x:c>
      <x:c r="F10" s="69" t="str">
        <x:v>historical</x:v>
      </x:c>
      <x:c r="G10" s="69" t="str">
        <x:v>CDM</x:v>
      </x:c>
      <x:c r="H10" s="78" t="n">
        <x:v>116000000</x:v>
      </x:c>
      <x:c r="I10" s="69" t="str">
        <x:v>EUR</x:v>
      </x:c>
      <x:c r="J10" s="80" t="n">
        <x:v>22</x:v>
      </x:c>
      <x:c r="K10" s="82" t="n">
        <x:v>8.9</x:v>
      </x:c>
      <x:c r="L10" s="69" t="str">
        <x:v>Your rating</x:v>
      </x:c>
      <x:c r="M10" s="69" t="str">
        <x:v>Owner cites good production and high potential, balanced against an injury concern; injury claim not independently checked.</x:v>
      </x:c>
      <x:c r="N10" s="69" t="str">
        <x:v>Subjective reference</x:v>
      </x:c>
      <x:c r="O10" s="69" t="str">
        <x:v>Workbook fee and age; detailed production not verified</x:v>
      </x:c>
      <x:c r="P10" s="69" t="str">
        <x:v>https://github.com/CopiousHighlights/football-transfer-market-analysis</x:v>
      </x:c>
    </x:row>
    <x:row r="11" ht="25" customHeight="1">
      <x:c r="A11" s="75" t="str">
        <x:v>historical-20</x:v>
      </x:c>
      <x:c r="B11" s="75" t="str">
        <x:v>Sandro Tonali</x:v>
      </x:c>
      <x:c r="C11" s="75" t="str">
        <x:v>Tottenham</x:v>
      </x:c>
      <x:c r="D11" s="75" t="str">
        <x:v>Newcastle</x:v>
      </x:c>
      <x:c r="E11" s="77" t="d">
        <x:v>2026-08-01T00:00:00.000Z</x:v>
      </x:c>
      <x:c r="F11" s="75" t="str">
        <x:v>historical</x:v>
      </x:c>
      <x:c r="G11" s="75" t="str">
        <x:v>CDM / deep</x:v>
      </x:c>
      <x:c r="H11" s="79" t="n">
        <x:v>107000000</x:v>
      </x:c>
      <x:c r="I11" s="75" t="str">
        <x:v>EUR</x:v>
      </x:c>
      <x:c r="J11" s="81" t="n">
        <x:v>26</x:v>
      </x:c>
      <x:c r="K11" s="83" t="n">
        <x:v>8.6</x:v>
      </x:c>
      <x:c r="L11" s="75" t="str">
        <x:v>Assistant draft</x:v>
      </x:c>
      <x:c r="M11" s="75" t="str">
        <x:v>Age 26 in the workbook leaves runway, but the premium fee limits the proposed value score.</x:v>
      </x:c>
      <x:c r="N11" s="75" t="str">
        <x:v>Low</x:v>
      </x:c>
      <x:c r="O11" s="75" t="str">
        <x:v>Workbook fee and age; detailed production not verified</x:v>
      </x:c>
      <x:c r="P11" s="75" t="str">
        <x:v>https://github.com/CopiousHighlights/football-transfer-market-analysis</x:v>
      </x:c>
    </x:row>
    <x:row r="12" ht="25" customHeight="1">
      <x:c r="A12" s="69" t="str">
        <x:v>historical-23</x:v>
      </x:c>
      <x:c r="B12" s="69" t="str">
        <x:v>Ayyoub Bouaddi</x:v>
      </x:c>
      <x:c r="C12" s="69" t="str">
        <x:v>Man City</x:v>
      </x:c>
      <x:c r="D12" s="69" t="str">
        <x:v>Lille</x:v>
      </x:c>
      <x:c r="E12" s="76" t="d">
        <x:v>2026-07-20T00:00:00.000Z</x:v>
      </x:c>
      <x:c r="F12" s="69" t="str">
        <x:v>historical</x:v>
      </x:c>
      <x:c r="G12" s="69" t="str">
        <x:v>Deep / central</x:v>
      </x:c>
      <x:c r="H12" s="78" t="n">
        <x:v>100000000</x:v>
      </x:c>
      <x:c r="I12" s="69" t="str">
        <x:v>EUR</x:v>
      </x:c>
      <x:c r="J12" s="80" t="n">
        <x:v>19</x:v>
      </x:c>
      <x:c r="K12" s="82" t="n">
        <x:v>8.3</x:v>
      </x:c>
      <x:c r="L12" s="69" t="str">
        <x:v>Assistant draft</x:v>
      </x:c>
      <x:c r="M12" s="69" t="str">
        <x:v>High youth upside assumed for this draft, offset by a very large fee and limited established evidence.</x:v>
      </x:c>
      <x:c r="N12" s="69" t="str">
        <x:v>Low</x:v>
      </x:c>
      <x:c r="O12" s="69" t="str">
        <x:v>Workbook fee and age; detailed production not verified</x:v>
      </x:c>
      <x:c r="P12" s="69" t="str">
        <x:v>https://github.com/CopiousHighlights/football-transfer-market-analysis</x:v>
      </x:c>
    </x:row>
    <x:row r="13" ht="25" customHeight="1">
      <x:c r="A13" s="75" t="str">
        <x:v>historical-34</x:v>
      </x:c>
      <x:c r="B13" s="75" t="str">
        <x:v>Bruno Guimarães</x:v>
      </x:c>
      <x:c r="C13" s="75" t="str">
        <x:v>Arsenal</x:v>
      </x:c>
      <x:c r="D13" s="75" t="str">
        <x:v>Newcastle</x:v>
      </x:c>
      <x:c r="E13" s="77" t="d">
        <x:v>2026-07-10T00:00:00.000Z</x:v>
      </x:c>
      <x:c r="F13" s="75" t="str">
        <x:v>historical</x:v>
      </x:c>
      <x:c r="G13" s="75" t="str">
        <x:v>CDM / deep</x:v>
      </x:c>
      <x:c r="H13" s="79" t="n">
        <x:v>87000000</x:v>
      </x:c>
      <x:c r="I13" s="75" t="str">
        <x:v>EUR</x:v>
      </x:c>
      <x:c r="J13" s="81" t="n">
        <x:v>29</x:v>
      </x:c>
      <x:c r="K13" s="83" t="n">
        <x:v>8.7</x:v>
      </x:c>
      <x:c r="L13" s="75" t="str">
        <x:v>Assistant draft</x:v>
      </x:c>
      <x:c r="M13" s="75" t="str">
        <x:v>Proposed strong quality tier; age 29 and a substantial fee temper remaining upside.</x:v>
      </x:c>
      <x:c r="N13" s="75" t="str">
        <x:v>Low</x:v>
      </x:c>
      <x:c r="O13" s="75" t="str">
        <x:v>Workbook fee and age; detailed production not verified</x:v>
      </x:c>
      <x:c r="P13" s="75" t="str">
        <x:v>https://github.com/CopiousHighlights/football-transfer-market-analysis</x:v>
      </x:c>
    </x:row>
    <x:row r="14" ht="25" customHeight="1">
      <x:c r="A14" s="69" t="str">
        <x:v>historical-35</x:v>
      </x:c>
      <x:c r="B14" s="69" t="str">
        <x:v>Frenkie de Jong</x:v>
      </x:c>
      <x:c r="C14" s="69" t="str">
        <x:v>Barcelona</x:v>
      </x:c>
      <x:c r="D14" s="69" t="str">
        <x:v>Ajax</x:v>
      </x:c>
      <x:c r="E14" s="76" t="d">
        <x:v>2019-07-01T00:00:00.000Z</x:v>
      </x:c>
      <x:c r="F14" s="69" t="str">
        <x:v>historical</x:v>
      </x:c>
      <x:c r="G14" s="69" t="str">
        <x:v>Deep / central</x:v>
      </x:c>
      <x:c r="H14" s="78" t="n">
        <x:v>86000000</x:v>
      </x:c>
      <x:c r="I14" s="69" t="str">
        <x:v>EUR</x:v>
      </x:c>
      <x:c r="J14" s="80" t="n">
        <x:v>22</x:v>
      </x:c>
      <x:c r="K14" s="82" t="n">
        <x:v>8.7</x:v>
      </x:c>
      <x:c r="L14" s="69" t="str">
        <x:v>Assistant draft</x:v>
      </x:c>
      <x:c r="M14" s="69" t="str">
        <x:v>Age 22 provides runway; fee near workbook listed value supports a favorable draft.</x:v>
      </x:c>
      <x:c r="N14" s="69" t="str">
        <x:v>Low</x:v>
      </x:c>
      <x:c r="O14" s="69" t="str">
        <x:v>Workbook fee and age; detailed production not verified</x:v>
      </x:c>
      <x:c r="P14" s="69" t="str">
        <x:v>https://github.com/CopiousHighlights/football-transfer-market-analysis</x:v>
      </x:c>
    </x:row>
    <x:row r="15" ht="25" customHeight="1">
      <x:c r="A15" s="75" t="str">
        <x:v>historical-43</x:v>
      </x:c>
      <x:c r="B15" s="75" t="str">
        <x:v>Arthur Melo</x:v>
      </x:c>
      <x:c r="C15" s="75" t="str">
        <x:v>Juventus</x:v>
      </x:c>
      <x:c r="D15" s="75" t="str">
        <x:v>Barcelona</x:v>
      </x:c>
      <x:c r="E15" s="77" t="d">
        <x:v>2020-09-01T00:00:00.000Z</x:v>
      </x:c>
      <x:c r="F15" s="75" t="str">
        <x:v>historical</x:v>
      </x:c>
      <x:c r="G15" s="75" t="str">
        <x:v>Deep / central</x:v>
      </x:c>
      <x:c r="H15" s="79" t="n">
        <x:v>80600000</x:v>
      </x:c>
      <x:c r="I15" s="75" t="str">
        <x:v>EUR</x:v>
      </x:c>
      <x:c r="J15" s="81" t="n">
        <x:v>24</x:v>
      </x:c>
      <x:c r="K15" s="83" t="n">
        <x:v>6.4</x:v>
      </x:c>
      <x:c r="L15" s="75" t="str">
        <x:v>Assistant draft</x:v>
      </x:c>
      <x:c r="M15" s="75" t="str">
        <x:v>Fee well above workbook listed value reduces this draft; swap-deal accounting needs separate review.</x:v>
      </x:c>
      <x:c r="N15" s="75" t="str">
        <x:v>Low</x:v>
      </x:c>
      <x:c r="O15" s="75" t="str">
        <x:v>Workbook fee and age; detailed production not verified</x:v>
      </x:c>
      <x:c r="P15" s="75" t="str">
        <x:v>https://github.com/CopiousHighlights/football-transfer-market-analysis</x:v>
      </x:c>
    </x:row>
    <x:row r="16" ht="25" customHeight="1">
      <x:c r="A16" s="69" t="str">
        <x:v>historical-47</x:v>
      </x:c>
      <x:c r="B16" s="69" t="str">
        <x:v>Aurélien Tchouaméni</x:v>
      </x:c>
      <x:c r="C16" s="69" t="str">
        <x:v>Real Madrid</x:v>
      </x:c>
      <x:c r="D16" s="69" t="str">
        <x:v>Monaco</x:v>
      </x:c>
      <x:c r="E16" s="76" t="d">
        <x:v>2022-07-01T00:00:00.000Z</x:v>
      </x:c>
      <x:c r="F16" s="69" t="str">
        <x:v>historical</x:v>
      </x:c>
      <x:c r="G16" s="69" t="str">
        <x:v>CDM</x:v>
      </x:c>
      <x:c r="H16" s="78" t="n">
        <x:v>80000000</x:v>
      </x:c>
      <x:c r="I16" s="69" t="str">
        <x:v>EUR</x:v>
      </x:c>
      <x:c r="J16" s="80" t="n">
        <x:v>22</x:v>
      </x:c>
      <x:c r="K16" s="82" t="n">
        <x:v>8.5</x:v>
      </x:c>
      <x:c r="L16" s="69" t="str">
        <x:v>Your rating</x:v>
      </x:c>
      <x:c r="M16" s="69" t="str">
        <x:v>Owner judges a young, good player at a solid fee, with production somewhat below the strongest references.</x:v>
      </x:c>
      <x:c r="N16" s="69" t="str">
        <x:v>Subjective reference</x:v>
      </x:c>
      <x:c r="O16" s="69" t="str">
        <x:v>Workbook fee and age; detailed production not verified</x:v>
      </x:c>
      <x:c r="P16" s="69" t="str">
        <x:v>https://github.com/CopiousHighlights/football-transfer-market-analysis</x:v>
      </x:c>
    </x:row>
    <x:row r="17" ht="25" customHeight="1">
      <x:c r="A17" s="75" t="str">
        <x:v>historical-55</x:v>
      </x:c>
      <x:c r="B17" s="75" t="str">
        <x:v>Rodri</x:v>
      </x:c>
      <x:c r="C17" s="75" t="str">
        <x:v>Barcelona</x:v>
      </x:c>
      <x:c r="D17" s="75" t="str">
        <x:v>Man City</x:v>
      </x:c>
      <x:c r="E17" s="77" t="d">
        <x:v>2026-08-18T00:00:00.000Z</x:v>
      </x:c>
      <x:c r="F17" s="75" t="str">
        <x:v>historical</x:v>
      </x:c>
      <x:c r="G17" s="75" t="str">
        <x:v>CDM</x:v>
      </x:c>
      <x:c r="H17" s="79" t="n">
        <x:v>76500000</x:v>
      </x:c>
      <x:c r="I17" s="75" t="str">
        <x:v>EUR</x:v>
      </x:c>
      <x:c r="J17" s="81" t="n">
        <x:v>30</x:v>
      </x:c>
      <x:c r="K17" s="83" t="n">
        <x:v>8.8</x:v>
      </x:c>
      <x:c r="L17" s="75" t="str">
        <x:v>Your rating</x:v>
      </x:c>
      <x:c r="M17" s="75" t="str">
        <x:v>Owner judges exceptional CDM quality and reasonable price, reduced for age 30 and remaining prime years. Applies to the workbook Barcelona record.</x:v>
      </x:c>
      <x:c r="N17" s="75" t="str">
        <x:v>Subjective reference</x:v>
      </x:c>
      <x:c r="O17" s="75" t="str">
        <x:v>Workbook fee and age; detailed production not verified</x:v>
      </x:c>
      <x:c r="P17" s="75" t="str">
        <x:v>https://github.com/CopiousHighlights/football-transfer-market-analysis</x:v>
      </x:c>
    </x:row>
    <x:row r="18" ht="25" customHeight="1">
      <x:c r="A18" s="69" t="str">
        <x:v>historical-73</x:v>
      </x:c>
      <x:c r="B18" s="69" t="str">
        <x:v>Casemiro</x:v>
      </x:c>
      <x:c r="C18" s="69" t="str">
        <x:v>Man Utd</x:v>
      </x:c>
      <x:c r="D18" s="69" t="str">
        <x:v>Real Madrid</x:v>
      </x:c>
      <x:c r="E18" s="76" t="d">
        <x:v>2022-08-22T00:00:00.000Z</x:v>
      </x:c>
      <x:c r="F18" s="69" t="str">
        <x:v>historical</x:v>
      </x:c>
      <x:c r="G18" s="69" t="str">
        <x:v>CDM</x:v>
      </x:c>
      <x:c r="H18" s="78" t="n">
        <x:v>70650000</x:v>
      </x:c>
      <x:c r="I18" s="69" t="str">
        <x:v>EUR</x:v>
      </x:c>
      <x:c r="J18" s="80" t="n">
        <x:v>30</x:v>
      </x:c>
      <x:c r="K18" s="82" t="n">
        <x:v>9.1</x:v>
      </x:c>
      <x:c r="L18" s="69" t="str">
        <x:v>Your rating</x:v>
      </x:c>
      <x:c r="M18" s="69" t="str">
        <x:v>Owner’s positive retrospective production assessment. Workbook age at signing is 30; this is a subjective reference, not a calculated age score.</x:v>
      </x:c>
      <x:c r="N18" s="69" t="str">
        <x:v>Subjective reference</x:v>
      </x:c>
      <x:c r="O18" s="69" t="str">
        <x:v>Workbook fee and age; detailed production not verified</x:v>
      </x:c>
      <x:c r="P18" s="69" t="str">
        <x:v>https://github.com/CopiousHighlights/football-transfer-market-analysis</x:v>
      </x:c>
    </x:row>
    <x:row r="19" ht="25" customHeight="1">
      <x:c r="A19" s="75" t="str">
        <x:v>historical-74</x:v>
      </x:c>
      <x:c r="B19" s="75" t="str">
        <x:v>Rodri</x:v>
      </x:c>
      <x:c r="C19" s="75" t="str">
        <x:v>Man City</x:v>
      </x:c>
      <x:c r="D19" s="75" t="str">
        <x:v>Atlético</x:v>
      </x:c>
      <x:c r="E19" s="77" t="d">
        <x:v>2019-07-04T00:00:00.000Z</x:v>
      </x:c>
      <x:c r="F19" s="75" t="str">
        <x:v>historical</x:v>
      </x:c>
      <x:c r="G19" s="75" t="str">
        <x:v>CDM</x:v>
      </x:c>
      <x:c r="H19" s="79" t="n">
        <x:v>70000000</x:v>
      </x:c>
      <x:c r="I19" s="75" t="str">
        <x:v>EUR</x:v>
      </x:c>
      <x:c r="J19" s="81" t="n">
        <x:v>23</x:v>
      </x:c>
      <x:c r="K19" s="83" t="n">
        <x:v>9.8</x:v>
      </x:c>
      <x:c r="L19" s="75" t="str">
        <x:v>Assistant draft</x:v>
      </x:c>
      <x:c r="M19" s="75" t="str">
        <x:v>Proposed standout value reference for the separate 2019 City move: age 23 and fee below workbook listed value.</x:v>
      </x:c>
      <x:c r="N19" s="75" t="str">
        <x:v>Low</x:v>
      </x:c>
      <x:c r="O19" s="75" t="str">
        <x:v>Workbook fee and age; detailed production not verified</x:v>
      </x:c>
      <x:c r="P19" s="75" t="str">
        <x:v>https://github.com/CopiousHighlights/football-transfer-market-analysis</x:v>
      </x:c>
    </x:row>
    <x:row r="20" ht="25" customHeight="1">
      <x:c r="A20" s="69" t="str">
        <x:v>historical-76</x:v>
      </x:c>
      <x:c r="B20" s="69" t="str">
        <x:v>Martín Zubimendi</x:v>
      </x:c>
      <x:c r="C20" s="69" t="str">
        <x:v>Arsenal</x:v>
      </x:c>
      <x:c r="D20" s="69" t="str">
        <x:v>Real Sociedad</x:v>
      </x:c>
      <x:c r="E20" s="76" t="d">
        <x:v>2025-07-06T00:00:00.000Z</x:v>
      </x:c>
      <x:c r="F20" s="69" t="str">
        <x:v>historical</x:v>
      </x:c>
      <x:c r="G20" s="69" t="str">
        <x:v>CDM</x:v>
      </x:c>
      <x:c r="H20" s="78" t="n">
        <x:v>70000000</x:v>
      </x:c>
      <x:c r="I20" s="69" t="str">
        <x:v>EUR</x:v>
      </x:c>
      <x:c r="J20" s="80" t="n">
        <x:v>26</x:v>
      </x:c>
      <x:c r="K20" s="82" t="n">
        <x:v>8.8</x:v>
      </x:c>
      <x:c r="L20" s="69" t="str">
        <x:v>Assistant draft</x:v>
      </x:c>
      <x:c r="M20" s="69" t="str">
        <x:v>Prime-age holding-midfield profile; moderate premium over listed value gives a strong but non-maximum draft.</x:v>
      </x:c>
      <x:c r="N20" s="69" t="str">
        <x:v>Low</x:v>
      </x:c>
      <x:c r="O20" s="69" t="str">
        <x:v>Workbook fee and age; detailed production not verified</x:v>
      </x:c>
      <x:c r="P20" s="69" t="str">
        <x:v>https://github.com/CopiousHighlights/football-transfer-market-analysis</x:v>
      </x:c>
    </x:row>
    <x:row r="21" ht="25" customHeight="1">
      <x:c r="A21" s="75" t="str">
        <x:v>historical-86</x:v>
      </x:c>
      <x:c r="B21" s="75" t="str">
        <x:v>João Neves</x:v>
      </x:c>
      <x:c r="C21" s="75" t="str">
        <x:v>PSG</x:v>
      </x:c>
      <x:c r="D21" s="75" t="str">
        <x:v>Benfica</x:v>
      </x:c>
      <x:c r="E21" s="77" t="d">
        <x:v>2024-08-05T00:00:00.000Z</x:v>
      </x:c>
      <x:c r="F21" s="75" t="str">
        <x:v>historical</x:v>
      </x:c>
      <x:c r="G21" s="75" t="str">
        <x:v>Deep / central</x:v>
      </x:c>
      <x:c r="H21" s="79" t="n">
        <x:v>65920000</x:v>
      </x:c>
      <x:c r="I21" s="75" t="str">
        <x:v>EUR</x:v>
      </x:c>
      <x:c r="J21" s="81" t="n">
        <x:v>20</x:v>
      </x:c>
      <x:c r="K21" s="83" t="n">
        <x:v>9.4</x:v>
      </x:c>
      <x:c r="L21" s="75" t="str">
        <x:v>Assistant draft</x:v>
      </x:c>
      <x:c r="M21" s="75" t="str">
        <x:v>Proposed high potential tier and age 20 support value at a much lower fee than the highest-priced references.</x:v>
      </x:c>
      <x:c r="N21" s="75" t="str">
        <x:v>Low</x:v>
      </x:c>
      <x:c r="O21" s="75" t="str">
        <x:v>Workbook fee and age; detailed production not verified</x:v>
      </x:c>
      <x:c r="P21" s="75" t="str">
        <x:v>https://github.com/CopiousHighlights/football-transfer-market-analysis</x:v>
      </x:c>
    </x:row>
    <x:row r="22" ht="25" customHeight="1">
      <x:c r="A22" s="69" t="str">
        <x:v>historical-105</x:v>
      </x:c>
      <x:c r="B22" s="69" t="str">
        <x:v>Roméo Lavia</x:v>
      </x:c>
      <x:c r="C22" s="69" t="str">
        <x:v>Chelsea</x:v>
      </x:c>
      <x:c r="D22" s="69" t="str">
        <x:v>Southampton</x:v>
      </x:c>
      <x:c r="E22" s="76" t="d">
        <x:v>2023-08-18T00:00:00.000Z</x:v>
      </x:c>
      <x:c r="F22" s="69" t="str">
        <x:v>historical</x:v>
      </x:c>
      <x:c r="G22" s="69" t="str">
        <x:v>CDM</x:v>
      </x:c>
      <x:c r="H22" s="78" t="n">
        <x:v>62100000</x:v>
      </x:c>
      <x:c r="I22" s="69" t="str">
        <x:v>EUR</x:v>
      </x:c>
      <x:c r="J22" s="80" t="n">
        <x:v>19</x:v>
      </x:c>
      <x:c r="K22" s="82" t="n">
        <x:v>7.4</x:v>
      </x:c>
      <x:c r="L22" s="69" t="str">
        <x:v>Assistant draft</x:v>
      </x:c>
      <x:c r="M22" s="69" t="str">
        <x:v>Age 19 supports potential, but the near-two-times listed-value fee and uncertain sustained availability lower this draft.</x:v>
      </x:c>
      <x:c r="N22" s="69" t="str">
        <x:v>Low</x:v>
      </x:c>
      <x:c r="O22" s="69" t="str">
        <x:v>Workbook fee and age; detailed production not verified</x:v>
      </x:c>
      <x:c r="P22" s="69" t="str">
        <x:v>https://github.com/CopiousHighlights/football-transfer-market-analysis</x:v>
      </x:c>
    </x:row>
    <x:row r="23" ht="25" customHeight="1">
      <x:c r="A23" s="75" t="str">
        <x:v>historical-112</x:v>
      </x:c>
      <x:c r="B23" s="75" t="str">
        <x:v>Sandro Tonali</x:v>
      </x:c>
      <x:c r="C23" s="75" t="str">
        <x:v>Newcastle</x:v>
      </x:c>
      <x:c r="D23" s="75" t="str">
        <x:v>AC Milan</x:v>
      </x:c>
      <x:c r="E23" s="77" t="d">
        <x:v>2023-07-03T00:00:00.000Z</x:v>
      </x:c>
      <x:c r="F23" s="75" t="str">
        <x:v>historical</x:v>
      </x:c>
      <x:c r="G23" s="75" t="str">
        <x:v>CDM / deep</x:v>
      </x:c>
      <x:c r="H23" s="79" t="n">
        <x:v>60800000</x:v>
      </x:c>
      <x:c r="I23" s="75" t="str">
        <x:v>EUR</x:v>
      </x:c>
      <x:c r="J23" s="81" t="n">
        <x:v>23</x:v>
      </x:c>
      <x:c r="K23" s="83" t="n">
        <x:v>8.8</x:v>
      </x:c>
      <x:c r="L23" s="75" t="str">
        <x:v>Assistant draft</x:v>
      </x:c>
      <x:c r="M23" s="75" t="str">
        <x:v>Separate Newcastle signing: age 23 and a smaller fee give a stronger value draft than the later Tottenham record.</x:v>
      </x:c>
      <x:c r="N23" s="75" t="str">
        <x:v>Low</x:v>
      </x:c>
      <x:c r="O23" s="75" t="str">
        <x:v>Workbook fee and age; detailed production not verified</x:v>
      </x:c>
      <x:c r="P23" s="75" t="str">
        <x:v>https://github.com/CopiousHighlights/football-transfer-market-analysis</x:v>
      </x:c>
    </x:row>
    <x:row r="24" ht="25" customHeight="1">
      <x:c r="A24" s="69" t="str">
        <x:v>historical-113</x:v>
      </x:c>
      <x:c r="B24" s="69" t="str">
        <x:v>Miralem Pjanić</x:v>
      </x:c>
      <x:c r="C24" s="69" t="str">
        <x:v>Barcelona</x:v>
      </x:c>
      <x:c r="D24" s="69" t="str">
        <x:v>Juventus</x:v>
      </x:c>
      <x:c r="E24" s="76" t="d">
        <x:v>2020-09-01T00:00:00.000Z</x:v>
      </x:c>
      <x:c r="F24" s="69" t="str">
        <x:v>historical</x:v>
      </x:c>
      <x:c r="G24" s="69" t="str">
        <x:v>Deep / central</x:v>
      </x:c>
      <x:c r="H24" s="78" t="n">
        <x:v>60000000</x:v>
      </x:c>
      <x:c r="I24" s="69" t="str">
        <x:v>EUR</x:v>
      </x:c>
      <x:c r="J24" s="80" t="n">
        <x:v>30</x:v>
      </x:c>
      <x:c r="K24" s="82" t="n">
        <x:v>6.5</x:v>
      </x:c>
      <x:c r="L24" s="69" t="str">
        <x:v>Assistant draft</x:v>
      </x:c>
      <x:c r="M24" s="69" t="str">
        <x:v>Age 30 and a substantial fee limit runway; swap-deal accounting makes the quoted price difficult to interpret.</x:v>
      </x:c>
      <x:c r="N24" s="69" t="str">
        <x:v>Low</x:v>
      </x:c>
      <x:c r="O24" s="69" t="str">
        <x:v>Workbook fee and age; detailed production not verified</x:v>
      </x:c>
      <x:c r="P24" s="69" t="str">
        <x:v>https://github.com/CopiousHighlights/football-transfer-market-analysis</x:v>
      </x:c>
    </x:row>
    <x:row r="25" ht="25" customHeight="1">
      <x:c r="A25" s="75" t="str">
        <x:v>historical-120</x:v>
      </x:c>
      <x:c r="B25" s="75" t="str">
        <x:v>Nico González</x:v>
      </x:c>
      <x:c r="C25" s="75" t="str">
        <x:v>Man City</x:v>
      </x:c>
      <x:c r="D25" s="75" t="str">
        <x:v>Porto</x:v>
      </x:c>
      <x:c r="E25" s="77" t="d">
        <x:v>2025-02-03T00:00:00.000Z</x:v>
      </x:c>
      <x:c r="F25" s="75" t="str">
        <x:v>historical</x:v>
      </x:c>
      <x:c r="G25" s="75" t="str">
        <x:v>CDM / deep</x:v>
      </x:c>
      <x:c r="H25" s="79" t="n">
        <x:v>60000000</x:v>
      </x:c>
      <x:c r="I25" s="75" t="str">
        <x:v>EUR</x:v>
      </x:c>
      <x:c r="J25" s="81" t="n">
        <x:v>23</x:v>
      </x:c>
      <x:c r="K25" s="83" t="n">
        <x:v>8.2</x:v>
      </x:c>
      <x:c r="L25" s="75" t="str">
        <x:v>Assistant draft</x:v>
      </x:c>
      <x:c r="M25" s="75" t="str">
        <x:v>Age 23 and a mid-range fee support upside; proposed quality is below the elite reference tier.</x:v>
      </x:c>
      <x:c r="N25" s="75" t="str">
        <x:v>Low</x:v>
      </x:c>
      <x:c r="O25" s="75" t="str">
        <x:v>Workbook fee and age; detailed production not verified</x:v>
      </x:c>
      <x:c r="P25" s="75" t="str">
        <x:v>https://github.com/CopiousHighlights/football-transfer-market-analysis</x:v>
      </x:c>
    </x:row>
    <x:row r="26" ht="25" customHeight="1">
      <x:c r="A26" s="69" t="str">
        <x:v>historical-121</x:v>
      </x:c>
      <x:c r="B26" s="69" t="str">
        <x:v>Manuel Ugarte</x:v>
      </x:c>
      <x:c r="C26" s="69" t="str">
        <x:v>PSG</x:v>
      </x:c>
      <x:c r="D26" s="69" t="str">
        <x:v>Sporting</x:v>
      </x:c>
      <x:c r="E26" s="76" t="d">
        <x:v>2023-07-07T00:00:00.000Z</x:v>
      </x:c>
      <x:c r="F26" s="69" t="str">
        <x:v>historical</x:v>
      </x:c>
      <x:c r="G26" s="69" t="str">
        <x:v>CDM</x:v>
      </x:c>
      <x:c r="H26" s="78" t="n">
        <x:v>60000000</x:v>
      </x:c>
      <x:c r="I26" s="69" t="str">
        <x:v>EUR</x:v>
      </x:c>
      <x:c r="J26" s="80" t="n">
        <x:v>22</x:v>
      </x:c>
      <x:c r="K26" s="82" t="n">
        <x:v>7.6</x:v>
      </x:c>
      <x:c r="L26" s="69" t="str">
        <x:v>Assistant draft</x:v>
      </x:c>
      <x:c r="M26" s="69" t="str">
        <x:v>Age 22 supports development, while a large commitment for a narrower ball-winning profile tempers the draft.</x:v>
      </x:c>
      <x:c r="N26" s="69" t="str">
        <x:v>Low</x:v>
      </x:c>
      <x:c r="O26" s="69" t="str">
        <x:v>Workbook fee and age; detailed production not verified</x:v>
      </x:c>
      <x:c r="P26" s="69" t="str">
        <x:v>https://github.com/CopiousHighlights/football-transfer-market-analysis</x:v>
      </x:c>
    </x:row>
    <x:row r="27" ht="25" customHeight="1">
      <x:c r="A27" s="75" t="str">
        <x:v>historical-126</x:v>
      </x:c>
      <x:c r="B27" s="75" t="str">
        <x:v>Amadou Onana</x:v>
      </x:c>
      <x:c r="C27" s="75" t="str">
        <x:v>Aston Villa</x:v>
      </x:c>
      <x:c r="D27" s="75" t="str">
        <x:v>Everton</x:v>
      </x:c>
      <x:c r="E27" s="77" t="d">
        <x:v>2024-07-22T00:00:00.000Z</x:v>
      </x:c>
      <x:c r="F27" s="75" t="str">
        <x:v>historical</x:v>
      </x:c>
      <x:c r="G27" s="75" t="str">
        <x:v>CDM</x:v>
      </x:c>
      <x:c r="H27" s="79" t="n">
        <x:v>59350000</x:v>
      </x:c>
      <x:c r="I27" s="75" t="str">
        <x:v>EUR</x:v>
      </x:c>
      <x:c r="J27" s="81" t="n">
        <x:v>23</x:v>
      </x:c>
      <x:c r="K27" s="83" t="n">
        <x:v>8.4</x:v>
      </x:c>
      <x:c r="L27" s="75" t="str">
        <x:v>Assistant draft</x:v>
      </x:c>
      <x:c r="M27" s="75" t="str">
        <x:v>Young signing and a moderate fee relative to the elite references support a favorable development-value draft.</x:v>
      </x:c>
      <x:c r="N27" s="75" t="str">
        <x:v>Low</x:v>
      </x:c>
      <x:c r="O27" s="75" t="str">
        <x:v>Workbook fee and age; detailed production not verified</x:v>
      </x:c>
      <x:c r="P27" s="75" t="str">
        <x:v>https://github.com/CopiousHighlights/football-transfer-market-analysis</x:v>
      </x:c>
    </x:row>
    <x:row r="28" ht="25" customHeight="1">
      <x:c r="A28" s="69" t="str">
        <x:v>historical-127</x:v>
      </x:c>
      <x:c r="B28" s="69" t="str">
        <x:v>Fred</x:v>
      </x:c>
      <x:c r="C28" s="69" t="str">
        <x:v>Man Utd</x:v>
      </x:c>
      <x:c r="D28" s="69" t="str">
        <x:v>Shakhtar D.</x:v>
      </x:c>
      <x:c r="E28" s="76" t="d">
        <x:v>2018-07-01T00:00:00.000Z</x:v>
      </x:c>
      <x:c r="F28" s="69" t="str">
        <x:v>historical</x:v>
      </x:c>
      <x:c r="G28" s="69" t="str">
        <x:v>Deep / central</x:v>
      </x:c>
      <x:c r="H28" s="78" t="n">
        <x:v>59000000</x:v>
      </x:c>
      <x:c r="I28" s="69" t="str">
        <x:v>EUR</x:v>
      </x:c>
      <x:c r="J28" s="80" t="n">
        <x:v>25</x:v>
      </x:c>
      <x:c r="K28" s="82" t="n">
        <x:v>7</x:v>
      </x:c>
      <x:c r="L28" s="69" t="str">
        <x:v>Assistant draft</x:v>
      </x:c>
      <x:c r="M28" s="69" t="str">
        <x:v>Substantial price at age 25 limits the draft relative to more complete deep-midfield references.</x:v>
      </x:c>
      <x:c r="N28" s="69" t="str">
        <x:v>Low</x:v>
      </x:c>
      <x:c r="O28" s="69" t="str">
        <x:v>Workbook fee and age; detailed production not verified</x:v>
      </x:c>
      <x:c r="P28" s="69" t="str">
        <x:v>https://github.com/CopiousHighlights/football-transfer-market-analysis</x:v>
      </x:c>
    </x:row>
    <x:row r="29" ht="25" customHeight="1">
      <x:c r="A29" s="75" t="str">
        <x:v>historical-130</x:v>
      </x:c>
      <x:c r="B29" s="75" t="str">
        <x:v>Teun Koopmeiners</x:v>
      </x:c>
      <x:c r="C29" s="75" t="str">
        <x:v>Juventus</x:v>
      </x:c>
      <x:c r="D29" s="75" t="str">
        <x:v>Atalanta</x:v>
      </x:c>
      <x:c r="E29" s="77" t="d">
        <x:v>2024-08-28T00:00:00.000Z</x:v>
      </x:c>
      <x:c r="F29" s="75" t="str">
        <x:v>historical</x:v>
      </x:c>
      <x:c r="G29" s="75" t="str">
        <x:v>Deep / central</x:v>
      </x:c>
      <x:c r="H29" s="79" t="n">
        <x:v>58400000</x:v>
      </x:c>
      <x:c r="I29" s="75" t="str">
        <x:v>EUR</x:v>
      </x:c>
      <x:c r="J29" s="81" t="n">
        <x:v>26</x:v>
      </x:c>
      <x:c r="K29" s="83" t="n">
        <x:v>7.3</x:v>
      </x:c>
      <x:c r="L29" s="75" t="str">
        <x:v>Assistant draft</x:v>
      </x:c>
      <x:c r="M29" s="75" t="str">
        <x:v>Age 26 offers useful runway, but a large fee and a mixed advanced/deep role reduce comparability.</x:v>
      </x:c>
      <x:c r="N29" s="75" t="str">
        <x:v>Low</x:v>
      </x:c>
      <x:c r="O29" s="75" t="str">
        <x:v>Workbook fee and age; detailed production not verified</x:v>
      </x:c>
      <x:c r="P29" s="75" t="str">
        <x:v>https://github.com/CopiousHighlights/football-transfer-market-analysis</x:v>
      </x:c>
    </x:row>
    <x:row r="30" ht="25" customHeight="1">
      <x:c r="A30" s="69" t="str">
        <x:v>historical-136</x:v>
      </x:c>
      <x:c r="B30" s="69" t="str">
        <x:v>Jorginho</x:v>
      </x:c>
      <x:c r="C30" s="69" t="str">
        <x:v>Chelsea</x:v>
      </x:c>
      <x:c r="D30" s="69" t="str">
        <x:v>Napoli</x:v>
      </x:c>
      <x:c r="E30" s="76" t="d">
        <x:v>2018-07-14T00:00:00.000Z</x:v>
      </x:c>
      <x:c r="F30" s="69" t="str">
        <x:v>historical</x:v>
      </x:c>
      <x:c r="G30" s="69" t="str">
        <x:v>CDM / deep</x:v>
      </x:c>
      <x:c r="H30" s="78" t="n">
        <x:v>57000000</x:v>
      </x:c>
      <x:c r="I30" s="69" t="str">
        <x:v>EUR</x:v>
      </x:c>
      <x:c r="J30" s="80" t="n">
        <x:v>27</x:v>
      </x:c>
      <x:c r="K30" s="82" t="n">
        <x:v>8.7</x:v>
      </x:c>
      <x:c r="L30" s="69" t="str">
        <x:v>Assistant draft</x:v>
      </x:c>
      <x:c r="M30" s="69" t="str">
        <x:v>Prime-age specialist passing profile proposed at a lower fee than the expensive reference deals.</x:v>
      </x:c>
      <x:c r="N30" s="69" t="str">
        <x:v>Low</x:v>
      </x:c>
      <x:c r="O30" s="69" t="str">
        <x:v>Workbook fee and age; detailed production not verified</x:v>
      </x:c>
      <x:c r="P30" s="69" t="str">
        <x:v>https://github.com/CopiousHighlights/football-transfer-market-analysis</x:v>
      </x:c>
    </x:row>
    <x:row r="31" ht="25" customHeight="1">
      <x:c r="A31" s="75" t="str">
        <x:v>historical-146</x:v>
      </x:c>
      <x:c r="B31" s="75" t="str">
        <x:v>Rúben Neves</x:v>
      </x:c>
      <x:c r="C31" s="75" t="str">
        <x:v>Al-Hilal</x:v>
      </x:c>
      <x:c r="D31" s="75" t="str">
        <x:v>Wolves</x:v>
      </x:c>
      <x:c r="E31" s="77" t="d">
        <x:v>2023-07-01T00:00:00.000Z</x:v>
      </x:c>
      <x:c r="F31" s="75" t="str">
        <x:v>historical</x:v>
      </x:c>
      <x:c r="G31" s="75" t="str">
        <x:v>CDM / deep</x:v>
      </x:c>
      <x:c r="H31" s="79" t="n">
        <x:v>55000000</x:v>
      </x:c>
      <x:c r="I31" s="75" t="str">
        <x:v>EUR</x:v>
      </x:c>
      <x:c r="J31" s="81" t="n">
        <x:v>26</x:v>
      </x:c>
      <x:c r="K31" s="83" t="n">
        <x:v>7.8</x:v>
      </x:c>
      <x:c r="L31" s="75" t="str">
        <x:v>Assistant draft</x:v>
      </x:c>
      <x:c r="M31" s="75" t="str">
        <x:v>Age 26 supports longevity; competition-context comparability and a sizeable fee temper this draft.</x:v>
      </x:c>
      <x:c r="N31" s="75" t="str">
        <x:v>Low</x:v>
      </x:c>
      <x:c r="O31" s="75" t="str">
        <x:v>Workbook fee and age; detailed production not verified</x:v>
      </x:c>
      <x:c r="P31" s="75" t="str">
        <x:v>https://github.com/CopiousHighlights/football-transfer-market-analysis</x:v>
      </x:c>
    </x:row>
    <x:row r="32" ht="25" customHeight="1">
      <x:c r="A32" s="69" t="str">
        <x:v>historical-161</x:v>
      </x:c>
      <x:c r="B32" s="69" t="str">
        <x:v>Douglas Luiz</x:v>
      </x:c>
      <x:c r="C32" s="69" t="str">
        <x:v>Juventus</x:v>
      </x:c>
      <x:c r="D32" s="69" t="str">
        <x:v>Aston Villa</x:v>
      </x:c>
      <x:c r="E32" s="76" t="d">
        <x:v>2024-07-01T00:00:00.000Z</x:v>
      </x:c>
      <x:c r="F32" s="69" t="str">
        <x:v>historical</x:v>
      </x:c>
      <x:c r="G32" s="69" t="str">
        <x:v>CDM / deep</x:v>
      </x:c>
      <x:c r="H32" s="78" t="n">
        <x:v>51500000</x:v>
      </x:c>
      <x:c r="I32" s="69" t="str">
        <x:v>EUR</x:v>
      </x:c>
      <x:c r="J32" s="80" t="n">
        <x:v>26</x:v>
      </x:c>
      <x:c r="K32" s="82" t="n">
        <x:v>7.2</x:v>
      </x:c>
      <x:c r="L32" s="69" t="str">
        <x:v>Assistant draft</x:v>
      </x:c>
      <x:c r="M32" s="69" t="str">
        <x:v>Prime-age signing with a material fee; swap-linked transaction structure requires review before treating price as standalone value.</x:v>
      </x:c>
      <x:c r="N32" s="69" t="str">
        <x:v>Low</x:v>
      </x:c>
      <x:c r="O32" s="69" t="str">
        <x:v>Workbook fee and age; detailed production not verified</x:v>
      </x:c>
      <x:c r="P32" s="69" t="str">
        <x:v>https://github.com/CopiousHighlights/football-transfer-market-analysis</x:v>
      </x:c>
    </x:row>
    <x:row r="33" ht="25" customHeight="1">
      <x:c r="A33" s="75" t="str">
        <x:v>historical-163</x:v>
      </x:c>
      <x:c r="B33" s="75" t="str">
        <x:v>João Palhinha</x:v>
      </x:c>
      <x:c r="C33" s="75" t="str">
        <x:v>Bayern Munich</x:v>
      </x:c>
      <x:c r="D33" s="75" t="str">
        <x:v>Fulham</x:v>
      </x:c>
      <x:c r="E33" s="77" t="d">
        <x:v>2024-07-11T00:00:00.000Z</x:v>
      </x:c>
      <x:c r="F33" s="75" t="str">
        <x:v>historical</x:v>
      </x:c>
      <x:c r="G33" s="75" t="str">
        <x:v>CDM</x:v>
      </x:c>
      <x:c r="H33" s="79" t="n">
        <x:v>51000000</x:v>
      </x:c>
      <x:c r="I33" s="75" t="str">
        <x:v>EUR</x:v>
      </x:c>
      <x:c r="J33" s="81" t="n">
        <x:v>29</x:v>
      </x:c>
      <x:c r="K33" s="83" t="n">
        <x:v>7.6</x:v>
      </x:c>
      <x:c r="L33" s="75" t="str">
        <x:v>Assistant draft</x:v>
      </x:c>
      <x:c r="M33" s="75" t="str">
        <x:v>Proposed strong defensive specialist tier, offset by age 29 and a significant price.</x:v>
      </x:c>
      <x:c r="N33" s="75" t="str">
        <x:v>Low</x:v>
      </x:c>
      <x:c r="O33" s="75" t="str">
        <x:v>Workbook fee and age; detailed production not verified</x:v>
      </x:c>
      <x:c r="P33" s="75" t="str">
        <x:v>https://github.com/CopiousHighlights/football-transfer-market-analysis</x:v>
      </x:c>
    </x:row>
    <x:row r="34" ht="25" customHeight="1">
      <x:c r="A34" s="69" t="str">
        <x:v>historical-179</x:v>
      </x:c>
      <x:c r="B34" s="69" t="str">
        <x:v>Manuel Ugarte</x:v>
      </x:c>
      <x:c r="C34" s="69" t="str">
        <x:v>Man Utd</x:v>
      </x:c>
      <x:c r="D34" s="69" t="str">
        <x:v>PSG</x:v>
      </x:c>
      <x:c r="E34" s="76" t="d">
        <x:v>2024-08-30T00:00:00.000Z</x:v>
      </x:c>
      <x:c r="F34" s="69" t="str">
        <x:v>historical</x:v>
      </x:c>
      <x:c r="G34" s="69" t="str">
        <x:v>CDM</x:v>
      </x:c>
      <x:c r="H34" s="78" t="n">
        <x:v>50000000</x:v>
      </x:c>
      <x:c r="I34" s="69" t="str">
        <x:v>EUR</x:v>
      </x:c>
      <x:c r="J34" s="80" t="n">
        <x:v>23</x:v>
      </x:c>
      <x:c r="K34" s="82" t="n">
        <x:v>7.7</x:v>
      </x:c>
      <x:c r="L34" s="69" t="str">
        <x:v>Assistant draft</x:v>
      </x:c>
      <x:c r="M34" s="69" t="str">
        <x:v>Separate United move: lower fee than the PSG record gives a slightly better draft, with role-fit evidence still needed.</x:v>
      </x:c>
      <x:c r="N34" s="69" t="str">
        <x:v>Low</x:v>
      </x:c>
      <x:c r="O34" s="69" t="str">
        <x:v>Workbook fee and age; detailed production not verified</x:v>
      </x:c>
      <x:c r="P34" s="69" t="str">
        <x:v>https://github.com/CopiousHighlights/football-transfer-market-analysis</x:v>
      </x:c>
    </x:row>
    <x:row r="35" ht="25" customHeight="1">
      <x:c r="A35" s="75" t="str">
        <x:v>historical-180</x:v>
      </x:c>
      <x:c r="B35" s="75" t="str">
        <x:v>Thomas Partey</x:v>
      </x:c>
      <x:c r="C35" s="75" t="str">
        <x:v>Arsenal</x:v>
      </x:c>
      <x:c r="D35" s="75" t="str">
        <x:v>Atlético</x:v>
      </x:c>
      <x:c r="E35" s="77" t="d">
        <x:v>2020-10-05T00:00:00.000Z</x:v>
      </x:c>
      <x:c r="F35" s="75" t="str">
        <x:v>historical</x:v>
      </x:c>
      <x:c r="G35" s="75" t="str">
        <x:v>CDM</x:v>
      </x:c>
      <x:c r="H35" s="79" t="n">
        <x:v>50000000</x:v>
      </x:c>
      <x:c r="I35" s="75" t="str">
        <x:v>EUR</x:v>
      </x:c>
      <x:c r="J35" s="81" t="n">
        <x:v>27</x:v>
      </x:c>
      <x:c r="K35" s="83" t="n">
        <x:v>8</x:v>
      </x:c>
      <x:c r="L35" s="75" t="str">
        <x:v>Assistant draft</x:v>
      </x:c>
      <x:c r="M35" s="75" t="str">
        <x:v>Proposed good quality tier at a moderate fee; age 27 gives less runway than the young reference signings.</x:v>
      </x:c>
      <x:c r="N35" s="75" t="str">
        <x:v>Low</x:v>
      </x:c>
      <x:c r="O35" s="75" t="str">
        <x:v>Workbook fee and age; detailed production not verified</x:v>
      </x:c>
      <x:c r="P35" s="75" t="str">
        <x:v>https://github.com/CopiousHighlights/football-transfer-market-analysis</x:v>
      </x:c>
    </x:row>
    <x:row r="36" ht="25" customHeight="1">
      <x:c r="A36" s="69" t="str">
        <x:v>historical-186</x:v>
      </x:c>
      <x:c r="B36" s="69" t="str">
        <x:v>Kalvin Phillips</x:v>
      </x:c>
      <x:c r="C36" s="69" t="str">
        <x:v>Man City</x:v>
      </x:c>
      <x:c r="D36" s="69" t="str">
        <x:v>Leeds</x:v>
      </x:c>
      <x:c r="E36" s="76" t="d">
        <x:v>2022-07-04T00:00:00.000Z</x:v>
      </x:c>
      <x:c r="F36" s="69" t="str">
        <x:v>historical</x:v>
      </x:c>
      <x:c r="G36" s="69" t="str">
        <x:v>CDM</x:v>
      </x:c>
      <x:c r="H36" s="78" t="n">
        <x:v>49000000</x:v>
      </x:c>
      <x:c r="I36" s="69" t="str">
        <x:v>EUR</x:v>
      </x:c>
      <x:c r="J36" s="80" t="n">
        <x:v>27</x:v>
      </x:c>
      <x:c r="K36" s="82" t="n">
        <x:v>5.9</x:v>
      </x:c>
      <x:c r="L36" s="69" t="str">
        <x:v>Assistant draft</x:v>
      </x:c>
      <x:c r="M36" s="69" t="str">
        <x:v>Large fee relative to the proposed retrospective contribution tier; workbook age also limits remaining upside.</x:v>
      </x:c>
      <x:c r="N36" s="69" t="str">
        <x:v>Low</x:v>
      </x:c>
      <x:c r="O36" s="69" t="str">
        <x:v>Workbook fee and age; detailed production not verified</x:v>
      </x:c>
      <x:c r="P36" s="69" t="str">
        <x:v>https://github.com/CopiousHighlights/football-transfer-market-analysis</x:v>
      </x:c>
    </x:row>
    <x:row r="37" ht="25" customHeight="1">
      <x:c r="A37" s="75" t="str">
        <x:v>historical-195</x:v>
      </x:c>
      <x:c r="B37" s="75" t="str">
        <x:v>Fabinho</x:v>
      </x:c>
      <x:c r="C37" s="75" t="str">
        <x:v>Al-Ittihad</x:v>
      </x:c>
      <x:c r="D37" s="75" t="str">
        <x:v>Liverpool</x:v>
      </x:c>
      <x:c r="E37" s="77" t="d">
        <x:v>2023-07-31T00:00:00.000Z</x:v>
      </x:c>
      <x:c r="F37" s="75" t="str">
        <x:v>historical</x:v>
      </x:c>
      <x:c r="G37" s="75" t="str">
        <x:v>CDM</x:v>
      </x:c>
      <x:c r="H37" s="79" t="n">
        <x:v>46700000</x:v>
      </x:c>
      <x:c r="I37" s="75" t="str">
        <x:v>EUR</x:v>
      </x:c>
      <x:c r="J37" s="81" t="n">
        <x:v>30</x:v>
      </x:c>
      <x:c r="K37" s="83" t="n">
        <x:v>7.4</x:v>
      </x:c>
      <x:c r="L37" s="75" t="str">
        <x:v>Assistant draft</x:v>
      </x:c>
      <x:c r="M37" s="75" t="str">
        <x:v>Age 30 and competition-context uncertainty lower the draft despite a proposed experienced quality tier.</x:v>
      </x:c>
      <x:c r="N37" s="75" t="str">
        <x:v>Low</x:v>
      </x:c>
      <x:c r="O37" s="75" t="str">
        <x:v>Workbook fee and age; detailed production not verified</x:v>
      </x:c>
      <x:c r="P37" s="75" t="str">
        <x:v>https://github.com/CopiousHighlights/football-transfer-market-analysis</x:v>
      </x:c>
    </x:row>
    <x:row r="38" ht="25" customHeight="1">
      <x:c r="A38" s="69" t="str">
        <x:v>S26-0019</x:v>
      </x:c>
      <x:c r="B38" s="69" t="str">
        <x:v>Gonzalo Villar</x:v>
      </x:c>
      <x:c r="C38" s="69" t="str">
        <x:v>Elche</x:v>
      </x:c>
      <x:c r="D38" s="69" t="str">
        <x:v>Dinamo Zagreb</x:v>
      </x:c>
      <x:c r="E38" s="76" t="d">
        <x:v>2026-05-29T00:00:00.000Z</x:v>
      </x:c>
      <x:c r="F38" s="69" t="str">
        <x:v>summer</x:v>
      </x:c>
      <x:c r="G38" s="69" t="str">
        <x:v>CDM / deep (editorial)</x:v>
      </x:c>
      <x:c r="H38" s="78" t="n">
        <x:v>870000</x:v>
      </x:c>
      <x:c r="I38" s="69" t="str">
        <x:v>GBP</x:v>
      </x:c>
      <x:c r="J38" s="80"/>
      <x:c r="K38" s="82" t="n">
        <x:v>7.5</x:v>
      </x:c>
      <x:c r="L38" s="69" t="str">
        <x:v>Assistant draft</x:v>
      </x:c>
      <x:c r="M38" s="69" t="str">
        <x:v>Editorial estimate relative to the Rice/Anderson and cheaper veteran references at the listed GBP fee. Role, production, age and potential require a full scouting review; this decimal is a discussion draft.</x:v>
      </x:c>
      <x:c r="N38" s="69" t="str">
        <x:v>Low</x:v>
      </x:c>
      <x:c r="O38" s="69" t="str">
        <x:v>Workbook quote; age and detailed production not verified</x:v>
      </x:c>
      <x:c r="P38" s="69" t="str">
        <x:v>https://www.theguardian.com/football/ng-interactive/2026/sep/01/mens-transfer-window-summer-2026-all-deals-from-europes-top-five-leagues</x:v>
      </x:c>
    </x:row>
    <x:row r="39" ht="25" customHeight="1">
      <x:c r="A39" s="75" t="str">
        <x:v>S26-0026</x:v>
      </x:c>
      <x:c r="B39" s="75" t="str">
        <x:v>Aleksandar Stankovic</x:v>
      </x:c>
      <x:c r="C39" s="75" t="str">
        <x:v>Inter</x:v>
      </x:c>
      <x:c r="D39" s="75" t="str">
        <x:v>Club Brugge</x:v>
      </x:c>
      <x:c r="E39" s="77" t="d">
        <x:v>2026-06-05T00:00:00.000Z</x:v>
      </x:c>
      <x:c r="F39" s="75" t="str">
        <x:v>summer</x:v>
      </x:c>
      <x:c r="G39" s="75" t="str">
        <x:v>CDM / deep (editorial)</x:v>
      </x:c>
      <x:c r="H39" s="79" t="n">
        <x:v>19900000</x:v>
      </x:c>
      <x:c r="I39" s="75" t="str">
        <x:v>GBP</x:v>
      </x:c>
      <x:c r="J39" s="81"/>
      <x:c r="K39" s="83" t="n">
        <x:v>8.4</x:v>
      </x:c>
      <x:c r="L39" s="75" t="str">
        <x:v>Assistant draft</x:v>
      </x:c>
      <x:c r="M39" s="75" t="str">
        <x:v>Editorial estimate relative to the Rice/Anderson and cheaper veteran references at the listed GBP fee. Role, production, age and potential require a full scouting review; this decimal is a discussion draft.</x:v>
      </x:c>
      <x:c r="N39" s="75" t="str">
        <x:v>Low</x:v>
      </x:c>
      <x:c r="O39" s="75" t="str">
        <x:v>Workbook quote; age and detailed production not verified</x:v>
      </x:c>
      <x:c r="P39" s="75" t="str">
        <x:v>https://www.theguardian.com/football/ng-interactive/2026/sep/01/mens-transfer-window-summer-2026-all-deals-from-europes-top-five-leagues</x:v>
      </x:c>
    </x:row>
    <x:row r="40" ht="25" customHeight="1">
      <x:c r="A40" s="69" t="str">
        <x:v>S26-0050</x:v>
      </x:c>
      <x:c r="B40" s="69" t="str">
        <x:v>Satoshi Tanaka</x:v>
      </x:c>
      <x:c r="C40" s="69" t="str">
        <x:v>Schalke 04</x:v>
      </x:c>
      <x:c r="D40" s="69" t="str">
        <x:v>Fortuna Düsseldorf</x:v>
      </x:c>
      <x:c r="E40" s="76" t="d">
        <x:v>2026-06-10T00:00:00.000Z</x:v>
      </x:c>
      <x:c r="F40" s="69" t="str">
        <x:v>summer</x:v>
      </x:c>
      <x:c r="G40" s="69" t="str">
        <x:v>CDM / deep (editorial)</x:v>
      </x:c>
      <x:c r="H40" s="78" t="n">
        <x:v>900000</x:v>
      </x:c>
      <x:c r="I40" s="69" t="str">
        <x:v>GBP</x:v>
      </x:c>
      <x:c r="J40" s="80"/>
      <x:c r="K40" s="82" t="n">
        <x:v>7.8</x:v>
      </x:c>
      <x:c r="L40" s="69" t="str">
        <x:v>Assistant draft</x:v>
      </x:c>
      <x:c r="M40" s="69" t="str">
        <x:v>Editorial estimate relative to the Rice/Anderson and cheaper veteran references at the listed GBP fee. Role, production, age and potential require a full scouting review; this decimal is a discussion draft.</x:v>
      </x:c>
      <x:c r="N40" s="69" t="str">
        <x:v>Low</x:v>
      </x:c>
      <x:c r="O40" s="69" t="str">
        <x:v>Workbook quote; age and detailed production not verified</x:v>
      </x:c>
      <x:c r="P40" s="69" t="str">
        <x:v>https://www.theguardian.com/football/ng-interactive/2026/sep/01/mens-transfer-window-summer-2026-all-deals-from-europes-top-five-leagues</x:v>
      </x:c>
    </x:row>
    <x:row r="41" ht="25" customHeight="1">
      <x:c r="A41" s="75" t="str">
        <x:v>S26-0051</x:v>
      </x:c>
      <x:c r="B41" s="75" t="str">
        <x:v>Kennet Eichhorn</x:v>
      </x:c>
      <x:c r="C41" s="75" t="str">
        <x:v>Bayer Leverkusen</x:v>
      </x:c>
      <x:c r="D41" s="75" t="str">
        <x:v>Hertha Berlin</x:v>
      </x:c>
      <x:c r="E41" s="77" t="d">
        <x:v>2026-06-10T00:00:00.000Z</x:v>
      </x:c>
      <x:c r="F41" s="75" t="str">
        <x:v>summer</x:v>
      </x:c>
      <x:c r="G41" s="75" t="str">
        <x:v>CDM / deep (editorial)</x:v>
      </x:c>
      <x:c r="H41" s="79" t="n">
        <x:v>7800000</x:v>
      </x:c>
      <x:c r="I41" s="75" t="str">
        <x:v>GBP</x:v>
      </x:c>
      <x:c r="J41" s="81"/>
      <x:c r="K41" s="83" t="n">
        <x:v>8.4</x:v>
      </x:c>
      <x:c r="L41" s="75" t="str">
        <x:v>Assistant draft</x:v>
      </x:c>
      <x:c r="M41" s="75" t="str">
        <x:v>Editorial estimate relative to the Rice/Anderson and cheaper veteran references at the listed GBP fee. Role, production, age and potential require a full scouting review; this decimal is a discussion draft.</x:v>
      </x:c>
      <x:c r="N41" s="75" t="str">
        <x:v>Low</x:v>
      </x:c>
      <x:c r="O41" s="75" t="str">
        <x:v>Workbook quote; age and detailed production not verified</x:v>
      </x:c>
      <x:c r="P41" s="75" t="str">
        <x:v>https://www.theguardian.com/football/ng-interactive/2026/sep/01/mens-transfer-window-summer-2026-all-deals-from-europes-top-five-leagues</x:v>
      </x:c>
    </x:row>
    <x:row r="42" ht="25" customHeight="1">
      <x:c r="A42" s="69" t="str">
        <x:v>S26-0084</x:v>
      </x:c>
      <x:c r="B42" s="69" t="str">
        <x:v>Giacomo Calò</x:v>
      </x:c>
      <x:c r="C42" s="69" t="str">
        <x:v>Frosinone</x:v>
      </x:c>
      <x:c r="D42" s="69" t="str">
        <x:v>Cesena</x:v>
      </x:c>
      <x:c r="E42" s="76" t="d">
        <x:v>2026-06-17T00:00:00.000Z</x:v>
      </x:c>
      <x:c r="F42" s="69" t="str">
        <x:v>summer</x:v>
      </x:c>
      <x:c r="G42" s="69" t="str">
        <x:v>CDM / deep (editorial)</x:v>
      </x:c>
      <x:c r="H42" s="78"/>
      <x:c r="I42" s="69" t="str">
        <x:v>GBP</x:v>
      </x:c>
      <x:c r="J42" s="80"/>
      <x:c r="K42" s="82"/>
      <x:c r="L42" s="69" t="str">
        <x:v>Fee needed</x:v>
      </x:c>
      <x:c r="M42" s="69" t="str">
        <x:v>Fee or loan terms are missing; no fee-value rating assigned. Do not treat a blank quote as zero.</x:v>
      </x:c>
      <x:c r="N42" s="69" t="str">
        <x:v>Low</x:v>
      </x:c>
      <x:c r="O42" s="69" t="str">
        <x:v>Workbook quote; age and detailed production not verified</x:v>
      </x:c>
      <x:c r="P42" s="69" t="str">
        <x:v>https://www.theguardian.com/football/ng-interactive/2026/sep/01/mens-transfer-window-summer-2026-all-deals-from-europes-top-five-leagues</x:v>
      </x:c>
    </x:row>
    <x:row r="43" ht="25" customHeight="1">
      <x:c r="A43" s="75" t="str">
        <x:v>S26-0099</x:v>
      </x:c>
      <x:c r="B43" s="75" t="str">
        <x:v>Charles Vanhoutte</x:v>
      </x:c>
      <x:c r="C43" s="75" t="str">
        <x:v>Feyenoord</x:v>
      </x:c>
      <x:c r="D43" s="75" t="str">
        <x:v>Nice</x:v>
      </x:c>
      <x:c r="E43" s="77" t="d">
        <x:v>2026-06-19T00:00:00.000Z</x:v>
      </x:c>
      <x:c r="F43" s="75" t="str">
        <x:v>summer</x:v>
      </x:c>
      <x:c r="G43" s="75" t="str">
        <x:v>CDM / deep (editorial)</x:v>
      </x:c>
      <x:c r="H43" s="79" t="n">
        <x:v>5200000</x:v>
      </x:c>
      <x:c r="I43" s="75" t="str">
        <x:v>GBP</x:v>
      </x:c>
      <x:c r="J43" s="81"/>
      <x:c r="K43" s="83" t="n">
        <x:v>7.8</x:v>
      </x:c>
      <x:c r="L43" s="75" t="str">
        <x:v>Assistant draft</x:v>
      </x:c>
      <x:c r="M43" s="75" t="str">
        <x:v>Editorial estimate relative to the Rice/Anderson and cheaper veteran references at the listed GBP fee. Role, production, age and potential require a full scouting review; this decimal is a discussion draft.</x:v>
      </x:c>
      <x:c r="N43" s="75" t="str">
        <x:v>Low</x:v>
      </x:c>
      <x:c r="O43" s="75" t="str">
        <x:v>Workbook quote; age and detailed production not verified</x:v>
      </x:c>
      <x:c r="P43" s="75" t="str">
        <x:v>https://www.theguardian.com/football/ng-interactive/2026/sep/01/mens-transfer-window-summer-2026-all-deals-from-europes-top-five-leagues</x:v>
      </x:c>
    </x:row>
    <x:row r="44" ht="25" customHeight="1">
      <x:c r="A44" s="69" t="str">
        <x:v>S26-0158</x:v>
      </x:c>
      <x:c r="B44" s="69" t="str">
        <x:v>Frank Onyeka</x:v>
      </x:c>
      <x:c r="C44" s="69" t="str">
        <x:v>Coventry City</x:v>
      </x:c>
      <x:c r="D44" s="69" t="str">
        <x:v>Brentford</x:v>
      </x:c>
      <x:c r="E44" s="76" t="d">
        <x:v>2026-06-29T00:00:00.000Z</x:v>
      </x:c>
      <x:c r="F44" s="69" t="str">
        <x:v>summer</x:v>
      </x:c>
      <x:c r="G44" s="69" t="str">
        <x:v>CDM / deep (editorial)</x:v>
      </x:c>
      <x:c r="H44" s="78"/>
      <x:c r="I44" s="69" t="str">
        <x:v>GBP</x:v>
      </x:c>
      <x:c r="J44" s="80"/>
      <x:c r="K44" s="82"/>
      <x:c r="L44" s="69" t="str">
        <x:v>Fee needed</x:v>
      </x:c>
      <x:c r="M44" s="69" t="str">
        <x:v>Fee or loan terms are missing; no fee-value rating assigned. Do not treat a blank quote as zero.</x:v>
      </x:c>
      <x:c r="N44" s="69" t="str">
        <x:v>Low</x:v>
      </x:c>
      <x:c r="O44" s="69" t="str">
        <x:v>Workbook quote; age and detailed production not verified</x:v>
      </x:c>
      <x:c r="P44" s="69" t="str">
        <x:v>https://www.theguardian.com/football/ng-interactive/2026/sep/01/mens-transfer-window-summer-2026-all-deals-from-europes-top-five-leagues</x:v>
      </x:c>
    </x:row>
    <x:row r="45" ht="25" customHeight="1">
      <x:c r="A45" s="75" t="str">
        <x:v>S26-0169</x:v>
      </x:c>
      <x:c r="B45" s="75" t="str">
        <x:v>Mads Bidstrup</x:v>
      </x:c>
      <x:c r="C45" s="75" t="str">
        <x:v>Lyon</x:v>
      </x:c>
      <x:c r="D45" s="75" t="str">
        <x:v>Red Bull Salzburg</x:v>
      </x:c>
      <x:c r="E45" s="77" t="d">
        <x:v>2026-07-01T00:00:00.000Z</x:v>
      </x:c>
      <x:c r="F45" s="75" t="str">
        <x:v>summer</x:v>
      </x:c>
      <x:c r="G45" s="75" t="str">
        <x:v>CDM / deep (editorial)</x:v>
      </x:c>
      <x:c r="H45" s="79" t="n">
        <x:v>9000000</x:v>
      </x:c>
      <x:c r="I45" s="75" t="str">
        <x:v>GBP</x:v>
      </x:c>
      <x:c r="J45" s="81"/>
      <x:c r="K45" s="83" t="n">
        <x:v>8</x:v>
      </x:c>
      <x:c r="L45" s="75" t="str">
        <x:v>Assistant draft</x:v>
      </x:c>
      <x:c r="M45" s="75" t="str">
        <x:v>Editorial estimate relative to the Rice/Anderson and cheaper veteran references at the listed GBP fee. Role, production, age and potential require a full scouting review; this decimal is a discussion draft.</x:v>
      </x:c>
      <x:c r="N45" s="75" t="str">
        <x:v>Low</x:v>
      </x:c>
      <x:c r="O45" s="75" t="str">
        <x:v>Workbook quote; age and detailed production not verified</x:v>
      </x:c>
      <x:c r="P45" s="75" t="str">
        <x:v>https://www.theguardian.com/football/ng-interactive/2026/sep/01/mens-transfer-window-summer-2026-all-deals-from-europes-top-five-leagues</x:v>
      </x:c>
    </x:row>
    <x:row r="46" ht="25" customHeight="1">
      <x:c r="A46" s="69" t="str">
        <x:v>S26-0179</x:v>
      </x:c>
      <x:c r="B46" s="69" t="str">
        <x:v>Sergi Altimira</x:v>
      </x:c>
      <x:c r="C46" s="69" t="str">
        <x:v>Sporting</x:v>
      </x:c>
      <x:c r="D46" s="69" t="str">
        <x:v>Real Betis</x:v>
      </x:c>
      <x:c r="E46" s="76" t="d">
        <x:v>2026-06-30T00:00:00.000Z</x:v>
      </x:c>
      <x:c r="F46" s="69" t="str">
        <x:v>summer</x:v>
      </x:c>
      <x:c r="G46" s="69" t="str">
        <x:v>CDM / deep (editorial)</x:v>
      </x:c>
      <x:c r="H46" s="78" t="n">
        <x:v>15400000</x:v>
      </x:c>
      <x:c r="I46" s="69" t="str">
        <x:v>GBP</x:v>
      </x:c>
      <x:c r="J46" s="80"/>
      <x:c r="K46" s="82" t="n">
        <x:v>7.9</x:v>
      </x:c>
      <x:c r="L46" s="69" t="str">
        <x:v>Assistant draft</x:v>
      </x:c>
      <x:c r="M46" s="69" t="str">
        <x:v>Editorial estimate relative to the Rice/Anderson and cheaper veteran references at the listed GBP fee. Role, production, age and potential require a full scouting review; this decimal is a discussion draft.</x:v>
      </x:c>
      <x:c r="N46" s="69" t="str">
        <x:v>Low</x:v>
      </x:c>
      <x:c r="O46" s="69" t="str">
        <x:v>Workbook quote; age and detailed production not verified</x:v>
      </x:c>
      <x:c r="P46" s="69" t="str">
        <x:v>https://www.theguardian.com/football/ng-interactive/2026/sep/01/mens-transfer-window-summer-2026-all-deals-from-europes-top-five-leagues</x:v>
      </x:c>
    </x:row>
    <x:row r="47" ht="25" customHeight="1">
      <x:c r="A47" s="75" t="str">
        <x:v>S26-0182</x:v>
      </x:c>
      <x:c r="B47" s="75" t="str">
        <x:v>Dan Neil</x:v>
      </x:c>
      <x:c r="C47" s="75" t="str">
        <x:v>Rangers</x:v>
      </x:c>
      <x:c r="D47" s="75" t="str">
        <x:v>Sunderland</x:v>
      </x:c>
      <x:c r="E47" s="77" t="d">
        <x:v>2026-07-01T00:00:00.000Z</x:v>
      </x:c>
      <x:c r="F47" s="75" t="str">
        <x:v>summer</x:v>
      </x:c>
      <x:c r="G47" s="75" t="str">
        <x:v>CDM / deep (editorial)</x:v>
      </x:c>
      <x:c r="H47" s="79" t="n">
        <x:v>0</x:v>
      </x:c>
      <x:c r="I47" s="75" t="str">
        <x:v>GBP</x:v>
      </x:c>
      <x:c r="J47" s="81"/>
      <x:c r="K47" s="83" t="n">
        <x:v>7.9</x:v>
      </x:c>
      <x:c r="L47" s="75" t="str">
        <x:v>Assistant draft</x:v>
      </x:c>
      <x:c r="M47" s="75" t="str">
        <x:v>Proposed value from a zero transfer-fee move. Experience/development judgment is provisional; wages, bonuses and signing costs are unknown.</x:v>
      </x:c>
      <x:c r="N47" s="75" t="str">
        <x:v>Low</x:v>
      </x:c>
      <x:c r="O47" s="75" t="str">
        <x:v>Workbook quote; age and detailed production not verified</x:v>
      </x:c>
      <x:c r="P47" s="75" t="str">
        <x:v>https://www.theguardian.com/football/ng-interactive/2026/sep/01/mens-transfer-window-summer-2026-all-deals-from-europes-top-five-leagues</x:v>
      </x:c>
    </x:row>
    <x:row r="48" ht="25" customHeight="1">
      <x:c r="A48" s="69" t="str">
        <x:v>S26-0192</x:v>
      </x:c>
      <x:c r="B48" s="69" t="str">
        <x:v>Enzo Barrenechea</x:v>
      </x:c>
      <x:c r="C48" s="69" t="str">
        <x:v>Benfica</x:v>
      </x:c>
      <x:c r="D48" s="69" t="str">
        <x:v>Aston Villa</x:v>
      </x:c>
      <x:c r="E48" s="76" t="d">
        <x:v>2026-07-01T00:00:00.000Z</x:v>
      </x:c>
      <x:c r="F48" s="69" t="str">
        <x:v>summer</x:v>
      </x:c>
      <x:c r="G48" s="69" t="str">
        <x:v>CDM / deep (editorial)</x:v>
      </x:c>
      <x:c r="H48" s="78" t="n">
        <x:v>12000000</x:v>
      </x:c>
      <x:c r="I48" s="69" t="str">
        <x:v>GBP</x:v>
      </x:c>
      <x:c r="J48" s="80"/>
      <x:c r="K48" s="82" t="n">
        <x:v>8.2</x:v>
      </x:c>
      <x:c r="L48" s="69" t="str">
        <x:v>Assistant draft</x:v>
      </x:c>
      <x:c r="M48" s="69" t="str">
        <x:v>Editorial estimate relative to the Rice/Anderson and cheaper veteran references at the listed GBP fee. Role, production, age and potential require a full scouting review; this decimal is a discussion draft.</x:v>
      </x:c>
      <x:c r="N48" s="69" t="str">
        <x:v>Low</x:v>
      </x:c>
      <x:c r="O48" s="69" t="str">
        <x:v>Workbook quote; age and detailed production not verified</x:v>
      </x:c>
      <x:c r="P48" s="69" t="str">
        <x:v>https://www.theguardian.com/football/ng-interactive/2026/sep/01/mens-transfer-window-summer-2026-all-deals-from-europes-top-five-leagues</x:v>
      </x:c>
    </x:row>
    <x:row r="49" ht="25" customHeight="1">
      <x:c r="A49" s="75" t="str">
        <x:v>S26-0195</x:v>
      </x:c>
      <x:c r="B49" s="75" t="str">
        <x:v>Hayden Hackney</x:v>
      </x:c>
      <x:c r="C49" s="75" t="str">
        <x:v>Everton</x:v>
      </x:c>
      <x:c r="D49" s="75" t="str">
        <x:v>Middlesbrough</x:v>
      </x:c>
      <x:c r="E49" s="77" t="d">
        <x:v>2026-07-02T00:00:00.000Z</x:v>
      </x:c>
      <x:c r="F49" s="75" t="str">
        <x:v>summer</x:v>
      </x:c>
      <x:c r="G49" s="75" t="str">
        <x:v>CDM / deep (editorial)</x:v>
      </x:c>
      <x:c r="H49" s="79" t="n">
        <x:v>16500000</x:v>
      </x:c>
      <x:c r="I49" s="75" t="str">
        <x:v>GBP</x:v>
      </x:c>
      <x:c r="J49" s="81"/>
      <x:c r="K49" s="83" t="n">
        <x:v>8.3</x:v>
      </x:c>
      <x:c r="L49" s="75" t="str">
        <x:v>Assistant draft</x:v>
      </x:c>
      <x:c r="M49" s="75" t="str">
        <x:v>Editorial estimate relative to the Rice/Anderson and cheaper veteran references at the listed GBP fee. Role, production, age and potential require a full scouting review; this decimal is a discussion draft.</x:v>
      </x:c>
      <x:c r="N49" s="75" t="str">
        <x:v>Low</x:v>
      </x:c>
      <x:c r="O49" s="75" t="str">
        <x:v>Workbook quote; age and detailed production not verified</x:v>
      </x:c>
      <x:c r="P49" s="75" t="str">
        <x:v>https://www.theguardian.com/football/ng-interactive/2026/sep/01/mens-transfer-window-summer-2026-all-deals-from-europes-top-five-leagues</x:v>
      </x:c>
    </x:row>
    <x:row r="50" ht="25" customHeight="1">
      <x:c r="A50" s="69" t="str">
        <x:v>S26-0223</x:v>
      </x:c>
      <x:c r="B50" s="69" t="str">
        <x:v>Laurent Abergel</x:v>
      </x:c>
      <x:c r="C50" s="69" t="str">
        <x:v>Nice</x:v>
      </x:c>
      <x:c r="D50" s="69" t="str">
        <x:v>Lorient</x:v>
      </x:c>
      <x:c r="E50" s="76" t="d">
        <x:v>2026-07-02T00:00:00.000Z</x:v>
      </x:c>
      <x:c r="F50" s="69" t="str">
        <x:v>summer</x:v>
      </x:c>
      <x:c r="G50" s="69" t="str">
        <x:v>CDM / deep (editorial)</x:v>
      </x:c>
      <x:c r="H50" s="78" t="n">
        <x:v>0</x:v>
      </x:c>
      <x:c r="I50" s="69" t="str">
        <x:v>GBP</x:v>
      </x:c>
      <x:c r="J50" s="80"/>
      <x:c r="K50" s="82" t="n">
        <x:v>7.8</x:v>
      </x:c>
      <x:c r="L50" s="69" t="str">
        <x:v>Assistant draft</x:v>
      </x:c>
      <x:c r="M50" s="69" t="str">
        <x:v>Proposed value from a zero transfer-fee move. Experience/development judgment is provisional; wages, bonuses and signing costs are unknown.</x:v>
      </x:c>
      <x:c r="N50" s="69" t="str">
        <x:v>Low</x:v>
      </x:c>
      <x:c r="O50" s="69" t="str">
        <x:v>Workbook quote; age and detailed production not verified</x:v>
      </x:c>
      <x:c r="P50" s="69" t="str">
        <x:v>https://www.theguardian.com/football/ng-interactive/2026/sep/01/mens-transfer-window-summer-2026-all-deals-from-europes-top-five-leagues</x:v>
      </x:c>
    </x:row>
    <x:row r="51" ht="25" customHeight="1">
      <x:c r="A51" s="75" t="str">
        <x:v>S26-0276</x:v>
      </x:c>
      <x:c r="B51" s="75" t="str">
        <x:v>Gabriel Moscardo</x:v>
      </x:c>
      <x:c r="C51" s="75" t="str">
        <x:v>Espanyol</x:v>
      </x:c>
      <x:c r="D51" s="75" t="str">
        <x:v>Paris Saint-Germain</x:v>
      </x:c>
      <x:c r="E51" s="77" t="d">
        <x:v>2026-07-08T00:00:00.000Z</x:v>
      </x:c>
      <x:c r="F51" s="75" t="str">
        <x:v>summer</x:v>
      </x:c>
      <x:c r="G51" s="75" t="str">
        <x:v>CDM / deep (editorial)</x:v>
      </x:c>
      <x:c r="H51" s="79"/>
      <x:c r="I51" s="75" t="str">
        <x:v>GBP</x:v>
      </x:c>
      <x:c r="J51" s="81"/>
      <x:c r="K51" s="83"/>
      <x:c r="L51" s="75" t="str">
        <x:v>Fee needed</x:v>
      </x:c>
      <x:c r="M51" s="75" t="str">
        <x:v>Fee or loan terms are missing; no fee-value rating assigned. Do not treat a blank quote as zero.</x:v>
      </x:c>
      <x:c r="N51" s="75" t="str">
        <x:v>Low</x:v>
      </x:c>
      <x:c r="O51" s="75" t="str">
        <x:v>Workbook quote; age and detailed production not verified</x:v>
      </x:c>
      <x:c r="P51" s="75" t="str">
        <x:v>https://www.theguardian.com/football/ng-interactive/2026/sep/01/mens-transfer-window-summer-2026-all-deals-from-europes-top-five-leagues</x:v>
      </x:c>
    </x:row>
    <x:row r="52" ht="25" customHeight="1">
      <x:c r="A52" s="69" t="str">
        <x:v>S26-0295</x:v>
      </x:c>
      <x:c r="B52" s="69" t="str">
        <x:v>Salih Ozcan</x:v>
      </x:c>
      <x:c r="C52" s="69" t="str">
        <x:v>Besiktas</x:v>
      </x:c>
      <x:c r="D52" s="69" t="str">
        <x:v>Borussia Dortmund</x:v>
      </x:c>
      <x:c r="E52" s="76" t="d">
        <x:v>2026-07-09T00:00:00.000Z</x:v>
      </x:c>
      <x:c r="F52" s="69" t="str">
        <x:v>summer</x:v>
      </x:c>
      <x:c r="G52" s="69" t="str">
        <x:v>CDM / deep (editorial)</x:v>
      </x:c>
      <x:c r="H52" s="78" t="n">
        <x:v>0</x:v>
      </x:c>
      <x:c r="I52" s="69" t="str">
        <x:v>GBP</x:v>
      </x:c>
      <x:c r="J52" s="80"/>
      <x:c r="K52" s="82" t="n">
        <x:v>7.5</x:v>
      </x:c>
      <x:c r="L52" s="69" t="str">
        <x:v>Assistant draft</x:v>
      </x:c>
      <x:c r="M52" s="69" t="str">
        <x:v>Proposed value from a zero transfer-fee move. Experience/development judgment is provisional; wages, bonuses and signing costs are unknown.</x:v>
      </x:c>
      <x:c r="N52" s="69" t="str">
        <x:v>Low</x:v>
      </x:c>
      <x:c r="O52" s="69" t="str">
        <x:v>Workbook quote; age and detailed production not verified</x:v>
      </x:c>
      <x:c r="P52" s="69" t="str">
        <x:v>https://www.theguardian.com/football/ng-interactive/2026/sep/01/mens-transfer-window-summer-2026-all-deals-from-europes-top-five-leagues</x:v>
      </x:c>
    </x:row>
    <x:row r="53" ht="25" customHeight="1">
      <x:c r="A53" s="75" t="str">
        <x:v>S26-0328</x:v>
      </x:c>
      <x:c r="B53" s="75" t="str">
        <x:v>Giacomo Faticanti</x:v>
      </x:c>
      <x:c r="C53" s="75" t="str">
        <x:v>Avellino</x:v>
      </x:c>
      <x:c r="D53" s="75" t="str">
        <x:v>Juventus</x:v>
      </x:c>
      <x:c r="E53" s="77" t="d">
        <x:v>2026-07-10T00:00:00.000Z</x:v>
      </x:c>
      <x:c r="F53" s="75" t="str">
        <x:v>summer</x:v>
      </x:c>
      <x:c r="G53" s="75" t="str">
        <x:v>CDM / deep (editorial)</x:v>
      </x:c>
      <x:c r="H53" s="79"/>
      <x:c r="I53" s="75" t="str">
        <x:v>GBP</x:v>
      </x:c>
      <x:c r="J53" s="81"/>
      <x:c r="K53" s="83"/>
      <x:c r="L53" s="75" t="str">
        <x:v>Fee needed</x:v>
      </x:c>
      <x:c r="M53" s="75" t="str">
        <x:v>Fee or loan terms are missing; no fee-value rating assigned. Do not treat a blank quote as zero.</x:v>
      </x:c>
      <x:c r="N53" s="75" t="str">
        <x:v>Low</x:v>
      </x:c>
      <x:c r="O53" s="75" t="str">
        <x:v>Workbook quote; age and detailed production not verified</x:v>
      </x:c>
      <x:c r="P53" s="75" t="str">
        <x:v>https://www.theguardian.com/football/ng-interactive/2026/sep/01/mens-transfer-window-summer-2026-all-deals-from-europes-top-five-leagues</x:v>
      </x:c>
    </x:row>
    <x:row r="54" ht="25" customHeight="1">
      <x:c r="A54" s="69" t="str">
        <x:v>S26-0331</x:v>
      </x:c>
      <x:c r="B54" s="69" t="str">
        <x:v>Morten Hjulmand</x:v>
      </x:c>
      <x:c r="C54" s="69" t="str">
        <x:v>Atlético Madrid</x:v>
      </x:c>
      <x:c r="D54" s="69" t="str">
        <x:v>Sporting</x:v>
      </x:c>
      <x:c r="E54" s="76" t="d">
        <x:v>2026-07-11T00:00:00.000Z</x:v>
      </x:c>
      <x:c r="F54" s="69" t="str">
        <x:v>summer</x:v>
      </x:c>
      <x:c r="G54" s="69" t="str">
        <x:v>CDM / deep (editorial)</x:v>
      </x:c>
      <x:c r="H54" s="78" t="n">
        <x:v>34000000</x:v>
      </x:c>
      <x:c r="I54" s="69" t="str">
        <x:v>GBP</x:v>
      </x:c>
      <x:c r="J54" s="80"/>
      <x:c r="K54" s="82" t="n">
        <x:v>8.9</x:v>
      </x:c>
      <x:c r="L54" s="69" t="str">
        <x:v>Assistant draft</x:v>
      </x:c>
      <x:c r="M54" s="69" t="str">
        <x:v>Editorial estimate relative to the Rice/Anderson and cheaper veteran references at the listed GBP fee. Role, production, age and potential require a full scouting review; this decimal is a discussion draft.</x:v>
      </x:c>
      <x:c r="N54" s="69" t="str">
        <x:v>Low</x:v>
      </x:c>
      <x:c r="O54" s="69" t="str">
        <x:v>Workbook quote; age and detailed production not verified</x:v>
      </x:c>
      <x:c r="P54" s="69" t="str">
        <x:v>https://www.theguardian.com/football/ng-interactive/2026/sep/01/mens-transfer-window-summer-2026-all-deals-from-europes-top-five-leagues</x:v>
      </x:c>
    </x:row>
    <x:row r="55" ht="25" customHeight="1">
      <x:c r="A55" s="75" t="str">
        <x:v>S26-0349</x:v>
      </x:c>
      <x:c r="B55" s="75" t="str">
        <x:v>Andrey Santos</x:v>
      </x:c>
      <x:c r="C55" s="75" t="str">
        <x:v>Manchester United</x:v>
      </x:c>
      <x:c r="D55" s="75" t="str">
        <x:v>Chelsea</x:v>
      </x:c>
      <x:c r="E55" s="77" t="d">
        <x:v>2026-07-13T00:00:00.000Z</x:v>
      </x:c>
      <x:c r="F55" s="75" t="str">
        <x:v>summer</x:v>
      </x:c>
      <x:c r="G55" s="75" t="str">
        <x:v>CDM / deep (editorial)</x:v>
      </x:c>
      <x:c r="H55" s="79" t="n">
        <x:v>50000000</x:v>
      </x:c>
      <x:c r="I55" s="75" t="str">
        <x:v>GBP</x:v>
      </x:c>
      <x:c r="J55" s="81"/>
      <x:c r="K55" s="83" t="n">
        <x:v>8.7</x:v>
      </x:c>
      <x:c r="L55" s="75" t="str">
        <x:v>Assistant draft</x:v>
      </x:c>
      <x:c r="M55" s="75" t="str">
        <x:v>Editorial estimate relative to the Rice/Anderson and cheaper veteran references at the listed GBP fee. Role, production, age and potential require a full scouting review; this decimal is a discussion draft.</x:v>
      </x:c>
      <x:c r="N55" s="75" t="str">
        <x:v>Low</x:v>
      </x:c>
      <x:c r="O55" s="75" t="str">
        <x:v>Workbook quote; age and detailed production not verified</x:v>
      </x:c>
      <x:c r="P55" s="75" t="str">
        <x:v>https://www.theguardian.com/football/ng-interactive/2026/sep/01/mens-transfer-window-summer-2026-all-deals-from-europes-top-five-leagues</x:v>
      </x:c>
    </x:row>
    <x:row r="56" ht="25" customHeight="1">
      <x:c r="A56" s="69" t="str">
        <x:v>S26-0354</x:v>
      </x:c>
      <x:c r="B56" s="69" t="str">
        <x:v>Yannik Keitel</x:v>
      </x:c>
      <x:c r="C56" s="69" t="str">
        <x:v>Augsburg</x:v>
      </x:c>
      <x:c r="D56" s="69" t="str">
        <x:v>Stuttgart</x:v>
      </x:c>
      <x:c r="E56" s="76" t="d">
        <x:v>2026-06-23T00:00:00.000Z</x:v>
      </x:c>
      <x:c r="F56" s="69" t="str">
        <x:v>summer</x:v>
      </x:c>
      <x:c r="G56" s="69" t="str">
        <x:v>CDM / deep (editorial)</x:v>
      </x:c>
      <x:c r="H56" s="78"/>
      <x:c r="I56" s="69" t="str">
        <x:v>GBP</x:v>
      </x:c>
      <x:c r="J56" s="80"/>
      <x:c r="K56" s="82"/>
      <x:c r="L56" s="69" t="str">
        <x:v>Fee needed</x:v>
      </x:c>
      <x:c r="M56" s="69" t="str">
        <x:v>Fee or loan terms are missing; no fee-value rating assigned. Do not treat a blank quote as zero.</x:v>
      </x:c>
      <x:c r="N56" s="69" t="str">
        <x:v>Low</x:v>
      </x:c>
      <x:c r="O56" s="69" t="str">
        <x:v>Workbook quote; age and detailed production not verified</x:v>
      </x:c>
      <x:c r="P56" s="69" t="str">
        <x:v>https://www.theguardian.com/football/ng-interactive/2026/sep/01/mens-transfer-window-summer-2026-all-deals-from-europes-top-five-leagues</x:v>
      </x:c>
    </x:row>
    <x:row r="57" ht="25" customHeight="1">
      <x:c r="A57" s="75" t="str">
        <x:v>S26-0371</x:v>
      </x:c>
      <x:c r="B57" s="75" t="str">
        <x:v>Baptiste Santamaria</x:v>
      </x:c>
      <x:c r="C57" s="75" t="str">
        <x:v>PAOK</x:v>
      </x:c>
      <x:c r="D57" s="75" t="str">
        <x:v>Valencia</x:v>
      </x:c>
      <x:c r="E57" s="77" t="d">
        <x:v>2026-07-13T00:00:00.000Z</x:v>
      </x:c>
      <x:c r="F57" s="75" t="str">
        <x:v>summer</x:v>
      </x:c>
      <x:c r="G57" s="75" t="str">
        <x:v>CDM / deep (editorial)</x:v>
      </x:c>
      <x:c r="H57" s="79" t="n">
        <x:v>0</x:v>
      </x:c>
      <x:c r="I57" s="75" t="str">
        <x:v>GBP</x:v>
      </x:c>
      <x:c r="J57" s="81"/>
      <x:c r="K57" s="83" t="n">
        <x:v>7.4</x:v>
      </x:c>
      <x:c r="L57" s="75" t="str">
        <x:v>Assistant draft</x:v>
      </x:c>
      <x:c r="M57" s="75" t="str">
        <x:v>Proposed value from a zero transfer-fee move. Experience/development judgment is provisional; wages, bonuses and signing costs are unknown.</x:v>
      </x:c>
      <x:c r="N57" s="75" t="str">
        <x:v>Low</x:v>
      </x:c>
      <x:c r="O57" s="75" t="str">
        <x:v>Workbook quote; age and detailed production not verified</x:v>
      </x:c>
      <x:c r="P57" s="75" t="str">
        <x:v>https://www.theguardian.com/football/ng-interactive/2026/sep/01/mens-transfer-window-summer-2026-all-deals-from-europes-top-five-leagues</x:v>
      </x:c>
    </x:row>
    <x:row r="58" ht="25" customHeight="1">
      <x:c r="A58" s="69" t="str">
        <x:v>S26-0373</x:v>
      </x:c>
      <x:c r="B58" s="69" t="str">
        <x:v>Anouar El Azzouzi</x:v>
      </x:c>
      <x:c r="C58" s="69" t="str">
        <x:v>Frosinone</x:v>
      </x:c>
      <x:c r="D58" s="69" t="str">
        <x:v>Fortuna Düsseldorf</x:v>
      </x:c>
      <x:c r="E58" s="76" t="d">
        <x:v>2026-07-13T00:00:00.000Z</x:v>
      </x:c>
      <x:c r="F58" s="69" t="str">
        <x:v>summer</x:v>
      </x:c>
      <x:c r="G58" s="69" t="str">
        <x:v>CDM / deep (editorial)</x:v>
      </x:c>
      <x:c r="H58" s="78" t="n">
        <x:v>0</x:v>
      </x:c>
      <x:c r="I58" s="69" t="str">
        <x:v>GBP</x:v>
      </x:c>
      <x:c r="J58" s="80"/>
      <x:c r="K58" s="82" t="n">
        <x:v>7.4</x:v>
      </x:c>
      <x:c r="L58" s="69" t="str">
        <x:v>Assistant draft</x:v>
      </x:c>
      <x:c r="M58" s="69" t="str">
        <x:v>Proposed value from a zero transfer-fee move. Experience/development judgment is provisional; wages, bonuses and signing costs are unknown.</x:v>
      </x:c>
      <x:c r="N58" s="69" t="str">
        <x:v>Low</x:v>
      </x:c>
      <x:c r="O58" s="69" t="str">
        <x:v>Workbook quote; age and detailed production not verified</x:v>
      </x:c>
      <x:c r="P58" s="69" t="str">
        <x:v>https://www.theguardian.com/football/ng-interactive/2026/sep/01/mens-transfer-window-summer-2026-all-deals-from-europes-top-five-leagues</x:v>
      </x:c>
    </x:row>
    <x:row r="59" ht="25" customHeight="1">
      <x:c r="A59" s="75" t="str">
        <x:v>S26-0390</x:v>
      </x:c>
      <x:c r="B59" s="75" t="str">
        <x:v>Harry Winks</x:v>
      </x:c>
      <x:c r="C59" s="75" t="str">
        <x:v>Cagliari</x:v>
      </x:c>
      <x:c r="D59" s="75" t="str">
        <x:v>Leicester City</x:v>
      </x:c>
      <x:c r="E59" s="77" t="d">
        <x:v>2026-07-15T00:00:00.000Z</x:v>
      </x:c>
      <x:c r="F59" s="75" t="str">
        <x:v>summer</x:v>
      </x:c>
      <x:c r="G59" s="75" t="str">
        <x:v>CDM / deep (editorial)</x:v>
      </x:c>
      <x:c r="H59" s="79"/>
      <x:c r="I59" s="75" t="str">
        <x:v>GBP</x:v>
      </x:c>
      <x:c r="J59" s="81"/>
      <x:c r="K59" s="83"/>
      <x:c r="L59" s="75" t="str">
        <x:v>Fee needed</x:v>
      </x:c>
      <x:c r="M59" s="75" t="str">
        <x:v>Fee or loan terms are missing; no fee-value rating assigned. Do not treat a blank quote as zero.</x:v>
      </x:c>
      <x:c r="N59" s="75" t="str">
        <x:v>Low</x:v>
      </x:c>
      <x:c r="O59" s="75" t="str">
        <x:v>Workbook quote; age and detailed production not verified</x:v>
      </x:c>
      <x:c r="P59" s="75" t="str">
        <x:v>https://www.theguardian.com/football/ng-interactive/2026/sep/01/mens-transfer-window-summer-2026-all-deals-from-europes-top-five-leagues</x:v>
      </x:c>
    </x:row>
    <x:row r="60" ht="25" customHeight="1">
      <x:c r="A60" s="69" t="str">
        <x:v>S26-0411</x:v>
      </x:c>
      <x:c r="B60" s="69" t="str">
        <x:v>Alex Kral</x:v>
      </x:c>
      <x:c r="C60" s="69" t="str">
        <x:v>FC Copenhagen</x:v>
      </x:c>
      <x:c r="D60" s="69" t="str">
        <x:v>Union Berlin</x:v>
      </x:c>
      <x:c r="E60" s="76" t="d">
        <x:v>2026-07-16T00:00:00.000Z</x:v>
      </x:c>
      <x:c r="F60" s="69" t="str">
        <x:v>summer</x:v>
      </x:c>
      <x:c r="G60" s="69" t="str">
        <x:v>CDM / deep (editorial)</x:v>
      </x:c>
      <x:c r="H60" s="78" t="n">
        <x:v>0</x:v>
      </x:c>
      <x:c r="I60" s="69" t="str">
        <x:v>GBP</x:v>
      </x:c>
      <x:c r="J60" s="80"/>
      <x:c r="K60" s="82" t="n">
        <x:v>7.5</x:v>
      </x:c>
      <x:c r="L60" s="69" t="str">
        <x:v>Assistant draft</x:v>
      </x:c>
      <x:c r="M60" s="69" t="str">
        <x:v>Proposed value from a zero transfer-fee move. Experience/development judgment is provisional; wages, bonuses and signing costs are unknown.</x:v>
      </x:c>
      <x:c r="N60" s="69" t="str">
        <x:v>Low</x:v>
      </x:c>
      <x:c r="O60" s="69" t="str">
        <x:v>Workbook quote; age and detailed production not verified</x:v>
      </x:c>
      <x:c r="P60" s="69" t="str">
        <x:v>https://www.theguardian.com/football/ng-interactive/2026/sep/01/mens-transfer-window-summer-2026-all-deals-from-europes-top-five-leagues</x:v>
      </x:c>
    </x:row>
    <x:row r="61" ht="25" customHeight="1">
      <x:c r="A61" s="75" t="str">
        <x:v>S26-0443</x:v>
      </x:c>
      <x:c r="B61" s="75" t="str">
        <x:v>Yannik Engelhardt</x:v>
      </x:c>
      <x:c r="C61" s="75" t="str">
        <x:v>Freiburg</x:v>
      </x:c>
      <x:c r="D61" s="75" t="str">
        <x:v>Como 1907</x:v>
      </x:c>
      <x:c r="E61" s="77" t="d">
        <x:v>2026-07-18T00:00:00.000Z</x:v>
      </x:c>
      <x:c r="F61" s="75" t="str">
        <x:v>summer</x:v>
      </x:c>
      <x:c r="G61" s="75" t="str">
        <x:v>CDM / deep (editorial)</x:v>
      </x:c>
      <x:c r="H61" s="79" t="n">
        <x:v>6000000</x:v>
      </x:c>
      <x:c r="I61" s="75" t="str">
        <x:v>GBP</x:v>
      </x:c>
      <x:c r="J61" s="81"/>
      <x:c r="K61" s="83" t="n">
        <x:v>7.8</x:v>
      </x:c>
      <x:c r="L61" s="75" t="str">
        <x:v>Assistant draft</x:v>
      </x:c>
      <x:c r="M61" s="75" t="str">
        <x:v>Editorial estimate relative to the Rice/Anderson and cheaper veteran references at the listed GBP fee. Role, production, age and potential require a full scouting review; this decimal is a discussion draft.</x:v>
      </x:c>
      <x:c r="N61" s="75" t="str">
        <x:v>Low</x:v>
      </x:c>
      <x:c r="O61" s="75" t="str">
        <x:v>Workbook quote; age and detailed production not verified</x:v>
      </x:c>
      <x:c r="P61" s="75" t="str">
        <x:v>https://www.theguardian.com/football/ng-interactive/2026/sep/01/mens-transfer-window-summer-2026-all-deals-from-europes-top-five-leagues</x:v>
      </x:c>
    </x:row>
    <x:row r="62" ht="25" customHeight="1">
      <x:c r="A62" s="69" t="str">
        <x:v>S26-0466</x:v>
      </x:c>
      <x:c r="B62" s="69" t="str">
        <x:v>João Gomes</x:v>
      </x:c>
      <x:c r="C62" s="69" t="str">
        <x:v>Aston Villa</x:v>
      </x:c>
      <x:c r="D62" s="69" t="str">
        <x:v>Wolverhampton Wanderers</x:v>
      </x:c>
      <x:c r="E62" s="76" t="d">
        <x:v>2026-07-20T00:00:00.000Z</x:v>
      </x:c>
      <x:c r="F62" s="69" t="str">
        <x:v>summer</x:v>
      </x:c>
      <x:c r="G62" s="69" t="str">
        <x:v>CDM / deep (editorial)</x:v>
      </x:c>
      <x:c r="H62" s="78" t="n">
        <x:v>34000000</x:v>
      </x:c>
      <x:c r="I62" s="69" t="str">
        <x:v>GBP</x:v>
      </x:c>
      <x:c r="J62" s="80"/>
      <x:c r="K62" s="82" t="n">
        <x:v>8.6</x:v>
      </x:c>
      <x:c r="L62" s="69" t="str">
        <x:v>Assistant draft</x:v>
      </x:c>
      <x:c r="M62" s="69" t="str">
        <x:v>Editorial estimate relative to the Rice/Anderson and cheaper veteran references at the listed GBP fee. Role, production, age and potential require a full scouting review; this decimal is a discussion draft.</x:v>
      </x:c>
      <x:c r="N62" s="69" t="str">
        <x:v>Low</x:v>
      </x:c>
      <x:c r="O62" s="69" t="str">
        <x:v>Workbook quote; age and detailed production not verified</x:v>
      </x:c>
      <x:c r="P62" s="69" t="str">
        <x:v>https://www.theguardian.com/football/ng-interactive/2026/sep/01/mens-transfer-window-summer-2026-all-deals-from-europes-top-five-leagues</x:v>
      </x:c>
    </x:row>
    <x:row r="63" ht="25" customHeight="1">
      <x:c r="A63" s="75" t="str">
        <x:v>S26-0508</x:v>
      </x:c>
      <x:c r="B63" s="75" t="str">
        <x:v>Lorenzo Amatucci</x:v>
      </x:c>
      <x:c r="C63" s="75" t="str">
        <x:v>Deportivo La Coruña</x:v>
      </x:c>
      <x:c r="D63" s="75" t="str">
        <x:v>Fiorentina</x:v>
      </x:c>
      <x:c r="E63" s="77" t="d">
        <x:v>2026-07-09T00:00:00.000Z</x:v>
      </x:c>
      <x:c r="F63" s="75" t="str">
        <x:v>summer</x:v>
      </x:c>
      <x:c r="G63" s="75" t="str">
        <x:v>CDM / deep (editorial)</x:v>
      </x:c>
      <x:c r="H63" s="79" t="n">
        <x:v>2100000</x:v>
      </x:c>
      <x:c r="I63" s="75" t="str">
        <x:v>GBP</x:v>
      </x:c>
      <x:c r="J63" s="81"/>
      <x:c r="K63" s="83" t="n">
        <x:v>7.9</x:v>
      </x:c>
      <x:c r="L63" s="75" t="str">
        <x:v>Assistant draft</x:v>
      </x:c>
      <x:c r="M63" s="75" t="str">
        <x:v>Editorial estimate relative to the Rice/Anderson and cheaper veteran references at the listed GBP fee. Role, production, age and potential require a full scouting review; this decimal is a discussion draft.</x:v>
      </x:c>
      <x:c r="N63" s="75" t="str">
        <x:v>Low</x:v>
      </x:c>
      <x:c r="O63" s="75" t="str">
        <x:v>Workbook quote; age and detailed production not verified</x:v>
      </x:c>
      <x:c r="P63" s="75" t="str">
        <x:v>https://www.theguardian.com/football/ng-interactive/2026/sep/01/mens-transfer-window-summer-2026-all-deals-from-europes-top-five-leagues</x:v>
      </x:c>
    </x:row>
    <x:row r="64" ht="25" customHeight="1">
      <x:c r="A64" s="69" t="str">
        <x:v>S26-0518</x:v>
      </x:c>
      <x:c r="B64" s="69" t="str">
        <x:v>Casemiro</x:v>
      </x:c>
      <x:c r="C64" s="69" t="str">
        <x:v>Inter Miami</x:v>
      </x:c>
      <x:c r="D64" s="69" t="str">
        <x:v>Manchester United</x:v>
      </x:c>
      <x:c r="E64" s="76" t="d">
        <x:v>2026-07-22T00:00:00.000Z</x:v>
      </x:c>
      <x:c r="F64" s="69" t="str">
        <x:v>summer</x:v>
      </x:c>
      <x:c r="G64" s="69" t="str">
        <x:v>CDM / deep (editorial)</x:v>
      </x:c>
      <x:c r="H64" s="78" t="n">
        <x:v>0</x:v>
      </x:c>
      <x:c r="I64" s="69" t="str">
        <x:v>GBP</x:v>
      </x:c>
      <x:c r="J64" s="80"/>
      <x:c r="K64" s="82" t="n">
        <x:v>7.6</x:v>
      </x:c>
      <x:c r="L64" s="69" t="str">
        <x:v>Assistant draft</x:v>
      </x:c>
      <x:c r="M64" s="69" t="str">
        <x:v>Proposed value from a zero transfer-fee move. Experience/development judgment is provisional; wages, bonuses and signing costs are unknown.</x:v>
      </x:c>
      <x:c r="N64" s="69" t="str">
        <x:v>Low</x:v>
      </x:c>
      <x:c r="O64" s="69" t="str">
        <x:v>Workbook quote; age and detailed production not verified</x:v>
      </x:c>
      <x:c r="P64" s="69" t="str">
        <x:v>https://www.theguardian.com/football/ng-interactive/2026/sep/01/mens-transfer-window-summer-2026-all-deals-from-europes-top-five-leagues</x:v>
      </x:c>
    </x:row>
    <x:row r="65" ht="25" customHeight="1">
      <x:c r="A65" s="75" t="str">
        <x:v>S26-0538</x:v>
      </x:c>
      <x:c r="B65" s="75" t="str">
        <x:v>Paul Okon-Engstler</x:v>
      </x:c>
      <x:c r="C65" s="75" t="str">
        <x:v>Cologne</x:v>
      </x:c>
      <x:c r="D65" s="75" t="str">
        <x:v>Sydney FC</x:v>
      </x:c>
      <x:c r="E65" s="77" t="d">
        <x:v>2026-07-23T00:00:00.000Z</x:v>
      </x:c>
      <x:c r="F65" s="75" t="str">
        <x:v>summer</x:v>
      </x:c>
      <x:c r="G65" s="75" t="str">
        <x:v>CDM / deep (editorial)</x:v>
      </x:c>
      <x:c r="H65" s="79" t="n">
        <x:v>900000</x:v>
      </x:c>
      <x:c r="I65" s="75" t="str">
        <x:v>GBP</x:v>
      </x:c>
      <x:c r="J65" s="81"/>
      <x:c r="K65" s="83" t="n">
        <x:v>7.7</x:v>
      </x:c>
      <x:c r="L65" s="75" t="str">
        <x:v>Assistant draft</x:v>
      </x:c>
      <x:c r="M65" s="75" t="str">
        <x:v>Editorial estimate relative to the Rice/Anderson and cheaper veteran references at the listed GBP fee. Role, production, age and potential require a full scouting review; this decimal is a discussion draft.</x:v>
      </x:c>
      <x:c r="N65" s="75" t="str">
        <x:v>Low</x:v>
      </x:c>
      <x:c r="O65" s="75" t="str">
        <x:v>Workbook quote; age and detailed production not verified</x:v>
      </x:c>
      <x:c r="P65" s="75" t="str">
        <x:v>https://www.theguardian.com/football/ng-interactive/2026/sep/01/mens-transfer-window-summer-2026-all-deals-from-europes-top-five-leagues</x:v>
      </x:c>
    </x:row>
    <x:row r="66" ht="25" customHeight="1">
      <x:c r="A66" s="69" t="str">
        <x:v>S26-0560</x:v>
      </x:c>
      <x:c r="B66" s="69" t="str">
        <x:v>Idrissa Gueye</x:v>
      </x:c>
      <x:c r="C66" s="69" t="str">
        <x:v>Al-Diriyah</x:v>
      </x:c>
      <x:c r="D66" s="69" t="str">
        <x:v>Everton</x:v>
      </x:c>
      <x:c r="E66" s="76" t="d">
        <x:v>2026-08-09T00:00:00.000Z</x:v>
      </x:c>
      <x:c r="F66" s="69" t="str">
        <x:v>summer</x:v>
      </x:c>
      <x:c r="G66" s="69" t="str">
        <x:v>CDM / deep (editorial)</x:v>
      </x:c>
      <x:c r="H66" s="78" t="n">
        <x:v>0</x:v>
      </x:c>
      <x:c r="I66" s="69" t="str">
        <x:v>GBP</x:v>
      </x:c>
      <x:c r="J66" s="80"/>
      <x:c r="K66" s="82" t="n">
        <x:v>7.4</x:v>
      </x:c>
      <x:c r="L66" s="69" t="str">
        <x:v>Assistant draft</x:v>
      </x:c>
      <x:c r="M66" s="69" t="str">
        <x:v>Proposed value from a zero transfer-fee move. Experience/development judgment is provisional; wages, bonuses and signing costs are unknown.</x:v>
      </x:c>
      <x:c r="N66" s="69" t="str">
        <x:v>Low</x:v>
      </x:c>
      <x:c r="O66" s="69" t="str">
        <x:v>Workbook quote; age and detailed production not verified</x:v>
      </x:c>
      <x:c r="P66" s="69" t="str">
        <x:v>https://www.theguardian.com/football/ng-interactive/2026/sep/01/mens-transfer-window-summer-2026-all-deals-from-europes-top-five-leagues</x:v>
      </x:c>
    </x:row>
    <x:row r="67" ht="25" customHeight="1">
      <x:c r="A67" s="75" t="str">
        <x:v>S26-0566</x:v>
      </x:c>
      <x:c r="B67" s="75" t="str">
        <x:v>Hidemasa Morita</x:v>
      </x:c>
      <x:c r="C67" s="75" t="str">
        <x:v>Hull City</x:v>
      </x:c>
      <x:c r="D67" s="75" t="str">
        <x:v>Sporting</x:v>
      </x:c>
      <x:c r="E67" s="77" t="d">
        <x:v>2026-07-24T00:00:00.000Z</x:v>
      </x:c>
      <x:c r="F67" s="75" t="str">
        <x:v>summer</x:v>
      </x:c>
      <x:c r="G67" s="75" t="str">
        <x:v>CDM / deep (editorial)</x:v>
      </x:c>
      <x:c r="H67" s="79" t="n">
        <x:v>0</x:v>
      </x:c>
      <x:c r="I67" s="75" t="str">
        <x:v>GBP</x:v>
      </x:c>
      <x:c r="J67" s="81"/>
      <x:c r="K67" s="83" t="n">
        <x:v>7.9</x:v>
      </x:c>
      <x:c r="L67" s="75" t="str">
        <x:v>Assistant draft</x:v>
      </x:c>
      <x:c r="M67" s="75" t="str">
        <x:v>Proposed value from a zero transfer-fee move. Experience/development judgment is provisional; wages, bonuses and signing costs are unknown.</x:v>
      </x:c>
      <x:c r="N67" s="75" t="str">
        <x:v>Low</x:v>
      </x:c>
      <x:c r="O67" s="75" t="str">
        <x:v>Workbook quote; age and detailed production not verified</x:v>
      </x:c>
      <x:c r="P67" s="75" t="str">
        <x:v>https://www.theguardian.com/football/ng-interactive/2026/sep/01/mens-transfer-window-summer-2026-all-deals-from-europes-top-five-leagues</x:v>
      </x:c>
    </x:row>
    <x:row r="68" ht="25" customHeight="1">
      <x:c r="A68" s="69" t="str">
        <x:v>S26-0631</x:v>
      </x:c>
      <x:c r="B68" s="69" t="str">
        <x:v>Aliou Dieng</x:v>
      </x:c>
      <x:c r="C68" s="69" t="str">
        <x:v>Valencia</x:v>
      </x:c>
      <x:c r="D68" s="69" t="str">
        <x:v>Al-Ahly</x:v>
      </x:c>
      <x:c r="E68" s="76" t="d">
        <x:v>2026-07-07T00:00:00.000Z</x:v>
      </x:c>
      <x:c r="F68" s="69" t="str">
        <x:v>summer</x:v>
      </x:c>
      <x:c r="G68" s="69" t="str">
        <x:v>CDM / deep (editorial)</x:v>
      </x:c>
      <x:c r="H68" s="78"/>
      <x:c r="I68" s="69" t="str">
        <x:v>GBP</x:v>
      </x:c>
      <x:c r="J68" s="80"/>
      <x:c r="K68" s="82"/>
      <x:c r="L68" s="69" t="str">
        <x:v>Fee needed</x:v>
      </x:c>
      <x:c r="M68" s="69" t="str">
        <x:v>Fee or loan terms are missing; no fee-value rating assigned. Do not treat a blank quote as zero.</x:v>
      </x:c>
      <x:c r="N68" s="69" t="str">
        <x:v>Low</x:v>
      </x:c>
      <x:c r="O68" s="69" t="str">
        <x:v>Workbook quote; age and detailed production not verified</x:v>
      </x:c>
      <x:c r="P68" s="69" t="str">
        <x:v>https://www.theguardian.com/football/ng-interactive/2026/sep/01/mens-transfer-window-summer-2026-all-deals-from-europes-top-five-leagues</x:v>
      </x:c>
    </x:row>
    <x:row r="69" ht="25" customHeight="1">
      <x:c r="A69" s="75" t="str">
        <x:v>S26-0638</x:v>
      </x:c>
      <x:c r="B69" s="75" t="str">
        <x:v>Cheick Condé</x:v>
      </x:c>
      <x:c r="C69" s="75" t="str">
        <x:v>Beveren</x:v>
      </x:c>
      <x:c r="D69" s="75" t="str">
        <x:v>Venezia</x:v>
      </x:c>
      <x:c r="E69" s="77" t="d">
        <x:v>2026-07-29T00:00:00.000Z</x:v>
      </x:c>
      <x:c r="F69" s="75" t="str">
        <x:v>summer</x:v>
      </x:c>
      <x:c r="G69" s="75" t="str">
        <x:v>CDM / deep (editorial)</x:v>
      </x:c>
      <x:c r="H69" s="79" t="n">
        <x:v>0</x:v>
      </x:c>
      <x:c r="I69" s="75" t="str">
        <x:v>GBP</x:v>
      </x:c>
      <x:c r="J69" s="81"/>
      <x:c r="K69" s="83" t="n">
        <x:v>7.5</x:v>
      </x:c>
      <x:c r="L69" s="75" t="str">
        <x:v>Assistant draft</x:v>
      </x:c>
      <x:c r="M69" s="75" t="str">
        <x:v>Proposed value from a zero transfer-fee move. Experience/development judgment is provisional; wages, bonuses and signing costs are unknown.</x:v>
      </x:c>
      <x:c r="N69" s="75" t="str">
        <x:v>Low</x:v>
      </x:c>
      <x:c r="O69" s="75" t="str">
        <x:v>Workbook quote; age and detailed production not verified</x:v>
      </x:c>
      <x:c r="P69" s="75" t="str">
        <x:v>https://www.theguardian.com/football/ng-interactive/2026/sep/01/mens-transfer-window-summer-2026-all-deals-from-europes-top-five-leagues</x:v>
      </x:c>
    </x:row>
    <x:row r="70" ht="25" customHeight="1">
      <x:c r="A70" s="69" t="str">
        <x:v>S26-0714</x:v>
      </x:c>
      <x:c r="B70" s="69" t="str">
        <x:v>Mikel Vesga</x:v>
      </x:c>
      <x:c r="C70" s="69" t="str">
        <x:v>Almería</x:v>
      </x:c>
      <x:c r="D70" s="69" t="str">
        <x:v>Athletic Club</x:v>
      </x:c>
      <x:c r="E70" s="76" t="d">
        <x:v>2026-08-02T00:00:00.000Z</x:v>
      </x:c>
      <x:c r="F70" s="69" t="str">
        <x:v>summer</x:v>
      </x:c>
      <x:c r="G70" s="69" t="str">
        <x:v>CDM / deep (editorial)</x:v>
      </x:c>
      <x:c r="H70" s="78" t="n">
        <x:v>0</x:v>
      </x:c>
      <x:c r="I70" s="69" t="str">
        <x:v>GBP</x:v>
      </x:c>
      <x:c r="J70" s="80"/>
      <x:c r="K70" s="82" t="n">
        <x:v>7.2</x:v>
      </x:c>
      <x:c r="L70" s="69" t="str">
        <x:v>Assistant draft</x:v>
      </x:c>
      <x:c r="M70" s="69" t="str">
        <x:v>Proposed value from a zero transfer-fee move. Experience/development judgment is provisional; wages, bonuses and signing costs are unknown.</x:v>
      </x:c>
      <x:c r="N70" s="69" t="str">
        <x:v>Low</x:v>
      </x:c>
      <x:c r="O70" s="69" t="str">
        <x:v>Workbook quote; age and detailed production not verified</x:v>
      </x:c>
      <x:c r="P70" s="69" t="str">
        <x:v>https://www.theguardian.com/football/ng-interactive/2026/sep/01/mens-transfer-window-summer-2026-all-deals-from-europes-top-five-leagues</x:v>
      </x:c>
    </x:row>
    <x:row r="71" ht="25" customHeight="1">
      <x:c r="A71" s="75" t="str">
        <x:v>S26-0717</x:v>
      </x:c>
      <x:c r="B71" s="75" t="str">
        <x:v>Raphael Onyedika</x:v>
      </x:c>
      <x:c r="C71" s="75" t="str">
        <x:v>Eintracht Frankfurt</x:v>
      </x:c>
      <x:c r="D71" s="75" t="str">
        <x:v>Club Brugge</x:v>
      </x:c>
      <x:c r="E71" s="77" t="d">
        <x:v>2026-08-02T00:00:00.000Z</x:v>
      </x:c>
      <x:c r="F71" s="75" t="str">
        <x:v>summer</x:v>
      </x:c>
      <x:c r="G71" s="75" t="str">
        <x:v>CDM / deep (editorial)</x:v>
      </x:c>
      <x:c r="H71" s="79" t="n">
        <x:v>7700000</x:v>
      </x:c>
      <x:c r="I71" s="75" t="str">
        <x:v>GBP</x:v>
      </x:c>
      <x:c r="J71" s="81"/>
      <x:c r="K71" s="83" t="n">
        <x:v>8.4</x:v>
      </x:c>
      <x:c r="L71" s="75" t="str">
        <x:v>Assistant draft</x:v>
      </x:c>
      <x:c r="M71" s="75" t="str">
        <x:v>Editorial estimate relative to the Rice/Anderson and cheaper veteran references at the listed GBP fee. Role, production, age and potential require a full scouting review; this decimal is a discussion draft.</x:v>
      </x:c>
      <x:c r="N71" s="75" t="str">
        <x:v>Low</x:v>
      </x:c>
      <x:c r="O71" s="75" t="str">
        <x:v>Workbook quote; age and detailed production not verified</x:v>
      </x:c>
      <x:c r="P71" s="75" t="str">
        <x:v>https://www.theguardian.com/football/ng-interactive/2026/sep/01/mens-transfer-window-summer-2026-all-deals-from-europes-top-five-leagues</x:v>
      </x:c>
    </x:row>
    <x:row r="72" ht="25" customHeight="1">
      <x:c r="A72" s="69" t="str">
        <x:v>S26-0736</x:v>
      </x:c>
      <x:c r="B72" s="69" t="str">
        <x:v>Jordan Henderson</x:v>
      </x:c>
      <x:c r="C72" s="69" t="str">
        <x:v>Chelsea</x:v>
      </x:c>
      <x:c r="D72" s="69" t="str">
        <x:v>Brentford</x:v>
      </x:c>
      <x:c r="E72" s="76" t="d">
        <x:v>2026-08-03T00:00:00.000Z</x:v>
      </x:c>
      <x:c r="F72" s="69" t="str">
        <x:v>summer</x:v>
      </x:c>
      <x:c r="G72" s="69" t="str">
        <x:v>CDM / deep (editorial)</x:v>
      </x:c>
      <x:c r="H72" s="78" t="n">
        <x:v>0</x:v>
      </x:c>
      <x:c r="I72" s="69" t="str">
        <x:v>GBP</x:v>
      </x:c>
      <x:c r="J72" s="80"/>
      <x:c r="K72" s="82" t="n">
        <x:v>7.3</x:v>
      </x:c>
      <x:c r="L72" s="69" t="str">
        <x:v>Assistant draft</x:v>
      </x:c>
      <x:c r="M72" s="69" t="str">
        <x:v>Proposed value from a zero transfer-fee move. Experience/development judgment is provisional; wages, bonuses and signing costs are unknown.</x:v>
      </x:c>
      <x:c r="N72" s="69" t="str">
        <x:v>Low</x:v>
      </x:c>
      <x:c r="O72" s="69" t="str">
        <x:v>Workbook quote; age and detailed production not verified</x:v>
      </x:c>
      <x:c r="P72" s="69" t="str">
        <x:v>https://www.theguardian.com/football/ng-interactive/2026/sep/01/mens-transfer-window-summer-2026-all-deals-from-europes-top-five-leagues</x:v>
      </x:c>
    </x:row>
    <x:row r="73" ht="25" customHeight="1">
      <x:c r="A73" s="75" t="str">
        <x:v>S26-0751</x:v>
      </x:c>
      <x:c r="B73" s="75" t="str">
        <x:v>Florentino Luís</x:v>
      </x:c>
      <x:c r="C73" s="75" t="str">
        <x:v>Ipswich Town</x:v>
      </x:c>
      <x:c r="D73" s="75" t="str">
        <x:v>Burnley</x:v>
      </x:c>
      <x:c r="E73" s="77" t="d">
        <x:v>2026-08-04T00:00:00.000Z</x:v>
      </x:c>
      <x:c r="F73" s="75" t="str">
        <x:v>summer</x:v>
      </x:c>
      <x:c r="G73" s="75" t="str">
        <x:v>CDM / deep (editorial)</x:v>
      </x:c>
      <x:c r="H73" s="79" t="n">
        <x:v>16000000</x:v>
      </x:c>
      <x:c r="I73" s="75" t="str">
        <x:v>GBP</x:v>
      </x:c>
      <x:c r="J73" s="81"/>
      <x:c r="K73" s="83" t="n">
        <x:v>8.2</x:v>
      </x:c>
      <x:c r="L73" s="75" t="str">
        <x:v>Assistant draft</x:v>
      </x:c>
      <x:c r="M73" s="75" t="str">
        <x:v>Editorial estimate relative to the Rice/Anderson and cheaper veteran references at the listed GBP fee. Role, production, age and potential require a full scouting review; this decimal is a discussion draft.</x:v>
      </x:c>
      <x:c r="N73" s="75" t="str">
        <x:v>Low</x:v>
      </x:c>
      <x:c r="O73" s="75" t="str">
        <x:v>Workbook quote; age and detailed production not verified</x:v>
      </x:c>
      <x:c r="P73" s="75" t="str">
        <x:v>https://www.theguardian.com/football/ng-interactive/2026/sep/01/mens-transfer-window-summer-2026-all-deals-from-europes-top-five-leagues</x:v>
      </x:c>
    </x:row>
    <x:row r="74" ht="25" customHeight="1">
      <x:c r="A74" s="69" t="str">
        <x:v>S26-0785</x:v>
      </x:c>
      <x:c r="B74" s="69" t="str">
        <x:v>Christian Nørgaard</x:v>
      </x:c>
      <x:c r="C74" s="69" t="str">
        <x:v>Everton</x:v>
      </x:c>
      <x:c r="D74" s="69" t="str">
        <x:v>Arsenal</x:v>
      </x:c>
      <x:c r="E74" s="76" t="d">
        <x:v>2026-08-05T00:00:00.000Z</x:v>
      </x:c>
      <x:c r="F74" s="69" t="str">
        <x:v>summer</x:v>
      </x:c>
      <x:c r="G74" s="69" t="str">
        <x:v>CDM / deep (editorial)</x:v>
      </x:c>
      <x:c r="H74" s="78" t="n">
        <x:v>7000000</x:v>
      </x:c>
      <x:c r="I74" s="69" t="str">
        <x:v>GBP</x:v>
      </x:c>
      <x:c r="J74" s="80"/>
      <x:c r="K74" s="82" t="n">
        <x:v>8</x:v>
      </x:c>
      <x:c r="L74" s="69" t="str">
        <x:v>Assistant draft</x:v>
      </x:c>
      <x:c r="M74" s="69" t="str">
        <x:v>Editorial estimate relative to the Rice/Anderson and cheaper veteran references at the listed GBP fee. Role, production, age and potential require a full scouting review; this decimal is a discussion draft.</x:v>
      </x:c>
      <x:c r="N74" s="69" t="str">
        <x:v>Low</x:v>
      </x:c>
      <x:c r="O74" s="69" t="str">
        <x:v>Workbook quote; age and detailed production not verified</x:v>
      </x:c>
      <x:c r="P74" s="69" t="str">
        <x:v>https://www.theguardian.com/football/ng-interactive/2026/sep/01/mens-transfer-window-summer-2026-all-deals-from-europes-top-five-leagues</x:v>
      </x:c>
    </x:row>
    <x:row r="75" ht="25" customHeight="1">
      <x:c r="A75" s="75" t="str">
        <x:v>S26-0801</x:v>
      </x:c>
      <x:c r="B75" s="75" t="str">
        <x:v>Tyler Onyango</x:v>
      </x:c>
      <x:c r="C75" s="75" t="str">
        <x:v>Sheffield Wednesday</x:v>
      </x:c>
      <x:c r="D75" s="75" t="str">
        <x:v>Everton</x:v>
      </x:c>
      <x:c r="E75" s="77" t="d">
        <x:v>2026-08-07T00:00:00.000Z</x:v>
      </x:c>
      <x:c r="F75" s="75" t="str">
        <x:v>summer</x:v>
      </x:c>
      <x:c r="G75" s="75" t="str">
        <x:v>CDM / deep (editorial)</x:v>
      </x:c>
      <x:c r="H75" s="79" t="n">
        <x:v>0</x:v>
      </x:c>
      <x:c r="I75" s="75" t="str">
        <x:v>GBP</x:v>
      </x:c>
      <x:c r="J75" s="81"/>
      <x:c r="K75" s="83" t="n">
        <x:v>7.2</x:v>
      </x:c>
      <x:c r="L75" s="75" t="str">
        <x:v>Assistant draft</x:v>
      </x:c>
      <x:c r="M75" s="75" t="str">
        <x:v>Proposed value from a zero transfer-fee move. Experience/development judgment is provisional; wages, bonuses and signing costs are unknown.</x:v>
      </x:c>
      <x:c r="N75" s="75" t="str">
        <x:v>Low</x:v>
      </x:c>
      <x:c r="O75" s="75" t="str">
        <x:v>Workbook quote; age and detailed production not verified</x:v>
      </x:c>
      <x:c r="P75" s="75" t="str">
        <x:v>https://www.theguardian.com/football/ng-interactive/2026/sep/01/mens-transfer-window-summer-2026-all-deals-from-europes-top-five-leagues</x:v>
      </x:c>
    </x:row>
    <x:row r="76" ht="25" customHeight="1">
      <x:c r="A76" s="69" t="str">
        <x:v>S26-0809</x:v>
      </x:c>
      <x:c r="B76" s="69" t="str">
        <x:v>Orel Mangala</x:v>
      </x:c>
      <x:c r="C76" s="69" t="str">
        <x:v>Getafe</x:v>
      </x:c>
      <x:c r="D76" s="69" t="str">
        <x:v>Lyon</x:v>
      </x:c>
      <x:c r="E76" s="76" t="d">
        <x:v>2026-08-07T00:00:00.000Z</x:v>
      </x:c>
      <x:c r="F76" s="69" t="str">
        <x:v>summer</x:v>
      </x:c>
      <x:c r="G76" s="69" t="str">
        <x:v>CDM / deep (editorial)</x:v>
      </x:c>
      <x:c r="H76" s="78"/>
      <x:c r="I76" s="69" t="str">
        <x:v>GBP</x:v>
      </x:c>
      <x:c r="J76" s="80"/>
      <x:c r="K76" s="82"/>
      <x:c r="L76" s="69" t="str">
        <x:v>Fee needed</x:v>
      </x:c>
      <x:c r="M76" s="69" t="str">
        <x:v>Fee or loan terms are missing; no fee-value rating assigned. Do not treat a blank quote as zero.</x:v>
      </x:c>
      <x:c r="N76" s="69" t="str">
        <x:v>Low</x:v>
      </x:c>
      <x:c r="O76" s="69" t="str">
        <x:v>Workbook quote; age and detailed production not verified</x:v>
      </x:c>
      <x:c r="P76" s="69" t="str">
        <x:v>https://www.theguardian.com/football/ng-interactive/2026/sep/01/mens-transfer-window-summer-2026-all-deals-from-europes-top-five-leagues</x:v>
      </x:c>
    </x:row>
    <x:row r="77" ht="25" customHeight="1">
      <x:c r="A77" s="75" t="str">
        <x:v>S26-0842</x:v>
      </x:c>
      <x:c r="B77" s="75" t="str">
        <x:v>Sasa Lukic</x:v>
      </x:c>
      <x:c r="C77" s="75" t="str">
        <x:v>Ipswich Town</x:v>
      </x:c>
      <x:c r="D77" s="75" t="str">
        <x:v>Fulham</x:v>
      </x:c>
      <x:c r="E77" s="77" t="d">
        <x:v>2026-08-08T00:00:00.000Z</x:v>
      </x:c>
      <x:c r="F77" s="75" t="str">
        <x:v>summer</x:v>
      </x:c>
      <x:c r="G77" s="75" t="str">
        <x:v>CDM / deep (editorial)</x:v>
      </x:c>
      <x:c r="H77" s="79" t="n">
        <x:v>9000000</x:v>
      </x:c>
      <x:c r="I77" s="75" t="str">
        <x:v>GBP</x:v>
      </x:c>
      <x:c r="J77" s="81"/>
      <x:c r="K77" s="83" t="n">
        <x:v>7.7</x:v>
      </x:c>
      <x:c r="L77" s="75" t="str">
        <x:v>Assistant draft</x:v>
      </x:c>
      <x:c r="M77" s="75" t="str">
        <x:v>Editorial estimate relative to the Rice/Anderson and cheaper veteran references at the listed GBP fee. Role, production, age and potential require a full scouting review; this decimal is a discussion draft.</x:v>
      </x:c>
      <x:c r="N77" s="75" t="str">
        <x:v>Low</x:v>
      </x:c>
      <x:c r="O77" s="75" t="str">
        <x:v>Workbook quote; age and detailed production not verified</x:v>
      </x:c>
      <x:c r="P77" s="75" t="str">
        <x:v>https://www.theguardian.com/football/ng-interactive/2026/sep/01/mens-transfer-window-summer-2026-all-deals-from-europes-top-five-leagues</x:v>
      </x:c>
    </x:row>
    <x:row r="78" ht="25" customHeight="1">
      <x:c r="A78" s="69" t="str">
        <x:v>S26-0854</x:v>
      </x:c>
      <x:c r="B78" s="69" t="str">
        <x:v>Noah Mbamba</x:v>
      </x:c>
      <x:c r="C78" s="69" t="str">
        <x:v>Lorient</x:v>
      </x:c>
      <x:c r="D78" s="69" t="str">
        <x:v>Bayer Leverkusen</x:v>
      </x:c>
      <x:c r="E78" s="76" t="d">
        <x:v>2026-08-08T00:00:00.000Z</x:v>
      </x:c>
      <x:c r="F78" s="69" t="str">
        <x:v>summer</x:v>
      </x:c>
      <x:c r="G78" s="69" t="str">
        <x:v>CDM / deep (editorial)</x:v>
      </x:c>
      <x:c r="H78" s="78"/>
      <x:c r="I78" s="69" t="str">
        <x:v>GBP</x:v>
      </x:c>
      <x:c r="J78" s="80"/>
      <x:c r="K78" s="82"/>
      <x:c r="L78" s="69" t="str">
        <x:v>Fee needed</x:v>
      </x:c>
      <x:c r="M78" s="69" t="str">
        <x:v>Fee or loan terms are missing; no fee-value rating assigned. Do not treat a blank quote as zero.</x:v>
      </x:c>
      <x:c r="N78" s="69" t="str">
        <x:v>Low</x:v>
      </x:c>
      <x:c r="O78" s="69" t="str">
        <x:v>Workbook quote; age and detailed production not verified</x:v>
      </x:c>
      <x:c r="P78" s="69" t="str">
        <x:v>https://www.theguardian.com/football/ng-interactive/2026/sep/01/mens-transfer-window-summer-2026-all-deals-from-europes-top-five-leagues</x:v>
      </x:c>
    </x:row>
    <x:row r="79" ht="25" customHeight="1">
      <x:c r="A79" s="75" t="str">
        <x:v>S26-0884</x:v>
      </x:c>
      <x:c r="B79" s="75" t="str">
        <x:v>Shea Charles</x:v>
      </x:c>
      <x:c r="C79" s="75" t="str">
        <x:v>Fulham</x:v>
      </x:c>
      <x:c r="D79" s="75" t="str">
        <x:v>Southampton</x:v>
      </x:c>
      <x:c r="E79" s="77" t="d">
        <x:v>2026-08-11T00:00:00.000Z</x:v>
      </x:c>
      <x:c r="F79" s="75" t="str">
        <x:v>summer</x:v>
      </x:c>
      <x:c r="G79" s="75" t="str">
        <x:v>CDM / deep (editorial)</x:v>
      </x:c>
      <x:c r="H79" s="79" t="n">
        <x:v>30000000</x:v>
      </x:c>
      <x:c r="I79" s="75" t="str">
        <x:v>GBP</x:v>
      </x:c>
      <x:c r="J79" s="81"/>
      <x:c r="K79" s="83" t="n">
        <x:v>8.2</x:v>
      </x:c>
      <x:c r="L79" s="75" t="str">
        <x:v>Assistant draft</x:v>
      </x:c>
      <x:c r="M79" s="75" t="str">
        <x:v>Editorial estimate relative to the Rice/Anderson and cheaper veteran references at the listed GBP fee. Role, production, age and potential require a full scouting review; this decimal is a discussion draft.</x:v>
      </x:c>
      <x:c r="N79" s="75" t="str">
        <x:v>Low</x:v>
      </x:c>
      <x:c r="O79" s="75" t="str">
        <x:v>Workbook quote; age and detailed production not verified</x:v>
      </x:c>
      <x:c r="P79" s="75" t="str">
        <x:v>https://www.theguardian.com/football/ng-interactive/2026/sep/01/mens-transfer-window-summer-2026-all-deals-from-europes-top-five-leagues</x:v>
      </x:c>
    </x:row>
    <x:row r="80" ht="25" customHeight="1">
      <x:c r="A80" s="69" t="str">
        <x:v>S26-0924</x:v>
      </x:c>
      <x:c r="B80" s="69" t="str">
        <x:v>Florian Grillitsch</x:v>
      </x:c>
      <x:c r="C80" s="69" t="str">
        <x:v>Frosinone</x:v>
      </x:c>
      <x:c r="D80" s="69" t="str">
        <x:v>Braga</x:v>
      </x:c>
      <x:c r="E80" s="76" t="d">
        <x:v>2026-08-12T00:00:00.000Z</x:v>
      </x:c>
      <x:c r="F80" s="69" t="str">
        <x:v>summer</x:v>
      </x:c>
      <x:c r="G80" s="69" t="str">
        <x:v>CDM / deep (editorial)</x:v>
      </x:c>
      <x:c r="H80" s="78" t="n">
        <x:v>0</x:v>
      </x:c>
      <x:c r="I80" s="69" t="str">
        <x:v>GBP</x:v>
      </x:c>
      <x:c r="J80" s="80"/>
      <x:c r="K80" s="82" t="n">
        <x:v>7.6</x:v>
      </x:c>
      <x:c r="L80" s="69" t="str">
        <x:v>Assistant draft</x:v>
      </x:c>
      <x:c r="M80" s="69" t="str">
        <x:v>Proposed value from a zero transfer-fee move. Experience/development judgment is provisional; wages, bonuses and signing costs are unknown.</x:v>
      </x:c>
      <x:c r="N80" s="69" t="str">
        <x:v>Low</x:v>
      </x:c>
      <x:c r="O80" s="69" t="str">
        <x:v>Workbook quote; age and detailed production not verified</x:v>
      </x:c>
      <x:c r="P80" s="69" t="str">
        <x:v>https://www.theguardian.com/football/ng-interactive/2026/sep/01/mens-transfer-window-summer-2026-all-deals-from-europes-top-five-leagues</x:v>
      </x:c>
    </x:row>
    <x:row r="81" ht="25" customHeight="1">
      <x:c r="A81" s="75" t="str">
        <x:v>S26-0931</x:v>
      </x:c>
      <x:c r="B81" s="75" t="str">
        <x:v>Mamady Diambou</x:v>
      </x:c>
      <x:c r="C81" s="75" t="str">
        <x:v>Brest</x:v>
      </x:c>
      <x:c r="D81" s="75" t="str">
        <x:v>Red Bull Salzburg</x:v>
      </x:c>
      <x:c r="E81" s="77" t="d">
        <x:v>2026-08-13T00:00:00.000Z</x:v>
      </x:c>
      <x:c r="F81" s="75" t="str">
        <x:v>summer</x:v>
      </x:c>
      <x:c r="G81" s="75" t="str">
        <x:v>CDM / deep (editorial)</x:v>
      </x:c>
      <x:c r="H81" s="79"/>
      <x:c r="I81" s="75" t="str">
        <x:v>GBP</x:v>
      </x:c>
      <x:c r="J81" s="81"/>
      <x:c r="K81" s="83"/>
      <x:c r="L81" s="75" t="str">
        <x:v>Fee needed</x:v>
      </x:c>
      <x:c r="M81" s="75" t="str">
        <x:v>Fee or loan terms are missing; no fee-value rating assigned. Do not treat a blank quote as zero.</x:v>
      </x:c>
      <x:c r="N81" s="75" t="str">
        <x:v>Low</x:v>
      </x:c>
      <x:c r="O81" s="75" t="str">
        <x:v>Workbook quote; age and detailed production not verified</x:v>
      </x:c>
      <x:c r="P81" s="75" t="str">
        <x:v>https://www.theguardian.com/football/ng-interactive/2026/sep/01/mens-transfer-window-summer-2026-all-deals-from-europes-top-five-leagues</x:v>
      </x:c>
    </x:row>
    <x:row r="82" ht="25" customHeight="1">
      <x:c r="A82" s="69" t="str">
        <x:v>S26-0995</x:v>
      </x:c>
      <x:c r="B82" s="69" t="str">
        <x:v>Remo Freuler</x:v>
      </x:c>
      <x:c r="C82" s="69" t="str">
        <x:v>Olympiakos</x:v>
      </x:c>
      <x:c r="D82" s="69" t="str">
        <x:v>Bologna</x:v>
      </x:c>
      <x:c r="E82" s="76" t="d">
        <x:v>2026-08-17T00:00:00.000Z</x:v>
      </x:c>
      <x:c r="F82" s="69" t="str">
        <x:v>summer</x:v>
      </x:c>
      <x:c r="G82" s="69" t="str">
        <x:v>CDM / deep (editorial)</x:v>
      </x:c>
      <x:c r="H82" s="78" t="n">
        <x:v>0</x:v>
      </x:c>
      <x:c r="I82" s="69" t="str">
        <x:v>GBP</x:v>
      </x:c>
      <x:c r="J82" s="80"/>
      <x:c r="K82" s="82" t="n">
        <x:v>7.9</x:v>
      </x:c>
      <x:c r="L82" s="69" t="str">
        <x:v>Assistant draft</x:v>
      </x:c>
      <x:c r="M82" s="69" t="str">
        <x:v>Proposed value from a zero transfer-fee move. Experience/development judgment is provisional; wages, bonuses and signing costs are unknown.</x:v>
      </x:c>
      <x:c r="N82" s="69" t="str">
        <x:v>Low</x:v>
      </x:c>
      <x:c r="O82" s="69" t="str">
        <x:v>Workbook quote; age and detailed production not verified</x:v>
      </x:c>
      <x:c r="P82" s="69" t="str">
        <x:v>https://www.theguardian.com/football/ng-interactive/2026/sep/01/mens-transfer-window-summer-2026-all-deals-from-europes-top-five-leagues</x:v>
      </x:c>
    </x:row>
    <x:row r="83" ht="25" customHeight="1">
      <x:c r="A83" s="75" t="str">
        <x:v>S26-1002</x:v>
      </x:c>
      <x:c r="B83" s="75" t="str">
        <x:v>Kervin Arriaga</x:v>
      </x:c>
      <x:c r="C83" s="75" t="str">
        <x:v>AEK Athens</x:v>
      </x:c>
      <x:c r="D83" s="75" t="str">
        <x:v>Levante</x:v>
      </x:c>
      <x:c r="E83" s="77" t="d">
        <x:v>2026-08-17T00:00:00.000Z</x:v>
      </x:c>
      <x:c r="F83" s="75" t="str">
        <x:v>summer</x:v>
      </x:c>
      <x:c r="G83" s="75" t="str">
        <x:v>CDM / deep (editorial)</x:v>
      </x:c>
      <x:c r="H83" s="79" t="n">
        <x:v>2600000</x:v>
      </x:c>
      <x:c r="I83" s="75" t="str">
        <x:v>GBP</x:v>
      </x:c>
      <x:c r="J83" s="81"/>
      <x:c r="K83" s="83" t="n">
        <x:v>7.5</x:v>
      </x:c>
      <x:c r="L83" s="75" t="str">
        <x:v>Assistant draft</x:v>
      </x:c>
      <x:c r="M83" s="75" t="str">
        <x:v>Editorial estimate relative to the Rice/Anderson and cheaper veteran references at the listed GBP fee. Role, production, age and potential require a full scouting review; this decimal is a discussion draft.</x:v>
      </x:c>
      <x:c r="N83" s="75" t="str">
        <x:v>Low</x:v>
      </x:c>
      <x:c r="O83" s="75" t="str">
        <x:v>Workbook quote; age and detailed production not verified</x:v>
      </x:c>
      <x:c r="P83" s="75" t="str">
        <x:v>https://www.theguardian.com/football/ng-interactive/2026/sep/01/mens-transfer-window-summer-2026-all-deals-from-europes-top-five-leagues</x:v>
      </x:c>
    </x:row>
    <x:row r="84" ht="25" customHeight="1">
      <x:c r="A84" s="69" t="str">
        <x:v>S26-1037</x:v>
      </x:c>
      <x:c r="B84" s="69" t="str">
        <x:v>Axel Witsel</x:v>
      </x:c>
      <x:c r="C84" s="69" t="str">
        <x:v>Nice</x:v>
      </x:c>
      <x:c r="D84" s="69" t="str">
        <x:v>Girona</x:v>
      </x:c>
      <x:c r="E84" s="76" t="d">
        <x:v>2026-08-18T00:00:00.000Z</x:v>
      </x:c>
      <x:c r="F84" s="69" t="str">
        <x:v>summer</x:v>
      </x:c>
      <x:c r="G84" s="69" t="str">
        <x:v>CDM / deep (editorial)</x:v>
      </x:c>
      <x:c r="H84" s="78" t="n">
        <x:v>0</x:v>
      </x:c>
      <x:c r="I84" s="69" t="str">
        <x:v>GBP</x:v>
      </x:c>
      <x:c r="J84" s="80"/>
      <x:c r="K84" s="82" t="n">
        <x:v>7.1</x:v>
      </x:c>
      <x:c r="L84" s="69" t="str">
        <x:v>Assistant draft</x:v>
      </x:c>
      <x:c r="M84" s="69" t="str">
        <x:v>Proposed value from a zero transfer-fee move. Experience/development judgment is provisional; wages, bonuses and signing costs are unknown.</x:v>
      </x:c>
      <x:c r="N84" s="69" t="str">
        <x:v>Low</x:v>
      </x:c>
      <x:c r="O84" s="69" t="str">
        <x:v>Workbook quote; age and detailed production not verified</x:v>
      </x:c>
      <x:c r="P84" s="69" t="str">
        <x:v>https://www.theguardian.com/football/ng-interactive/2026/sep/01/mens-transfer-window-summer-2026-all-deals-from-europes-top-five-leagues</x:v>
      </x:c>
    </x:row>
    <x:row r="85" ht="25" customHeight="1">
      <x:c r="A85" s="75" t="str">
        <x:v>S26-1052</x:v>
      </x:c>
      <x:c r="B85" s="75" t="str">
        <x:v>Ellyes Skhiri</x:v>
      </x:c>
      <x:c r="C85" s="75" t="str">
        <x:v>Cologne</x:v>
      </x:c>
      <x:c r="D85" s="75" t="str">
        <x:v>Eintracht Frankfurt</x:v>
      </x:c>
      <x:c r="E85" s="77" t="d">
        <x:v>2026-08-21T00:00:00.000Z</x:v>
      </x:c>
      <x:c r="F85" s="75" t="str">
        <x:v>summer</x:v>
      </x:c>
      <x:c r="G85" s="75" t="str">
        <x:v>CDM / deep (editorial)</x:v>
      </x:c>
      <x:c r="H85" s="79" t="n">
        <x:v>1300000</x:v>
      </x:c>
      <x:c r="I85" s="75" t="str">
        <x:v>GBP</x:v>
      </x:c>
      <x:c r="J85" s="81"/>
      <x:c r="K85" s="83" t="n">
        <x:v>8</x:v>
      </x:c>
      <x:c r="L85" s="75" t="str">
        <x:v>Assistant draft</x:v>
      </x:c>
      <x:c r="M85" s="75" t="str">
        <x:v>Editorial estimate relative to the Rice/Anderson and cheaper veteran references at the listed GBP fee. Role, production, age and potential require a full scouting review; this decimal is a discussion draft.</x:v>
      </x:c>
      <x:c r="N85" s="75" t="str">
        <x:v>Low</x:v>
      </x:c>
      <x:c r="O85" s="75" t="str">
        <x:v>Workbook quote; age and detailed production not verified</x:v>
      </x:c>
      <x:c r="P85" s="75" t="str">
        <x:v>https://www.theguardian.com/football/ng-interactive/2026/sep/01/mens-transfer-window-summer-2026-all-deals-from-europes-top-five-leagues</x:v>
      </x:c>
    </x:row>
    <x:row r="86" ht="25" customHeight="1">
      <x:c r="A86" s="69" t="str">
        <x:v>S26-1117</x:v>
      </x:c>
      <x:c r="B86" s="69" t="str">
        <x:v>Carlos Baleba</x:v>
      </x:c>
      <x:c r="C86" s="69" t="str">
        <x:v>Manchester United</x:v>
      </x:c>
      <x:c r="D86" s="69" t="str">
        <x:v>Brighton</x:v>
      </x:c>
      <x:c r="E86" s="76" t="d">
        <x:v>2026-08-25T00:00:00.000Z</x:v>
      </x:c>
      <x:c r="F86" s="69" t="str">
        <x:v>summer</x:v>
      </x:c>
      <x:c r="G86" s="69" t="str">
        <x:v>CDM / deep (editorial)</x:v>
      </x:c>
      <x:c r="H86" s="78" t="n">
        <x:v>70000000</x:v>
      </x:c>
      <x:c r="I86" s="69" t="str">
        <x:v>GBP</x:v>
      </x:c>
      <x:c r="J86" s="80"/>
      <x:c r="K86" s="82" t="n">
        <x:v>8.8</x:v>
      </x:c>
      <x:c r="L86" s="69" t="str">
        <x:v>Assistant draft</x:v>
      </x:c>
      <x:c r="M86" s="69" t="str">
        <x:v>Editorial estimate relative to the Rice/Anderson and cheaper veteran references at the listed GBP fee. Role, production, age and potential require a full scouting review; this decimal is a discussion draft.</x:v>
      </x:c>
      <x:c r="N86" s="69" t="str">
        <x:v>Low</x:v>
      </x:c>
      <x:c r="O86" s="69" t="str">
        <x:v>Workbook quote; age and detailed production not verified</x:v>
      </x:c>
      <x:c r="P86" s="69" t="str">
        <x:v>https://www.theguardian.com/football/ng-interactive/2026/sep/01/mens-transfer-window-summer-2026-all-deals-from-europes-top-five-leagues</x:v>
      </x:c>
    </x:row>
    <x:row r="87" ht="25" customHeight="1">
      <x:c r="A87" s="75" t="str">
        <x:v>S26-1128</x:v>
      </x:c>
      <x:c r="B87" s="75" t="str">
        <x:v>João Palhinha</x:v>
      </x:c>
      <x:c r="C87" s="75" t="str">
        <x:v>Benfica</x:v>
      </x:c>
      <x:c r="D87" s="75" t="str">
        <x:v>Bayern Munich</x:v>
      </x:c>
      <x:c r="E87" s="77" t="d">
        <x:v>2026-08-26T00:00:00.000Z</x:v>
      </x:c>
      <x:c r="F87" s="75" t="str">
        <x:v>summer</x:v>
      </x:c>
      <x:c r="G87" s="75" t="str">
        <x:v>CDM / deep (editorial)</x:v>
      </x:c>
      <x:c r="H87" s="79" t="n">
        <x:v>12000000</x:v>
      </x:c>
      <x:c r="I87" s="75" t="str">
        <x:v>GBP</x:v>
      </x:c>
      <x:c r="J87" s="81"/>
      <x:c r="K87" s="83" t="n">
        <x:v>8.3</x:v>
      </x:c>
      <x:c r="L87" s="75" t="str">
        <x:v>Assistant draft</x:v>
      </x:c>
      <x:c r="M87" s="75" t="str">
        <x:v>Editorial estimate relative to the Rice/Anderson and cheaper veteran references at the listed GBP fee. Role, production, age and potential require a full scouting review; this decimal is a discussion draft.</x:v>
      </x:c>
      <x:c r="N87" s="75" t="str">
        <x:v>Low</x:v>
      </x:c>
      <x:c r="O87" s="75" t="str">
        <x:v>Workbook quote; age and detailed production not verified</x:v>
      </x:c>
      <x:c r="P87" s="75" t="str">
        <x:v>https://www.theguardian.com/football/ng-interactive/2026/sep/01/mens-transfer-window-summer-2026-all-deals-from-europes-top-five-leagues</x:v>
      </x:c>
    </x:row>
    <x:row r="88" ht="25" customHeight="1">
      <x:c r="A88" s="69" t="str">
        <x:v>S26-1131</x:v>
      </x:c>
      <x:c r="B88" s="69" t="str">
        <x:v>Nico González</x:v>
      </x:c>
      <x:c r="C88" s="69" t="str">
        <x:v>Newcastle United</x:v>
      </x:c>
      <x:c r="D88" s="69" t="str">
        <x:v>Manchester City</x:v>
      </x:c>
      <x:c r="E88" s="76" t="d">
        <x:v>2026-08-26T00:00:00.000Z</x:v>
      </x:c>
      <x:c r="F88" s="69" t="str">
        <x:v>summer</x:v>
      </x:c>
      <x:c r="G88" s="69" t="str">
        <x:v>CDM / deep (editorial)</x:v>
      </x:c>
      <x:c r="H88" s="78" t="n">
        <x:v>52000000</x:v>
      </x:c>
      <x:c r="I88" s="69" t="str">
        <x:v>GBP</x:v>
      </x:c>
      <x:c r="J88" s="80"/>
      <x:c r="K88" s="82" t="n">
        <x:v>8.1</x:v>
      </x:c>
      <x:c r="L88" s="69" t="str">
        <x:v>Assistant draft</x:v>
      </x:c>
      <x:c r="M88" s="69" t="str">
        <x:v>Editorial estimate relative to the Rice/Anderson and cheaper veteran references at the listed GBP fee. Role, production, age and potential require a full scouting review; this decimal is a discussion draft.</x:v>
      </x:c>
      <x:c r="N88" s="69" t="str">
        <x:v>Low</x:v>
      </x:c>
      <x:c r="O88" s="69" t="str">
        <x:v>Workbook quote; age and detailed production not verified</x:v>
      </x:c>
      <x:c r="P88" s="69" t="str">
        <x:v>https://www.theguardian.com/football/ng-interactive/2026/sep/01/mens-transfer-window-summer-2026-all-deals-from-europes-top-five-leagues</x:v>
      </x:c>
    </x:row>
    <x:row r="89" ht="25" customHeight="1">
      <x:c r="A89" s="75" t="str">
        <x:v>S26-1159</x:v>
      </x:c>
      <x:c r="B89" s="75" t="str">
        <x:v>Dennis Geiger</x:v>
      </x:c>
      <x:c r="C89" s="75" t="str">
        <x:v>NEC Nijmegen</x:v>
      </x:c>
      <x:c r="D89" s="75" t="str">
        <x:v>Hoffenheim</x:v>
      </x:c>
      <x:c r="E89" s="77" t="d">
        <x:v>2026-08-28T00:00:00.000Z</x:v>
      </x:c>
      <x:c r="F89" s="75" t="str">
        <x:v>summer</x:v>
      </x:c>
      <x:c r="G89" s="75" t="str">
        <x:v>CDM / deep (editorial)</x:v>
      </x:c>
      <x:c r="H89" s="79" t="n">
        <x:v>0</x:v>
      </x:c>
      <x:c r="I89" s="75" t="str">
        <x:v>GBP</x:v>
      </x:c>
      <x:c r="J89" s="81"/>
      <x:c r="K89" s="83" t="n">
        <x:v>7.3</x:v>
      </x:c>
      <x:c r="L89" s="75" t="str">
        <x:v>Assistant draft</x:v>
      </x:c>
      <x:c r="M89" s="75" t="str">
        <x:v>Proposed value from a zero transfer-fee move. Experience/development judgment is provisional; wages, bonuses and signing costs are unknown.</x:v>
      </x:c>
      <x:c r="N89" s="75" t="str">
        <x:v>Low</x:v>
      </x:c>
      <x:c r="O89" s="75" t="str">
        <x:v>Workbook quote; age and detailed production not verified</x:v>
      </x:c>
      <x:c r="P89" s="75" t="str">
        <x:v>https://www.theguardian.com/football/ng-interactive/2026/sep/01/mens-transfer-window-summer-2026-all-deals-from-europes-top-five-leagues</x:v>
      </x:c>
    </x:row>
    <x:row r="90" ht="25" customHeight="1">
      <x:c r="A90" s="69" t="str">
        <x:v>S26-1181</x:v>
      </x:c>
      <x:c r="B90" s="69" t="str">
        <x:v>Matteo Prati</x:v>
      </x:c>
      <x:c r="C90" s="69" t="str">
        <x:v>Racing Santander</x:v>
      </x:c>
      <x:c r="D90" s="69" t="str">
        <x:v>Cagliari</x:v>
      </x:c>
      <x:c r="E90" s="76" t="d">
        <x:v>2026-08-26T00:00:00.000Z</x:v>
      </x:c>
      <x:c r="F90" s="69" t="str">
        <x:v>summer</x:v>
      </x:c>
      <x:c r="G90" s="69" t="str">
        <x:v>CDM / deep (editorial)</x:v>
      </x:c>
      <x:c r="H90" s="78"/>
      <x:c r="I90" s="69" t="str">
        <x:v>GBP</x:v>
      </x:c>
      <x:c r="J90" s="80"/>
      <x:c r="K90" s="82"/>
      <x:c r="L90" s="69" t="str">
        <x:v>Fee needed</x:v>
      </x:c>
      <x:c r="M90" s="69" t="str">
        <x:v>Fee or loan terms are missing; no fee-value rating assigned. Do not treat a blank quote as zero.</x:v>
      </x:c>
      <x:c r="N90" s="69" t="str">
        <x:v>Low</x:v>
      </x:c>
      <x:c r="O90" s="69" t="str">
        <x:v>Workbook quote; age and detailed production not verified</x:v>
      </x:c>
      <x:c r="P90" s="69" t="str">
        <x:v>https://www.theguardian.com/football/ng-interactive/2026/sep/01/mens-transfer-window-summer-2026-all-deals-from-europes-top-five-leagues</x:v>
      </x:c>
    </x:row>
    <x:row r="91" ht="25" customHeight="1">
      <x:c r="A91" s="75" t="str">
        <x:v>S26-1190</x:v>
      </x:c>
      <x:c r="B91" s="75" t="str">
        <x:v>Samuele Ricci</x:v>
      </x:c>
      <x:c r="C91" s="75" t="str">
        <x:v>Como 1907</x:v>
      </x:c>
      <x:c r="D91" s="75" t="str">
        <x:v>Milan</x:v>
      </x:c>
      <x:c r="E91" s="77" t="d">
        <x:v>2026-08-29T00:00:00.000Z</x:v>
      </x:c>
      <x:c r="F91" s="75" t="str">
        <x:v>summer</x:v>
      </x:c>
      <x:c r="G91" s="75" t="str">
        <x:v>CDM / deep (editorial)</x:v>
      </x:c>
      <x:c r="H91" s="79"/>
      <x:c r="I91" s="75" t="str">
        <x:v>GBP</x:v>
      </x:c>
      <x:c r="J91" s="81"/>
      <x:c r="K91" s="83"/>
      <x:c r="L91" s="75" t="str">
        <x:v>Fee needed</x:v>
      </x:c>
      <x:c r="M91" s="75" t="str">
        <x:v>Fee or loan terms are missing; no fee-value rating assigned. Do not treat a blank quote as zero.</x:v>
      </x:c>
      <x:c r="N91" s="75" t="str">
        <x:v>Low</x:v>
      </x:c>
      <x:c r="O91" s="75" t="str">
        <x:v>Workbook quote; age and detailed production not verified</x:v>
      </x:c>
      <x:c r="P91" s="75" t="str">
        <x:v>https://www.theguardian.com/football/ng-interactive/2026/sep/01/mens-transfer-window-summer-2026-all-deals-from-europes-top-five-leagues</x:v>
      </x:c>
    </x:row>
    <x:row r="92" ht="25" customHeight="1">
      <x:c r="A92" s="69" t="str">
        <x:v>S26-1191</x:v>
      </x:c>
      <x:c r="B92" s="69" t="str">
        <x:v>Kristjan Asllani</x:v>
      </x:c>
      <x:c r="C92" s="69" t="str">
        <x:v>Al-Jazira</x:v>
      </x:c>
      <x:c r="D92" s="69" t="str">
        <x:v>Inter</x:v>
      </x:c>
      <x:c r="E92" s="76" t="d">
        <x:v>2026-08-29T00:00:00.000Z</x:v>
      </x:c>
      <x:c r="F92" s="69" t="str">
        <x:v>summer</x:v>
      </x:c>
      <x:c r="G92" s="69" t="str">
        <x:v>CDM / deep (editorial)</x:v>
      </x:c>
      <x:c r="H92" s="78"/>
      <x:c r="I92" s="69" t="str">
        <x:v>GBP</x:v>
      </x:c>
      <x:c r="J92" s="80"/>
      <x:c r="K92" s="82"/>
      <x:c r="L92" s="69" t="str">
        <x:v>Fee needed</x:v>
      </x:c>
      <x:c r="M92" s="69" t="str">
        <x:v>Fee or loan terms are missing; no fee-value rating assigned. Do not treat a blank quote as zero.</x:v>
      </x:c>
      <x:c r="N92" s="69" t="str">
        <x:v>Low</x:v>
      </x:c>
      <x:c r="O92" s="69" t="str">
        <x:v>Workbook quote; age and detailed production not verified</x:v>
      </x:c>
      <x:c r="P92" s="69" t="str">
        <x:v>https://www.theguardian.com/football/ng-interactive/2026/sep/01/mens-transfer-window-summer-2026-all-deals-from-europes-top-five-leagues</x:v>
      </x:c>
    </x:row>
    <x:row r="93" ht="25" customHeight="1">
      <x:c r="A93" s="75" t="str">
        <x:v>S26-1207</x:v>
      </x:c>
      <x:c r="B93" s="75" t="str">
        <x:v>Nemanja Gudelj</x:v>
      </x:c>
      <x:c r="C93" s="75" t="str">
        <x:v>Getafe</x:v>
      </x:c>
      <x:c r="D93" s="75" t="str">
        <x:v>Sevilla</x:v>
      </x:c>
      <x:c r="E93" s="77" t="d">
        <x:v>2026-08-30T00:00:00.000Z</x:v>
      </x:c>
      <x:c r="F93" s="75" t="str">
        <x:v>summer</x:v>
      </x:c>
      <x:c r="G93" s="75" t="str">
        <x:v>CDM / deep (editorial)</x:v>
      </x:c>
      <x:c r="H93" s="79" t="n">
        <x:v>0</x:v>
      </x:c>
      <x:c r="I93" s="75" t="str">
        <x:v>GBP</x:v>
      </x:c>
      <x:c r="J93" s="81"/>
      <x:c r="K93" s="83" t="n">
        <x:v>7.2</x:v>
      </x:c>
      <x:c r="L93" s="75" t="str">
        <x:v>Assistant draft</x:v>
      </x:c>
      <x:c r="M93" s="75" t="str">
        <x:v>Proposed value from a zero transfer-fee move. Experience/development judgment is provisional; wages, bonuses and signing costs are unknown.</x:v>
      </x:c>
      <x:c r="N93" s="75" t="str">
        <x:v>Low</x:v>
      </x:c>
      <x:c r="O93" s="75" t="str">
        <x:v>Workbook quote; age and detailed production not verified</x:v>
      </x:c>
      <x:c r="P93" s="75" t="str">
        <x:v>https://www.theguardian.com/football/ng-interactive/2026/sep/01/mens-transfer-window-summer-2026-all-deals-from-europes-top-five-leagues</x:v>
      </x:c>
    </x:row>
    <x:row r="94" ht="25" customHeight="1">
      <x:c r="A94" s="69" t="str">
        <x:v>S26-1212</x:v>
      </x:c>
      <x:c r="B94" s="69" t="str">
        <x:v>Toby Collyer</x:v>
      </x:c>
      <x:c r="C94" s="69" t="str">
        <x:v>West Bromwich Albion</x:v>
      </x:c>
      <x:c r="D94" s="69" t="str">
        <x:v>Manchester United</x:v>
      </x:c>
      <x:c r="E94" s="76" t="d">
        <x:v>2026-08-30T00:00:00.000Z</x:v>
      </x:c>
      <x:c r="F94" s="69" t="str">
        <x:v>summer</x:v>
      </x:c>
      <x:c r="G94" s="69" t="str">
        <x:v>CDM / deep (editorial)</x:v>
      </x:c>
      <x:c r="H94" s="78"/>
      <x:c r="I94" s="69" t="str">
        <x:v>GBP</x:v>
      </x:c>
      <x:c r="J94" s="80"/>
      <x:c r="K94" s="82"/>
      <x:c r="L94" s="69" t="str">
        <x:v>Fee needed</x:v>
      </x:c>
      <x:c r="M94" s="69" t="str">
        <x:v>Fee or loan terms are missing; no fee-value rating assigned. Do not treat a blank quote as zero.</x:v>
      </x:c>
      <x:c r="N94" s="69" t="str">
        <x:v>Low</x:v>
      </x:c>
      <x:c r="O94" s="69" t="str">
        <x:v>Workbook quote; age and detailed production not verified</x:v>
      </x:c>
      <x:c r="P94" s="69" t="str">
        <x:v>https://www.theguardian.com/football/ng-interactive/2026/sep/01/mens-transfer-window-summer-2026-all-deals-from-europes-top-five-leagues</x:v>
      </x:c>
    </x:row>
    <x:row r="95" ht="25" customHeight="1">
      <x:c r="A95" s="75" t="str">
        <x:v>S26-1217</x:v>
      </x:c>
      <x:c r="B95" s="75" t="str">
        <x:v>Marten de Roon</x:v>
      </x:c>
      <x:c r="C95" s="75" t="str">
        <x:v>Roma</x:v>
      </x:c>
      <x:c r="D95" s="75" t="str">
        <x:v>Atalanta</x:v>
      </x:c>
      <x:c r="E95" s="77" t="d">
        <x:v>2026-08-30T00:00:00.000Z</x:v>
      </x:c>
      <x:c r="F95" s="75" t="str">
        <x:v>summer</x:v>
      </x:c>
      <x:c r="G95" s="75" t="str">
        <x:v>CDM / deep (editorial)</x:v>
      </x:c>
      <x:c r="H95" s="79" t="n">
        <x:v>850000</x:v>
      </x:c>
      <x:c r="I95" s="75" t="str">
        <x:v>GBP</x:v>
      </x:c>
      <x:c r="J95" s="81"/>
      <x:c r="K95" s="83" t="n">
        <x:v>8</x:v>
      </x:c>
      <x:c r="L95" s="75" t="str">
        <x:v>Assistant draft</x:v>
      </x:c>
      <x:c r="M95" s="75" t="str">
        <x:v>Editorial estimate relative to the Rice/Anderson and cheaper veteran references at the listed GBP fee. Role, production, age and potential require a full scouting review; this decimal is a discussion draft.</x:v>
      </x:c>
      <x:c r="N95" s="75" t="str">
        <x:v>Low</x:v>
      </x:c>
      <x:c r="O95" s="75" t="str">
        <x:v>Workbook quote; age and detailed production not verified</x:v>
      </x:c>
      <x:c r="P95" s="75" t="str">
        <x:v>https://www.theguardian.com/football/ng-interactive/2026/sep/01/mens-transfer-window-summer-2026-all-deals-from-europes-top-five-leagues</x:v>
      </x:c>
    </x:row>
    <x:row r="96" ht="25" customHeight="1">
      <x:c r="A96" s="69" t="str">
        <x:v>S26-1222</x:v>
      </x:c>
      <x:c r="B96" s="69" t="str">
        <x:v>Emil Bohinen</x:v>
      </x:c>
      <x:c r="C96" s="69" t="str">
        <x:v>Cesena</x:v>
      </x:c>
      <x:c r="D96" s="69" t="str">
        <x:v>Venezia</x:v>
      </x:c>
      <x:c r="E96" s="76" t="d">
        <x:v>2026-08-30T00:00:00.000Z</x:v>
      </x:c>
      <x:c r="F96" s="69" t="str">
        <x:v>summer</x:v>
      </x:c>
      <x:c r="G96" s="69" t="str">
        <x:v>CDM / deep (editorial)</x:v>
      </x:c>
      <x:c r="H96" s="78"/>
      <x:c r="I96" s="69" t="str">
        <x:v>GBP</x:v>
      </x:c>
      <x:c r="J96" s="80"/>
      <x:c r="K96" s="82"/>
      <x:c r="L96" s="69" t="str">
        <x:v>Fee needed</x:v>
      </x:c>
      <x:c r="M96" s="69" t="str">
        <x:v>Fee or loan terms are missing; no fee-value rating assigned. Do not treat a blank quote as zero.</x:v>
      </x:c>
      <x:c r="N96" s="69" t="str">
        <x:v>Low</x:v>
      </x:c>
      <x:c r="O96" s="69" t="str">
        <x:v>Workbook quote; age and detailed production not verified</x:v>
      </x:c>
      <x:c r="P96" s="69" t="str">
        <x:v>https://www.theguardian.com/football/ng-interactive/2026/sep/01/mens-transfer-window-summer-2026-all-deals-from-europes-top-five-leagues</x:v>
      </x:c>
    </x:row>
    <x:row r="97" ht="25" customHeight="1">
      <x:c r="A97" s="75" t="str">
        <x:v>S26-1236</x:v>
      </x:c>
      <x:c r="B97" s="75" t="str">
        <x:v>Stefan Bajcetic</x:v>
      </x:c>
      <x:c r="C97" s="75" t="str">
        <x:v>Celta Vigo</x:v>
      </x:c>
      <x:c r="D97" s="75" t="str">
        <x:v>Liverpool</x:v>
      </x:c>
      <x:c r="E97" s="77" t="d">
        <x:v>2026-08-31T00:00:00.000Z</x:v>
      </x:c>
      <x:c r="F97" s="75" t="str">
        <x:v>summer</x:v>
      </x:c>
      <x:c r="G97" s="75" t="str">
        <x:v>CDM / deep (editorial)</x:v>
      </x:c>
      <x:c r="H97" s="79"/>
      <x:c r="I97" s="75" t="str">
        <x:v>GBP</x:v>
      </x:c>
      <x:c r="J97" s="81"/>
      <x:c r="K97" s="83"/>
      <x:c r="L97" s="75" t="str">
        <x:v>Fee needed</x:v>
      </x:c>
      <x:c r="M97" s="75" t="str">
        <x:v>Fee or loan terms are missing; no fee-value rating assigned. Do not treat a blank quote as zero.</x:v>
      </x:c>
      <x:c r="N97" s="75" t="str">
        <x:v>Low</x:v>
      </x:c>
      <x:c r="O97" s="75" t="str">
        <x:v>Workbook quote; age and detailed production not verified</x:v>
      </x:c>
      <x:c r="P97" s="75" t="str">
        <x:v>https://www.theguardian.com/football/ng-interactive/2026/sep/01/mens-transfer-window-summer-2026-all-deals-from-europes-top-five-leagues</x:v>
      </x:c>
    </x:row>
    <x:row r="98" ht="25" customHeight="1">
      <x:c r="A98" s="69" t="str">
        <x:v>S26-1298</x:v>
      </x:c>
      <x:c r="B98" s="69" t="str">
        <x:v>Niko Sigur</x:v>
      </x:c>
      <x:c r="C98" s="69" t="str">
        <x:v>Toulouse</x:v>
      </x:c>
      <x:c r="D98" s="69" t="str">
        <x:v>Hajduk Split</x:v>
      </x:c>
      <x:c r="E98" s="76" t="d">
        <x:v>2026-09-01T00:00:00.000Z</x:v>
      </x:c>
      <x:c r="F98" s="69" t="str">
        <x:v>summer</x:v>
      </x:c>
      <x:c r="G98" s="69" t="str">
        <x:v>CDM / deep (editorial)</x:v>
      </x:c>
      <x:c r="H98" s="78" t="n">
        <x:v>3400000</x:v>
      </x:c>
      <x:c r="I98" s="69" t="str">
        <x:v>GBP</x:v>
      </x:c>
      <x:c r="J98" s="80"/>
      <x:c r="K98" s="82" t="n">
        <x:v>7.9</x:v>
      </x:c>
      <x:c r="L98" s="69" t="str">
        <x:v>Assistant draft</x:v>
      </x:c>
      <x:c r="M98" s="69" t="str">
        <x:v>Editorial estimate relative to the Rice/Anderson and cheaper veteran references at the listed GBP fee. Role, production, age and potential require a full scouting review; this decimal is a discussion draft.</x:v>
      </x:c>
      <x:c r="N98" s="69" t="str">
        <x:v>Low</x:v>
      </x:c>
      <x:c r="O98" s="69" t="str">
        <x:v>Workbook quote; age and detailed production not verified</x:v>
      </x:c>
      <x:c r="P98" s="69" t="str">
        <x:v>https://www.theguardian.com/football/ng-interactive/2026/sep/01/mens-transfer-window-summer-2026-all-deals-from-europes-top-five-leagues</x:v>
      </x:c>
    </x:row>
    <x:row r="99" ht="25" customHeight="1">
      <x:c r="A99" s="75" t="str">
        <x:v>S26-1316</x:v>
      </x:c>
      <x:c r="B99" s="75" t="str">
        <x:v>Ibrahim Sulemana</x:v>
      </x:c>
      <x:c r="C99" s="75" t="str">
        <x:v>Sassuolo</x:v>
      </x:c>
      <x:c r="D99" s="75" t="str">
        <x:v>Atalanta</x:v>
      </x:c>
      <x:c r="E99" s="77" t="d">
        <x:v>2026-09-01T00:00:00.000Z</x:v>
      </x:c>
      <x:c r="F99" s="75" t="str">
        <x:v>summer</x:v>
      </x:c>
      <x:c r="G99" s="75" t="str">
        <x:v>CDM / deep (editorial)</x:v>
      </x:c>
      <x:c r="H99" s="79"/>
      <x:c r="I99" s="75" t="str">
        <x:v>GBP</x:v>
      </x:c>
      <x:c r="J99" s="81"/>
      <x:c r="K99" s="83"/>
      <x:c r="L99" s="75" t="str">
        <x:v>Fee needed</x:v>
      </x:c>
      <x:c r="M99" s="75" t="str">
        <x:v>Fee or loan terms are missing; no fee-value rating assigned. Do not treat a blank quote as zero.</x:v>
      </x:c>
      <x:c r="N99" s="75" t="str">
        <x:v>Low</x:v>
      </x:c>
      <x:c r="O99" s="75" t="str">
        <x:v>Workbook quote; age and detailed production not verified</x:v>
      </x:c>
      <x:c r="P99" s="75" t="str">
        <x:v>https://www.theguardian.com/football/ng-interactive/2026/sep/01/mens-transfer-window-summer-2026-all-deals-from-europes-top-five-leagues</x:v>
      </x:c>
    </x:row>
    <x:row r="100" ht="25" customHeight="1">
      <x:c r="A100" s="69" t="str">
        <x:v>S26-1343</x:v>
      </x:c>
      <x:c r="B100" s="69" t="str">
        <x:v>Dário Essugo</x:v>
      </x:c>
      <x:c r="C100" s="69" t="str">
        <x:v>Strasbourg</x:v>
      </x:c>
      <x:c r="D100" s="69" t="str">
        <x:v>Chelsea</x:v>
      </x:c>
      <x:c r="E100" s="76" t="d">
        <x:v>2026-09-01T00:00:00.000Z</x:v>
      </x:c>
      <x:c r="F100" s="69" t="str">
        <x:v>summer</x:v>
      </x:c>
      <x:c r="G100" s="69" t="str">
        <x:v>CDM / deep (editorial)</x:v>
      </x:c>
      <x:c r="H100" s="78"/>
      <x:c r="I100" s="69" t="str">
        <x:v>GBP</x:v>
      </x:c>
      <x:c r="J100" s="80"/>
      <x:c r="K100" s="82"/>
      <x:c r="L100" s="69" t="str">
        <x:v>Fee needed</x:v>
      </x:c>
      <x:c r="M100" s="69" t="str">
        <x:v>Fee or loan terms are missing; no fee-value rating assigned. Do not treat a blank quote as zero.</x:v>
      </x:c>
      <x:c r="N100" s="69" t="str">
        <x:v>Low</x:v>
      </x:c>
      <x:c r="O100" s="69" t="str">
        <x:v>Workbook quote; age and detailed production not verified</x:v>
      </x:c>
      <x:c r="P100" s="69" t="str">
        <x:v>https://www.theguardian.com/football/ng-interactive/2026/sep/01/mens-transfer-window-summer-2026-all-deals-from-europes-top-five-leagues</x:v>
      </x:c>
    </x:row>
    <x:row r="101" ht="25" customHeight="1">
      <x:c r="A101" s="75" t="str">
        <x:v>S26-1347</x:v>
      </x:c>
      <x:c r="B101" s="75" t="str">
        <x:v>Gustavo Puerta</x:v>
      </x:c>
      <x:c r="C101" s="75" t="str">
        <x:v>Olympiakos</x:v>
      </x:c>
      <x:c r="D101" s="75" t="str">
        <x:v>Racing Santander</x:v>
      </x:c>
      <x:c r="E101" s="77" t="d">
        <x:v>2026-09-01T00:00:00.000Z</x:v>
      </x:c>
      <x:c r="F101" s="75" t="str">
        <x:v>summer</x:v>
      </x:c>
      <x:c r="G101" s="75" t="str">
        <x:v>CDM / deep (editorial)</x:v>
      </x:c>
      <x:c r="H101" s="79" t="n">
        <x:v>17100000</x:v>
      </x:c>
      <x:c r="I101" s="75" t="str">
        <x:v>GBP</x:v>
      </x:c>
      <x:c r="J101" s="81"/>
      <x:c r="K101" s="83" t="n">
        <x:v>7.8</x:v>
      </x:c>
      <x:c r="L101" s="75" t="str">
        <x:v>Assistant draft</x:v>
      </x:c>
      <x:c r="M101" s="75" t="str">
        <x:v>Editorial estimate relative to the Rice/Anderson and cheaper veteran references at the listed GBP fee. Role, production, age and potential require a full scouting review; this decimal is a discussion draft.</x:v>
      </x:c>
      <x:c r="N101" s="75" t="str">
        <x:v>Low</x:v>
      </x:c>
      <x:c r="O101" s="75" t="str">
        <x:v>Workbook quote; age and detailed production not verified</x:v>
      </x:c>
      <x:c r="P101" s="75" t="str">
        <x:v>https://www.theguardian.com/football/ng-interactive/2026/sep/01/mens-transfer-window-summer-2026-all-deals-from-europes-top-five-leagues</x:v>
      </x:c>
    </x:row>
    <x:row r="102" ht="25" customHeight="1">
      <x:c r="A102" s="69" t="str">
        <x:v>S26-1376</x:v>
      </x:c>
      <x:c r="B102" s="69" t="str">
        <x:v>Youri Regeer</x:v>
      </x:c>
      <x:c r="C102" s="69" t="str">
        <x:v>Werder Bremen</x:v>
      </x:c>
      <x:c r="D102" s="69" t="str">
        <x:v>Ajax</x:v>
      </x:c>
      <x:c r="E102" s="76" t="d">
        <x:v>2026-09-01T00:00:00.000Z</x:v>
      </x:c>
      <x:c r="F102" s="69" t="str">
        <x:v>summer</x:v>
      </x:c>
      <x:c r="G102" s="69" t="str">
        <x:v>CDM / deep (editorial)</x:v>
      </x:c>
      <x:c r="H102" s="78"/>
      <x:c r="I102" s="69" t="str">
        <x:v>GBP</x:v>
      </x:c>
      <x:c r="J102" s="80"/>
      <x:c r="K102" s="82"/>
      <x:c r="L102" s="69" t="str">
        <x:v>Fee needed</x:v>
      </x:c>
      <x:c r="M102" s="69" t="str">
        <x:v>Fee or loan terms are missing; no fee-value rating assigned. Do not treat a blank quote as zero.</x:v>
      </x:c>
      <x:c r="N102" s="69" t="str">
        <x:v>Low</x:v>
      </x:c>
      <x:c r="O102" s="69" t="str">
        <x:v>Workbook quote; age and detailed production not verified</x:v>
      </x:c>
      <x:c r="P102" s="69" t="str">
        <x:v>https://www.theguardian.com/football/ng-interactive/2026/sep/01/mens-transfer-window-summer-2026-all-deals-from-europes-top-five-leagues</x:v>
      </x:c>
    </x:row>
    <x:row r="103" ht="25" customHeight="1">
      <x:c r="A103" s="75" t="str">
        <x:v>S26-1382</x:v>
      </x:c>
      <x:c r="B103" s="75" t="str">
        <x:v>Tim Iroegbunam</x:v>
      </x:c>
      <x:c r="C103" s="75" t="str">
        <x:v>Hull City</x:v>
      </x:c>
      <x:c r="D103" s="75" t="str">
        <x:v>Everton</x:v>
      </x:c>
      <x:c r="E103" s="77" t="d">
        <x:v>2026-09-01T00:00:00.000Z</x:v>
      </x:c>
      <x:c r="F103" s="75" t="str">
        <x:v>summer</x:v>
      </x:c>
      <x:c r="G103" s="75" t="str">
        <x:v>CDM / deep (editorial)</x:v>
      </x:c>
      <x:c r="H103" s="79" t="n">
        <x:v>13000000</x:v>
      </x:c>
      <x:c r="I103" s="75" t="str">
        <x:v>GBP</x:v>
      </x:c>
      <x:c r="J103" s="81"/>
      <x:c r="K103" s="83" t="n">
        <x:v>7.6</x:v>
      </x:c>
      <x:c r="L103" s="75" t="str">
        <x:v>Assistant draft</x:v>
      </x:c>
      <x:c r="M103" s="75" t="str">
        <x:v>Editorial estimate relative to the Rice/Anderson and cheaper veteran references at the listed GBP fee. Role, production, age and potential require a full scouting review; this decimal is a discussion draft.</x:v>
      </x:c>
      <x:c r="N103" s="75" t="str">
        <x:v>Low</x:v>
      </x:c>
      <x:c r="O103" s="75" t="str">
        <x:v>Workbook quote; age and detailed production not verified</x:v>
      </x:c>
      <x:c r="P103" s="75" t="str">
        <x:v>https://www.theguardian.com/football/ng-interactive/2026/sep/01/mens-transfer-window-summer-2026-all-deals-from-europes-top-five-leagues</x:v>
      </x:c>
    </x:row>
    <x:row r="104" ht="25" customHeight="1">
      <x:c r="A104" s="69" t="str">
        <x:v>S26-1389</x:v>
      </x:c>
      <x:c r="B104" s="69" t="str">
        <x:v>Jens Cajuste</x:v>
      </x:c>
      <x:c r="C104" s="69" t="str">
        <x:v>Málaga</x:v>
      </x:c>
      <x:c r="D104" s="69" t="str">
        <x:v>Napoli</x:v>
      </x:c>
      <x:c r="E104" s="76" t="d">
        <x:v>2026-09-01T00:00:00.000Z</x:v>
      </x:c>
      <x:c r="F104" s="69" t="str">
        <x:v>summer</x:v>
      </x:c>
      <x:c r="G104" s="69" t="str">
        <x:v>CDM / deep (editorial)</x:v>
      </x:c>
      <x:c r="H104" s="78"/>
      <x:c r="I104" s="69" t="str">
        <x:v>GBP</x:v>
      </x:c>
      <x:c r="J104" s="80"/>
      <x:c r="K104" s="82"/>
      <x:c r="L104" s="69" t="str">
        <x:v>Fee needed</x:v>
      </x:c>
      <x:c r="M104" s="69" t="str">
        <x:v>Fee or loan terms are missing; no fee-value rating assigned. Do not treat a blank quote as zero.</x:v>
      </x:c>
      <x:c r="N104" s="69" t="str">
        <x:v>Low</x:v>
      </x:c>
      <x:c r="O104" s="69" t="str">
        <x:v>Workbook quote; age and detailed production not verified</x:v>
      </x:c>
      <x:c r="P104" s="69" t="str">
        <x:v>https://www.theguardian.com/football/ng-interactive/2026/sep/01/mens-transfer-window-summer-2026-all-deals-from-europes-top-five-leagues</x:v>
      </x:c>
    </x:row>
    <x:row r="105" ht="25" customHeight="1">
      <x:c r="A105" s="75" t="str">
        <x:v>S26-1412</x:v>
      </x:c>
      <x:c r="B105" s="75" t="str">
        <x:v>Marc Casadó</x:v>
      </x:c>
      <x:c r="C105" s="75" t="str">
        <x:v>Deportivo La Coruña</x:v>
      </x:c>
      <x:c r="D105" s="75" t="str">
        <x:v>Barcelona</x:v>
      </x:c>
      <x:c r="E105" s="77" t="d">
        <x:v>2026-09-01T00:00:00.000Z</x:v>
      </x:c>
      <x:c r="F105" s="75" t="str">
        <x:v>summer</x:v>
      </x:c>
      <x:c r="G105" s="75" t="str">
        <x:v>CDM / deep (editorial)</x:v>
      </x:c>
      <x:c r="H105" s="79"/>
      <x:c r="I105" s="75" t="str">
        <x:v>GBP</x:v>
      </x:c>
      <x:c r="J105" s="81"/>
      <x:c r="K105" s="83"/>
      <x:c r="L105" s="75" t="str">
        <x:v>Fee needed</x:v>
      </x:c>
      <x:c r="M105" s="75" t="str">
        <x:v>Fee or loan terms are missing; no fee-value rating assigned. Do not treat a blank quote as zero.</x:v>
      </x:c>
      <x:c r="N105" s="75" t="str">
        <x:v>Low</x:v>
      </x:c>
      <x:c r="O105" s="75" t="str">
        <x:v>Workbook quote; age and detailed production not verified</x:v>
      </x:c>
      <x:c r="P105" s="75" t="str">
        <x:v>https://www.theguardian.com/football/ng-interactive/2026/sep/01/mens-transfer-window-summer-2026-all-deals-from-europes-top-five-leagues</x:v>
      </x:c>
    </x:row>
    <x:row r="106" ht="25" customHeight="1">
      <x:c r="A106" s="69" t="str">
        <x:v>S26-1418</x:v>
      </x:c>
      <x:c r="B106" s="69" t="str">
        <x:v>Youssouf Fofana</x:v>
      </x:c>
      <x:c r="C106" s="69" t="str">
        <x:v>Sevilla</x:v>
      </x:c>
      <x:c r="D106" s="69" t="str">
        <x:v>Milan</x:v>
      </x:c>
      <x:c r="E106" s="76" t="d">
        <x:v>2026-09-01T00:00:00.000Z</x:v>
      </x:c>
      <x:c r="F106" s="69" t="str">
        <x:v>summer</x:v>
      </x:c>
      <x:c r="G106" s="69" t="str">
        <x:v>CDM / deep (editorial)</x:v>
      </x:c>
      <x:c r="H106" s="78"/>
      <x:c r="I106" s="69" t="str">
        <x:v>GBP</x:v>
      </x:c>
      <x:c r="J106" s="80"/>
      <x:c r="K106" s="82"/>
      <x:c r="L106" s="69" t="str">
        <x:v>Fee needed</x:v>
      </x:c>
      <x:c r="M106" s="69" t="str">
        <x:v>Fee or loan terms are missing; no fee-value rating assigned. Do not treat a blank quote as zero.</x:v>
      </x:c>
      <x:c r="N106" s="69" t="str">
        <x:v>Low</x:v>
      </x:c>
      <x:c r="O106" s="69" t="str">
        <x:v>Workbook quote; age and detailed production not verified</x:v>
      </x:c>
      <x:c r="P106" s="69" t="str">
        <x:v>https://www.theguardian.com/football/ng-interactive/2026/sep/01/mens-transfer-window-summer-2026-all-deals-from-europes-top-five-leagues</x:v>
      </x:c>
    </x:row>
    <x:row r="107" ht="25" customHeight="1">
      <x:c r="A107" s="75" t="str">
        <x:v>S26-1423</x:v>
      </x:c>
      <x:c r="B107" s="75" t="str">
        <x:v>Chema Andrés</x:v>
      </x:c>
      <x:c r="C107" s="75" t="str">
        <x:v>Brighton</x:v>
      </x:c>
      <x:c r="D107" s="75" t="str">
        <x:v>Stuttgart</x:v>
      </x:c>
      <x:c r="E107" s="77" t="d">
        <x:v>2026-09-01T00:00:00.000Z</x:v>
      </x:c>
      <x:c r="F107" s="75" t="str">
        <x:v>summer</x:v>
      </x:c>
      <x:c r="G107" s="75" t="str">
        <x:v>CDM / deep (editorial)</x:v>
      </x:c>
      <x:c r="H107" s="79" t="n">
        <x:v>18900000</x:v>
      </x:c>
      <x:c r="I107" s="75" t="str">
        <x:v>GBP</x:v>
      </x:c>
      <x:c r="J107" s="81"/>
      <x:c r="K107" s="83" t="n">
        <x:v>8.1</x:v>
      </x:c>
      <x:c r="L107" s="75" t="str">
        <x:v>Assistant draft</x:v>
      </x:c>
      <x:c r="M107" s="75" t="str">
        <x:v>Editorial estimate relative to the Rice/Anderson and cheaper veteran references at the listed GBP fee. Role, production, age and potential require a full scouting review; this decimal is a discussion draft.</x:v>
      </x:c>
      <x:c r="N107" s="75" t="str">
        <x:v>Low</x:v>
      </x:c>
      <x:c r="O107" s="75" t="str">
        <x:v>Workbook quote; age and detailed production not verified</x:v>
      </x:c>
      <x:c r="P107" s="75" t="str">
        <x:v>https://www.theguardian.com/football/ng-interactive/2026/sep/01/mens-transfer-window-summer-2026-all-deals-from-europes-top-five-leagues</x:v>
      </x:c>
    </x:row>
    <x:row r="108" ht="25" customHeight="1">
      <x:c r="A108" s="69" t="str">
        <x:v>S26-1428</x:v>
      </x:c>
      <x:c r="B108" s="69" t="str">
        <x:v>Unai Vencedor</x:v>
      </x:c>
      <x:c r="C108" s="69" t="str">
        <x:v>Burgos</x:v>
      </x:c>
      <x:c r="D108" s="69" t="str">
        <x:v>Athletic Club</x:v>
      </x:c>
      <x:c r="E108" s="76" t="d">
        <x:v>2026-09-01T00:00:00.000Z</x:v>
      </x:c>
      <x:c r="F108" s="69" t="str">
        <x:v>summer</x:v>
      </x:c>
      <x:c r="G108" s="69" t="str">
        <x:v>CDM / deep (editorial)</x:v>
      </x:c>
      <x:c r="H108" s="78" t="n">
        <x:v>0</x:v>
      </x:c>
      <x:c r="I108" s="69" t="str">
        <x:v>GBP</x:v>
      </x:c>
      <x:c r="J108" s="80"/>
      <x:c r="K108" s="82" t="n">
        <x:v>7.4</x:v>
      </x:c>
      <x:c r="L108" s="69" t="str">
        <x:v>Assistant draft</x:v>
      </x:c>
      <x:c r="M108" s="69" t="str">
        <x:v>Proposed value from a zero transfer-fee move. Experience/development judgment is provisional; wages, bonuses and signing costs are unknown.</x:v>
      </x:c>
      <x:c r="N108" s="69" t="str">
        <x:v>Low</x:v>
      </x:c>
      <x:c r="O108" s="69" t="str">
        <x:v>Workbook quote; age and detailed production not verified</x:v>
      </x:c>
      <x:c r="P108" s="69" t="str">
        <x:v>https://www.theguardian.com/football/ng-interactive/2026/sep/01/mens-transfer-window-summer-2026-all-deals-from-europes-top-five-leagues</x:v>
      </x:c>
    </x:row>
    <x:row r="109" ht="25" customHeight="1">
      <x:c r="A109" s="75" t="str">
        <x:v>S26-1432</x:v>
      </x:c>
      <x:c r="B109" s="75" t="str">
        <x:v>David Ozoh</x:v>
      </x:c>
      <x:c r="C109" s="75" t="str">
        <x:v>Derby County</x:v>
      </x:c>
      <x:c r="D109" s="75" t="str">
        <x:v>Crystal Palace</x:v>
      </x:c>
      <x:c r="E109" s="77" t="d">
        <x:v>2026-09-02T00:00:00.000Z</x:v>
      </x:c>
      <x:c r="F109" s="75" t="str">
        <x:v>summer</x:v>
      </x:c>
      <x:c r="G109" s="75" t="str">
        <x:v>CDM / deep (editorial)</x:v>
      </x:c>
      <x:c r="H109" s="79" t="n">
        <x:v>4000000</x:v>
      </x:c>
      <x:c r="I109" s="75" t="str">
        <x:v>GBP</x:v>
      </x:c>
      <x:c r="J109" s="81"/>
      <x:c r="K109" s="83" t="n">
        <x:v>7.8</x:v>
      </x:c>
      <x:c r="L109" s="75" t="str">
        <x:v>Assistant draft</x:v>
      </x:c>
      <x:c r="M109" s="75" t="str">
        <x:v>Editorial estimate relative to the Rice/Anderson and cheaper veteran references at the listed GBP fee. Role, production, age and potential require a full scouting review; this decimal is a discussion draft.</x:v>
      </x:c>
      <x:c r="N109" s="75" t="str">
        <x:v>Low</x:v>
      </x:c>
      <x:c r="O109" s="75" t="str">
        <x:v>Workbook quote; age and detailed production not verified</x:v>
      </x:c>
      <x:c r="P109" s="75" t="str">
        <x:v>https://www.theguardian.com/football/ng-interactive/2026/sep/01/mens-transfer-window-summer-2026-all-deals-from-europes-top-five-leagues</x:v>
      </x:c>
    </x:row>
    <x:row r="110" ht="25" customHeight="1">
      <x:c r="A110" s="69" t="str">
        <x:v>S26-1472</x:v>
      </x:c>
      <x:c r="B110" s="69" t="str">
        <x:v>Eric Martel</x:v>
      </x:c>
      <x:c r="C110" s="69" t="str">
        <x:v>Mainz 05</x:v>
      </x:c>
      <x:c r="D110" s="69" t="str">
        <x:v>Cologne</x:v>
      </x:c>
      <x:c r="E110" s="76" t="d">
        <x:v>2026-07-01T00:00:00.000Z</x:v>
      </x:c>
      <x:c r="F110" s="69" t="str">
        <x:v>summer</x:v>
      </x:c>
      <x:c r="G110" s="69" t="str">
        <x:v>CDM / deep (editorial)</x:v>
      </x:c>
      <x:c r="H110" s="78" t="n">
        <x:v>0</x:v>
      </x:c>
      <x:c r="I110" s="69" t="str">
        <x:v>GBP</x:v>
      </x:c>
      <x:c r="J110" s="80"/>
      <x:c r="K110" s="82" t="n">
        <x:v>8.3</x:v>
      </x:c>
      <x:c r="L110" s="69" t="str">
        <x:v>Assistant draft</x:v>
      </x:c>
      <x:c r="M110" s="69" t="str">
        <x:v>Proposed value from a zero transfer-fee move. Experience/development judgment is provisional; wages, bonuses and signing costs are unknown.</x:v>
      </x:c>
      <x:c r="N110" s="69" t="str">
        <x:v>Low</x:v>
      </x:c>
      <x:c r="O110" s="69" t="str">
        <x:v>Workbook quote; age and detailed production not verified</x:v>
      </x:c>
      <x:c r="P110" s="69" t="str">
        <x:v>https://www.theguardian.com/football/ng-interactive/2026/sep/01/mens-transfer-window-summer-2026-all-deals-from-europes-top-five-leagues</x:v>
      </x:c>
    </x:row>
    <x:row r="111" ht="25" customHeight="1">
      <x:c r="A111" s="75" t="str">
        <x:v>S26-0200</x:v>
      </x:c>
      <x:c r="B111" s="75" t="str">
        <x:v>Elliot Anderson</x:v>
      </x:c>
      <x:c r="C111" s="75" t="str">
        <x:v>Manchester City</x:v>
      </x:c>
      <x:c r="D111" s="75" t="str">
        <x:v>Nottingham Forest</x:v>
      </x:c>
      <x:c r="E111" s="77" t="d">
        <x:v>2026-07-23T00:00:00.000Z</x:v>
      </x:c>
      <x:c r="F111" s="75" t="str">
        <x:v>summer</x:v>
      </x:c>
      <x:c r="G111" s="75" t="str">
        <x:v>CDM / deep (editorial)</x:v>
      </x:c>
      <x:c r="H111" s="79" t="n">
        <x:v>116000000</x:v>
      </x:c>
      <x:c r="I111" s="75" t="str">
        <x:v>GBP</x:v>
      </x:c>
      <x:c r="J111" s="81"/>
      <x:c r="K111" s="83" t="n">
        <x:v>9.2</x:v>
      </x:c>
      <x:c r="L111" s="75" t="str">
        <x:v>Your rating</x:v>
      </x:c>
      <x:c r="M111" s="75" t="str">
        <x:v>Elite quality and high potential outweigh the very high fee, in the owner’s assessment.</x:v>
      </x:c>
      <x:c r="N111" s="75" t="str">
        <x:v>Subjective reference</x:v>
      </x:c>
      <x:c r="O111" s="75" t="str">
        <x:v>Workbook quote; age and detailed production not verified</x:v>
      </x:c>
      <x:c r="P111" s="75" t="str">
        <x:v>https://www.theguardian.com/football/ng-interactive/2026/sep/01/mens-transfer-window-summer-2026-all-deals-from-europes-top-five-leagues</x:v>
      </x:c>
    </x:row>
    <x:row r="112" ht="25" customHeight="1">
      <x:c r="A112" s="69" t="str">
        <x:v>S26-0252</x:v>
      </x:c>
      <x:c r="B112" s="69" t="str">
        <x:v>Sandro Tonali</x:v>
      </x:c>
      <x:c r="C112" s="69" t="str">
        <x:v>Tottenham Hotspur</x:v>
      </x:c>
      <x:c r="D112" s="69" t="str">
        <x:v>Newcastle United</x:v>
      </x:c>
      <x:c r="E112" s="76" t="d">
        <x:v>2026-07-06T00:00:00.000Z</x:v>
      </x:c>
      <x:c r="F112" s="69" t="str">
        <x:v>summer</x:v>
      </x:c>
      <x:c r="G112" s="69" t="str">
        <x:v>CDM / deep (editorial)</x:v>
      </x:c>
      <x:c r="H112" s="78" t="n">
        <x:v>92500000</x:v>
      </x:c>
      <x:c r="I112" s="69" t="str">
        <x:v>GBP</x:v>
      </x:c>
      <x:c r="J112" s="80"/>
      <x:c r="K112" s="82" t="n">
        <x:v>8.6</x:v>
      </x:c>
      <x:c r="L112" s="69" t="str">
        <x:v>Assistant draft</x:v>
      </x:c>
      <x:c r="M112" s="69" t="str">
        <x:v>Editorial estimate relative to the Rice/Anderson and cheaper veteran references at the listed GBP fee. Role, production, age and potential require a full scouting review; this decimal is a discussion draft.</x:v>
      </x:c>
      <x:c r="N112" s="69" t="str">
        <x:v>Low</x:v>
      </x:c>
      <x:c r="O112" s="69" t="str">
        <x:v>Workbook quote; age and detailed production not verified</x:v>
      </x:c>
      <x:c r="P112" s="69" t="str">
        <x:v>https://www.theguardian.com/football/ng-interactive/2026/sep/01/mens-transfer-window-summer-2026-all-deals-from-europes-top-five-leagues</x:v>
      </x:c>
    </x:row>
    <x:row r="113" ht="25" customHeight="1">
      <x:c r="A113" s="75" t="str">
        <x:v>S26-0843</x:v>
      </x:c>
      <x:c r="B113" s="75" t="str">
        <x:v>Bruno Guimarães</x:v>
      </x:c>
      <x:c r="C113" s="75" t="str">
        <x:v>Arsenal</x:v>
      </x:c>
      <x:c r="D113" s="75" t="str">
        <x:v>Newcastle United</x:v>
      </x:c>
      <x:c r="E113" s="77" t="d">
        <x:v>2026-08-08T00:00:00.000Z</x:v>
      </x:c>
      <x:c r="F113" s="75" t="str">
        <x:v>summer</x:v>
      </x:c>
      <x:c r="G113" s="75" t="str">
        <x:v>CDM / deep (editorial)</x:v>
      </x:c>
      <x:c r="H113" s="79" t="n">
        <x:v>75000000</x:v>
      </x:c>
      <x:c r="I113" s="75" t="str">
        <x:v>GBP</x:v>
      </x:c>
      <x:c r="J113" s="81"/>
      <x:c r="K113" s="83" t="n">
        <x:v>8.7</x:v>
      </x:c>
      <x:c r="L113" s="75" t="str">
        <x:v>Assistant draft</x:v>
      </x:c>
      <x:c r="M113" s="75" t="str">
        <x:v>Editorial estimate relative to the Rice/Anderson and cheaper veteran references at the listed GBP fee. Role, production, age and potential require a full scouting review; this decimal is a discussion draft.</x:v>
      </x:c>
      <x:c r="N113" s="75" t="str">
        <x:v>Low</x:v>
      </x:c>
      <x:c r="O113" s="75" t="str">
        <x:v>Workbook quote; age and detailed production not verified</x:v>
      </x:c>
      <x:c r="P113" s="75" t="str">
        <x:v>https://www.theguardian.com/football/ng-interactive/2026/sep/01/mens-transfer-window-summer-2026-all-deals-from-europes-top-five-leagues</x:v>
      </x:c>
    </x:row>
    <x:row r="114" ht="25" customHeight="1">
      <x:c r="A114" s="69" t="str">
        <x:v>S26-1012</x:v>
      </x:c>
      <x:c r="B114" s="69" t="str">
        <x:v>Rodri</x:v>
      </x:c>
      <x:c r="C114" s="69" t="str">
        <x:v>Barcelona</x:v>
      </x:c>
      <x:c r="D114" s="69" t="str">
        <x:v>Manchester City</x:v>
      </x:c>
      <x:c r="E114" s="76" t="d">
        <x:v>2026-08-18T00:00:00.000Z</x:v>
      </x:c>
      <x:c r="F114" s="69" t="str">
        <x:v>summer</x:v>
      </x:c>
      <x:c r="G114" s="69" t="str">
        <x:v>CDM / deep (editorial)</x:v>
      </x:c>
      <x:c r="H114" s="78" t="n">
        <x:v>51300000</x:v>
      </x:c>
      <x:c r="I114" s="69" t="str">
        <x:v>GBP</x:v>
      </x:c>
      <x:c r="J114" s="80"/>
      <x:c r="K114" s="82" t="n">
        <x:v>8.8</x:v>
      </x:c>
      <x:c r="L114" s="69" t="str">
        <x:v>Your rating</x:v>
      </x:c>
      <x:c r="M114" s="69" t="str">
        <x:v>Owner judges exceptional CDM quality and reasonable price, reduced for age 30 and remaining prime years. Applies to the workbook Barcelona record.</x:v>
      </x:c>
      <x:c r="N114" s="69" t="str">
        <x:v>Subjective reference</x:v>
      </x:c>
      <x:c r="O114" s="69" t="str">
        <x:v>Workbook quote; age and detailed production not verified</x:v>
      </x:c>
      <x:c r="P114" s="69" t="str">
        <x:v>https://www.theguardian.com/football/ng-interactive/2026/sep/01/mens-transfer-window-summer-2026-all-deals-from-europes-top-five-leagues</x:v>
      </x:c>
    </x:row>
    <x:row r="115" ht="25" customHeight="1">
      <x:c r="A115" s="75" t="str">
        <x:v>S26-1119</x:v>
      </x:c>
      <x:c r="B115" s="75" t="str">
        <x:v>Ayyoub Bouaddi</x:v>
      </x:c>
      <x:c r="C115" s="75" t="str">
        <x:v>Manchester City</x:v>
      </x:c>
      <x:c r="D115" s="75" t="str">
        <x:v>Lille</x:v>
      </x:c>
      <x:c r="E115" s="77" t="d">
        <x:v>2026-08-26T00:00:00.000Z</x:v>
      </x:c>
      <x:c r="F115" s="75" t="str">
        <x:v>summer</x:v>
      </x:c>
      <x:c r="G115" s="75" t="str">
        <x:v>CDM / deep (editorial)</x:v>
      </x:c>
      <x:c r="H115" s="79" t="n">
        <x:v>85700000</x:v>
      </x:c>
      <x:c r="I115" s="75" t="str">
        <x:v>GBP</x:v>
      </x:c>
      <x:c r="J115" s="81"/>
      <x:c r="K115" s="83" t="n">
        <x:v>8.3</x:v>
      </x:c>
      <x:c r="L115" s="75" t="str">
        <x:v>Assistant draft</x:v>
      </x:c>
      <x:c r="M115" s="75" t="str">
        <x:v>Editorial estimate relative to the Rice/Anderson and cheaper veteran references at the listed GBP fee. Role, production, age and potential require a full scouting review; this decimal is a discussion draft.</x:v>
      </x:c>
      <x:c r="N115" s="75" t="str">
        <x:v>Low</x:v>
      </x:c>
      <x:c r="O115" s="75" t="str">
        <x:v>Workbook quote; age and detailed production not verified</x:v>
      </x:c>
      <x:c r="P115" s="75" t="str">
        <x:v>https://www.theguardian.com/football/ng-interactive/2026/sep/01/mens-transfer-window-summer-2026-all-deals-from-europes-top-five-leagues</x:v>
      </x:c>
    </x:row>
    <x:row r="116" ht="25" customHeight="1">
      <x:c r="A116" s="69" t="str">
        <x:v>S26-1420</x:v>
      </x:c>
      <x:c r="B116" s="69" t="str">
        <x:v>Enzo Fernández</x:v>
      </x:c>
      <x:c r="C116" s="69" t="str">
        <x:v>Manchester City</x:v>
      </x:c>
      <x:c r="D116" s="69" t="str">
        <x:v>Chelsea</x:v>
      </x:c>
      <x:c r="E116" s="76" t="d">
        <x:v>2026-09-01T00:00:00.000Z</x:v>
      </x:c>
      <x:c r="F116" s="69" t="str">
        <x:v>summer</x:v>
      </x:c>
      <x:c r="G116" s="69" t="str">
        <x:v>CDM / deep (editorial)</x:v>
      </x:c>
      <x:c r="H116" s="78" t="n">
        <x:v>125000000</x:v>
      </x:c>
      <x:c r="I116" s="69" t="str">
        <x:v>GBP</x:v>
      </x:c>
      <x:c r="J116" s="80"/>
      <x:c r="K116" s="82" t="n">
        <x:v>8</x:v>
      </x:c>
      <x:c r="L116" s="69" t="str">
        <x:v>Assistant draft</x:v>
      </x:c>
      <x:c r="M116" s="69" t="str">
        <x:v>Editorial estimate relative to the Rice/Anderson and cheaper veteran references at the listed GBP fee. Role, production, age and potential require a full scouting review; this decimal is a discussion draft.</x:v>
      </x:c>
      <x:c r="N116" s="69" t="str">
        <x:v>Low</x:v>
      </x:c>
      <x:c r="O116" s="69" t="str">
        <x:v>Workbook quote; age and detailed production not verified</x:v>
      </x:c>
      <x:c r="P116" s="69" t="str">
        <x:v>https://www.theguardian.com/football/ng-interactive/2026/sep/01/mens-transfer-window-summer-2026-all-deals-from-europes-top-five-leagues</x:v>
      </x:c>
    </x:row>
    <x:row r="117" ht="25" customHeight="1">
      <x:c r="A117" s="75" t="str">
        <x:v>reference-gross-2026</x:v>
      </x:c>
      <x:c r="B117" s="75" t="str">
        <x:v>Pascal Groß</x:v>
      </x:c>
      <x:c r="C117" s="75" t="str">
        <x:v>Brighton</x:v>
      </x:c>
      <x:c r="D117" s="75" t="str">
        <x:v>Borussia Dortmund</x:v>
      </x:c>
      <x:c r="E117" s="77" t="d">
        <x:v>2026-01-02T00:00:00.000Z</x:v>
      </x:c>
      <x:c r="F117" s="75" t="str">
        <x:v>reference</x:v>
      </x:c>
      <x:c r="G117" s="75" t="str">
        <x:v>User reference / central</x:v>
      </x:c>
      <x:c r="H117" s="79"/>
      <x:c r="I117" s="75" t="str">
        <x:v>EUR</x:v>
      </x:c>
      <x:c r="J117" s="81"/>
      <x:c r="K117" s="83" t="n">
        <x:v>8.1</x:v>
      </x:c>
      <x:c r="L117" s="75" t="str">
        <x:v>Your rating</x:v>
      </x:c>
      <x:c r="M117" s="75" t="str">
        <x:v>Owner: good production relative to price, reduced for older age and fewer remaining seasons. Fee not verified; record absent from supplied transfer tables.</x:v>
      </x:c>
      <x:c r="N117" s="75" t="str">
        <x:v>Subjective reference</x:v>
      </x:c>
      <x:c r="O117" s="75" t="str">
        <x:v>Return confirmed by Brighton; no fee in supplied dataset</x:v>
      </x:c>
      <x:c r="P117" s="75" t="str">
        <x:v>https://www.brightonandhovealbion.com/media-article/mft-transfer-news-pascal-gross-borussia-dortmund-january-2026</x:v>
      </x:c>
    </x:row>
    <x:row r="118" ht="25" customHeight="1">
      <x:c r="A118" s="69" t="str">
        <x:v>historical-1</x:v>
      </x:c>
      <x:c r="B118" s="69" t="str">
        <x:v>Kylian Mbappé</x:v>
      </x:c>
      <x:c r="C118" s="69" t="str">
        <x:v>PSG</x:v>
      </x:c>
      <x:c r="D118" s="69" t="str">
        <x:v>Monaco</x:v>
      </x:c>
      <x:c r="E118" s="76" t="d">
        <x:v>2018-07-01T00:00:00.000Z</x:v>
      </x:c>
      <x:c r="F118" s="69" t="str">
        <x:v>historical</x:v>
      </x:c>
      <x:c r="G118" s="69" t="str">
        <x:v>Striker</x:v>
      </x:c>
      <x:c r="H118" s="78" t="n">
        <x:v>180000000</x:v>
      </x:c>
      <x:c r="I118" s="69" t="str">
        <x:v>EUR</x:v>
      </x:c>
      <x:c r="J118" s="80" t="n">
        <x:v>20</x:v>
      </x:c>
      <x:c r="K118" s="82" t="n">
        <x:v>9.4</x:v>
      </x:c>
      <x:c r="L118" s="69" t="str">
        <x:v>Assistant draft</x:v>
      </x:c>
      <x:c r="M118" s="69" t="str">
        <x:v>Exceptional attacking quality and long developmental runway justify much of the unusually high investment.</x:v>
      </x:c>
      <x:c r="N118" s="69" t="str">
        <x:v>Low</x:v>
      </x:c>
      <x:c r="O118" s="69" t="str">
        <x:v>Editorial assessment; transfer facts from workbook. Detailed comparable production and availability not fully verified. User concerns are attributed opinions.</x:v>
      </x:c>
      <x:c r="P118" s="69" t="str">
        <x:v>https://github.com/CopiousHighlights/football-transfer-market-analysis</x:v>
      </x:c>
    </x:row>
    <x:row r="119" ht="25" customHeight="1">
      <x:c r="A119" s="75" t="str">
        <x:v>historical-3</x:v>
      </x:c>
      <x:c r="B119" s="75" t="str">
        <x:v>Alexander Isak</x:v>
      </x:c>
      <x:c r="C119" s="75" t="str">
        <x:v>Liverpool</x:v>
      </x:c>
      <x:c r="D119" s="75" t="str">
        <x:v>Newcastle</x:v>
      </x:c>
      <x:c r="E119" s="77" t="d">
        <x:v>2025-09-01T00:00:00.000Z</x:v>
      </x:c>
      <x:c r="F119" s="75" t="str">
        <x:v>historical</x:v>
      </x:c>
      <x:c r="G119" s="75" t="str">
        <x:v>Striker</x:v>
      </x:c>
      <x:c r="H119" s="79" t="n">
        <x:v>145000000</x:v>
      </x:c>
      <x:c r="I119" s="75" t="str">
        <x:v>EUR</x:v>
      </x:c>
      <x:c r="J119" s="81" t="n">
        <x:v>26</x:v>
      </x:c>
      <x:c r="K119" s="83" t="n">
        <x:v>7.1</x:v>
      </x:c>
      <x:c r="L119" s="75" t="str">
        <x:v>Your rating</x:v>
      </x:c>
      <x:c r="M119" s="75" t="str">
        <x:v>Very good player, but very expensive. Injury concerns and limited production reduce value.</x:v>
      </x:c>
      <x:c r="N119" s="75" t="str">
        <x:v>Low</x:v>
      </x:c>
      <x:c r="O119" s="75" t="str">
        <x:v>Editorial assessment; transfer facts from workbook. Detailed comparable production and availability not fully verified. User concerns are attributed opinions.</x:v>
      </x:c>
      <x:c r="P119" s="75" t="str">
        <x:v>https://github.com/CopiousHighlights/football-transfer-market-analysis</x:v>
      </x:c>
    </x:row>
    <x:row r="120" ht="25" customHeight="1">
      <x:c r="A120" s="69" t="str">
        <x:v>historical-8</x:v>
      </x:c>
      <x:c r="B120" s="69" t="str">
        <x:v>João Félix</x:v>
      </x:c>
      <x:c r="C120" s="69" t="str">
        <x:v>Atlético</x:v>
      </x:c>
      <x:c r="D120" s="69" t="str">
        <x:v>Benfica</x:v>
      </x:c>
      <x:c r="E120" s="76" t="d">
        <x:v>2019-07-03T00:00:00.000Z</x:v>
      </x:c>
      <x:c r="F120" s="69" t="str">
        <x:v>historical</x:v>
      </x:c>
      <x:c r="G120" s="69" t="str">
        <x:v>Striker / mixed forward</x:v>
      </x:c>
      <x:c r="H120" s="78" t="n">
        <x:v>127200000</x:v>
      </x:c>
      <x:c r="I120" s="69" t="str">
        <x:v>EUR</x:v>
      </x:c>
      <x:c r="J120" s="80" t="n">
        <x:v>20</x:v>
      </x:c>
      <x:c r="K120" s="82" t="n">
        <x:v>5.9</x:v>
      </x:c>
      <x:c r="L120" s="69" t="str">
        <x:v>Assistant draft</x:v>
      </x:c>
      <x:c r="M120" s="69" t="str">
        <x:v>Very high investment depended heavily on potential. My retrospective judgment is that the return did not justify that price.</x:v>
      </x:c>
      <x:c r="N120" s="69" t="str">
        <x:v>Low</x:v>
      </x:c>
      <x:c r="O120" s="69" t="str">
        <x:v>Editorial assessment; transfer facts from workbook. Detailed comparable production and availability not fully verified. User concerns are attributed opinions.</x:v>
      </x:c>
      <x:c r="P120" s="69" t="str">
        <x:v>https://github.com/CopiousHighlights/football-transfer-market-analysis</x:v>
      </x:c>
    </x:row>
    <x:row r="121" ht="25" customHeight="1">
      <x:c r="A121" s="75" t="str">
        <x:v>historical-14</x:v>
      </x:c>
      <x:c r="B121" s="75" t="str">
        <x:v>Antoine Griezmann</x:v>
      </x:c>
      <x:c r="C121" s="75" t="str">
        <x:v>Barcelona</x:v>
      </x:c>
      <x:c r="D121" s="75" t="str">
        <x:v>Atlético</x:v>
      </x:c>
      <x:c r="E121" s="77" t="d">
        <x:v>2019-07-14T00:00:00.000Z</x:v>
      </x:c>
      <x:c r="F121" s="75" t="str">
        <x:v>historical</x:v>
      </x:c>
      <x:c r="G121" s="75" t="str">
        <x:v>Striker / mixed forward</x:v>
      </x:c>
      <x:c r="H121" s="79" t="n">
        <x:v>120000000</x:v>
      </x:c>
      <x:c r="I121" s="75" t="str">
        <x:v>EUR</x:v>
      </x:c>
      <x:c r="J121" s="81" t="n">
        <x:v>28</x:v>
      </x:c>
      <x:c r="K121" s="83" t="n">
        <x:v>6.3</x:v>
      </x:c>
      <x:c r="L121" s="75" t="str">
        <x:v>Assistant draft</x:v>
      </x:c>
      <x:c r="M121" s="75" t="str">
        <x:v>Established quality, but the expensive deal offered limited age-related upside and a less convincing fit.</x:v>
      </x:c>
      <x:c r="N121" s="75" t="str">
        <x:v>Low</x:v>
      </x:c>
      <x:c r="O121" s="75" t="str">
        <x:v>Editorial assessment; transfer facts from workbook. Detailed comparable production and availability not fully verified. User concerns are attributed opinions.</x:v>
      </x:c>
      <x:c r="P121" s="75" t="str">
        <x:v>https://github.com/CopiousHighlights/football-transfer-market-analysis</x:v>
      </x:c>
    </x:row>
    <x:row r="122" ht="25" customHeight="1">
      <x:c r="A122" s="69" t="str">
        <x:v>historical-16</x:v>
      </x:c>
      <x:c r="B122" s="69" t="str">
        <x:v>Cristiano Ronaldo</x:v>
      </x:c>
      <x:c r="C122" s="69" t="str">
        <x:v>Juventus</x:v>
      </x:c>
      <x:c r="D122" s="69" t="str">
        <x:v>Real Madrid</x:v>
      </x:c>
      <x:c r="E122" s="76" t="d">
        <x:v>2018-07-10T00:00:00.000Z</x:v>
      </x:c>
      <x:c r="F122" s="69" t="str">
        <x:v>historical</x:v>
      </x:c>
      <x:c r="G122" s="69" t="str">
        <x:v>Striker</x:v>
      </x:c>
      <x:c r="H122" s="78" t="n">
        <x:v>117000000</x:v>
      </x:c>
      <x:c r="I122" s="69" t="str">
        <x:v>EUR</x:v>
      </x:c>
      <x:c r="J122" s="80" t="n">
        <x:v>33</x:v>
      </x:c>
      <x:c r="K122" s="82" t="n">
        <x:v>8.5</x:v>
      </x:c>
      <x:c r="L122" s="69" t="str">
        <x:v>Assistant draft</x:v>
      </x:c>
      <x:c r="M122" s="69" t="str">
        <x:v>Strong scoring return in my assessment, offset by a large investment late in his career.</x:v>
      </x:c>
      <x:c r="N122" s="69" t="str">
        <x:v>Low</x:v>
      </x:c>
      <x:c r="O122" s="69" t="str">
        <x:v>Editorial assessment; transfer facts from workbook. Detailed comparable production and availability not fully verified. User concerns are attributed opinions.</x:v>
      </x:c>
      <x:c r="P122" s="69" t="str">
        <x:v>https://github.com/CopiousHighlights/football-transfer-market-analysis</x:v>
      </x:c>
    </x:row>
    <x:row r="123" ht="25" customHeight="1">
      <x:c r="A123" s="75" t="str">
        <x:v>historical-19</x:v>
      </x:c>
      <x:c r="B123" s="75" t="str">
        <x:v>Romelu Lukaku</x:v>
      </x:c>
      <x:c r="C123" s="75" t="str">
        <x:v>Chelsea</x:v>
      </x:c>
      <x:c r="D123" s="75" t="str">
        <x:v>Inter</x:v>
      </x:c>
      <x:c r="E123" s="77" t="d">
        <x:v>2021-08-12T00:00:00.000Z</x:v>
      </x:c>
      <x:c r="F123" s="75" t="str">
        <x:v>historical</x:v>
      </x:c>
      <x:c r="G123" s="75" t="str">
        <x:v>Striker</x:v>
      </x:c>
      <x:c r="H123" s="79" t="n">
        <x:v>113000000</x:v>
      </x:c>
      <x:c r="I123" s="75" t="str">
        <x:v>EUR</x:v>
      </x:c>
      <x:c r="J123" s="81" t="n">
        <x:v>28</x:v>
      </x:c>
      <x:c r="K123" s="83" t="n">
        <x:v>4.9</x:v>
      </x:c>
      <x:c r="L123" s="75" t="str">
        <x:v>Assistant draft</x:v>
      </x:c>
      <x:c r="M123" s="75" t="str">
        <x:v>In my assessment, the expensive return delivered too little sustained value for the buying club.</x:v>
      </x:c>
      <x:c r="N123" s="75" t="str">
        <x:v>Low</x:v>
      </x:c>
      <x:c r="O123" s="75" t="str">
        <x:v>Editorial assessment; transfer facts from workbook. Detailed comparable production and availability not fully verified. User concerns are attributed opinions.</x:v>
      </x:c>
      <x:c r="P123" s="75" t="str">
        <x:v>https://github.com/CopiousHighlights/football-transfer-market-analysis</x:v>
      </x:c>
    </x:row>
    <x:row r="124" ht="25" customHeight="1">
      <x:c r="A124" s="69" t="str">
        <x:v>historical-22</x:v>
      </x:c>
      <x:c r="B124" s="69" t="str">
        <x:v>Kai Havertz</x:v>
      </x:c>
      <x:c r="C124" s="69" t="str">
        <x:v>Chelsea</x:v>
      </x:c>
      <x:c r="D124" s="69" t="str">
        <x:v>Leverkusen</x:v>
      </x:c>
      <x:c r="E124" s="76" t="d">
        <x:v>2020-09-04T00:00:00.000Z</x:v>
      </x:c>
      <x:c r="F124" s="69" t="str">
        <x:v>historical</x:v>
      </x:c>
      <x:c r="G124" s="69" t="str">
        <x:v>Striker / mixed forward</x:v>
      </x:c>
      <x:c r="H124" s="78" t="n">
        <x:v>100000000</x:v>
      </x:c>
      <x:c r="I124" s="69" t="str">
        <x:v>EUR</x:v>
      </x:c>
      <x:c r="J124" s="80" t="n">
        <x:v>21</x:v>
      </x:c>
      <x:c r="K124" s="82" t="n">
        <x:v>6.8</x:v>
      </x:c>
      <x:c r="L124" s="69" t="str">
        <x:v>Assistant draft</x:v>
      </x:c>
      <x:c r="M124" s="69" t="str">
        <x:v>Youth and versatility support some value, but the substantial fee raises the required production.</x:v>
      </x:c>
      <x:c r="N124" s="69" t="str">
        <x:v>Low</x:v>
      </x:c>
      <x:c r="O124" s="69" t="str">
        <x:v>Editorial assessment; transfer facts from workbook. Detailed comparable production and availability not fully verified. User concerns are attributed opinions.</x:v>
      </x:c>
      <x:c r="P124" s="69" t="str">
        <x:v>https://github.com/CopiousHighlights/football-transfer-market-analysis</x:v>
      </x:c>
    </x:row>
    <x:row r="125" ht="25" customHeight="1">
      <x:c r="A125" s="75" t="str">
        <x:v>historical-25</x:v>
      </x:c>
      <x:c r="B125" s="75" t="str">
        <x:v>Hugo Ekitiké</x:v>
      </x:c>
      <x:c r="C125" s="75" t="str">
        <x:v>Liverpool</x:v>
      </x:c>
      <x:c r="D125" s="75" t="str">
        <x:v>Frankfurt</x:v>
      </x:c>
      <x:c r="E125" s="77" t="d">
        <x:v>2025-07-23T00:00:00.000Z</x:v>
      </x:c>
      <x:c r="F125" s="75" t="str">
        <x:v>historical</x:v>
      </x:c>
      <x:c r="G125" s="75" t="str">
        <x:v>Striker</x:v>
      </x:c>
      <x:c r="H125" s="79" t="n">
        <x:v>95000000</x:v>
      </x:c>
      <x:c r="I125" s="75" t="str">
        <x:v>EUR</x:v>
      </x:c>
      <x:c r="J125" s="81" t="n">
        <x:v>23</x:v>
      </x:c>
      <x:c r="K125" s="83" t="n">
        <x:v>8.8</x:v>
      </x:c>
      <x:c r="L125" s="75" t="str">
        <x:v>Your rating</x:v>
      </x:c>
      <x:c r="M125" s="75" t="str">
        <x:v>Young, good production, good price and great overall value.</x:v>
      </x:c>
      <x:c r="N125" s="75" t="str">
        <x:v>Low</x:v>
      </x:c>
      <x:c r="O125" s="75" t="str">
        <x:v>Editorial assessment; transfer facts from workbook. Detailed comparable production and availability not fully verified. User concerns are attributed opinions.</x:v>
      </x:c>
      <x:c r="P125" s="75" t="str">
        <x:v>https://github.com/CopiousHighlights/football-transfer-market-analysis</x:v>
      </x:c>
    </x:row>
    <x:row r="126" ht="25" customHeight="1">
      <x:c r="A126" s="69" t="str">
        <x:v>historical-26</x:v>
      </x:c>
      <x:c r="B126" s="69" t="str">
        <x:v>Harry Kane</x:v>
      </x:c>
      <x:c r="C126" s="69" t="str">
        <x:v>Bayern Munich</x:v>
      </x:c>
      <x:c r="D126" s="69" t="str">
        <x:v>Tottenham</x:v>
      </x:c>
      <x:c r="E126" s="76" t="d">
        <x:v>2023-08-12T00:00:00.000Z</x:v>
      </x:c>
      <x:c r="F126" s="69" t="str">
        <x:v>historical</x:v>
      </x:c>
      <x:c r="G126" s="69" t="str">
        <x:v>Striker</x:v>
      </x:c>
      <x:c r="H126" s="78" t="n">
        <x:v>95000000</x:v>
      </x:c>
      <x:c r="I126" s="69" t="str">
        <x:v>EUR</x:v>
      </x:c>
      <x:c r="J126" s="80" t="n">
        <x:v>30</x:v>
      </x:c>
      <x:c r="K126" s="82" t="n">
        <x:v>9.5</x:v>
      </x:c>
      <x:c r="L126" s="69" t="str">
        <x:v>Your rating</x:v>
      </x:c>
      <x:c r="M126" s="69" t="str">
        <x:v>Exceptional production and a comparatively lower price, with age limiting runway.</x:v>
      </x:c>
      <x:c r="N126" s="69" t="str">
        <x:v>Low</x:v>
      </x:c>
      <x:c r="O126" s="69" t="str">
        <x:v>Editorial assessment; transfer facts from workbook. Detailed comparable production and availability not fully verified. User concerns are attributed opinions.</x:v>
      </x:c>
      <x:c r="P126" s="69" t="str">
        <x:v>https://github.com/CopiousHighlights/football-transfer-market-analysis</x:v>
      </x:c>
    </x:row>
    <x:row r="127" ht="25" customHeight="1">
      <x:c r="A127" s="75" t="str">
        <x:v>historical-28</x:v>
      </x:c>
      <x:c r="B127" s="75" t="str">
        <x:v>Randal Kolo Muani</x:v>
      </x:c>
      <x:c r="C127" s="75" t="str">
        <x:v>PSG</x:v>
      </x:c>
      <x:c r="D127" s="75" t="str">
        <x:v>Frankfurt</x:v>
      </x:c>
      <x:c r="E127" s="77" t="d">
        <x:v>2023-09-01T00:00:00.000Z</x:v>
      </x:c>
      <x:c r="F127" s="75" t="str">
        <x:v>historical</x:v>
      </x:c>
      <x:c r="G127" s="75" t="str">
        <x:v>Striker</x:v>
      </x:c>
      <x:c r="H127" s="79" t="n">
        <x:v>95000000</x:v>
      </x:c>
      <x:c r="I127" s="75" t="str">
        <x:v>EUR</x:v>
      </x:c>
      <x:c r="J127" s="81" t="n">
        <x:v>25</x:v>
      </x:c>
      <x:c r="K127" s="83" t="n">
        <x:v>5.8</x:v>
      </x:c>
      <x:c r="L127" s="75" t="str">
        <x:v>Assistant draft</x:v>
      </x:c>
      <x:c r="M127" s="75" t="str">
        <x:v>My assessment is that the substantial fee was not matched by a convincing sustained return.</x:v>
      </x:c>
      <x:c r="N127" s="75" t="str">
        <x:v>Low</x:v>
      </x:c>
      <x:c r="O127" s="75" t="str">
        <x:v>Editorial assessment; transfer facts from workbook. Detailed comparable production and availability not fully verified. User concerns are attributed opinions.</x:v>
      </x:c>
      <x:c r="P127" s="75" t="str">
        <x:v>https://github.com/CopiousHighlights/football-transfer-market-analysis</x:v>
      </x:c>
    </x:row>
    <x:row r="128" ht="25" customHeight="1">
      <x:c r="A128" s="69" t="str">
        <x:v>historical-29</x:v>
      </x:c>
      <x:c r="B128" s="69" t="str">
        <x:v>Cristiano Ronaldo</x:v>
      </x:c>
      <x:c r="C128" s="69" t="str">
        <x:v>Real Madrid</x:v>
      </x:c>
      <x:c r="D128" s="69" t="str">
        <x:v>Man Utd</x:v>
      </x:c>
      <x:c r="E128" s="76" t="d">
        <x:v>2009-07-06T00:00:00.000Z</x:v>
      </x:c>
      <x:c r="F128" s="69" t="str">
        <x:v>historical</x:v>
      </x:c>
      <x:c r="G128" s="69" t="str">
        <x:v>Striker</x:v>
      </x:c>
      <x:c r="H128" s="78" t="n">
        <x:v>94000000</x:v>
      </x:c>
      <x:c r="I128" s="69" t="str">
        <x:v>EUR</x:v>
      </x:c>
      <x:c r="J128" s="80" t="n">
        <x:v>24</x:v>
      </x:c>
      <x:c r="K128" s="82" t="n">
        <x:v>9.9</x:v>
      </x:c>
      <x:c r="L128" s="69" t="str">
        <x:v>Assistant draft</x:v>
      </x:c>
      <x:c r="M128" s="69" t="str">
        <x:v>My exceptional-value benchmark: sustained elite production and useful seasons justify a major fee.</x:v>
      </x:c>
      <x:c r="N128" s="69" t="str">
        <x:v>Low</x:v>
      </x:c>
      <x:c r="O128" s="69" t="str">
        <x:v>Editorial assessment; transfer facts from workbook. Detailed comparable production and availability not fully verified. User concerns are attributed opinions.</x:v>
      </x:c>
      <x:c r="P128" s="69" t="str">
        <x:v>https://github.com/CopiousHighlights/football-transfer-market-analysis</x:v>
      </x:c>
    </x:row>
    <x:row r="129" ht="25" customHeight="1">
      <x:c r="A129" s="75" t="str">
        <x:v>historical-37</x:v>
      </x:c>
      <x:c r="B129" s="75" t="str">
        <x:v>Dušan Vlahović</x:v>
      </x:c>
      <x:c r="C129" s="75" t="str">
        <x:v>Juventus</x:v>
      </x:c>
      <x:c r="D129" s="75" t="str">
        <x:v>Fiorentina</x:v>
      </x:c>
      <x:c r="E129" s="77" t="d">
        <x:v>2022-01-28T00:00:00.000Z</x:v>
      </x:c>
      <x:c r="F129" s="75" t="str">
        <x:v>historical</x:v>
      </x:c>
      <x:c r="G129" s="75" t="str">
        <x:v>Striker</x:v>
      </x:c>
      <x:c r="H129" s="79" t="n">
        <x:v>85400000</x:v>
      </x:c>
      <x:c r="I129" s="75" t="str">
        <x:v>EUR</x:v>
      </x:c>
      <x:c r="J129" s="81" t="n">
        <x:v>22</x:v>
      </x:c>
      <x:c r="K129" s="83" t="n">
        <x:v>7.2</x:v>
      </x:c>
      <x:c r="L129" s="75" t="str">
        <x:v>Assistant draft</x:v>
      </x:c>
      <x:c r="M129" s="75" t="str">
        <x:v>Young at signing with scoring upside, but the large fee limits the value assessment.</x:v>
      </x:c>
      <x:c r="N129" s="75" t="str">
        <x:v>Low</x:v>
      </x:c>
      <x:c r="O129" s="75" t="str">
        <x:v>Editorial assessment; transfer facts from workbook. Detailed comparable production and availability not fully verified. User concerns are attributed opinions.</x:v>
      </x:c>
      <x:c r="P129" s="75" t="str">
        <x:v>https://github.com/CopiousHighlights/football-transfer-market-analysis</x:v>
      </x:c>
    </x:row>
    <x:row r="130" ht="25" customHeight="1">
      <x:c r="A130" s="69" t="str">
        <x:v>historical-39</x:v>
      </x:c>
      <x:c r="B130" s="69" t="str">
        <x:v>Darwin Núñez</x:v>
      </x:c>
      <x:c r="C130" s="69" t="str">
        <x:v>Liverpool</x:v>
      </x:c>
      <x:c r="D130" s="69" t="str">
        <x:v>Benfica</x:v>
      </x:c>
      <x:c r="E130" s="76" t="d">
        <x:v>2022-07-01T00:00:00.000Z</x:v>
      </x:c>
      <x:c r="F130" s="69" t="str">
        <x:v>historical</x:v>
      </x:c>
      <x:c r="G130" s="69" t="str">
        <x:v>Striker</x:v>
      </x:c>
      <x:c r="H130" s="78" t="n">
        <x:v>85000000</x:v>
      </x:c>
      <x:c r="I130" s="69" t="str">
        <x:v>EUR</x:v>
      </x:c>
      <x:c r="J130" s="80" t="n">
        <x:v>23</x:v>
      </x:c>
      <x:c r="K130" s="82" t="n">
        <x:v>6.8</x:v>
      </x:c>
      <x:c r="L130" s="69" t="str">
        <x:v>Assistant draft</x:v>
      </x:c>
      <x:c r="M130" s="69" t="str">
        <x:v>Meaningful contribution, but the expensive Liverpool deal delivered less consistent scoring value than stronger deals.</x:v>
      </x:c>
      <x:c r="N130" s="69" t="str">
        <x:v>Low</x:v>
      </x:c>
      <x:c r="O130" s="69" t="str">
        <x:v>Editorial assessment; transfer facts from workbook. Detailed comparable production and availability not fully verified. User concerns are attributed opinions.</x:v>
      </x:c>
      <x:c r="P130" s="69" t="str">
        <x:v>https://github.com/CopiousHighlights/football-transfer-market-analysis</x:v>
      </x:c>
    </x:row>
    <x:row r="131" ht="25" customHeight="1">
      <x:c r="A131" s="75" t="str">
        <x:v>historical-40</x:v>
      </x:c>
      <x:c r="B131" s="75" t="str">
        <x:v>Romelu Lukaku</x:v>
      </x:c>
      <x:c r="C131" s="75" t="str">
        <x:v>Man Utd</x:v>
      </x:c>
      <x:c r="D131" s="75" t="str">
        <x:v>Everton</x:v>
      </x:c>
      <x:c r="E131" s="77" t="d">
        <x:v>2017-07-10T00:00:00.000Z</x:v>
      </x:c>
      <x:c r="F131" s="75" t="str">
        <x:v>historical</x:v>
      </x:c>
      <x:c r="G131" s="75" t="str">
        <x:v>Striker</x:v>
      </x:c>
      <x:c r="H131" s="79" t="n">
        <x:v>84700000</x:v>
      </x:c>
      <x:c r="I131" s="75" t="str">
        <x:v>EUR</x:v>
      </x:c>
      <x:c r="J131" s="81" t="n">
        <x:v>24</x:v>
      </x:c>
      <x:c r="K131" s="83" t="n">
        <x:v>7.2</x:v>
      </x:c>
      <x:c r="L131" s="75" t="str">
        <x:v>Assistant draft</x:v>
      </x:c>
      <x:c r="M131" s="75" t="str">
        <x:v>Useful attacking contribution in my assessment, with a high fee and a relatively short stay reducing value.</x:v>
      </x:c>
      <x:c r="N131" s="75" t="str">
        <x:v>Low</x:v>
      </x:c>
      <x:c r="O131" s="75" t="str">
        <x:v>Editorial assessment; transfer facts from workbook. Detailed comparable production and availability not fully verified. User concerns are attributed opinions.</x:v>
      </x:c>
      <x:c r="P131" s="75" t="str">
        <x:v>https://github.com/CopiousHighlights/football-transfer-market-analysis</x:v>
      </x:c>
    </x:row>
    <x:row r="132" ht="25" customHeight="1">
      <x:c r="A132" s="69" t="str">
        <x:v>historical-42</x:v>
      </x:c>
      <x:c r="B132" s="69" t="str">
        <x:v>Luis Suárez</x:v>
      </x:c>
      <x:c r="C132" s="69" t="str">
        <x:v>Barcelona</x:v>
      </x:c>
      <x:c r="D132" s="69" t="str">
        <x:v>Liverpool</x:v>
      </x:c>
      <x:c r="E132" s="76" t="d">
        <x:v>2014-07-11T00:00:00.000Z</x:v>
      </x:c>
      <x:c r="F132" s="69" t="str">
        <x:v>historical</x:v>
      </x:c>
      <x:c r="G132" s="69" t="str">
        <x:v>Striker</x:v>
      </x:c>
      <x:c r="H132" s="78" t="n">
        <x:v>81720000</x:v>
      </x:c>
      <x:c r="I132" s="69" t="str">
        <x:v>EUR</x:v>
      </x:c>
      <x:c r="J132" s="80" t="n">
        <x:v>27</x:v>
      </x:c>
      <x:c r="K132" s="82" t="n">
        <x:v>9.8</x:v>
      </x:c>
      <x:c r="L132" s="69" t="str">
        <x:v>Assistant draft</x:v>
      </x:c>
      <x:c r="M132" s="69" t="str">
        <x:v>My assessment is that exceptional scoring and attacking contribution delivered outstanding value despite a substantial fee.</x:v>
      </x:c>
      <x:c r="N132" s="69" t="str">
        <x:v>Low</x:v>
      </x:c>
      <x:c r="O132" s="69" t="str">
        <x:v>Editorial assessment; transfer facts from workbook. Detailed comparable production and availability not fully verified. User concerns are attributed opinions.</x:v>
      </x:c>
      <x:c r="P132" s="69" t="str">
        <x:v>https://github.com/CopiousHighlights/football-transfer-market-analysis</x:v>
      </x:c>
    </x:row>
    <x:row r="133" ht="25" customHeight="1">
      <x:c r="A133" s="75" t="str">
        <x:v>historical-51</x:v>
      </x:c>
      <x:c r="B133" s="75" t="str">
        <x:v>Rasmus Højlund</x:v>
      </x:c>
      <x:c r="C133" s="75" t="str">
        <x:v>Man Utd</x:v>
      </x:c>
      <x:c r="D133" s="75" t="str">
        <x:v>Atalanta</x:v>
      </x:c>
      <x:c r="E133" s="77" t="d">
        <x:v>2023-08-05T00:00:00.000Z</x:v>
      </x:c>
      <x:c r="F133" s="75" t="str">
        <x:v>historical</x:v>
      </x:c>
      <x:c r="G133" s="75" t="str">
        <x:v>Striker</x:v>
      </x:c>
      <x:c r="H133" s="79" t="n">
        <x:v>79800000</x:v>
      </x:c>
      <x:c r="I133" s="75" t="str">
        <x:v>EUR</x:v>
      </x:c>
      <x:c r="J133" s="81" t="n">
        <x:v>20</x:v>
      </x:c>
      <x:c r="K133" s="83" t="n">
        <x:v>6.2</x:v>
      </x:c>
      <x:c r="L133" s="75" t="str">
        <x:v>Assistant draft</x:v>
      </x:c>
      <x:c r="M133" s="75" t="str">
        <x:v>Young with development potential, but the large initial investment demanded more immediate production.</x:v>
      </x:c>
      <x:c r="N133" s="75" t="str">
        <x:v>Low</x:v>
      </x:c>
      <x:c r="O133" s="75" t="str">
        <x:v>Editorial assessment; transfer facts from workbook. Detailed comparable production and availability not fully verified. User concerns are attributed opinions.</x:v>
      </x:c>
      <x:c r="P133" s="75" t="str">
        <x:v>https://github.com/CopiousHighlights/football-transfer-market-analysis</x:v>
      </x:c>
    </x:row>
    <x:row r="134" ht="25" customHeight="1">
      <x:c r="A134" s="69" t="str">
        <x:v>historical-52</x:v>
      </x:c>
      <x:c r="B134" s="69" t="str">
        <x:v>Victor Osimhen</x:v>
      </x:c>
      <x:c r="C134" s="69" t="str">
        <x:v>Napoli</x:v>
      </x:c>
      <x:c r="D134" s="69" t="str">
        <x:v>Lille</x:v>
      </x:c>
      <x:c r="E134" s="76" t="d">
        <x:v>2020-09-01T00:00:00.000Z</x:v>
      </x:c>
      <x:c r="F134" s="69" t="str">
        <x:v>historical</x:v>
      </x:c>
      <x:c r="G134" s="69" t="str">
        <x:v>Striker</x:v>
      </x:c>
      <x:c r="H134" s="78" t="n">
        <x:v>78900000</x:v>
      </x:c>
      <x:c r="I134" s="69" t="str">
        <x:v>EUR</x:v>
      </x:c>
      <x:c r="J134" s="80" t="n">
        <x:v>22</x:v>
      </x:c>
      <x:c r="K134" s="82" t="n">
        <x:v>9.3</x:v>
      </x:c>
      <x:c r="L134" s="69" t="str">
        <x:v>Assistant draft</x:v>
      </x:c>
      <x:c r="M134" s="69" t="str">
        <x:v>My assessment is that high-level scoring and a strong age profile delivered substantial value for this deal.</x:v>
      </x:c>
      <x:c r="N134" s="69" t="str">
        <x:v>Low</x:v>
      </x:c>
      <x:c r="O134" s="69" t="str">
        <x:v>Editorial assessment; transfer facts from workbook. Detailed comparable production and availability not fully verified. User concerns are attributed opinions.</x:v>
      </x:c>
      <x:c r="P134" s="69" t="str">
        <x:v>https://github.com/CopiousHighlights/football-transfer-market-analysis</x:v>
      </x:c>
    </x:row>
    <x:row r="135" ht="25" customHeight="1">
      <x:c r="A135" s="75" t="str">
        <x:v>historical-53</x:v>
      </x:c>
      <x:c r="B135" s="75" t="str">
        <x:v>Alexander Isak</x:v>
      </x:c>
      <x:c r="C135" s="75" t="str">
        <x:v>Newcastle</x:v>
      </x:c>
      <x:c r="D135" s="75" t="str">
        <x:v>Real Sociedad</x:v>
      </x:c>
      <x:c r="E135" s="77" t="d">
        <x:v>2022-08-26T00:00:00.000Z</x:v>
      </x:c>
      <x:c r="F135" s="75" t="str">
        <x:v>historical</x:v>
      </x:c>
      <x:c r="G135" s="75" t="str">
        <x:v>Striker</x:v>
      </x:c>
      <x:c r="H135" s="79" t="n">
        <x:v>77500000</x:v>
      </x:c>
      <x:c r="I135" s="75" t="str">
        <x:v>EUR</x:v>
      </x:c>
      <x:c r="J135" s="81" t="n">
        <x:v>23</x:v>
      </x:c>
      <x:c r="K135" s="83" t="n">
        <x:v>9</x:v>
      </x:c>
      <x:c r="L135" s="75" t="str">
        <x:v>Assistant draft</x:v>
      </x:c>
      <x:c r="M135" s="75" t="str">
        <x:v>My assessment is that the Newcastle deal provided a stronger production-to-price return than the separate Liverpool move.</x:v>
      </x:c>
      <x:c r="N135" s="75" t="str">
        <x:v>Low</x:v>
      </x:c>
      <x:c r="O135" s="75" t="str">
        <x:v>Editorial assessment; transfer facts from workbook. Detailed comparable production and availability not fully verified. User concerns are attributed opinions.</x:v>
      </x:c>
      <x:c r="P135" s="75" t="str">
        <x:v>https://github.com/CopiousHighlights/football-transfer-market-analysis</x:v>
      </x:c>
    </x:row>
    <x:row r="136" ht="25" customHeight="1">
      <x:c r="A136" s="69" t="str">
        <x:v>historical-54</x:v>
      </x:c>
      <x:c r="B136" s="69" t="str">
        <x:v>Jhon Durán</x:v>
      </x:c>
      <x:c r="C136" s="69" t="str">
        <x:v>Al-Nassr</x:v>
      </x:c>
      <x:c r="D136" s="69" t="str">
        <x:v>Aston Villa</x:v>
      </x:c>
      <x:c r="E136" s="76" t="d">
        <x:v>2025-01-31T00:00:00.000Z</x:v>
      </x:c>
      <x:c r="F136" s="69" t="str">
        <x:v>historical</x:v>
      </x:c>
      <x:c r="G136" s="69" t="str">
        <x:v>Striker</x:v>
      </x:c>
      <x:c r="H136" s="78" t="n">
        <x:v>77000000</x:v>
      </x:c>
      <x:c r="I136" s="69" t="str">
        <x:v>EUR</x:v>
      </x:c>
      <x:c r="J136" s="80" t="n">
        <x:v>22</x:v>
      </x:c>
      <x:c r="K136" s="82" t="n">
        <x:v>7</x:v>
      </x:c>
      <x:c r="L136" s="69" t="str">
        <x:v>Assistant draft</x:v>
      </x:c>
      <x:c r="M136" s="69" t="str">
        <x:v>Youth and upside help, but the fee is high and the competition context calls for a cautious value assessment.</x:v>
      </x:c>
      <x:c r="N136" s="69" t="str">
        <x:v>Low</x:v>
      </x:c>
      <x:c r="O136" s="69" t="str">
        <x:v>Editorial assessment; transfer facts from workbook. Detailed comparable production and availability not fully verified. User concerns are attributed opinions.</x:v>
      </x:c>
      <x:c r="P136" s="69" t="str">
        <x:v>https://github.com/CopiousHighlights/football-transfer-market-analysis</x:v>
      </x:c>
    </x:row>
    <x:row r="137" ht="25" customHeight="1">
      <x:c r="A137" s="75" t="str">
        <x:v>historical-56</x:v>
      </x:c>
      <x:c r="B137" s="75" t="str">
        <x:v>Benjamin Sesko</x:v>
      </x:c>
      <x:c r="C137" s="75" t="str">
        <x:v>Man Utd</x:v>
      </x:c>
      <x:c r="D137" s="75" t="str">
        <x:v>Leipzig</x:v>
      </x:c>
      <x:c r="E137" s="77" t="d">
        <x:v>2025-08-09T00:00:00.000Z</x:v>
      </x:c>
      <x:c r="F137" s="75" t="str">
        <x:v>historical</x:v>
      </x:c>
      <x:c r="G137" s="75" t="str">
        <x:v>Striker</x:v>
      </x:c>
      <x:c r="H137" s="79" t="n">
        <x:v>76500000</x:v>
      </x:c>
      <x:c r="I137" s="75" t="str">
        <x:v>EUR</x:v>
      </x:c>
      <x:c r="J137" s="81" t="n">
        <x:v>22</x:v>
      </x:c>
      <x:c r="K137" s="83" t="n">
        <x:v>8</x:v>
      </x:c>
      <x:c r="L137" s="75" t="str">
        <x:v>Assistant draft</x:v>
      </x:c>
      <x:c r="M137" s="75" t="str">
        <x:v>Age and potential help, but a substantial fee buys upside as well as established production.</x:v>
      </x:c>
      <x:c r="N137" s="75" t="str">
        <x:v>Low</x:v>
      </x:c>
      <x:c r="O137" s="75" t="str">
        <x:v>Editorial assessment; transfer facts from workbook. Detailed comparable production and availability not fully verified. User concerns are attributed opinions.</x:v>
      </x:c>
      <x:c r="P137" s="75" t="str">
        <x:v>https://github.com/CopiousHighlights/football-transfer-market-analysis</x:v>
      </x:c>
    </x:row>
    <x:row r="138" ht="25" customHeight="1">
      <x:c r="A138" s="69" t="str">
        <x:v>historical-58</x:v>
      </x:c>
      <x:c r="B138" s="69" t="str">
        <x:v>Nick Woltemade</x:v>
      </x:c>
      <x:c r="C138" s="69" t="str">
        <x:v>Newcastle</x:v>
      </x:c>
      <x:c r="D138" s="69" t="str">
        <x:v>Stuttgart</x:v>
      </x:c>
      <x:c r="E138" s="76" t="d">
        <x:v>2025-08-30T00:00:00.000Z</x:v>
      </x:c>
      <x:c r="F138" s="69" t="str">
        <x:v>historical</x:v>
      </x:c>
      <x:c r="G138" s="69" t="str">
        <x:v>Striker</x:v>
      </x:c>
      <x:c r="H138" s="78" t="n">
        <x:v>75000000</x:v>
      </x:c>
      <x:c r="I138" s="69" t="str">
        <x:v>EUR</x:v>
      </x:c>
      <x:c r="J138" s="80" t="n">
        <x:v>23</x:v>
      </x:c>
      <x:c r="K138" s="82" t="n">
        <x:v>6.9</x:v>
      </x:c>
      <x:c r="L138" s="69" t="str">
        <x:v>Assistant draft</x:v>
      </x:c>
      <x:c r="M138" s="69" t="str">
        <x:v>The workbook price requires a strong immediate return. Potential helps but does not remove the cost risk.</x:v>
      </x:c>
      <x:c r="N138" s="69" t="str">
        <x:v>Low</x:v>
      </x:c>
      <x:c r="O138" s="69" t="str">
        <x:v>Editorial assessment; transfer facts from workbook. Detailed comparable production and availability not fully verified. User concerns are attributed opinions.</x:v>
      </x:c>
      <x:c r="P138" s="69" t="str">
        <x:v>https://github.com/CopiousHighlights/football-transfer-market-analysis</x:v>
      </x:c>
    </x:row>
    <x:row r="139" ht="25" customHeight="1">
      <x:c r="A139" s="75" t="str">
        <x:v>historical-59</x:v>
      </x:c>
      <x:c r="B139" s="75" t="str">
        <x:v>Omar Marmoush</x:v>
      </x:c>
      <x:c r="C139" s="75" t="str">
        <x:v>Man City</x:v>
      </x:c>
      <x:c r="D139" s="75" t="str">
        <x:v>Frankfurt</x:v>
      </x:c>
      <x:c r="E139" s="77" t="d">
        <x:v>2025-01-23T00:00:00.000Z</x:v>
      </x:c>
      <x:c r="F139" s="75" t="str">
        <x:v>historical</x:v>
      </x:c>
      <x:c r="G139" s="75" t="str">
        <x:v>Striker / mixed forward</x:v>
      </x:c>
      <x:c r="H139" s="79" t="n">
        <x:v>75000000</x:v>
      </x:c>
      <x:c r="I139" s="75" t="str">
        <x:v>EUR</x:v>
      </x:c>
      <x:c r="J139" s="81" t="n">
        <x:v>26</x:v>
      </x:c>
      <x:c r="K139" s="83" t="n">
        <x:v>7.7</x:v>
      </x:c>
      <x:c r="L139" s="75" t="str">
        <x:v>Assistant draft</x:v>
      </x:c>
      <x:c r="M139" s="75" t="str">
        <x:v>Attacking versatility and quality support the deal, but the fee leaves less room for an outstanding-value judgment.</x:v>
      </x:c>
      <x:c r="N139" s="75" t="str">
        <x:v>Low</x:v>
      </x:c>
      <x:c r="O139" s="75" t="str">
        <x:v>Editorial assessment; transfer facts from workbook. Detailed comparable production and availability not fully verified. User concerns are attributed opinions.</x:v>
      </x:c>
      <x:c r="P139" s="75" t="str">
        <x:v>https://github.com/CopiousHighlights/football-transfer-market-analysis</x:v>
      </x:c>
    </x:row>
    <x:row r="140" ht="25" customHeight="1">
      <x:c r="A140" s="69" t="str">
        <x:v>historical-60</x:v>
      </x:c>
      <x:c r="B140" s="69" t="str">
        <x:v>Victor Osimhen</x:v>
      </x:c>
      <x:c r="C140" s="69" t="str">
        <x:v>Galatasaray</x:v>
      </x:c>
      <x:c r="D140" s="69" t="str">
        <x:v>Napoli</x:v>
      </x:c>
      <x:c r="E140" s="76" t="d">
        <x:v>2025-07-31T00:00:00.000Z</x:v>
      </x:c>
      <x:c r="F140" s="69" t="str">
        <x:v>historical</x:v>
      </x:c>
      <x:c r="G140" s="69" t="str">
        <x:v>Striker</x:v>
      </x:c>
      <x:c r="H140" s="78" t="n">
        <x:v>75000000</x:v>
      </x:c>
      <x:c r="I140" s="69" t="str">
        <x:v>EUR</x:v>
      </x:c>
      <x:c r="J140" s="80" t="n">
        <x:v>27</x:v>
      </x:c>
      <x:c r="K140" s="82" t="n">
        <x:v>8.7</x:v>
      </x:c>
      <x:c r="L140" s="69" t="str">
        <x:v>Assistant draft</x:v>
      </x:c>
      <x:c r="M140" s="69" t="str">
        <x:v>My assessment is that established scoring quality supports the fee, with competition strength limiting the comparison to elite-league deals.</x:v>
      </x:c>
      <x:c r="N140" s="69" t="str">
        <x:v>Low</x:v>
      </x:c>
      <x:c r="O140" s="69" t="str">
        <x:v>Editorial assessment; transfer facts from workbook. Detailed comparable production and availability not fully verified. User concerns are attributed opinions.</x:v>
      </x:c>
      <x:c r="P140" s="69" t="str">
        <x:v>https://github.com/CopiousHighlights/football-transfer-market-analysis</x:v>
      </x:c>
    </x:row>
    <x:row r="141" ht="25" customHeight="1">
      <x:c r="A141" s="75" t="str">
        <x:v>historical-62</x:v>
      </x:c>
      <x:c r="B141" s="75" t="str">
        <x:v>Julián Alvarez</x:v>
      </x:c>
      <x:c r="C141" s="75" t="str">
        <x:v>Atlético</x:v>
      </x:c>
      <x:c r="D141" s="75" t="str">
        <x:v>Man City</x:v>
      </x:c>
      <x:c r="E141" s="77" t="d">
        <x:v>2024-08-12T00:00:00.000Z</x:v>
      </x:c>
      <x:c r="F141" s="75" t="str">
        <x:v>historical</x:v>
      </x:c>
      <x:c r="G141" s="75" t="str">
        <x:v>Striker</x:v>
      </x:c>
      <x:c r="H141" s="79" t="n">
        <x:v>75000000</x:v>
      </x:c>
      <x:c r="I141" s="75" t="str">
        <x:v>EUR</x:v>
      </x:c>
      <x:c r="J141" s="81" t="n">
        <x:v>24</x:v>
      </x:c>
      <x:c r="K141" s="83" t="n">
        <x:v>9</x:v>
      </x:c>
      <x:c r="L141" s="75" t="str">
        <x:v>Assistant draft</x:v>
      </x:c>
      <x:c r="M141" s="75" t="str">
        <x:v>Scoring, versatility, age and potential support the investment.</x:v>
      </x:c>
      <x:c r="N141" s="75" t="str">
        <x:v>Low</x:v>
      </x:c>
      <x:c r="O141" s="75" t="str">
        <x:v>Editorial assessment; transfer facts from workbook. Detailed comparable production and availability not fully verified. User concerns are attributed opinions.</x:v>
      </x:c>
      <x:c r="P141" s="75" t="str">
        <x:v>https://github.com/CopiousHighlights/football-transfer-market-analysis</x:v>
      </x:c>
    </x:row>
    <x:row r="142" ht="25" customHeight="1">
      <x:c r="A142" s="69" t="str">
        <x:v>historical-65</x:v>
      </x:c>
      <x:c r="B142" s="69" t="str">
        <x:v>Kai Havertz</x:v>
      </x:c>
      <x:c r="C142" s="69" t="str">
        <x:v>Arsenal</x:v>
      </x:c>
      <x:c r="D142" s="69" t="str">
        <x:v>Chelsea</x:v>
      </x:c>
      <x:c r="E142" s="76" t="d">
        <x:v>2023-07-01T00:00:00.000Z</x:v>
      </x:c>
      <x:c r="F142" s="69" t="str">
        <x:v>historical</x:v>
      </x:c>
      <x:c r="G142" s="69" t="str">
        <x:v>Striker / mixed forward</x:v>
      </x:c>
      <x:c r="H142" s="78" t="n">
        <x:v>75000000</x:v>
      </x:c>
      <x:c r="I142" s="69" t="str">
        <x:v>EUR</x:v>
      </x:c>
      <x:c r="J142" s="80" t="n">
        <x:v>24</x:v>
      </x:c>
      <x:c r="K142" s="82" t="n">
        <x:v>7.9</x:v>
      </x:c>
      <x:c r="L142" s="69" t="str">
        <x:v>Assistant draft</x:v>
      </x:c>
      <x:c r="M142" s="69" t="str">
        <x:v>Versatility and attacking contribution support value, but the fee and striker-role uncertainty limit the score.</x:v>
      </x:c>
      <x:c r="N142" s="69" t="str">
        <x:v>Low</x:v>
      </x:c>
      <x:c r="O142" s="69" t="str">
        <x:v>Editorial assessment; transfer facts from workbook. Detailed comparable production and availability not fully verified. User concerns are attributed opinions.</x:v>
      </x:c>
      <x:c r="P142" s="69" t="str">
        <x:v>https://github.com/CopiousHighlights/football-transfer-market-analysis</x:v>
      </x:c>
    </x:row>
    <x:row r="143" ht="25" customHeight="1">
      <x:c r="A143" s="75" t="str">
        <x:v>historical-67</x:v>
      </x:c>
      <x:c r="B143" s="75" t="str">
        <x:v>Matheus Cunha</x:v>
      </x:c>
      <x:c r="C143" s="75" t="str">
        <x:v>Man Utd</x:v>
      </x:c>
      <x:c r="D143" s="75" t="str">
        <x:v>Wolves</x:v>
      </x:c>
      <x:c r="E143" s="77" t="d">
        <x:v>2025-07-01T00:00:00.000Z</x:v>
      </x:c>
      <x:c r="F143" s="75" t="str">
        <x:v>historical</x:v>
      </x:c>
      <x:c r="G143" s="75" t="str">
        <x:v>Striker / mixed forward</x:v>
      </x:c>
      <x:c r="H143" s="79" t="n">
        <x:v>74200000</x:v>
      </x:c>
      <x:c r="I143" s="75" t="str">
        <x:v>EUR</x:v>
      </x:c>
      <x:c r="J143" s="81" t="n">
        <x:v>26</x:v>
      </x:c>
      <x:c r="K143" s="83" t="n">
        <x:v>8</x:v>
      </x:c>
      <x:c r="L143" s="75" t="str">
        <x:v>Assistant draft</x:v>
      </x:c>
      <x:c r="M143" s="75" t="str">
        <x:v>Useful creation and scoring profile in my assessment, but a substantial fee and mixed forward role require review.</x:v>
      </x:c>
      <x:c r="N143" s="75" t="str">
        <x:v>Low</x:v>
      </x:c>
      <x:c r="O143" s="75" t="str">
        <x:v>Editorial assessment; transfer facts from workbook. Detailed comparable production and availability not fully verified. User concerns are attributed opinions.</x:v>
      </x:c>
      <x:c r="P143" s="75" t="str">
        <x:v>https://github.com/CopiousHighlights/football-transfer-market-analysis</x:v>
      </x:c>
    </x:row>
    <x:row r="144" ht="25" customHeight="1">
      <x:c r="A144" s="69" t="str">
        <x:v>historical-68</x:v>
      </x:c>
      <x:c r="B144" s="69" t="str">
        <x:v>Romelu Lukaku</x:v>
      </x:c>
      <x:c r="C144" s="69" t="str">
        <x:v>Inter</x:v>
      </x:c>
      <x:c r="D144" s="69" t="str">
        <x:v>Man Utd</x:v>
      </x:c>
      <x:c r="E144" s="76" t="d">
        <x:v>2019-08-08T00:00:00.000Z</x:v>
      </x:c>
      <x:c r="F144" s="69" t="str">
        <x:v>historical</x:v>
      </x:c>
      <x:c r="G144" s="69" t="str">
        <x:v>Striker</x:v>
      </x:c>
      <x:c r="H144" s="78" t="n">
        <x:v>74000000</x:v>
      </x:c>
      <x:c r="I144" s="69" t="str">
        <x:v>EUR</x:v>
      </x:c>
      <x:c r="J144" s="80" t="n">
        <x:v>26</x:v>
      </x:c>
      <x:c r="K144" s="82" t="n">
        <x:v>9.2</x:v>
      </x:c>
      <x:c r="L144" s="69" t="str">
        <x:v>Assistant draft</x:v>
      </x:c>
      <x:c r="M144" s="69" t="str">
        <x:v>My assessment is that strong production and an appropriate role delivered an excellent return on the fee.</x:v>
      </x:c>
      <x:c r="N144" s="69" t="str">
        <x:v>Low</x:v>
      </x:c>
      <x:c r="O144" s="69" t="str">
        <x:v>Editorial assessment; transfer facts from workbook. Detailed comparable production and availability not fully verified. User concerns are attributed opinions.</x:v>
      </x:c>
      <x:c r="P144" s="69" t="str">
        <x:v>https://github.com/CopiousHighlights/football-transfer-market-analysis</x:v>
      </x:c>
    </x:row>
    <x:row r="145" ht="25" customHeight="1">
      <x:c r="A145" s="75" t="str">
        <x:v>historical-84</x:v>
      </x:c>
      <x:c r="B145" s="75" t="str">
        <x:v>Viktor Gyökeres</x:v>
      </x:c>
      <x:c r="C145" s="75" t="str">
        <x:v>Arsenal</x:v>
      </x:c>
      <x:c r="D145" s="75" t="str">
        <x:v>Sporting</x:v>
      </x:c>
      <x:c r="E145" s="77" t="d">
        <x:v>2025-07-26T00:00:00.000Z</x:v>
      </x:c>
      <x:c r="F145" s="75" t="str">
        <x:v>historical</x:v>
      </x:c>
      <x:c r="G145" s="75" t="str">
        <x:v>Striker</x:v>
      </x:c>
      <x:c r="H145" s="79" t="n">
        <x:v>66900000</x:v>
      </x:c>
      <x:c r="I145" s="75" t="str">
        <x:v>EUR</x:v>
      </x:c>
      <x:c r="J145" s="81" t="n">
        <x:v>27</x:v>
      </x:c>
      <x:c r="K145" s="83" t="n">
        <x:v>8.6</x:v>
      </x:c>
      <x:c r="L145" s="75" t="str">
        <x:v>Assistant draft</x:v>
      </x:c>
      <x:c r="M145" s="75" t="str">
        <x:v>Strong scoring profile supports the fee, tempered by competition adjustment and remaining developmental runway.</x:v>
      </x:c>
      <x:c r="N145" s="75" t="str">
        <x:v>Low</x:v>
      </x:c>
      <x:c r="O145" s="75" t="str">
        <x:v>Editorial assessment; transfer facts from workbook. Detailed comparable production and availability not fully verified. User concerns are attributed opinions.</x:v>
      </x:c>
      <x:c r="P145" s="75" t="str">
        <x:v>https://github.com/CopiousHighlights/football-transfer-market-analysis</x:v>
      </x:c>
    </x:row>
    <x:row r="146" ht="25" customHeight="1">
      <x:c r="A146" s="69" t="str">
        <x:v>historical-85</x:v>
      </x:c>
      <x:c r="B146" s="69" t="str">
        <x:v>Álvaro Morata</x:v>
      </x:c>
      <x:c r="C146" s="69" t="str">
        <x:v>Chelsea</x:v>
      </x:c>
      <x:c r="D146" s="69" t="str">
        <x:v>Real Madrid</x:v>
      </x:c>
      <x:c r="E146" s="76" t="d">
        <x:v>2017-07-21T00:00:00.000Z</x:v>
      </x:c>
      <x:c r="F146" s="69" t="str">
        <x:v>historical</x:v>
      </x:c>
      <x:c r="G146" s="69" t="str">
        <x:v>Striker</x:v>
      </x:c>
      <x:c r="H146" s="78" t="n">
        <x:v>66000000</x:v>
      </x:c>
      <x:c r="I146" s="69" t="str">
        <x:v>EUR</x:v>
      </x:c>
      <x:c r="J146" s="80" t="n">
        <x:v>25</x:v>
      </x:c>
      <x:c r="K146" s="82" t="n">
        <x:v>5.9</x:v>
      </x:c>
      <x:c r="L146" s="69" t="str">
        <x:v>Assistant draft</x:v>
      </x:c>
      <x:c r="M146" s="69" t="str">
        <x:v>The high price required a more convincing sustained attacking return in my assessment.</x:v>
      </x:c>
      <x:c r="N146" s="69" t="str">
        <x:v>Low</x:v>
      </x:c>
      <x:c r="O146" s="69" t="str">
        <x:v>Editorial assessment; transfer facts from workbook. Detailed comparable production and availability not fully verified. User concerns are attributed opinions.</x:v>
      </x:c>
      <x:c r="P146" s="69" t="str">
        <x:v>https://github.com/CopiousHighlights/football-transfer-market-analysis</x:v>
      </x:c>
    </x:row>
    <x:row r="147" ht="25" customHeight="1">
      <x:c r="A147" s="75" t="str">
        <x:v>historical-88</x:v>
      </x:c>
      <x:c r="B147" s="75" t="str">
        <x:v>Gonçalo Ramos</x:v>
      </x:c>
      <x:c r="C147" s="75" t="str">
        <x:v>PSG</x:v>
      </x:c>
      <x:c r="D147" s="75" t="str">
        <x:v>Benfica</x:v>
      </x:c>
      <x:c r="E147" s="77" t="d">
        <x:v>2024-01-01T00:00:00.000Z</x:v>
      </x:c>
      <x:c r="F147" s="75" t="str">
        <x:v>historical</x:v>
      </x:c>
      <x:c r="G147" s="75" t="str">
        <x:v>Striker</x:v>
      </x:c>
      <x:c r="H147" s="79" t="n">
        <x:v>65000000</x:v>
      </x:c>
      <x:c r="I147" s="75" t="str">
        <x:v>EUR</x:v>
      </x:c>
      <x:c r="J147" s="81" t="n">
        <x:v>23</x:v>
      </x:c>
      <x:c r="K147" s="83" t="n">
        <x:v>7.1</x:v>
      </x:c>
      <x:c r="L147" s="75" t="str">
        <x:v>Assistant draft</x:v>
      </x:c>
      <x:c r="M147" s="75" t="str">
        <x:v>Age and scoring potential support value, but the substantial investment requires more convincing consistent output.</x:v>
      </x:c>
      <x:c r="N147" s="75" t="str">
        <x:v>Low</x:v>
      </x:c>
      <x:c r="O147" s="75" t="str">
        <x:v>Editorial assessment; transfer facts from workbook. Detailed comparable production and availability not fully verified. User concerns are attributed opinions.</x:v>
      </x:c>
      <x:c r="P147" s="75" t="str">
        <x:v>https://github.com/CopiousHighlights/football-transfer-market-analysis</x:v>
      </x:c>
    </x:row>
    <x:row r="148" ht="25" customHeight="1">
      <x:c r="A148" s="69" t="str">
        <x:v>historical-93</x:v>
      </x:c>
      <x:c r="B148" s="69" t="str">
        <x:v>Edinson Cavani</x:v>
      </x:c>
      <x:c r="C148" s="69" t="str">
        <x:v>PSG</x:v>
      </x:c>
      <x:c r="D148" s="69" t="str">
        <x:v>Napoli</x:v>
      </x:c>
      <x:c r="E148" s="76" t="d">
        <x:v>2013-07-16T00:00:00.000Z</x:v>
      </x:c>
      <x:c r="F148" s="69" t="str">
        <x:v>historical</x:v>
      </x:c>
      <x:c r="G148" s="69" t="str">
        <x:v>Striker</x:v>
      </x:c>
      <x:c r="H148" s="78" t="n">
        <x:v>64500000</x:v>
      </x:c>
      <x:c r="I148" s="69" t="str">
        <x:v>EUR</x:v>
      </x:c>
      <x:c r="J148" s="80" t="n">
        <x:v>26</x:v>
      </x:c>
      <x:c r="K148" s="82" t="n">
        <x:v>9.6</x:v>
      </x:c>
      <x:c r="L148" s="69" t="str">
        <x:v>Assistant draft</x:v>
      </x:c>
      <x:c r="M148" s="69" t="str">
        <x:v>My assessment is that sustained scoring and useful seasons delivered outstanding value for the investment.</x:v>
      </x:c>
      <x:c r="N148" s="69" t="str">
        <x:v>Low</x:v>
      </x:c>
      <x:c r="O148" s="69" t="str">
        <x:v>Editorial assessment; transfer facts from workbook. Detailed comparable production and availability not fully verified. User concerns are attributed opinions.</x:v>
      </x:c>
      <x:c r="P148" s="69" t="str">
        <x:v>https://github.com/CopiousHighlights/football-transfer-market-analysis</x:v>
      </x:c>
    </x:row>
    <x:row r="149" ht="25" customHeight="1">
      <x:c r="A149" s="75" t="str">
        <x:v>historical-94</x:v>
      </x:c>
      <x:c r="B149" s="75" t="str">
        <x:v>Dominic Solanke</x:v>
      </x:c>
      <x:c r="C149" s="75" t="str">
        <x:v>Tottenham</x:v>
      </x:c>
      <x:c r="D149" s="75" t="str">
        <x:v>Bournemouth</x:v>
      </x:c>
      <x:c r="E149" s="77" t="d">
        <x:v>2024-08-10T00:00:00.000Z</x:v>
      </x:c>
      <x:c r="F149" s="75" t="str">
        <x:v>historical</x:v>
      </x:c>
      <x:c r="G149" s="75" t="str">
        <x:v>Striker</x:v>
      </x:c>
      <x:c r="H149" s="79" t="n">
        <x:v>64300000</x:v>
      </x:c>
      <x:c r="I149" s="75" t="str">
        <x:v>EUR</x:v>
      </x:c>
      <x:c r="J149" s="81" t="n">
        <x:v>27</x:v>
      </x:c>
      <x:c r="K149" s="83" t="n">
        <x:v>6.7</x:v>
      </x:c>
      <x:c r="L149" s="75" t="str">
        <x:v>Your rating</x:v>
      </x:c>
      <x:c r="M149" s="75" t="str">
        <x:v>Poor production relative to a fairly expensive fee.</x:v>
      </x:c>
      <x:c r="N149" s="75" t="str">
        <x:v>Low</x:v>
      </x:c>
      <x:c r="O149" s="75" t="str">
        <x:v>Editorial assessment; transfer facts from workbook. Detailed comparable production and availability not fully verified. User concerns are attributed opinions.</x:v>
      </x:c>
      <x:c r="P149" s="75" t="str">
        <x:v>https://github.com/CopiousHighlights/football-transfer-market-analysis</x:v>
      </x:c>
    </x:row>
    <x:row r="150" ht="25" customHeight="1">
      <x:c r="A150" s="69" t="str">
        <x:v>historical-97</x:v>
      </x:c>
      <x:c r="B150" s="69" t="str">
        <x:v>Pierre-Emerick Aubameyang</x:v>
      </x:c>
      <x:c r="C150" s="69" t="str">
        <x:v>Arsenal</x:v>
      </x:c>
      <x:c r="D150" s="69" t="str">
        <x:v>Dortmund</x:v>
      </x:c>
      <x:c r="E150" s="76" t="d">
        <x:v>2018-01-31T00:00:00.000Z</x:v>
      </x:c>
      <x:c r="F150" s="69" t="str">
        <x:v>historical</x:v>
      </x:c>
      <x:c r="G150" s="69" t="str">
        <x:v>Striker</x:v>
      </x:c>
      <x:c r="H150" s="78" t="n">
        <x:v>63750000</x:v>
      </x:c>
      <x:c r="I150" s="69" t="str">
        <x:v>EUR</x:v>
      </x:c>
      <x:c r="J150" s="80" t="n">
        <x:v>29</x:v>
      </x:c>
      <x:c r="K150" s="82" t="n">
        <x:v>9.1</x:v>
      </x:c>
      <x:c r="L150" s="69" t="str">
        <x:v>Assistant draft</x:v>
      </x:c>
      <x:c r="M150" s="69" t="str">
        <x:v>My assessment is that strong immediate scoring outweighed a shorter developmental runway at signing.</x:v>
      </x:c>
      <x:c r="N150" s="69" t="str">
        <x:v>Low</x:v>
      </x:c>
      <x:c r="O150" s="69" t="str">
        <x:v>Editorial assessment; transfer facts from workbook. Detailed comparable production and availability not fully verified. User concerns are attributed opinions.</x:v>
      </x:c>
      <x:c r="P150" s="69" t="str">
        <x:v>https://github.com/CopiousHighlights/football-transfer-market-analysis</x:v>
      </x:c>
    </x:row>
    <x:row r="151" ht="25" customHeight="1">
      <x:c r="A151" s="75" t="str">
        <x:v>historical-98</x:v>
      </x:c>
      <x:c r="B151" s="75" t="str">
        <x:v>João Pedro</x:v>
      </x:c>
      <x:c r="C151" s="75" t="str">
        <x:v>Chelsea</x:v>
      </x:c>
      <x:c r="D151" s="75" t="str">
        <x:v>Brighton</x:v>
      </x:c>
      <x:c r="E151" s="77" t="d">
        <x:v>2025-07-02T00:00:00.000Z</x:v>
      </x:c>
      <x:c r="F151" s="75" t="str">
        <x:v>historical</x:v>
      </x:c>
      <x:c r="G151" s="75" t="str">
        <x:v>Striker / mixed forward</x:v>
      </x:c>
      <x:c r="H151" s="79" t="n">
        <x:v>63700000</x:v>
      </x:c>
      <x:c r="I151" s="75" t="str">
        <x:v>EUR</x:v>
      </x:c>
      <x:c r="J151" s="81" t="n">
        <x:v>24</x:v>
      </x:c>
      <x:c r="K151" s="83" t="n">
        <x:v>8.6</x:v>
      </x:c>
      <x:c r="L151" s="75" t="str">
        <x:v>Assistant draft</x:v>
      </x:c>
      <x:c r="M151" s="75" t="str">
        <x:v>Youth, scoring and link-up potential support value, with the substantial fee preventing a higher draft rating.</x:v>
      </x:c>
      <x:c r="N151" s="75" t="str">
        <x:v>Low</x:v>
      </x:c>
      <x:c r="O151" s="75" t="str">
        <x:v>Editorial assessment; transfer facts from workbook. Detailed comparable production and availability not fully verified. User concerns are attributed opinions.</x:v>
      </x:c>
      <x:c r="P151" s="75" t="str">
        <x:v>https://github.com/CopiousHighlights/football-transfer-market-analysis</x:v>
      </x:c>
    </x:row>
    <x:row r="152" ht="25" customHeight="1">
      <x:c r="A152" s="69" t="str">
        <x:v>historical-102</x:v>
      </x:c>
      <x:c r="B152" s="69" t="str">
        <x:v>Luka Jović</x:v>
      </x:c>
      <x:c r="C152" s="69" t="str">
        <x:v>Real Madrid</x:v>
      </x:c>
      <x:c r="D152" s="69" t="str">
        <x:v>Frankfurt</x:v>
      </x:c>
      <x:c r="E152" s="76" t="d">
        <x:v>2019-07-02T00:00:00.000Z</x:v>
      </x:c>
      <x:c r="F152" s="69" t="str">
        <x:v>historical</x:v>
      </x:c>
      <x:c r="G152" s="69" t="str">
        <x:v>Striker</x:v>
      </x:c>
      <x:c r="H152" s="78" t="n">
        <x:v>63000000</x:v>
      </x:c>
      <x:c r="I152" s="69" t="str">
        <x:v>EUR</x:v>
      </x:c>
      <x:c r="J152" s="80" t="n">
        <x:v>22</x:v>
      </x:c>
      <x:c r="K152" s="82" t="n">
        <x:v>4.3</x:v>
      </x:c>
      <x:c r="L152" s="69" t="str">
        <x:v>Assistant draft</x:v>
      </x:c>
      <x:c r="M152" s="69" t="str">
        <x:v>My retrospective assessment is that the fee was poorly matched by the attacking return, despite youth at signing.</x:v>
      </x:c>
      <x:c r="N152" s="69" t="str">
        <x:v>Low</x:v>
      </x:c>
      <x:c r="O152" s="69" t="str">
        <x:v>Editorial assessment; transfer facts from workbook. Detailed comparable production and availability not fully verified. User concerns are attributed opinions.</x:v>
      </x:c>
      <x:c r="P152" s="69" t="str">
        <x:v>https://github.com/CopiousHighlights/football-transfer-market-analysis</x:v>
      </x:c>
    </x:row>
    <x:row r="153" ht="25" customHeight="1">
      <x:c r="A153" s="75" t="str">
        <x:v>historical-109</x:v>
      </x:c>
      <x:c r="B153" s="75" t="str">
        <x:v>Mateo Retegui</x:v>
      </x:c>
      <x:c r="C153" s="75" t="str">
        <x:v>Al-Qadsiah</x:v>
      </x:c>
      <x:c r="D153" s="75" t="str">
        <x:v>Atalanta</x:v>
      </x:c>
      <x:c r="E153" s="77" t="d">
        <x:v>2025-07-21T00:00:00.000Z</x:v>
      </x:c>
      <x:c r="F153" s="75" t="str">
        <x:v>historical</x:v>
      </x:c>
      <x:c r="G153" s="75" t="str">
        <x:v>Striker</x:v>
      </x:c>
      <x:c r="H153" s="79" t="n">
        <x:v>61750000</x:v>
      </x:c>
      <x:c r="I153" s="75" t="str">
        <x:v>EUR</x:v>
      </x:c>
      <x:c r="J153" s="81" t="n">
        <x:v>26</x:v>
      </x:c>
      <x:c r="K153" s="83" t="n">
        <x:v>7.5</x:v>
      </x:c>
      <x:c r="L153" s="75" t="str">
        <x:v>Assistant draft</x:v>
      </x:c>
      <x:c r="M153" s="75" t="str">
        <x:v>Scoring ability supports some value, but the fee and competition context temper the assessment.</x:v>
      </x:c>
      <x:c r="N153" s="75" t="str">
        <x:v>Low</x:v>
      </x:c>
      <x:c r="O153" s="75" t="str">
        <x:v>Editorial assessment; transfer facts from workbook. Detailed comparable production and availability not fully verified. User concerns are attributed opinions.</x:v>
      </x:c>
      <x:c r="P153" s="75" t="str">
        <x:v>https://github.com/CopiousHighlights/football-transfer-market-analysis</x:v>
      </x:c>
    </x:row>
    <x:row r="154" ht="25" customHeight="1">
      <x:c r="A154" s="69" t="str">
        <x:v>historical-117</x:v>
      </x:c>
      <x:c r="B154" s="69" t="str">
        <x:v>Erling Haaland</x:v>
      </x:c>
      <x:c r="C154" s="69" t="str">
        <x:v>Man City</x:v>
      </x:c>
      <x:c r="D154" s="69" t="str">
        <x:v>Dortmund</x:v>
      </x:c>
      <x:c r="E154" s="76" t="d">
        <x:v>2022-07-01T00:00:00.000Z</x:v>
      </x:c>
      <x:c r="F154" s="69" t="str">
        <x:v>historical</x:v>
      </x:c>
      <x:c r="G154" s="69" t="str">
        <x:v>Striker</x:v>
      </x:c>
      <x:c r="H154" s="78" t="n">
        <x:v>60000000</x:v>
      </x:c>
      <x:c r="I154" s="69" t="str">
        <x:v>EUR</x:v>
      </x:c>
      <x:c r="J154" s="80" t="n">
        <x:v>22</x:v>
      </x:c>
      <x:c r="K154" s="82" t="n">
        <x:v>9.8</x:v>
      </x:c>
      <x:c r="L154" s="69" t="str">
        <x:v>Your rating</x:v>
      </x:c>
      <x:c r="M154" s="69" t="str">
        <x:v>Great value, exceptional production and a strong age profile.</x:v>
      </x:c>
      <x:c r="N154" s="69" t="str">
        <x:v>Low</x:v>
      </x:c>
      <x:c r="O154" s="69" t="str">
        <x:v>Editorial assessment; transfer facts from workbook. Detailed comparable production and availability not fully verified. User concerns are attributed opinions.</x:v>
      </x:c>
      <x:c r="P154" s="69" t="str">
        <x:v>https://github.com/CopiousHighlights/football-transfer-market-analysis</x:v>
      </x:c>
    </x:row>
    <x:row r="155" ht="25" customHeight="1">
      <x:c r="A155" s="75" t="str">
        <x:v>historical-119</x:v>
      </x:c>
      <x:c r="B155" s="75" t="str">
        <x:v>Anthony Martial</x:v>
      </x:c>
      <x:c r="C155" s="75" t="str">
        <x:v>Man Utd</x:v>
      </x:c>
      <x:c r="D155" s="75" t="str">
        <x:v>Monaco</x:v>
      </x:c>
      <x:c r="E155" s="77" t="d">
        <x:v>2015-09-01T00:00:00.000Z</x:v>
      </x:c>
      <x:c r="F155" s="75" t="str">
        <x:v>historical</x:v>
      </x:c>
      <x:c r="G155" s="75" t="str">
        <x:v>Striker</x:v>
      </x:c>
      <x:c r="H155" s="79" t="n">
        <x:v>60000000</x:v>
      </x:c>
      <x:c r="I155" s="75" t="str">
        <x:v>EUR</x:v>
      </x:c>
      <x:c r="J155" s="81" t="n">
        <x:v>20</x:v>
      </x:c>
      <x:c r="K155" s="83" t="n">
        <x:v>7</x:v>
      </x:c>
      <x:c r="L155" s="75" t="str">
        <x:v>Assistant draft</x:v>
      </x:c>
      <x:c r="M155" s="75" t="str">
        <x:v>Youth and promising attacking quality support the deal, but inconsistent availability and return reduce my retrospective assessment.</x:v>
      </x:c>
      <x:c r="N155" s="75" t="str">
        <x:v>Low</x:v>
      </x:c>
      <x:c r="O155" s="75" t="str">
        <x:v>Editorial assessment; transfer facts from workbook. Detailed comparable production and availability not fully verified. User concerns are attributed opinions.</x:v>
      </x:c>
      <x:c r="P155" s="75" t="str">
        <x:v>https://github.com/CopiousHighlights/football-transfer-market-analysis</x:v>
      </x:c>
    </x:row>
    <x:row r="156" ht="25" customHeight="1">
      <x:c r="A156" s="69" t="str">
        <x:v>historical-122</x:v>
      </x:c>
      <x:c r="B156" s="69" t="str">
        <x:v>Christopher Nkunku</x:v>
      </x:c>
      <x:c r="C156" s="69" t="str">
        <x:v>Chelsea</x:v>
      </x:c>
      <x:c r="D156" s="69" t="str">
        <x:v>Leipzig</x:v>
      </x:c>
      <x:c r="E156" s="76" t="d">
        <x:v>2023-07-01T00:00:00.000Z</x:v>
      </x:c>
      <x:c r="F156" s="69" t="str">
        <x:v>historical</x:v>
      </x:c>
      <x:c r="G156" s="69" t="str">
        <x:v>Striker / mixed forward</x:v>
      </x:c>
      <x:c r="H156" s="78" t="n">
        <x:v>60000000</x:v>
      </x:c>
      <x:c r="I156" s="69" t="str">
        <x:v>EUR</x:v>
      </x:c>
      <x:c r="J156" s="80" t="n">
        <x:v>26</x:v>
      </x:c>
      <x:c r="K156" s="82" t="n">
        <x:v>5.8</x:v>
      </x:c>
      <x:c r="L156" s="69" t="str">
        <x:v>Assistant draft</x:v>
      </x:c>
      <x:c r="M156" s="69" t="str">
        <x:v>Quality and versatility help, but availability and a limited sustained return weaken my assessment of the fee.</x:v>
      </x:c>
      <x:c r="N156" s="69" t="str">
        <x:v>Low</x:v>
      </x:c>
      <x:c r="O156" s="69" t="str">
        <x:v>Editorial assessment; transfer facts from workbook. Detailed comparable production and availability not fully verified. User concerns are attributed opinions.</x:v>
      </x:c>
      <x:c r="P156" s="69" t="str">
        <x:v>https://github.com/CopiousHighlights/football-transfer-market-analysis</x:v>
      </x:c>
    </x:row>
    <x:row r="157" ht="25" customHeight="1">
      <x:c r="A157" s="75" t="str">
        <x:v>historical-131</x:v>
      </x:c>
      <x:c r="B157" s="75" t="str">
        <x:v>Richarlison</x:v>
      </x:c>
      <x:c r="C157" s="75" t="str">
        <x:v>Tottenham</x:v>
      </x:c>
      <x:c r="D157" s="75" t="str">
        <x:v>Everton</x:v>
      </x:c>
      <x:c r="E157" s="77" t="d">
        <x:v>2022-07-01T00:00:00.000Z</x:v>
      </x:c>
      <x:c r="F157" s="75" t="str">
        <x:v>historical</x:v>
      </x:c>
      <x:c r="G157" s="75" t="str">
        <x:v>Striker</x:v>
      </x:c>
      <x:c r="H157" s="79" t="n">
        <x:v>58000000</x:v>
      </x:c>
      <x:c r="I157" s="75" t="str">
        <x:v>EUR</x:v>
      </x:c>
      <x:c r="J157" s="81" t="n">
        <x:v>25</x:v>
      </x:c>
      <x:c r="K157" s="83" t="n">
        <x:v>5.7</x:v>
      </x:c>
      <x:c r="L157" s="75" t="str">
        <x:v>Assistant draft</x:v>
      </x:c>
      <x:c r="M157" s="75" t="str">
        <x:v>A substantial fee, availability concerns and limited consistent output reduce my retrospective value assessment.</x:v>
      </x:c>
      <x:c r="N157" s="75" t="str">
        <x:v>Low</x:v>
      </x:c>
      <x:c r="O157" s="75" t="str">
        <x:v>Editorial assessment; transfer facts from workbook. Detailed comparable production and availability not fully verified. User concerns are attributed opinions.</x:v>
      </x:c>
      <x:c r="P157" s="75" t="str">
        <x:v>https://github.com/CopiousHighlights/football-transfer-market-analysis</x:v>
      </x:c>
    </x:row>
    <x:row r="158" ht="25" customHeight="1">
      <x:c r="A158" s="69" t="str">
        <x:v>historical-133</x:v>
      </x:c>
      <x:c r="B158" s="69" t="str">
        <x:v>Yoane Wissa</x:v>
      </x:c>
      <x:c r="C158" s="69" t="str">
        <x:v>Newcastle</x:v>
      </x:c>
      <x:c r="D158" s="69" t="str">
        <x:v>Brentford</x:v>
      </x:c>
      <x:c r="E158" s="76" t="d">
        <x:v>2025-09-01T00:00:00.000Z</x:v>
      </x:c>
      <x:c r="F158" s="69" t="str">
        <x:v>historical</x:v>
      </x:c>
      <x:c r="G158" s="69" t="str">
        <x:v>Striker</x:v>
      </x:c>
      <x:c r="H158" s="78" t="n">
        <x:v>57700000</x:v>
      </x:c>
      <x:c r="I158" s="69" t="str">
        <x:v>EUR</x:v>
      </x:c>
      <x:c r="J158" s="80" t="n">
        <x:v>29</x:v>
      </x:c>
      <x:c r="K158" s="82" t="n">
        <x:v>7.2</x:v>
      </x:c>
      <x:c r="L158" s="69" t="str">
        <x:v>Assistant draft</x:v>
      </x:c>
      <x:c r="M158" s="69" t="str">
        <x:v>Established scoring profile supports value, but a substantial fee offers less developmental upside.</x:v>
      </x:c>
      <x:c r="N158" s="69" t="str">
        <x:v>Low</x:v>
      </x:c>
      <x:c r="O158" s="69" t="str">
        <x:v>Editorial assessment; transfer facts from workbook. Detailed comparable production and availability not fully verified. User concerns are attributed opinions.</x:v>
      </x:c>
      <x:c r="P158" s="69" t="str">
        <x:v>https://github.com/CopiousHighlights/football-transfer-market-analysis</x:v>
      </x:c>
    </x:row>
    <x:row r="159" ht="25" customHeight="1">
      <x:c r="A159" s="75" t="str">
        <x:v>historical-147</x:v>
      </x:c>
      <x:c r="B159" s="75" t="str">
        <x:v>Ferran Torres</x:v>
      </x:c>
      <x:c r="C159" s="75" t="str">
        <x:v>Barcelona</x:v>
      </x:c>
      <x:c r="D159" s="75" t="str">
        <x:v>Man City</x:v>
      </x:c>
      <x:c r="E159" s="77" t="d">
        <x:v>2022-01-01T00:00:00.000Z</x:v>
      </x:c>
      <x:c r="F159" s="75" t="str">
        <x:v>historical</x:v>
      </x:c>
      <x:c r="G159" s="75" t="str">
        <x:v>Striker / mixed forward</x:v>
      </x:c>
      <x:c r="H159" s="79" t="n">
        <x:v>55000000</x:v>
      </x:c>
      <x:c r="I159" s="75" t="str">
        <x:v>EUR</x:v>
      </x:c>
      <x:c r="J159" s="81" t="n">
        <x:v>22</x:v>
      </x:c>
      <x:c r="K159" s="83" t="n">
        <x:v>7.4</x:v>
      </x:c>
      <x:c r="L159" s="75" t="str">
        <x:v>Assistant draft</x:v>
      </x:c>
      <x:c r="M159" s="75" t="str">
        <x:v>Age and forward versatility support the deal, but the fee and mixed role limit my value assessment.</x:v>
      </x:c>
      <x:c r="N159" s="75" t="str">
        <x:v>Low</x:v>
      </x:c>
      <x:c r="O159" s="75" t="str">
        <x:v>Editorial assessment; transfer facts from workbook. Detailed comparable production and availability not fully verified. User concerns are attributed opinions.</x:v>
      </x:c>
      <x:c r="P159" s="75" t="str">
        <x:v>https://github.com/CopiousHighlights/football-transfer-market-analysis</x:v>
      </x:c>
    </x:row>
    <x:row r="160" ht="25" customHeight="1">
      <x:c r="A160" s="69" t="str">
        <x:v>historical-149</x:v>
      </x:c>
      <x:c r="B160" s="69" t="str">
        <x:v>Antoine Griezmann</x:v>
      </x:c>
      <x:c r="C160" s="69" t="str">
        <x:v>Atlético</x:v>
      </x:c>
      <x:c r="D160" s="69" t="str">
        <x:v>Real Sociedad</x:v>
      </x:c>
      <x:c r="E160" s="76" t="d">
        <x:v>2014-07-28T00:00:00.000Z</x:v>
      </x:c>
      <x:c r="F160" s="69" t="str">
        <x:v>historical</x:v>
      </x:c>
      <x:c r="G160" s="69" t="str">
        <x:v>Striker / mixed forward</x:v>
      </x:c>
      <x:c r="H160" s="78" t="n">
        <x:v>54000000</x:v>
      </x:c>
      <x:c r="I160" s="69" t="str">
        <x:v>EUR</x:v>
      </x:c>
      <x:c r="J160" s="80" t="n">
        <x:v>23</x:v>
      </x:c>
      <x:c r="K160" s="82" t="n">
        <x:v>9.2</x:v>
      </x:c>
      <x:c r="L160" s="69" t="str">
        <x:v>Assistant draft</x:v>
      </x:c>
      <x:c r="M160" s="69" t="str">
        <x:v>My assessment is that attacking quality and sustained contribution make this a strong value deal.</x:v>
      </x:c>
      <x:c r="N160" s="69" t="str">
        <x:v>Low</x:v>
      </x:c>
      <x:c r="O160" s="69" t="str">
        <x:v>Editorial assessment; transfer facts from workbook. Detailed comparable production and availability not fully verified. User concerns are attributed opinions.</x:v>
      </x:c>
      <x:c r="P160" s="69" t="str">
        <x:v>https://github.com/CopiousHighlights/football-transfer-market-analysis</x:v>
      </x:c>
    </x:row>
    <x:row r="161" ht="25" customHeight="1">
      <x:c r="A161" s="75" t="str">
        <x:v>historical-151</x:v>
      </x:c>
      <x:c r="B161" s="75" t="str">
        <x:v>Alexandre Lacazette</x:v>
      </x:c>
      <x:c r="C161" s="75" t="str">
        <x:v>Arsenal</x:v>
      </x:c>
      <x:c r="D161" s="75" t="str">
        <x:v>Lyon</x:v>
      </x:c>
      <x:c r="E161" s="77" t="d">
        <x:v>2017-07-05T00:00:00.000Z</x:v>
      </x:c>
      <x:c r="F161" s="75" t="str">
        <x:v>historical</x:v>
      </x:c>
      <x:c r="G161" s="75" t="str">
        <x:v>Striker</x:v>
      </x:c>
      <x:c r="H161" s="79" t="n">
        <x:v>53000000</x:v>
      </x:c>
      <x:c r="I161" s="75" t="str">
        <x:v>EUR</x:v>
      </x:c>
      <x:c r="J161" s="81" t="n">
        <x:v>26</x:v>
      </x:c>
      <x:c r="K161" s="83" t="n">
        <x:v>7.6</x:v>
      </x:c>
      <x:c r="L161" s="75" t="str">
        <x:v>Assistant draft</x:v>
      </x:c>
      <x:c r="M161" s="75" t="str">
        <x:v>Useful scoring and link-up contribution support value, though the fee prevents an exceptional rating.</x:v>
      </x:c>
      <x:c r="N161" s="75" t="str">
        <x:v>Low</x:v>
      </x:c>
      <x:c r="O161" s="75" t="str">
        <x:v>Editorial assessment; transfer facts from workbook. Detailed comparable production and availability not fully verified. User concerns are attributed opinions.</x:v>
      </x:c>
      <x:c r="P161" s="75" t="str">
        <x:v>https://github.com/CopiousHighlights/football-transfer-market-analysis</x:v>
      </x:c>
    </x:row>
    <x:row r="162" ht="25" customHeight="1">
      <x:c r="A162" s="69" t="str">
        <x:v>historical-153</x:v>
      </x:c>
      <x:c r="B162" s="69" t="str">
        <x:v>Darwin Núñez</x:v>
      </x:c>
      <x:c r="C162" s="69" t="str">
        <x:v>Al-Hilal</x:v>
      </x:c>
      <x:c r="D162" s="69" t="str">
        <x:v>Liverpool</x:v>
      </x:c>
      <x:c r="E162" s="76" t="d">
        <x:v>2025-08-09T00:00:00.000Z</x:v>
      </x:c>
      <x:c r="F162" s="69" t="str">
        <x:v>historical</x:v>
      </x:c>
      <x:c r="G162" s="69" t="str">
        <x:v>Striker</x:v>
      </x:c>
      <x:c r="H162" s="78" t="n">
        <x:v>53000000</x:v>
      </x:c>
      <x:c r="I162" s="69" t="str">
        <x:v>EUR</x:v>
      </x:c>
      <x:c r="J162" s="80" t="n">
        <x:v>26</x:v>
      </x:c>
      <x:c r="K162" s="82" t="n">
        <x:v>7.3</x:v>
      </x:c>
      <x:c r="L162" s="69" t="str">
        <x:v>Assistant draft</x:v>
      </x:c>
      <x:c r="M162" s="69" t="str">
        <x:v>A lower fee than the Liverpool purchase changes the value case. This remains a cautious draft with limited buyer-specific production evidence.</x:v>
      </x:c>
      <x:c r="N162" s="69" t="str">
        <x:v>Low</x:v>
      </x:c>
      <x:c r="O162" s="69" t="str">
        <x:v>Editorial assessment; transfer facts from workbook. Detailed comparable production and availability not fully verified. User concerns are attributed opinions.</x:v>
      </x:c>
      <x:c r="P162" s="69" t="str">
        <x:v>https://github.com/CopiousHighlights/football-transfer-market-analysis</x:v>
      </x:c>
    </x:row>
    <x:row r="163" ht="25" customHeight="1">
      <x:c r="A163" s="75" t="str">
        <x:v>historical-154</x:v>
      </x:c>
      <x:c r="B163" s="75" t="str">
        <x:v>Timo Werner</x:v>
      </x:c>
      <x:c r="C163" s="75" t="str">
        <x:v>Chelsea</x:v>
      </x:c>
      <x:c r="D163" s="75" t="str">
        <x:v>Leipzig</x:v>
      </x:c>
      <x:c r="E163" s="77" t="d">
        <x:v>2020-07-01T00:00:00.000Z</x:v>
      </x:c>
      <x:c r="F163" s="75" t="str">
        <x:v>historical</x:v>
      </x:c>
      <x:c r="G163" s="75" t="str">
        <x:v>Striker</x:v>
      </x:c>
      <x:c r="H163" s="79" t="n">
        <x:v>53000000</x:v>
      </x:c>
      <x:c r="I163" s="75" t="str">
        <x:v>EUR</x:v>
      </x:c>
      <x:c r="J163" s="81" t="n">
        <x:v>24</x:v>
      </x:c>
      <x:c r="K163" s="83" t="n">
        <x:v>6.2</x:v>
      </x:c>
      <x:c r="L163" s="75" t="str">
        <x:v>Assistant draft</x:v>
      </x:c>
      <x:c r="M163" s="75" t="str">
        <x:v>Useful movement and work rate in my assessment, but a weaker scoring return reduces value at the price.</x:v>
      </x:c>
      <x:c r="N163" s="75" t="str">
        <x:v>Low</x:v>
      </x:c>
      <x:c r="O163" s="75" t="str">
        <x:v>Editorial assessment; transfer facts from workbook. Detailed comparable production and availability not fully verified. User concerns are attributed opinions.</x:v>
      </x:c>
      <x:c r="P163" s="75" t="str">
        <x:v>https://github.com/CopiousHighlights/football-transfer-market-analysis</x:v>
      </x:c>
    </x:row>
    <x:row r="164" ht="25" customHeight="1">
      <x:c r="A164" s="69" t="str">
        <x:v>historical-156</x:v>
      </x:c>
      <x:c r="B164" s="69" t="str">
        <x:v>Aleksandar Mitrović</x:v>
      </x:c>
      <x:c r="C164" s="69" t="str">
        <x:v>Al-Hilal</x:v>
      </x:c>
      <x:c r="D164" s="69" t="str">
        <x:v>Fulham</x:v>
      </x:c>
      <x:c r="E164" s="76" t="d">
        <x:v>2023-08-19T00:00:00.000Z</x:v>
      </x:c>
      <x:c r="F164" s="69" t="str">
        <x:v>historical</x:v>
      </x:c>
      <x:c r="G164" s="69" t="str">
        <x:v>Striker</x:v>
      </x:c>
      <x:c r="H164" s="78" t="n">
        <x:v>52600000</x:v>
      </x:c>
      <x:c r="I164" s="69" t="str">
        <x:v>EUR</x:v>
      </x:c>
      <x:c r="J164" s="80" t="n">
        <x:v>29</x:v>
      </x:c>
      <x:c r="K164" s="82" t="n">
        <x:v>8.4</x:v>
      </x:c>
      <x:c r="L164" s="69" t="str">
        <x:v>Assistant draft</x:v>
      </x:c>
      <x:c r="M164" s="69" t="str">
        <x:v>My assessment is that a strong scoring profile supports the price, tempered by age and competition context.</x:v>
      </x:c>
      <x:c r="N164" s="69" t="str">
        <x:v>Low</x:v>
      </x:c>
      <x:c r="O164" s="69" t="str">
        <x:v>Editorial assessment; transfer facts from workbook. Detailed comparable production and availability not fully verified. User concerns are attributed opinions.</x:v>
      </x:c>
      <x:c r="P164" s="69" t="str">
        <x:v>https://github.com/CopiousHighlights/football-transfer-market-analysis</x:v>
      </x:c>
    </x:row>
    <x:row r="165" ht="25" customHeight="1">
      <x:c r="A165" s="75" t="str">
        <x:v>historical-157</x:v>
      </x:c>
      <x:c r="B165" s="75" t="str">
        <x:v>Gabriel Jesus</x:v>
      </x:c>
      <x:c r="C165" s="75" t="str">
        <x:v>Arsenal</x:v>
      </x:c>
      <x:c r="D165" s="75" t="str">
        <x:v>Man City</x:v>
      </x:c>
      <x:c r="E165" s="77" t="d">
        <x:v>2022-07-04T00:00:00.000Z</x:v>
      </x:c>
      <x:c r="F165" s="75" t="str">
        <x:v>historical</x:v>
      </x:c>
      <x:c r="G165" s="75" t="str">
        <x:v>Striker</x:v>
      </x:c>
      <x:c r="H165" s="79" t="n">
        <x:v>52200000</x:v>
      </x:c>
      <x:c r="I165" s="75" t="str">
        <x:v>EUR</x:v>
      </x:c>
      <x:c r="J165" s="81" t="n">
        <x:v>25</x:v>
      </x:c>
      <x:c r="K165" s="83" t="n">
        <x:v>7.1</x:v>
      </x:c>
      <x:c r="L165" s="75" t="str">
        <x:v>Assistant draft</x:v>
      </x:c>
      <x:c r="M165" s="75" t="str">
        <x:v>Link-up quality supports value, but availability and scoring consistency reduce my assessment.</x:v>
      </x:c>
      <x:c r="N165" s="75" t="str">
        <x:v>Low</x:v>
      </x:c>
      <x:c r="O165" s="75" t="str">
        <x:v>Editorial assessment; transfer facts from workbook. Detailed comparable production and availability not fully verified. User concerns are attributed opinions.</x:v>
      </x:c>
      <x:c r="P165" s="75" t="str">
        <x:v>https://github.com/CopiousHighlights/football-transfer-market-analysis</x:v>
      </x:c>
    </x:row>
    <x:row r="166" ht="25" customHeight="1">
      <x:c r="A166" s="69" t="str">
        <x:v>historical-158</x:v>
      </x:c>
      <x:c r="B166" s="69" t="str">
        <x:v>João Félix</x:v>
      </x:c>
      <x:c r="C166" s="69" t="str">
        <x:v>Chelsea</x:v>
      </x:c>
      <x:c r="D166" s="69" t="str">
        <x:v>Atlético</x:v>
      </x:c>
      <x:c r="E166" s="76" t="d">
        <x:v>2024-08-21T00:00:00.000Z</x:v>
      </x:c>
      <x:c r="F166" s="69" t="str">
        <x:v>historical</x:v>
      </x:c>
      <x:c r="G166" s="69" t="str">
        <x:v>Striker / mixed forward</x:v>
      </x:c>
      <x:c r="H166" s="78" t="n">
        <x:v>52000000</x:v>
      </x:c>
      <x:c r="I166" s="69" t="str">
        <x:v>EUR</x:v>
      </x:c>
      <x:c r="J166" s="80" t="n">
        <x:v>25</x:v>
      </x:c>
      <x:c r="K166" s="82" t="n">
        <x:v>5.8</x:v>
      </x:c>
      <x:c r="L166" s="69" t="str">
        <x:v>Assistant draft</x:v>
      </x:c>
      <x:c r="M166" s="69" t="str">
        <x:v>The fee still requires a stronger sustained return in my assessment, even though it was lower than the Atlético investment.</x:v>
      </x:c>
      <x:c r="N166" s="69" t="str">
        <x:v>Low</x:v>
      </x:c>
      <x:c r="O166" s="69" t="str">
        <x:v>Editorial assessment; transfer facts from workbook. Detailed comparable production and availability not fully verified. User concerns are attributed opinions.</x:v>
      </x:c>
      <x:c r="P166" s="69" t="str">
        <x:v>https://github.com/CopiousHighlights/football-transfer-market-analysis</x:v>
      </x:c>
    </x:row>
    <x:row r="167" ht="25" customHeight="1">
      <x:c r="A167" s="75" t="str">
        <x:v>historical-173</x:v>
      </x:c>
      <x:c r="B167" s="75" t="str">
        <x:v>Mauro Icardi</x:v>
      </x:c>
      <x:c r="C167" s="75" t="str">
        <x:v>PSG</x:v>
      </x:c>
      <x:c r="D167" s="75" t="str">
        <x:v>Inter</x:v>
      </x:c>
      <x:c r="E167" s="77" t="d">
        <x:v>2020-07-01T00:00:00.000Z</x:v>
      </x:c>
      <x:c r="F167" s="75" t="str">
        <x:v>historical</x:v>
      </x:c>
      <x:c r="G167" s="75" t="str">
        <x:v>Striker</x:v>
      </x:c>
      <x:c r="H167" s="79" t="n">
        <x:v>50000000</x:v>
      </x:c>
      <x:c r="I167" s="75" t="str">
        <x:v>EUR</x:v>
      </x:c>
      <x:c r="J167" s="81" t="n">
        <x:v>27</x:v>
      </x:c>
      <x:c r="K167" s="83" t="n">
        <x:v>6.1</x:v>
      </x:c>
      <x:c r="L167" s="75" t="str">
        <x:v>Assistant draft</x:v>
      </x:c>
      <x:c r="M167" s="75" t="str">
        <x:v>Scoring quality provides some value, but my assessment of the sustained return is weak relative to the price.</x:v>
      </x:c>
      <x:c r="N167" s="75" t="str">
        <x:v>Low</x:v>
      </x:c>
      <x:c r="O167" s="75" t="str">
        <x:v>Editorial assessment; transfer facts from workbook. Detailed comparable production and availability not fully verified. User concerns are attributed opinions.</x:v>
      </x:c>
      <x:c r="P167" s="75" t="str">
        <x:v>https://github.com/CopiousHighlights/football-transfer-market-analysis</x:v>
      </x:c>
    </x:row>
    <x:row r="168" ht="25" customHeight="1">
      <x:c r="A168" s="69" t="str">
        <x:v>historical-175</x:v>
      </x:c>
      <x:c r="B168" s="69" t="str">
        <x:v>Sébastien Haller</x:v>
      </x:c>
      <x:c r="C168" s="69" t="str">
        <x:v>West Ham</x:v>
      </x:c>
      <x:c r="D168" s="69" t="str">
        <x:v>Frankfurt</x:v>
      </x:c>
      <x:c r="E168" s="76" t="d">
        <x:v>2019-07-17T00:00:00.000Z</x:v>
      </x:c>
      <x:c r="F168" s="69" t="str">
        <x:v>historical</x:v>
      </x:c>
      <x:c r="G168" s="69" t="str">
        <x:v>Striker</x:v>
      </x:c>
      <x:c r="H168" s="78" t="n">
        <x:v>50000000</x:v>
      </x:c>
      <x:c r="I168" s="69" t="str">
        <x:v>EUR</x:v>
      </x:c>
      <x:c r="J168" s="80" t="n">
        <x:v>25</x:v>
      </x:c>
      <x:c r="K168" s="82" t="n">
        <x:v>5.6</x:v>
      </x:c>
      <x:c r="L168" s="69" t="str">
        <x:v>Assistant draft</x:v>
      </x:c>
      <x:c r="M168" s="69" t="str">
        <x:v>My assessment is that the expensive deal did not deliver a strong sustained return in that role.</x:v>
      </x:c>
      <x:c r="N168" s="69" t="str">
        <x:v>Low</x:v>
      </x:c>
      <x:c r="O168" s="69" t="str">
        <x:v>Editorial assessment; transfer facts from workbook. Detailed comparable production and availability not fully verified. User concerns are attributed opinions.</x:v>
      </x:c>
      <x:c r="P168" s="69" t="str">
        <x:v>https://github.com/CopiousHighlights/football-transfer-market-analysis</x:v>
      </x:c>
    </x:row>
    <x:row r="169" ht="25" customHeight="1">
      <x:c r="A169" s="75" t="str">
        <x:v>historical-177</x:v>
      </x:c>
      <x:c r="B169" s="75" t="str">
        <x:v>Matheus Cunha</x:v>
      </x:c>
      <x:c r="C169" s="75" t="str">
        <x:v>Wolves</x:v>
      </x:c>
      <x:c r="D169" s="75" t="str">
        <x:v>Atlético</x:v>
      </x:c>
      <x:c r="E169" s="77" t="d">
        <x:v>2023-07-01T00:00:00.000Z</x:v>
      </x:c>
      <x:c r="F169" s="75" t="str">
        <x:v>historical</x:v>
      </x:c>
      <x:c r="G169" s="75" t="str">
        <x:v>Striker / mixed forward</x:v>
      </x:c>
      <x:c r="H169" s="79" t="n">
        <x:v>50000000</x:v>
      </x:c>
      <x:c r="I169" s="75" t="str">
        <x:v>EUR</x:v>
      </x:c>
      <x:c r="J169" s="81" t="n">
        <x:v>24</x:v>
      </x:c>
      <x:c r="K169" s="83" t="n">
        <x:v>8.8</x:v>
      </x:c>
      <x:c r="L169" s="75" t="str">
        <x:v>Assistant draft</x:v>
      </x:c>
      <x:c r="M169" s="75" t="str">
        <x:v>My assessment is that scoring, creation and room to develop made the lower-priced Wolves deal stronger value.</x:v>
      </x:c>
      <x:c r="N169" s="75" t="str">
        <x:v>Low</x:v>
      </x:c>
      <x:c r="O169" s="75" t="str">
        <x:v>Editorial assessment; transfer facts from workbook. Detailed comparable production and availability not fully verified. User concerns are attributed opinions.</x:v>
      </x:c>
      <x:c r="P169" s="75" t="str">
        <x:v>https://github.com/CopiousHighlights/football-transfer-market-analysis</x:v>
      </x:c>
    </x:row>
    <x:row r="170" ht="25" customHeight="1">
      <x:c r="A170" s="69" t="str">
        <x:v>historical-183</x:v>
      </x:c>
      <x:c r="B170" s="69" t="str">
        <x:v>Jørgen Strand Larsen</x:v>
      </x:c>
      <x:c r="C170" s="69" t="str">
        <x:v>Crystal Palace</x:v>
      </x:c>
      <x:c r="D170" s="69" t="str">
        <x:v>Wolves</x:v>
      </x:c>
      <x:c r="E170" s="76" t="d">
        <x:v>2026-02-02T00:00:00.000Z</x:v>
      </x:c>
      <x:c r="F170" s="69" t="str">
        <x:v>historical</x:v>
      </x:c>
      <x:c r="G170" s="69" t="str">
        <x:v>Striker</x:v>
      </x:c>
      <x:c r="H170" s="78" t="n">
        <x:v>49700000</x:v>
      </x:c>
      <x:c r="I170" s="69" t="str">
        <x:v>EUR</x:v>
      </x:c>
      <x:c r="J170" s="80" t="n">
        <x:v>26</x:v>
      </x:c>
      <x:c r="K170" s="82" t="n">
        <x:v>7.3</x:v>
      </x:c>
      <x:c r="L170" s="69" t="str">
        <x:v>Assistant draft</x:v>
      </x:c>
      <x:c r="M170" s="69" t="str">
        <x:v>A useful centre-forward profile supports the deal, but the workbook price requires stronger production evidence.</x:v>
      </x:c>
      <x:c r="N170" s="69" t="str">
        <x:v>Low</x:v>
      </x:c>
      <x:c r="O170" s="69" t="str">
        <x:v>Editorial assessment; transfer facts from workbook. Detailed comparable production and availability not fully verified. User concerns are attributed opinions.</x:v>
      </x:c>
      <x:c r="P170" s="69" t="str">
        <x:v>https://github.com/CopiousHighlights/football-transfer-market-analysis</x:v>
      </x:c>
    </x:row>
    <x:row r="171" ht="25" customHeight="1">
      <x:c r="A171" s="75" t="str">
        <x:v>historical-190</x:v>
      </x:c>
      <x:c r="B171" s="75" t="str">
        <x:v>Endrick</x:v>
      </x:c>
      <x:c r="C171" s="75" t="str">
        <x:v>Real Madrid</x:v>
      </x:c>
      <x:c r="D171" s="75" t="str">
        <x:v>Palmeiras</x:v>
      </x:c>
      <x:c r="E171" s="77" t="d">
        <x:v>2024-07-21T00:00:00.000Z</x:v>
      </x:c>
      <x:c r="F171" s="75" t="str">
        <x:v>historical</x:v>
      </x:c>
      <x:c r="G171" s="75" t="str">
        <x:v>Striker</x:v>
      </x:c>
      <x:c r="H171" s="79" t="n">
        <x:v>47500000</x:v>
      </x:c>
      <x:c r="I171" s="75" t="str">
        <x:v>EUR</x:v>
      </x:c>
      <x:c r="J171" s="81" t="n">
        <x:v>18</x:v>
      </x:c>
      <x:c r="K171" s="83" t="n">
        <x:v>7</x:v>
      </x:c>
      <x:c r="L171" s="75" t="str">
        <x:v>Assistant draft</x:v>
      </x:c>
      <x:c r="M171" s="75" t="str">
        <x:v>Long developmental runway and potential help, but this fee buys uncertain future production. Evidence remains limited.</x:v>
      </x:c>
      <x:c r="N171" s="75" t="str">
        <x:v>Low</x:v>
      </x:c>
      <x:c r="O171" s="75" t="str">
        <x:v>Editorial assessment; transfer facts from workbook. Detailed comparable production and availability not fully verified. User concerns are attributed opinions.</x:v>
      </x:c>
      <x:c r="P171" s="75" t="str">
        <x:v>https://github.com/CopiousHighlights/football-transfer-market-analysis</x:v>
      </x:c>
    </x:row>
    <x:row r="172" ht="25" customHeight="1">
      <x:c r="A172" s="69" t="str">
        <x:v>historical-196</x:v>
      </x:c>
      <x:c r="B172" s="69" t="str">
        <x:v>Georginio Rutter</x:v>
      </x:c>
      <x:c r="C172" s="69" t="str">
        <x:v>Brighton</x:v>
      </x:c>
      <x:c r="D172" s="69" t="str">
        <x:v>Leeds</x:v>
      </x:c>
      <x:c r="E172" s="76" t="d">
        <x:v>2024-08-19T00:00:00.000Z</x:v>
      </x:c>
      <x:c r="F172" s="69" t="str">
        <x:v>historical</x:v>
      </x:c>
      <x:c r="G172" s="69" t="str">
        <x:v>Striker / mixed forward</x:v>
      </x:c>
      <x:c r="H172" s="78" t="n">
        <x:v>46700000</x:v>
      </x:c>
      <x:c r="I172" s="69" t="str">
        <x:v>EUR</x:v>
      </x:c>
      <x:c r="J172" s="80" t="n">
        <x:v>22</x:v>
      </x:c>
      <x:c r="K172" s="82" t="n">
        <x:v>7.6</x:v>
      </x:c>
      <x:c r="L172" s="69" t="str">
        <x:v>Assistant draft</x:v>
      </x:c>
      <x:c r="M172" s="69" t="str">
        <x:v>Creation and versatility support value, with the substantial price and mixed role keeping the assessment cautious.</x:v>
      </x:c>
      <x:c r="N172" s="69" t="str">
        <x:v>Low</x:v>
      </x:c>
      <x:c r="O172" s="69" t="str">
        <x:v>Editorial assessment; transfer facts from workbook. Detailed comparable production and availability not fully verified. User concerns are attributed opinions.</x:v>
      </x:c>
      <x:c r="P172" s="69" t="str">
        <x:v>https://github.com/CopiousHighlights/football-transfer-market-analysis</x:v>
      </x:c>
    </x:row>
    <x:row r="173" ht="25" customHeight="1">
      <x:c r="A173" s="75" t="str">
        <x:v>summer-S26-0021</x:v>
      </x:c>
      <x:c r="B173" s="75" t="str">
        <x:v>Emmanuel Emegha</x:v>
      </x:c>
      <x:c r="C173" s="75" t="str">
        <x:v>Chelsea</x:v>
      </x:c>
      <x:c r="D173" s="75" t="str">
        <x:v>Strasbourg</x:v>
      </x:c>
      <x:c r="E173" s="77" t="d">
        <x:v>2026-06-01T00:00:00.000Z</x:v>
      </x:c>
      <x:c r="F173" s="75" t="str">
        <x:v>summer</x:v>
      </x:c>
      <x:c r="G173" s="75" t="str">
        <x:v>Forward — striker role unverified</x:v>
      </x:c>
      <x:c r="H173" s="79" t="n">
        <x:v>21600000</x:v>
      </x:c>
      <x:c r="I173" s="75" t="str">
        <x:v>GBP</x:v>
      </x:c>
      <x:c r="J173" s="81"/>
      <x:c r="K173" s="83"/>
      <x:c r="L173" s="75" t="str">
        <x:v>Evidence needed</x:v>
      </x:c>
      <x:c r="M173" s="75" t="str">
        <x:v>Reported fee available; verify striker role, production, age, availability and transfer before assigning a score.</x:v>
      </x:c>
      <x:c r="N173" s="75" t="str">
        <x:v>Not assessed</x:v>
      </x:c>
      <x:c r="O173" s="75" t="str">
        <x:v>Broad Forward label only; not a certified striker cohort. No comparable production supplied for this deal.</x:v>
      </x:c>
      <x:c r="P173" s="75" t="str">
        <x:v>https://www.theguardian.com/football/ng-interactive/2026/sep/01/mens-transfer-window-summer-2026-all-deals-from-europes-top-five-leagues</x:v>
      </x:c>
    </x:row>
    <x:row r="174" ht="25" customHeight="1">
      <x:c r="A174" s="69" t="str">
        <x:v>summer-S26-0028</x:v>
      </x:c>
      <x:c r="B174" s="69" t="str">
        <x:v>Kingstone Mutandwa</x:v>
      </x:c>
      <x:c r="C174" s="69" t="str">
        <x:v>Cagliari</x:v>
      </x:c>
      <x:c r="D174" s="69" t="str">
        <x:v>SV Ried</x:v>
      </x:c>
      <x:c r="E174" s="76" t="d">
        <x:v>2026-06-05T00:00:00.000Z</x:v>
      </x:c>
      <x:c r="F174" s="69" t="str">
        <x:v>summer</x:v>
      </x:c>
      <x:c r="G174" s="69" t="str">
        <x:v>Forward — striker role unverified</x:v>
      </x:c>
      <x:c r="H174" s="78"/>
      <x:c r="I174" s="69" t="str">
        <x:v>GBP</x:v>
      </x:c>
      <x:c r="J174" s="80"/>
      <x:c r="K174" s="82"/>
      <x:c r="L174" s="69" t="str">
        <x:v>Evidence needed</x:v>
      </x:c>
      <x:c r="M174" s="69" t="str">
        <x:v>Undisclosed fee: cannot assess fee versus worth.</x:v>
      </x:c>
      <x:c r="N174" s="69" t="str">
        <x:v>Not assessed</x:v>
      </x:c>
      <x:c r="O174" s="69" t="str">
        <x:v>Broad Forward label only; not a certified striker cohort. No comparable production supplied for this deal.</x:v>
      </x:c>
      <x:c r="P174" s="69" t="str">
        <x:v>https://www.theguardian.com/football/ng-interactive/2026/sep/01/mens-transfer-window-summer-2026-all-deals-from-europes-top-five-leagues</x:v>
      </x:c>
    </x:row>
    <x:row r="175" ht="25" customHeight="1">
      <x:c r="A175" s="75" t="str">
        <x:v>summer-S26-0031</x:v>
      </x:c>
      <x:c r="B175" s="75" t="str">
        <x:v>Raúl Jiménez</x:v>
      </x:c>
      <x:c r="C175" s="75" t="str">
        <x:v>Wolverhampton Wanderers</x:v>
      </x:c>
      <x:c r="D175" s="75" t="str">
        <x:v>Fulham</x:v>
      </x:c>
      <x:c r="E175" s="77" t="d">
        <x:v>2026-06-09T00:00:00.000Z</x:v>
      </x:c>
      <x:c r="F175" s="75" t="str">
        <x:v>summer</x:v>
      </x:c>
      <x:c r="G175" s="75" t="str">
        <x:v>Forward — striker role unverified</x:v>
      </x:c>
      <x:c r="H175" s="79"/>
      <x:c r="I175" s="75" t="str">
        <x:v>GBP</x:v>
      </x:c>
      <x:c r="J175" s="81"/>
      <x:c r="K175" s="83"/>
      <x:c r="L175" s="75" t="str">
        <x:v>Evidence needed</x:v>
      </x:c>
      <x:c r="M175" s="75" t="str">
        <x:v>Free base fee excludes wages and other costs; role and production evidence needed.</x:v>
      </x:c>
      <x:c r="N175" s="75" t="str">
        <x:v>Not assessed</x:v>
      </x:c>
      <x:c r="O175" s="75" t="str">
        <x:v>Broad Forward label only; not a certified striker cohort. No comparable production supplied for this deal.</x:v>
      </x:c>
      <x:c r="P175" s="75" t="str">
        <x:v>https://www.theguardian.com/football/ng-interactive/2026/sep/01/mens-transfer-window-summer-2026-all-deals-from-europes-top-five-leagues</x:v>
      </x:c>
    </x:row>
    <x:row r="176" ht="25" customHeight="1">
      <x:c r="A176" s="69" t="str">
        <x:v>summer-S26-0032</x:v>
      </x:c>
      <x:c r="B176" s="69" t="str">
        <x:v>Rasmus Højlund</x:v>
      </x:c>
      <x:c r="C176" s="69" t="str">
        <x:v>Napoli</x:v>
      </x:c>
      <x:c r="D176" s="69" t="str">
        <x:v>Manchester United</x:v>
      </x:c>
      <x:c r="E176" s="76" t="d">
        <x:v>2026-06-03T00:00:00.000Z</x:v>
      </x:c>
      <x:c r="F176" s="69" t="str">
        <x:v>summer</x:v>
      </x:c>
      <x:c r="G176" s="69" t="str">
        <x:v>Forward — striker role unverified</x:v>
      </x:c>
      <x:c r="H176" s="78" t="n">
        <x:v>43200000</x:v>
      </x:c>
      <x:c r="I176" s="69" t="str">
        <x:v>GBP</x:v>
      </x:c>
      <x:c r="J176" s="80"/>
      <x:c r="K176" s="82"/>
      <x:c r="L176" s="69" t="str">
        <x:v>Evidence needed</x:v>
      </x:c>
      <x:c r="M176" s="69" t="str">
        <x:v>Reported fee available; verify striker role, production, age, availability and transfer before assigning a score.</x:v>
      </x:c>
      <x:c r="N176" s="69" t="str">
        <x:v>Not assessed</x:v>
      </x:c>
      <x:c r="O176" s="69" t="str">
        <x:v>Broad Forward label only; not a certified striker cohort. No comparable production supplied for this deal.</x:v>
      </x:c>
      <x:c r="P176" s="69" t="str">
        <x:v>https://www.theguardian.com/football/ng-interactive/2026/sep/01/mens-transfer-window-summer-2026-all-deals-from-europes-top-five-leagues</x:v>
      </x:c>
    </x:row>
    <x:row r="177" ht="25" customHeight="1">
      <x:c r="A177" s="75" t="str">
        <x:v>summer-S26-0033</x:v>
      </x:c>
      <x:c r="B177" s="75" t="str">
        <x:v>Donyell Malen</x:v>
      </x:c>
      <x:c r="C177" s="75" t="str">
        <x:v>Roma</x:v>
      </x:c>
      <x:c r="D177" s="75" t="str">
        <x:v>Aston Villa</x:v>
      </x:c>
      <x:c r="E177" s="77" t="d">
        <x:v>2026-05-26T00:00:00.000Z</x:v>
      </x:c>
      <x:c r="F177" s="75" t="str">
        <x:v>summer</x:v>
      </x:c>
      <x:c r="G177" s="75" t="str">
        <x:v>Forward — striker role unverified</x:v>
      </x:c>
      <x:c r="H177" s="79" t="n">
        <x:v>21600000</x:v>
      </x:c>
      <x:c r="I177" s="75" t="str">
        <x:v>GBP</x:v>
      </x:c>
      <x:c r="J177" s="81"/>
      <x:c r="K177" s="83"/>
      <x:c r="L177" s="75" t="str">
        <x:v>Evidence needed</x:v>
      </x:c>
      <x:c r="M177" s="75" t="str">
        <x:v>Reported fee available; verify striker role, production, age, availability and transfer before assigning a score.</x:v>
      </x:c>
      <x:c r="N177" s="75" t="str">
        <x:v>Not assessed</x:v>
      </x:c>
      <x:c r="O177" s="75" t="str">
        <x:v>Broad Forward label only; not a certified striker cohort. No comparable production supplied for this deal.</x:v>
      </x:c>
      <x:c r="P177" s="75" t="str">
        <x:v>https://www.theguardian.com/football/ng-interactive/2026/sep/01/mens-transfer-window-summer-2026-all-deals-from-europes-top-five-leagues</x:v>
      </x:c>
    </x:row>
    <x:row r="178" ht="25" customHeight="1">
      <x:c r="A178" s="69" t="str">
        <x:v>summer-S26-0042</x:v>
      </x:c>
      <x:c r="B178" s="69" t="str">
        <x:v>Isac Lidberg</x:v>
      </x:c>
      <x:c r="C178" s="69" t="str">
        <x:v>Borussia Mönchengladbach</x:v>
      </x:c>
      <x:c r="D178" s="69" t="str">
        <x:v>Darmstadt</x:v>
      </x:c>
      <x:c r="E178" s="76" t="d">
        <x:v>2026-06-09T00:00:00.000Z</x:v>
      </x:c>
      <x:c r="F178" s="69" t="str">
        <x:v>summer</x:v>
      </x:c>
      <x:c r="G178" s="69" t="str">
        <x:v>Forward — striker role unverified</x:v>
      </x:c>
      <x:c r="H178" s="78" t="n">
        <x:v>3000000</x:v>
      </x:c>
      <x:c r="I178" s="69" t="str">
        <x:v>GBP</x:v>
      </x:c>
      <x:c r="J178" s="80"/>
      <x:c r="K178" s="82"/>
      <x:c r="L178" s="69" t="str">
        <x:v>Evidence needed</x:v>
      </x:c>
      <x:c r="M178" s="69" t="str">
        <x:v>Reported fee available; verify striker role, production, age, availability and transfer before assigning a score.</x:v>
      </x:c>
      <x:c r="N178" s="69" t="str">
        <x:v>Not assessed</x:v>
      </x:c>
      <x:c r="O178" s="69" t="str">
        <x:v>Broad Forward label only; not a certified striker cohort. No comparable production supplied for this deal.</x:v>
      </x:c>
      <x:c r="P178" s="69" t="str">
        <x:v>https://www.theguardian.com/football/ng-interactive/2026/sep/01/mens-transfer-window-summer-2026-all-deals-from-europes-top-five-leagues</x:v>
      </x:c>
    </x:row>
    <x:row r="179" ht="25" customHeight="1">
      <x:c r="A179" s="75" t="str">
        <x:v>summer-S26-0052</x:v>
      </x:c>
      <x:c r="B179" s="75" t="str">
        <x:v>Hamza Abdelkarim</x:v>
      </x:c>
      <x:c r="C179" s="75" t="str">
        <x:v>Barcelona</x:v>
      </x:c>
      <x:c r="D179" s="75" t="str">
        <x:v>Al Ahly</x:v>
      </x:c>
      <x:c r="E179" s="77" t="d">
        <x:v>2026-06-10T00:00:00.000Z</x:v>
      </x:c>
      <x:c r="F179" s="75" t="str">
        <x:v>summer</x:v>
      </x:c>
      <x:c r="G179" s="75" t="str">
        <x:v>Forward — striker role unverified</x:v>
      </x:c>
      <x:c r="H179" s="79" t="n">
        <x:v>1300000</x:v>
      </x:c>
      <x:c r="I179" s="75" t="str">
        <x:v>GBP</x:v>
      </x:c>
      <x:c r="J179" s="81"/>
      <x:c r="K179" s="83"/>
      <x:c r="L179" s="75" t="str">
        <x:v>Evidence needed</x:v>
      </x:c>
      <x:c r="M179" s="75" t="str">
        <x:v>Reported fee available; verify striker role, production, age, availability and transfer before assigning a score.</x:v>
      </x:c>
      <x:c r="N179" s="75" t="str">
        <x:v>Not assessed</x:v>
      </x:c>
      <x:c r="O179" s="75" t="str">
        <x:v>Broad Forward label only; not a certified striker cohort. No comparable production supplied for this deal.</x:v>
      </x:c>
      <x:c r="P179" s="75" t="str">
        <x:v>https://www.theguardian.com/football/ng-interactive/2026/sep/01/mens-transfer-window-summer-2026-all-deals-from-europes-top-five-leagues</x:v>
      </x:c>
    </x:row>
    <x:row r="180" ht="25" customHeight="1">
      <x:c r="A180" s="69" t="str">
        <x:v>summer-S26-0053</x:v>
      </x:c>
      <x:c r="B180" s="69" t="str">
        <x:v>Keisuke Goto</x:v>
      </x:c>
      <x:c r="C180" s="69" t="str">
        <x:v>Freiburg</x:v>
      </x:c>
      <x:c r="D180" s="69" t="str">
        <x:v>Anderlecht</x:v>
      </x:c>
      <x:c r="E180" s="76" t="d">
        <x:v>2026-06-11T00:00:00.000Z</x:v>
      </x:c>
      <x:c r="F180" s="69" t="str">
        <x:v>summer</x:v>
      </x:c>
      <x:c r="G180" s="69" t="str">
        <x:v>Forward — striker role unverified</x:v>
      </x:c>
      <x:c r="H180" s="78" t="n">
        <x:v>11200000</x:v>
      </x:c>
      <x:c r="I180" s="69" t="str">
        <x:v>GBP</x:v>
      </x:c>
      <x:c r="J180" s="80"/>
      <x:c r="K180" s="82"/>
      <x:c r="L180" s="69" t="str">
        <x:v>Evidence needed</x:v>
      </x:c>
      <x:c r="M180" s="69" t="str">
        <x:v>Reported fee available; verify striker role, production, age, availability and transfer before assigning a score.</x:v>
      </x:c>
      <x:c r="N180" s="69" t="str">
        <x:v>Not assessed</x:v>
      </x:c>
      <x:c r="O180" s="69" t="str">
        <x:v>Broad Forward label only; not a certified striker cohort. No comparable production supplied for this deal.</x:v>
      </x:c>
      <x:c r="P180" s="69" t="str">
        <x:v>https://www.theguardian.com/football/ng-interactive/2026/sep/01/mens-transfer-window-summer-2026-all-deals-from-europes-top-five-leagues</x:v>
      </x:c>
    </x:row>
    <x:row r="181" ht="25" customHeight="1">
      <x:c r="A181" s="75" t="str">
        <x:v>summer-S26-0056</x:v>
      </x:c>
      <x:c r="B181" s="75" t="str">
        <x:v>Shio Fukuda</x:v>
      </x:c>
      <x:c r="C181" s="75" t="str">
        <x:v>Karlsruhe</x:v>
      </x:c>
      <x:c r="D181" s="75" t="str">
        <x:v>Borussia Mönchengladbach</x:v>
      </x:c>
      <x:c r="E181" s="77" t="d">
        <x:v>2026-06-11T00:00:00.000Z</x:v>
      </x:c>
      <x:c r="F181" s="75" t="str">
        <x:v>summer</x:v>
      </x:c>
      <x:c r="G181" s="75" t="str">
        <x:v>Forward — striker role unverified</x:v>
      </x:c>
      <x:c r="H181" s="79" t="n">
        <x:v>600000</x:v>
      </x:c>
      <x:c r="I181" s="75" t="str">
        <x:v>GBP</x:v>
      </x:c>
      <x:c r="J181" s="81"/>
      <x:c r="K181" s="83"/>
      <x:c r="L181" s="75" t="str">
        <x:v>Evidence needed</x:v>
      </x:c>
      <x:c r="M181" s="75" t="str">
        <x:v>Reported fee available; verify striker role, production, age, availability and transfer before assigning a score.</x:v>
      </x:c>
      <x:c r="N181" s="75" t="str">
        <x:v>Not assessed</x:v>
      </x:c>
      <x:c r="O181" s="75" t="str">
        <x:v>Broad Forward label only; not a certified striker cohort. No comparable production supplied for this deal.</x:v>
      </x:c>
      <x:c r="P181" s="75" t="str">
        <x:v>https://www.theguardian.com/football/ng-interactive/2026/sep/01/mens-transfer-window-summer-2026-all-deals-from-europes-top-five-leagues</x:v>
      </x:c>
    </x:row>
    <x:row r="182" ht="25" customHeight="1">
      <x:c r="A182" s="69" t="str">
        <x:v>summer-S26-0058</x:v>
      </x:c>
      <x:c r="B182" s="69" t="str">
        <x:v>Junior Adamu</x:v>
      </x:c>
      <x:c r="C182" s="69" t="str">
        <x:v>Schalke 04</x:v>
      </x:c>
      <x:c r="D182" s="69" t="str">
        <x:v>Freiburg</x:v>
      </x:c>
      <x:c r="E182" s="76" t="d">
        <x:v>2026-06-11T00:00:00.000Z</x:v>
      </x:c>
      <x:c r="F182" s="69" t="str">
        <x:v>summer</x:v>
      </x:c>
      <x:c r="G182" s="69" t="str">
        <x:v>Forward — striker role unverified</x:v>
      </x:c>
      <x:c r="H182" s="78" t="n">
        <x:v>700000</x:v>
      </x:c>
      <x:c r="I182" s="69" t="str">
        <x:v>GBP</x:v>
      </x:c>
      <x:c r="J182" s="80"/>
      <x:c r="K182" s="82"/>
      <x:c r="L182" s="69" t="str">
        <x:v>Evidence needed</x:v>
      </x:c>
      <x:c r="M182" s="69" t="str">
        <x:v>Reported fee available; verify striker role, production, age, availability and transfer before assigning a score.</x:v>
      </x:c>
      <x:c r="N182" s="69" t="str">
        <x:v>Not assessed</x:v>
      </x:c>
      <x:c r="O182" s="69" t="str">
        <x:v>Broad Forward label only; not a certified striker cohort. No comparable production supplied for this deal.</x:v>
      </x:c>
      <x:c r="P182" s="69" t="str">
        <x:v>https://www.theguardian.com/football/ng-interactive/2026/sep/01/mens-transfer-window-summer-2026-all-deals-from-europes-top-five-leagues</x:v>
      </x:c>
    </x:row>
    <x:row r="183" ht="25" customHeight="1">
      <x:c r="A183" s="75" t="str">
        <x:v>summer-S26-0059</x:v>
      </x:c>
      <x:c r="B183" s="75" t="str">
        <x:v>Michael Gregoritsch</x:v>
      </x:c>
      <x:c r="C183" s="75" t="str">
        <x:v>Augsburg</x:v>
      </x:c>
      <x:c r="D183" s="75" t="str">
        <x:v>Brøndby</x:v>
      </x:c>
      <x:c r="E183" s="77" t="d">
        <x:v>2026-06-12T00:00:00.000Z</x:v>
      </x:c>
      <x:c r="F183" s="75" t="str">
        <x:v>summer</x:v>
      </x:c>
      <x:c r="G183" s="75" t="str">
        <x:v>Forward — striker role unverified</x:v>
      </x:c>
      <x:c r="H183" s="79"/>
      <x:c r="I183" s="75" t="str">
        <x:v>GBP</x:v>
      </x:c>
      <x:c r="J183" s="81"/>
      <x:c r="K183" s="83"/>
      <x:c r="L183" s="75" t="str">
        <x:v>Evidence needed</x:v>
      </x:c>
      <x:c r="M183" s="75" t="str">
        <x:v>Undisclosed fee: cannot assess fee versus worth.</x:v>
      </x:c>
      <x:c r="N183" s="75" t="str">
        <x:v>Not assessed</x:v>
      </x:c>
      <x:c r="O183" s="75" t="str">
        <x:v>Broad Forward label only; not a certified striker cohort. No comparable production supplied for this deal.</x:v>
      </x:c>
      <x:c r="P183" s="75" t="str">
        <x:v>https://www.theguardian.com/football/ng-interactive/2026/sep/01/mens-transfer-window-summer-2026-all-deals-from-europes-top-five-leagues</x:v>
      </x:c>
    </x:row>
    <x:row r="184" ht="25" customHeight="1">
      <x:c r="A184" s="69" t="str">
        <x:v>summer-S26-0063</x:v>
      </x:c>
      <x:c r="B184" s="69" t="str">
        <x:v>André Silva</x:v>
      </x:c>
      <x:c r="C184" s="69" t="str">
        <x:v>Porto</x:v>
      </x:c>
      <x:c r="D184" s="69" t="str">
        <x:v>Elche</x:v>
      </x:c>
      <x:c r="E184" s="76" t="d">
        <x:v>2026-06-12T00:00:00.000Z</x:v>
      </x:c>
      <x:c r="F184" s="69" t="str">
        <x:v>summer</x:v>
      </x:c>
      <x:c r="G184" s="69" t="str">
        <x:v>Forward — striker role unverified</x:v>
      </x:c>
      <x:c r="H184" s="78"/>
      <x:c r="I184" s="69" t="str">
        <x:v>GBP</x:v>
      </x:c>
      <x:c r="J184" s="80"/>
      <x:c r="K184" s="82"/>
      <x:c r="L184" s="69" t="str">
        <x:v>Evidence needed</x:v>
      </x:c>
      <x:c r="M184" s="69" t="str">
        <x:v>Free base fee excludes wages and other costs; role and production evidence needed.</x:v>
      </x:c>
      <x:c r="N184" s="69" t="str">
        <x:v>Not assessed</x:v>
      </x:c>
      <x:c r="O184" s="69" t="str">
        <x:v>Broad Forward label only; not a certified striker cohort. No comparable production supplied for this deal.</x:v>
      </x:c>
      <x:c r="P184" s="69" t="str">
        <x:v>https://www.theguardian.com/football/ng-interactive/2026/sep/01/mens-transfer-window-summer-2026-all-deals-from-europes-top-five-leagues</x:v>
      </x:c>
    </x:row>
    <x:row r="185" ht="25" customHeight="1">
      <x:c r="A185" s="75" t="str">
        <x:v>summer-S26-0064</x:v>
      </x:c>
      <x:c r="B185" s="75" t="str">
        <x:v>Olly Sanderson</x:v>
      </x:c>
      <x:c r="C185" s="75" t="str">
        <x:v>Stevenage</x:v>
      </x:c>
      <x:c r="D185" s="75" t="str">
        <x:v>Fulham</x:v>
      </x:c>
      <x:c r="E185" s="77" t="d">
        <x:v>2026-06-13T00:00:00.000Z</x:v>
      </x:c>
      <x:c r="F185" s="75" t="str">
        <x:v>summer</x:v>
      </x:c>
      <x:c r="G185" s="75" t="str">
        <x:v>Forward — striker role unverified</x:v>
      </x:c>
      <x:c r="H185" s="79"/>
      <x:c r="I185" s="75" t="str">
        <x:v>GBP</x:v>
      </x:c>
      <x:c r="J185" s="81"/>
      <x:c r="K185" s="83"/>
      <x:c r="L185" s="75" t="str">
        <x:v>Evidence needed</x:v>
      </x:c>
      <x:c r="M185" s="75" t="str">
        <x:v>Undisclosed fee: cannot assess fee versus worth.</x:v>
      </x:c>
      <x:c r="N185" s="75" t="str">
        <x:v>Not assessed</x:v>
      </x:c>
      <x:c r="O185" s="75" t="str">
        <x:v>Broad Forward label only; not a certified striker cohort. No comparable production supplied for this deal.</x:v>
      </x:c>
      <x:c r="P185" s="75" t="str">
        <x:v>https://www.theguardian.com/football/ng-interactive/2026/sep/01/mens-transfer-window-summer-2026-all-deals-from-europes-top-five-leagues</x:v>
      </x:c>
    </x:row>
    <x:row r="186" ht="25" customHeight="1">
      <x:c r="A186" s="69" t="str">
        <x:v>summer-S26-0077</x:v>
      </x:c>
      <x:c r="B186" s="69" t="str">
        <x:v>Francesco Camarda</x:v>
      </x:c>
      <x:c r="C186" s="69" t="str">
        <x:v>Lecce</x:v>
      </x:c>
      <x:c r="D186" s="69" t="str">
        <x:v>Milan</x:v>
      </x:c>
      <x:c r="E186" s="76" t="d">
        <x:v>2026-06-16T00:00:00.000Z</x:v>
      </x:c>
      <x:c r="F186" s="69" t="str">
        <x:v>summer</x:v>
      </x:c>
      <x:c r="G186" s="69" t="str">
        <x:v>Forward — striker role unverified</x:v>
      </x:c>
      <x:c r="H186" s="78" t="n">
        <x:v>2600000</x:v>
      </x:c>
      <x:c r="I186" s="69" t="str">
        <x:v>GBP</x:v>
      </x:c>
      <x:c r="J186" s="80"/>
      <x:c r="K186" s="82"/>
      <x:c r="L186" s="69" t="str">
        <x:v>Evidence needed</x:v>
      </x:c>
      <x:c r="M186" s="69" t="str">
        <x:v>Reported fee available; verify striker role, production, age, availability and transfer before assigning a score.</x:v>
      </x:c>
      <x:c r="N186" s="69" t="str">
        <x:v>Not assessed</x:v>
      </x:c>
      <x:c r="O186" s="69" t="str">
        <x:v>Broad Forward label only; not a certified striker cohort. No comparable production supplied for this deal.</x:v>
      </x:c>
      <x:c r="P186" s="69" t="str">
        <x:v>https://www.theguardian.com/football/ng-interactive/2026/sep/01/mens-transfer-window-summer-2026-all-deals-from-europes-top-five-leagues</x:v>
      </x:c>
    </x:row>
    <x:row r="187" ht="25" customHeight="1">
      <x:c r="A187" s="75" t="str">
        <x:v>summer-S26-0092</x:v>
      </x:c>
      <x:c r="B187" s="75" t="str">
        <x:v>Chaka Traorè</x:v>
      </x:c>
      <x:c r="C187" s="75" t="str">
        <x:v>Partizan Belgrade</x:v>
      </x:c>
      <x:c r="D187" s="75" t="str">
        <x:v>Milan</x:v>
      </x:c>
      <x:c r="E187" s="77" t="d">
        <x:v>2026-06-18T00:00:00.000Z</x:v>
      </x:c>
      <x:c r="F187" s="75" t="str">
        <x:v>summer</x:v>
      </x:c>
      <x:c r="G187" s="75" t="str">
        <x:v>Forward — striker role unverified</x:v>
      </x:c>
      <x:c r="H187" s="79"/>
      <x:c r="I187" s="75" t="str">
        <x:v>GBP</x:v>
      </x:c>
      <x:c r="J187" s="81"/>
      <x:c r="K187" s="83"/>
      <x:c r="L187" s="75" t="str">
        <x:v>Evidence needed</x:v>
      </x:c>
      <x:c r="M187" s="75" t="str">
        <x:v>Undisclosed fee: cannot assess fee versus worth.</x:v>
      </x:c>
      <x:c r="N187" s="75" t="str">
        <x:v>Not assessed</x:v>
      </x:c>
      <x:c r="O187" s="75" t="str">
        <x:v>Broad Forward label only; not a certified striker cohort. No comparable production supplied for this deal.</x:v>
      </x:c>
      <x:c r="P187" s="75" t="str">
        <x:v>https://www.theguardian.com/football/ng-interactive/2026/sep/01/mens-transfer-window-summer-2026-all-deals-from-europes-top-five-leagues</x:v>
      </x:c>
    </x:row>
    <x:row r="188" ht="25" customHeight="1">
      <x:c r="A188" s="69" t="str">
        <x:v>summer-S26-0094</x:v>
      </x:c>
      <x:c r="B188" s="69" t="str">
        <x:v>Víctor Muñoz</x:v>
      </x:c>
      <x:c r="C188" s="69" t="str">
        <x:v>Liverpool</x:v>
      </x:c>
      <x:c r="D188" s="69" t="str">
        <x:v>Osasuna</x:v>
      </x:c>
      <x:c r="E188" s="76" t="d">
        <x:v>2026-06-18T00:00:00.000Z</x:v>
      </x:c>
      <x:c r="F188" s="69" t="str">
        <x:v>summer</x:v>
      </x:c>
      <x:c r="G188" s="69" t="str">
        <x:v>Forward — striker role unverified</x:v>
      </x:c>
      <x:c r="H188" s="78" t="n">
        <x:v>34500000</x:v>
      </x:c>
      <x:c r="I188" s="69" t="str">
        <x:v>GBP</x:v>
      </x:c>
      <x:c r="J188" s="80"/>
      <x:c r="K188" s="82"/>
      <x:c r="L188" s="69" t="str">
        <x:v>Evidence needed</x:v>
      </x:c>
      <x:c r="M188" s="69" t="str">
        <x:v>Reported fee available; verify striker role, production, age, availability and transfer before assigning a score.</x:v>
      </x:c>
      <x:c r="N188" s="69" t="str">
        <x:v>Not assessed</x:v>
      </x:c>
      <x:c r="O188" s="69" t="str">
        <x:v>Broad Forward label only; not a certified striker cohort. No comparable production supplied for this deal.</x:v>
      </x:c>
      <x:c r="P188" s="69" t="str">
        <x:v>https://www.theguardian.com/football/ng-interactive/2026/sep/01/mens-transfer-window-summer-2026-all-deals-from-europes-top-five-leagues</x:v>
      </x:c>
    </x:row>
    <x:row r="189" ht="25" customHeight="1">
      <x:c r="A189" s="75" t="str">
        <x:v>summer-S26-0109</x:v>
      </x:c>
      <x:c r="B189" s="75" t="str">
        <x:v>Jimmy-Jay Morgan</x:v>
      </x:c>
      <x:c r="C189" s="75" t="str">
        <x:v>West Bromwich Albion</x:v>
      </x:c>
      <x:c r="D189" s="75" t="str">
        <x:v>Chelsea</x:v>
      </x:c>
      <x:c r="E189" s="77" t="d">
        <x:v>2026-06-18T00:00:00.000Z</x:v>
      </x:c>
      <x:c r="F189" s="75" t="str">
        <x:v>summer</x:v>
      </x:c>
      <x:c r="G189" s="75" t="str">
        <x:v>Forward — striker role unverified</x:v>
      </x:c>
      <x:c r="H189" s="79" t="n">
        <x:v>4000000</x:v>
      </x:c>
      <x:c r="I189" s="75" t="str">
        <x:v>GBP</x:v>
      </x:c>
      <x:c r="J189" s="81"/>
      <x:c r="K189" s="83"/>
      <x:c r="L189" s="75" t="str">
        <x:v>Evidence needed</x:v>
      </x:c>
      <x:c r="M189" s="75" t="str">
        <x:v>Reported fee available; verify striker role, production, age, availability and transfer before assigning a score.</x:v>
      </x:c>
      <x:c r="N189" s="75" t="str">
        <x:v>Not assessed</x:v>
      </x:c>
      <x:c r="O189" s="75" t="str">
        <x:v>Broad Forward label only; not a certified striker cohort. No comparable production supplied for this deal.</x:v>
      </x:c>
      <x:c r="P189" s="75" t="str">
        <x:v>https://www.theguardian.com/football/ng-interactive/2026/sep/01/mens-transfer-window-summer-2026-all-deals-from-europes-top-five-leagues</x:v>
      </x:c>
    </x:row>
    <x:row r="190" ht="25" customHeight="1">
      <x:c r="A190" s="69" t="str">
        <x:v>summer-S26-0110</x:v>
      </x:c>
      <x:c r="B190" s="69" t="str">
        <x:v>Cedric Itten</x:v>
      </x:c>
      <x:c r="C190" s="69" t="str">
        <x:v>Werder Bremen</x:v>
      </x:c>
      <x:c r="D190" s="69" t="str">
        <x:v>Fortuna Düsseldorf</x:v>
      </x:c>
      <x:c r="E190" s="76" t="d">
        <x:v>2026-06-21T00:00:00.000Z</x:v>
      </x:c>
      <x:c r="F190" s="69" t="str">
        <x:v>summer</x:v>
      </x:c>
      <x:c r="G190" s="69" t="str">
        <x:v>Forward — striker role unverified</x:v>
      </x:c>
      <x:c r="H190" s="78"/>
      <x:c r="I190" s="69" t="str">
        <x:v>GBP</x:v>
      </x:c>
      <x:c r="J190" s="80"/>
      <x:c r="K190" s="82"/>
      <x:c r="L190" s="69" t="str">
        <x:v>Evidence needed</x:v>
      </x:c>
      <x:c r="M190" s="69" t="str">
        <x:v>Free base fee excludes wages and other costs; role and production evidence needed.</x:v>
      </x:c>
      <x:c r="N190" s="69" t="str">
        <x:v>Not assessed</x:v>
      </x:c>
      <x:c r="O190" s="69" t="str">
        <x:v>Broad Forward label only; not a certified striker cohort. No comparable production supplied for this deal.</x:v>
      </x:c>
      <x:c r="P190" s="69" t="str">
        <x:v>https://www.theguardian.com/football/ng-interactive/2026/sep/01/mens-transfer-window-summer-2026-all-deals-from-europes-top-five-leagues</x:v>
      </x:c>
    </x:row>
    <x:row r="191" ht="25" customHeight="1">
      <x:c r="A191" s="75" t="str">
        <x:v>summer-S26-0118</x:v>
      </x:c>
      <x:c r="B191" s="75" t="str">
        <x:v>Chuba Akpom</x:v>
      </x:c>
      <x:c r="C191" s="75" t="str">
        <x:v>Ipswich Town</x:v>
      </x:c>
      <x:c r="D191" s="75" t="str">
        <x:v>Ajax</x:v>
      </x:c>
      <x:c r="E191" s="77" t="d">
        <x:v>2026-05-05T00:00:00.000Z</x:v>
      </x:c>
      <x:c r="F191" s="75" t="str">
        <x:v>summer</x:v>
      </x:c>
      <x:c r="G191" s="75" t="str">
        <x:v>Forward — striker role unverified</x:v>
      </x:c>
      <x:c r="H191" s="79" t="n">
        <x:v>7000000</x:v>
      </x:c>
      <x:c r="I191" s="75" t="str">
        <x:v>GBP</x:v>
      </x:c>
      <x:c r="J191" s="81"/>
      <x:c r="K191" s="83"/>
      <x:c r="L191" s="75" t="str">
        <x:v>Evidence needed</x:v>
      </x:c>
      <x:c r="M191" s="75" t="str">
        <x:v>Reported fee available; verify striker role, production, age, availability and transfer before assigning a score.</x:v>
      </x:c>
      <x:c r="N191" s="75" t="str">
        <x:v>Not assessed</x:v>
      </x:c>
      <x:c r="O191" s="75" t="str">
        <x:v>Broad Forward label only; not a certified striker cohort. No comparable production supplied for this deal.</x:v>
      </x:c>
      <x:c r="P191" s="75" t="str">
        <x:v>https://www.theguardian.com/football/ng-interactive/2026/sep/01/mens-transfer-window-summer-2026-all-deals-from-europes-top-five-leagues</x:v>
      </x:c>
    </x:row>
    <x:row r="192" ht="25" customHeight="1">
      <x:c r="A192" s="69" t="str">
        <x:v>summer-S26-0124</x:v>
      </x:c>
      <x:c r="B192" s="69" t="str">
        <x:v>Robert Glatzel</x:v>
      </x:c>
      <x:c r="C192" s="69" t="str">
        <x:v>Wolfsburg</x:v>
      </x:c>
      <x:c r="D192" s="69" t="str">
        <x:v>Hamburg</x:v>
      </x:c>
      <x:c r="E192" s="76" t="d">
        <x:v>2026-06-23T00:00:00.000Z</x:v>
      </x:c>
      <x:c r="F192" s="69" t="str">
        <x:v>summer</x:v>
      </x:c>
      <x:c r="G192" s="69" t="str">
        <x:v>Forward — striker role unverified</x:v>
      </x:c>
      <x:c r="H192" s="78" t="n">
        <x:v>1300000</x:v>
      </x:c>
      <x:c r="I192" s="69" t="str">
        <x:v>GBP</x:v>
      </x:c>
      <x:c r="J192" s="80"/>
      <x:c r="K192" s="82"/>
      <x:c r="L192" s="69" t="str">
        <x:v>Evidence needed</x:v>
      </x:c>
      <x:c r="M192" s="69" t="str">
        <x:v>Reported fee available; verify striker role, production, age, availability and transfer before assigning a score.</x:v>
      </x:c>
      <x:c r="N192" s="69" t="str">
        <x:v>Not assessed</x:v>
      </x:c>
      <x:c r="O192" s="69" t="str">
        <x:v>Broad Forward label only; not a certified striker cohort. No comparable production supplied for this deal.</x:v>
      </x:c>
      <x:c r="P192" s="69" t="str">
        <x:v>https://www.theguardian.com/football/ng-interactive/2026/sep/01/mens-transfer-window-summer-2026-all-deals-from-europes-top-five-leagues</x:v>
      </x:c>
    </x:row>
    <x:row r="193" ht="25" customHeight="1">
      <x:c r="A193" s="75" t="str">
        <x:v>summer-S26-0127</x:v>
      </x:c>
      <x:c r="B193" s="75" t="str">
        <x:v>Pierre Mounguengue</x:v>
      </x:c>
      <x:c r="C193" s="75" t="str">
        <x:v>Dynamo Kyiv</x:v>
      </x:c>
      <x:c r="D193" s="75" t="str">
        <x:v>Paris Saint-Germain</x:v>
      </x:c>
      <x:c r="E193" s="77" t="d">
        <x:v>2026-06-24T00:00:00.000Z</x:v>
      </x:c>
      <x:c r="F193" s="75" t="str">
        <x:v>summer</x:v>
      </x:c>
      <x:c r="G193" s="75" t="str">
        <x:v>Forward — striker role unverified</x:v>
      </x:c>
      <x:c r="H193" s="79"/>
      <x:c r="I193" s="75" t="str">
        <x:v>GBP</x:v>
      </x:c>
      <x:c r="J193" s="81"/>
      <x:c r="K193" s="83"/>
      <x:c r="L193" s="75" t="str">
        <x:v>Evidence needed</x:v>
      </x:c>
      <x:c r="M193" s="75" t="str">
        <x:v>Free base fee excludes wages and other costs; role and production evidence needed.</x:v>
      </x:c>
      <x:c r="N193" s="75" t="str">
        <x:v>Not assessed</x:v>
      </x:c>
      <x:c r="O193" s="75" t="str">
        <x:v>Broad Forward label only; not a certified striker cohort. No comparable production supplied for this deal.</x:v>
      </x:c>
      <x:c r="P193" s="75" t="str">
        <x:v>https://www.theguardian.com/football/ng-interactive/2026/sep/01/mens-transfer-window-summer-2026-all-deals-from-europes-top-five-leagues</x:v>
      </x:c>
    </x:row>
    <x:row r="194" ht="25" customHeight="1">
      <x:c r="A194" s="69" t="str">
        <x:v>summer-S26-0129</x:v>
      </x:c>
      <x:c r="B194" s="69" t="str">
        <x:v>Ilyes Housni</x:v>
      </x:c>
      <x:c r="C194" s="69" t="str">
        <x:v>Nancy</x:v>
      </x:c>
      <x:c r="D194" s="69" t="str">
        <x:v>Paris Saint-Germain</x:v>
      </x:c>
      <x:c r="E194" s="76" t="d">
        <x:v>2026-06-24T00:00:00.000Z</x:v>
      </x:c>
      <x:c r="F194" s="69" t="str">
        <x:v>summer</x:v>
      </x:c>
      <x:c r="G194" s="69" t="str">
        <x:v>Forward — striker role unverified</x:v>
      </x:c>
      <x:c r="H194" s="78"/>
      <x:c r="I194" s="69" t="str">
        <x:v>GBP</x:v>
      </x:c>
      <x:c r="J194" s="80"/>
      <x:c r="K194" s="82"/>
      <x:c r="L194" s="69" t="str">
        <x:v>Evidence needed</x:v>
      </x:c>
      <x:c r="M194" s="69" t="str">
        <x:v>Free base fee excludes wages and other costs; role and production evidence needed.</x:v>
      </x:c>
      <x:c r="N194" s="69" t="str">
        <x:v>Not assessed</x:v>
      </x:c>
      <x:c r="O194" s="69" t="str">
        <x:v>Broad Forward label only; not a certified striker cohort. No comparable production supplied for this deal.</x:v>
      </x:c>
      <x:c r="P194" s="69" t="str">
        <x:v>https://www.theguardian.com/football/ng-interactive/2026/sep/01/mens-transfer-window-summer-2026-all-deals-from-europes-top-five-leagues</x:v>
      </x:c>
    </x:row>
    <x:row r="195" ht="25" customHeight="1">
      <x:c r="A195" s="75" t="str">
        <x:v>summer-S26-0138</x:v>
      </x:c>
      <x:c r="B195" s="75" t="str">
        <x:v>Frankie Okoronkwo</x:v>
      </x:c>
      <x:c r="C195" s="75" t="str">
        <x:v>Doncaster</x:v>
      </x:c>
      <x:c r="D195" s="75" t="str">
        <x:v>Everton</x:v>
      </x:c>
      <x:c r="E195" s="77" t="d">
        <x:v>2026-06-26T00:00:00.000Z</x:v>
      </x:c>
      <x:c r="F195" s="75" t="str">
        <x:v>summer</x:v>
      </x:c>
      <x:c r="G195" s="75" t="str">
        <x:v>Forward — striker role unverified</x:v>
      </x:c>
      <x:c r="H195" s="79"/>
      <x:c r="I195" s="75" t="str">
        <x:v>GBP</x:v>
      </x:c>
      <x:c r="J195" s="81"/>
      <x:c r="K195" s="83"/>
      <x:c r="L195" s="75" t="str">
        <x:v>Evidence needed</x:v>
      </x:c>
      <x:c r="M195" s="75" t="str">
        <x:v>Free base fee excludes wages and other costs; role and production evidence needed.</x:v>
      </x:c>
      <x:c r="N195" s="75" t="str">
        <x:v>Not assessed</x:v>
      </x:c>
      <x:c r="O195" s="75" t="str">
        <x:v>Broad Forward label only; not a certified striker cohort. No comparable production supplied for this deal.</x:v>
      </x:c>
      <x:c r="P195" s="75" t="str">
        <x:v>https://www.theguardian.com/football/ng-interactive/2026/sep/01/mens-transfer-window-summer-2026-all-deals-from-europes-top-five-leagues</x:v>
      </x:c>
    </x:row>
    <x:row r="196" ht="25" customHeight="1">
      <x:c r="A196" s="69" t="str">
        <x:v>summer-S26-0145</x:v>
      </x:c>
      <x:c r="B196" s="69" t="str">
        <x:v>Alejo Véliz</x:v>
      </x:c>
      <x:c r="C196" s="69" t="str">
        <x:v>Bahia</x:v>
      </x:c>
      <x:c r="D196" s="69" t="str">
        <x:v>Tottenham Hotspur</x:v>
      </x:c>
      <x:c r="E196" s="76" t="d">
        <x:v>2026-06-26T00:00:00.000Z</x:v>
      </x:c>
      <x:c r="F196" s="69" t="str">
        <x:v>summer</x:v>
      </x:c>
      <x:c r="G196" s="69" t="str">
        <x:v>Forward — striker role unverified</x:v>
      </x:c>
      <x:c r="H196" s="78" t="n">
        <x:v>7800000</x:v>
      </x:c>
      <x:c r="I196" s="69" t="str">
        <x:v>GBP</x:v>
      </x:c>
      <x:c r="J196" s="80"/>
      <x:c r="K196" s="82"/>
      <x:c r="L196" s="69" t="str">
        <x:v>Evidence needed</x:v>
      </x:c>
      <x:c r="M196" s="69" t="str">
        <x:v>Reported fee available; verify striker role, production, age, availability and transfer before assigning a score.</x:v>
      </x:c>
      <x:c r="N196" s="69" t="str">
        <x:v>Not assessed</x:v>
      </x:c>
      <x:c r="O196" s="69" t="str">
        <x:v>Broad Forward label only; not a certified striker cohort. No comparable production supplied for this deal.</x:v>
      </x:c>
      <x:c r="P196" s="69" t="str">
        <x:v>https://www.theguardian.com/football/ng-interactive/2026/sep/01/mens-transfer-window-summer-2026-all-deals-from-europes-top-five-leagues</x:v>
      </x:c>
    </x:row>
    <x:row r="197" ht="25" customHeight="1">
      <x:c r="A197" s="75" t="str">
        <x:v>summer-S26-0146</x:v>
      </x:c>
      <x:c r="B197" s="75" t="str">
        <x:v>Jonah Kusi-Asare</x:v>
      </x:c>
      <x:c r="C197" s="75" t="str">
        <x:v>Fulham</x:v>
      </x:c>
      <x:c r="D197" s="75" t="str">
        <x:v>Bayern Munich</x:v>
      </x:c>
      <x:c r="E197" s="77" t="d">
        <x:v>2026-06-27T00:00:00.000Z</x:v>
      </x:c>
      <x:c r="F197" s="75" t="str">
        <x:v>summer</x:v>
      </x:c>
      <x:c r="G197" s="75" t="str">
        <x:v>Forward — striker role unverified</x:v>
      </x:c>
      <x:c r="H197" s="79" t="n">
        <x:v>5200000</x:v>
      </x:c>
      <x:c r="I197" s="75" t="str">
        <x:v>GBP</x:v>
      </x:c>
      <x:c r="J197" s="81"/>
      <x:c r="K197" s="83"/>
      <x:c r="L197" s="75" t="str">
        <x:v>Evidence needed</x:v>
      </x:c>
      <x:c r="M197" s="75" t="str">
        <x:v>Reported fee available; verify striker role, production, age, availability and transfer before assigning a score.</x:v>
      </x:c>
      <x:c r="N197" s="75" t="str">
        <x:v>Not assessed</x:v>
      </x:c>
      <x:c r="O197" s="75" t="str">
        <x:v>Broad Forward label only; not a certified striker cohort. No comparable production supplied for this deal.</x:v>
      </x:c>
      <x:c r="P197" s="75" t="str">
        <x:v>https://www.theguardian.com/football/ng-interactive/2026/sep/01/mens-transfer-window-summer-2026-all-deals-from-europes-top-five-leagues</x:v>
      </x:c>
    </x:row>
    <x:row r="198" ht="25" customHeight="1">
      <x:c r="A198" s="69" t="str">
        <x:v>summer-S26-0147</x:v>
      </x:c>
      <x:c r="B198" s="69" t="str">
        <x:v>Alexander Staff</x:v>
      </x:c>
      <x:c r="C198" s="69" t="str">
        <x:v>Saarbrücken</x:v>
      </x:c>
      <x:c r="D198" s="69" t="str">
        <x:v>Eintracht Frankfurt</x:v>
      </x:c>
      <x:c r="E198" s="76" t="d">
        <x:v>2026-06-27T00:00:00.000Z</x:v>
      </x:c>
      <x:c r="F198" s="69" t="str">
        <x:v>summer</x:v>
      </x:c>
      <x:c r="G198" s="69" t="str">
        <x:v>Forward — striker role unverified</x:v>
      </x:c>
      <x:c r="H198" s="78"/>
      <x:c r="I198" s="69" t="str">
        <x:v>GBP</x:v>
      </x:c>
      <x:c r="J198" s="80"/>
      <x:c r="K198" s="82"/>
      <x:c r="L198" s="69" t="str">
        <x:v>Evidence needed</x:v>
      </x:c>
      <x:c r="M198" s="69" t="str">
        <x:v>Loan/swap terms and buyer-specific production evidence needed.</x:v>
      </x:c>
      <x:c r="N198" s="69" t="str">
        <x:v>Not assessed</x:v>
      </x:c>
      <x:c r="O198" s="69" t="str">
        <x:v>Broad Forward label only; not a certified striker cohort. No comparable production supplied for this deal.</x:v>
      </x:c>
      <x:c r="P198" s="69" t="str">
        <x:v>https://www.theguardian.com/football/ng-interactive/2026/sep/01/mens-transfer-window-summer-2026-all-deals-from-europes-top-five-leagues</x:v>
      </x:c>
    </x:row>
    <x:row r="199" ht="25" customHeight="1">
      <x:c r="A199" s="75" t="str">
        <x:v>summer-S26-0159</x:v>
      </x:c>
      <x:c r="B199" s="75" t="str">
        <x:v>Gonçalo Ramos</x:v>
      </x:c>
      <x:c r="C199" s="75" t="str">
        <x:v>Milan</x:v>
      </x:c>
      <x:c r="D199" s="75" t="str">
        <x:v>Paris Saint-Germain</x:v>
      </x:c>
      <x:c r="E199" s="77" t="d">
        <x:v>2026-06-30T00:00:00.000Z</x:v>
      </x:c>
      <x:c r="F199" s="75" t="str">
        <x:v>summer</x:v>
      </x:c>
      <x:c r="G199" s="75" t="str">
        <x:v>Forward — striker role unverified</x:v>
      </x:c>
      <x:c r="H199" s="79" t="n">
        <x:v>60200000</x:v>
      </x:c>
      <x:c r="I199" s="75" t="str">
        <x:v>GBP</x:v>
      </x:c>
      <x:c r="J199" s="81"/>
      <x:c r="K199" s="83"/>
      <x:c r="L199" s="75" t="str">
        <x:v>Evidence needed</x:v>
      </x:c>
      <x:c r="M199" s="75" t="str">
        <x:v>Reported fee available; verify striker role, production, age, availability and transfer before assigning a score.</x:v>
      </x:c>
      <x:c r="N199" s="75" t="str">
        <x:v>Not assessed</x:v>
      </x:c>
      <x:c r="O199" s="75" t="str">
        <x:v>Broad Forward label only; not a certified striker cohort. No comparable production supplied for this deal.</x:v>
      </x:c>
      <x:c r="P199" s="75" t="str">
        <x:v>https://www.theguardian.com/football/ng-interactive/2026/sep/01/mens-transfer-window-summer-2026-all-deals-from-europes-top-five-leagues</x:v>
      </x:c>
    </x:row>
    <x:row r="200" ht="25" customHeight="1">
      <x:c r="A200" s="69" t="str">
        <x:v>summer-S26-0162</x:v>
      </x:c>
      <x:c r="B200" s="69" t="str">
        <x:v>Peter Remmert</x:v>
      </x:c>
      <x:c r="C200" s="69" t="str">
        <x:v>Duisburg</x:v>
      </x:c>
      <x:c r="D200" s="69" t="str">
        <x:v>Schalke 04</x:v>
      </x:c>
      <x:c r="E200" s="76" t="d">
        <x:v>2026-06-30T00:00:00.000Z</x:v>
      </x:c>
      <x:c r="F200" s="69" t="str">
        <x:v>summer</x:v>
      </x:c>
      <x:c r="G200" s="69" t="str">
        <x:v>Forward — striker role unverified</x:v>
      </x:c>
      <x:c r="H200" s="78"/>
      <x:c r="I200" s="69" t="str">
        <x:v>GBP</x:v>
      </x:c>
      <x:c r="J200" s="80"/>
      <x:c r="K200" s="82"/>
      <x:c r="L200" s="69" t="str">
        <x:v>Evidence needed</x:v>
      </x:c>
      <x:c r="M200" s="69" t="str">
        <x:v>Loan/swap terms and buyer-specific production evidence needed.</x:v>
      </x:c>
      <x:c r="N200" s="69" t="str">
        <x:v>Not assessed</x:v>
      </x:c>
      <x:c r="O200" s="69" t="str">
        <x:v>Broad Forward label only; not a certified striker cohort. No comparable production supplied for this deal.</x:v>
      </x:c>
      <x:c r="P200" s="69" t="str">
        <x:v>https://www.theguardian.com/football/ng-interactive/2026/sep/01/mens-transfer-window-summer-2026-all-deals-from-europes-top-five-leagues</x:v>
      </x:c>
    </x:row>
    <x:row r="201" ht="25" customHeight="1">
      <x:c r="A201" s="75" t="str">
        <x:v>summer-S26-0168</x:v>
      </x:c>
      <x:c r="B201" s="75" t="str">
        <x:v>Ismael Saibari</x:v>
      </x:c>
      <x:c r="C201" s="75" t="str">
        <x:v>Bayern Munich</x:v>
      </x:c>
      <x:c r="D201" s="75" t="str">
        <x:v>PSV Eindhoven</x:v>
      </x:c>
      <x:c r="E201" s="77" t="d">
        <x:v>2026-07-01T00:00:00.000Z</x:v>
      </x:c>
      <x:c r="F201" s="75" t="str">
        <x:v>summer</x:v>
      </x:c>
      <x:c r="G201" s="75" t="str">
        <x:v>Forward — striker role unverified</x:v>
      </x:c>
      <x:c r="H201" s="79" t="n">
        <x:v>43000000</x:v>
      </x:c>
      <x:c r="I201" s="75" t="str">
        <x:v>GBP</x:v>
      </x:c>
      <x:c r="J201" s="81"/>
      <x:c r="K201" s="83"/>
      <x:c r="L201" s="75" t="str">
        <x:v>Evidence needed</x:v>
      </x:c>
      <x:c r="M201" s="75" t="str">
        <x:v>Reported fee available; verify striker role, production, age, availability and transfer before assigning a score.</x:v>
      </x:c>
      <x:c r="N201" s="75" t="str">
        <x:v>Not assessed</x:v>
      </x:c>
      <x:c r="O201" s="75" t="str">
        <x:v>Broad Forward label only; not a certified striker cohort. No comparable production supplied for this deal.</x:v>
      </x:c>
      <x:c r="P201" s="75" t="str">
        <x:v>https://www.theguardian.com/football/ng-interactive/2026/sep/01/mens-transfer-window-summer-2026-all-deals-from-europes-top-five-leagues</x:v>
      </x:c>
    </x:row>
    <x:row r="202" ht="25" customHeight="1">
      <x:c r="A202" s="69" t="str">
        <x:v>summer-S26-0171</x:v>
      </x:c>
      <x:c r="B202" s="69" t="str">
        <x:v>Jeff Ekhator</x:v>
      </x:c>
      <x:c r="C202" s="69" t="str">
        <x:v>Juventus</x:v>
      </x:c>
      <x:c r="D202" s="69" t="str">
        <x:v>Genoa</x:v>
      </x:c>
      <x:c r="E202" s="76" t="d">
        <x:v>2026-07-01T00:00:00.000Z</x:v>
      </x:c>
      <x:c r="F202" s="69" t="str">
        <x:v>summer</x:v>
      </x:c>
      <x:c r="G202" s="69" t="str">
        <x:v>Forward — striker role unverified</x:v>
      </x:c>
      <x:c r="H202" s="78" t="n">
        <x:v>14100000</x:v>
      </x:c>
      <x:c r="I202" s="69" t="str">
        <x:v>GBP</x:v>
      </x:c>
      <x:c r="J202" s="80"/>
      <x:c r="K202" s="82"/>
      <x:c r="L202" s="69" t="str">
        <x:v>Evidence needed</x:v>
      </x:c>
      <x:c r="M202" s="69" t="str">
        <x:v>Reported fee available; verify striker role, production, age, availability and transfer before assigning a score.</x:v>
      </x:c>
      <x:c r="N202" s="69" t="str">
        <x:v>Not assessed</x:v>
      </x:c>
      <x:c r="O202" s="69" t="str">
        <x:v>Broad Forward label only; not a certified striker cohort. No comparable production supplied for this deal.</x:v>
      </x:c>
      <x:c r="P202" s="69" t="str">
        <x:v>https://www.theguardian.com/football/ng-interactive/2026/sep/01/mens-transfer-window-summer-2026-all-deals-from-europes-top-five-leagues</x:v>
      </x:c>
    </x:row>
    <x:row r="203" ht="25" customHeight="1">
      <x:c r="A203" s="75" t="str">
        <x:v>summer-S26-0173</x:v>
      </x:c>
      <x:c r="B203" s="75" t="str">
        <x:v>Nazariy Rusyn</x:v>
      </x:c>
      <x:c r="C203" s="75" t="str">
        <x:v>Karpaty Lviv</x:v>
      </x:c>
      <x:c r="D203" s="75" t="str">
        <x:v>Sunderland</x:v>
      </x:c>
      <x:c r="E203" s="77" t="d">
        <x:v>2026-07-01T00:00:00.000Z</x:v>
      </x:c>
      <x:c r="F203" s="75" t="str">
        <x:v>summer</x:v>
      </x:c>
      <x:c r="G203" s="75" t="str">
        <x:v>Forward — striker role unverified</x:v>
      </x:c>
      <x:c r="H203" s="79"/>
      <x:c r="I203" s="75" t="str">
        <x:v>GBP</x:v>
      </x:c>
      <x:c r="J203" s="81"/>
      <x:c r="K203" s="83"/>
      <x:c r="L203" s="75" t="str">
        <x:v>Evidence needed</x:v>
      </x:c>
      <x:c r="M203" s="75" t="str">
        <x:v>Free base fee excludes wages and other costs; role and production evidence needed.</x:v>
      </x:c>
      <x:c r="N203" s="75" t="str">
        <x:v>Not assessed</x:v>
      </x:c>
      <x:c r="O203" s="75" t="str">
        <x:v>Broad Forward label only; not a certified striker cohort. No comparable production supplied for this deal.</x:v>
      </x:c>
      <x:c r="P203" s="75" t="str">
        <x:v>https://www.theguardian.com/football/ng-interactive/2026/sep/01/mens-transfer-window-summer-2026-all-deals-from-europes-top-five-leagues</x:v>
      </x:c>
    </x:row>
    <x:row r="204" ht="25" customHeight="1">
      <x:c r="A204" s="69" t="str">
        <x:v>summer-S26-0183</x:v>
      </x:c>
      <x:c r="B204" s="69" t="str">
        <x:v>Robert Lewandowski</x:v>
      </x:c>
      <x:c r="C204" s="69" t="str">
        <x:v>Chicago Fire</x:v>
      </x:c>
      <x:c r="D204" s="69" t="str">
        <x:v>Barcelona</x:v>
      </x:c>
      <x:c r="E204" s="76" t="d">
        <x:v>2026-06-29T00:00:00.000Z</x:v>
      </x:c>
      <x:c r="F204" s="69" t="str">
        <x:v>summer</x:v>
      </x:c>
      <x:c r="G204" s="69" t="str">
        <x:v>Forward — striker role unverified</x:v>
      </x:c>
      <x:c r="H204" s="78"/>
      <x:c r="I204" s="69" t="str">
        <x:v>GBP</x:v>
      </x:c>
      <x:c r="J204" s="80"/>
      <x:c r="K204" s="82"/>
      <x:c r="L204" s="69" t="str">
        <x:v>Evidence needed</x:v>
      </x:c>
      <x:c r="M204" s="69" t="str">
        <x:v>Free base fee excludes wages and other costs; role and production evidence needed.</x:v>
      </x:c>
      <x:c r="N204" s="69" t="str">
        <x:v>Not assessed</x:v>
      </x:c>
      <x:c r="O204" s="69" t="str">
        <x:v>Broad Forward label only; not a certified striker cohort. No comparable production supplied for this deal.</x:v>
      </x:c>
      <x:c r="P204" s="69" t="str">
        <x:v>https://www.theguardian.com/football/ng-interactive/2026/sep/01/mens-transfer-window-summer-2026-all-deals-from-europes-top-five-leagues</x:v>
      </x:c>
    </x:row>
    <x:row r="205" ht="25" customHeight="1">
      <x:c r="A205" s="75" t="str">
        <x:v>summer-S26-0199</x:v>
      </x:c>
      <x:c r="B205" s="75" t="str">
        <x:v>Jan Urbich</x:v>
      </x:c>
      <x:c r="C205" s="75" t="str">
        <x:v>Eintracht Braunschweig</x:v>
      </x:c>
      <x:c r="D205" s="75" t="str">
        <x:v>Borussia Mönchengladbach</x:v>
      </x:c>
      <x:c r="E205" s="77" t="d">
        <x:v>2026-06-11T00:00:00.000Z</x:v>
      </x:c>
      <x:c r="F205" s="75" t="str">
        <x:v>summer</x:v>
      </x:c>
      <x:c r="G205" s="75" t="str">
        <x:v>Forward — striker role unverified</x:v>
      </x:c>
      <x:c r="H205" s="79"/>
      <x:c r="I205" s="75" t="str">
        <x:v>GBP</x:v>
      </x:c>
      <x:c r="J205" s="81"/>
      <x:c r="K205" s="83"/>
      <x:c r="L205" s="75" t="str">
        <x:v>Evidence needed</x:v>
      </x:c>
      <x:c r="M205" s="75" t="str">
        <x:v>Loan/swap terms and buyer-specific production evidence needed.</x:v>
      </x:c>
      <x:c r="N205" s="75" t="str">
        <x:v>Not assessed</x:v>
      </x:c>
      <x:c r="O205" s="75" t="str">
        <x:v>Broad Forward label only; not a certified striker cohort. No comparable production supplied for this deal.</x:v>
      </x:c>
      <x:c r="P205" s="75" t="str">
        <x:v>https://www.theguardian.com/football/ng-interactive/2026/sep/01/mens-transfer-window-summer-2026-all-deals-from-europes-top-five-leagues</x:v>
      </x:c>
    </x:row>
    <x:row r="206" ht="25" customHeight="1">
      <x:c r="A206" s="69" t="str">
        <x:v>summer-S26-0206</x:v>
      </x:c>
      <x:c r="B206" s="69" t="str">
        <x:v>Lucas Copado</x:v>
      </x:c>
      <x:c r="C206" s="69" t="str">
        <x:v>Energie Cottbus</x:v>
      </x:c>
      <x:c r="D206" s="69" t="str">
        <x:v>Paderborn</x:v>
      </x:c>
      <x:c r="E206" s="76" t="d">
        <x:v>2026-07-02T00:00:00.000Z</x:v>
      </x:c>
      <x:c r="F206" s="69" t="str">
        <x:v>summer</x:v>
      </x:c>
      <x:c r="G206" s="69" t="str">
        <x:v>Forward — striker role unverified</x:v>
      </x:c>
      <x:c r="H206" s="78"/>
      <x:c r="I206" s="69" t="str">
        <x:v>GBP</x:v>
      </x:c>
      <x:c r="J206" s="80"/>
      <x:c r="K206" s="82"/>
      <x:c r="L206" s="69" t="str">
        <x:v>Evidence needed</x:v>
      </x:c>
      <x:c r="M206" s="69" t="str">
        <x:v>Undisclosed fee: cannot assess fee versus worth.</x:v>
      </x:c>
      <x:c r="N206" s="69" t="str">
        <x:v>Not assessed</x:v>
      </x:c>
      <x:c r="O206" s="69" t="str">
        <x:v>Broad Forward label only; not a certified striker cohort. No comparable production supplied for this deal.</x:v>
      </x:c>
      <x:c r="P206" s="69" t="str">
        <x:v>https://www.theguardian.com/football/ng-interactive/2026/sep/01/mens-transfer-window-summer-2026-all-deals-from-europes-top-five-leagues</x:v>
      </x:c>
    </x:row>
    <x:row r="207" ht="25" customHeight="1">
      <x:c r="A207" s="75" t="str">
        <x:v>summer-S26-0207</x:v>
      </x:c>
      <x:c r="B207" s="75" t="str">
        <x:v>Lucas Beltrán</x:v>
      </x:c>
      <x:c r="C207" s="75" t="str">
        <x:v>River Plate</x:v>
      </x:c>
      <x:c r="D207" s="75" t="str">
        <x:v>Fiorentina</x:v>
      </x:c>
      <x:c r="E207" s="77" t="d">
        <x:v>2026-07-02T00:00:00.000Z</x:v>
      </x:c>
      <x:c r="F207" s="75" t="str">
        <x:v>summer</x:v>
      </x:c>
      <x:c r="G207" s="75" t="str">
        <x:v>Forward — striker role unverified</x:v>
      </x:c>
      <x:c r="H207" s="79"/>
      <x:c r="I207" s="75" t="str">
        <x:v>GBP</x:v>
      </x:c>
      <x:c r="J207" s="81"/>
      <x:c r="K207" s="83"/>
      <x:c r="L207" s="75" t="str">
        <x:v>Evidence needed</x:v>
      </x:c>
      <x:c r="M207" s="75" t="str">
        <x:v>Loan/swap terms and buyer-specific production evidence needed.</x:v>
      </x:c>
      <x:c r="N207" s="75" t="str">
        <x:v>Not assessed</x:v>
      </x:c>
      <x:c r="O207" s="75" t="str">
        <x:v>Broad Forward label only; not a certified striker cohort. No comparable production supplied for this deal.</x:v>
      </x:c>
      <x:c r="P207" s="75" t="str">
        <x:v>https://www.theguardian.com/football/ng-interactive/2026/sep/01/mens-transfer-window-summer-2026-all-deals-from-europes-top-five-leagues</x:v>
      </x:c>
    </x:row>
    <x:row r="208" ht="25" customHeight="1">
      <x:c r="A208" s="69" t="str">
        <x:v>summer-S26-0208</x:v>
      </x:c>
      <x:c r="B208" s="69" t="str">
        <x:v>Julien Duranville</x:v>
      </x:c>
      <x:c r="C208" s="69" t="str">
        <x:v>Lyon</x:v>
      </x:c>
      <x:c r="D208" s="69" t="str">
        <x:v>Borussia Dortmund</x:v>
      </x:c>
      <x:c r="E208" s="76" t="d">
        <x:v>2026-07-02T00:00:00.000Z</x:v>
      </x:c>
      <x:c r="F208" s="69" t="str">
        <x:v>summer</x:v>
      </x:c>
      <x:c r="G208" s="69" t="str">
        <x:v>Forward — striker role unverified</x:v>
      </x:c>
      <x:c r="H208" s="78" t="n">
        <x:v>4300000</x:v>
      </x:c>
      <x:c r="I208" s="69" t="str">
        <x:v>GBP</x:v>
      </x:c>
      <x:c r="J208" s="80"/>
      <x:c r="K208" s="82"/>
      <x:c r="L208" s="69" t="str">
        <x:v>Evidence needed</x:v>
      </x:c>
      <x:c r="M208" s="69" t="str">
        <x:v>Reported fee available; verify striker role, production, age, availability and transfer before assigning a score.</x:v>
      </x:c>
      <x:c r="N208" s="69" t="str">
        <x:v>Not assessed</x:v>
      </x:c>
      <x:c r="O208" s="69" t="str">
        <x:v>Broad Forward label only; not a certified striker cohort. No comparable production supplied for this deal.</x:v>
      </x:c>
      <x:c r="P208" s="69" t="str">
        <x:v>https://www.theguardian.com/football/ng-interactive/2026/sep/01/mens-transfer-window-summer-2026-all-deals-from-europes-top-five-leagues</x:v>
      </x:c>
    </x:row>
    <x:row r="209" ht="25" customHeight="1">
      <x:c r="A209" s="75" t="str">
        <x:v>summer-S26-0228</x:v>
      </x:c>
      <x:c r="B209" s="75" t="str">
        <x:v>Danny Namaso</x:v>
      </x:c>
      <x:c r="C209" s="75" t="str">
        <x:v>Auxerre</x:v>
      </x:c>
      <x:c r="D209" s="75" t="str">
        <x:v>Porto</x:v>
      </x:c>
      <x:c r="E209" s="77" t="d">
        <x:v>2026-07-02T00:00:00.000Z</x:v>
      </x:c>
      <x:c r="F209" s="75" t="str">
        <x:v>summer</x:v>
      </x:c>
      <x:c r="G209" s="75" t="str">
        <x:v>Forward — striker role unverified</x:v>
      </x:c>
      <x:c r="H209" s="79" t="n">
        <x:v>4300000</x:v>
      </x:c>
      <x:c r="I209" s="75" t="str">
        <x:v>GBP</x:v>
      </x:c>
      <x:c r="J209" s="81"/>
      <x:c r="K209" s="83"/>
      <x:c r="L209" s="75" t="str">
        <x:v>Evidence needed</x:v>
      </x:c>
      <x:c r="M209" s="75" t="str">
        <x:v>Reported fee available; verify striker role, production, age, availability and transfer before assigning a score.</x:v>
      </x:c>
      <x:c r="N209" s="75" t="str">
        <x:v>Not assessed</x:v>
      </x:c>
      <x:c r="O209" s="75" t="str">
        <x:v>Broad Forward label only; not a certified striker cohort. No comparable production supplied for this deal.</x:v>
      </x:c>
      <x:c r="P209" s="75" t="str">
        <x:v>https://www.theguardian.com/football/ng-interactive/2026/sep/01/mens-transfer-window-summer-2026-all-deals-from-europes-top-five-leagues</x:v>
      </x:c>
    </x:row>
    <x:row r="210" ht="25" customHeight="1">
      <x:c r="A210" s="69" t="str">
        <x:v>summer-S26-0229</x:v>
      </x:c>
      <x:c r="B210" s="69" t="str">
        <x:v>Víctor Barberá</x:v>
      </x:c>
      <x:c r="C210" s="69" t="str">
        <x:v>Real Valladolid</x:v>
      </x:c>
      <x:c r="D210" s="69" t="str">
        <x:v>Barcelona</x:v>
      </x:c>
      <x:c r="E210" s="76" t="d">
        <x:v>2026-07-01T00:00:00.000Z</x:v>
      </x:c>
      <x:c r="F210" s="69" t="str">
        <x:v>summer</x:v>
      </x:c>
      <x:c r="G210" s="69" t="str">
        <x:v>Forward — striker role unverified</x:v>
      </x:c>
      <x:c r="H210" s="78"/>
      <x:c r="I210" s="69" t="str">
        <x:v>GBP</x:v>
      </x:c>
      <x:c r="J210" s="80"/>
      <x:c r="K210" s="82"/>
      <x:c r="L210" s="69" t="str">
        <x:v>Evidence needed</x:v>
      </x:c>
      <x:c r="M210" s="69" t="str">
        <x:v>Free base fee excludes wages and other costs; role and production evidence needed.</x:v>
      </x:c>
      <x:c r="N210" s="69" t="str">
        <x:v>Not assessed</x:v>
      </x:c>
      <x:c r="O210" s="69" t="str">
        <x:v>Broad Forward label only; not a certified striker cohort. No comparable production supplied for this deal.</x:v>
      </x:c>
      <x:c r="P210" s="69" t="str">
        <x:v>https://www.theguardian.com/football/ng-interactive/2026/sep/01/mens-transfer-window-summer-2026-all-deals-from-europes-top-five-leagues</x:v>
      </x:c>
    </x:row>
    <x:row r="211" ht="25" customHeight="1">
      <x:c r="A211" s="75" t="str">
        <x:v>summer-S26-0237</x:v>
      </x:c>
      <x:c r="B211" s="75" t="str">
        <x:v>Usman Simbakoli</x:v>
      </x:c>
      <x:c r="C211" s="75" t="str">
        <x:v>Angers</x:v>
      </x:c>
      <x:c r="D211" s="75" t="str">
        <x:v>RWDM Brussels</x:v>
      </x:c>
      <x:c r="E211" s="77" t="d">
        <x:v>2026-07-03T00:00:00.000Z</x:v>
      </x:c>
      <x:c r="F211" s="75" t="str">
        <x:v>summer</x:v>
      </x:c>
      <x:c r="G211" s="75" t="str">
        <x:v>Forward — striker role unverified</x:v>
      </x:c>
      <x:c r="H211" s="79" t="n">
        <x:v>200000</x:v>
      </x:c>
      <x:c r="I211" s="75" t="str">
        <x:v>GBP</x:v>
      </x:c>
      <x:c r="J211" s="81"/>
      <x:c r="K211" s="83"/>
      <x:c r="L211" s="75" t="str">
        <x:v>Evidence needed</x:v>
      </x:c>
      <x:c r="M211" s="75" t="str">
        <x:v>Reported fee available; verify striker role, production, age, availability and transfer before assigning a score.</x:v>
      </x:c>
      <x:c r="N211" s="75" t="str">
        <x:v>Not assessed</x:v>
      </x:c>
      <x:c r="O211" s="75" t="str">
        <x:v>Broad Forward label only; not a certified striker cohort. No comparable production supplied for this deal.</x:v>
      </x:c>
      <x:c r="P211" s="75" t="str">
        <x:v>https://www.theguardian.com/football/ng-interactive/2026/sep/01/mens-transfer-window-summer-2026-all-deals-from-europes-top-five-leagues</x:v>
      </x:c>
    </x:row>
    <x:row r="212" ht="25" customHeight="1">
      <x:c r="A212" s="69" t="str">
        <x:v>summer-S26-0246</x:v>
      </x:c>
      <x:c r="B212" s="69" t="str">
        <x:v>Hindolo Mustapha</x:v>
      </x:c>
      <x:c r="C212" s="69" t="str">
        <x:v>Wigan Athletic</x:v>
      </x:c>
      <x:c r="D212" s="69" t="str">
        <x:v>Crystal Palace</x:v>
      </x:c>
      <x:c r="E212" s="76" t="d">
        <x:v>2026-07-04T00:00:00.000Z</x:v>
      </x:c>
      <x:c r="F212" s="69" t="str">
        <x:v>summer</x:v>
      </x:c>
      <x:c r="G212" s="69" t="str">
        <x:v>Forward — striker role unverified</x:v>
      </x:c>
      <x:c r="H212" s="78"/>
      <x:c r="I212" s="69" t="str">
        <x:v>GBP</x:v>
      </x:c>
      <x:c r="J212" s="80"/>
      <x:c r="K212" s="82"/>
      <x:c r="L212" s="69" t="str">
        <x:v>Evidence needed</x:v>
      </x:c>
      <x:c r="M212" s="69" t="str">
        <x:v>Loan/swap terms and buyer-specific production evidence needed.</x:v>
      </x:c>
      <x:c r="N212" s="69" t="str">
        <x:v>Not assessed</x:v>
      </x:c>
      <x:c r="O212" s="69" t="str">
        <x:v>Broad Forward label only; not a certified striker cohort. No comparable production supplied for this deal.</x:v>
      </x:c>
      <x:c r="P212" s="69" t="str">
        <x:v>https://www.theguardian.com/football/ng-interactive/2026/sep/01/mens-transfer-window-summer-2026-all-deals-from-europes-top-five-leagues</x:v>
      </x:c>
    </x:row>
    <x:row r="213" ht="25" customHeight="1">
      <x:c r="A213" s="75" t="str">
        <x:v>summer-S26-0253</x:v>
      </x:c>
      <x:c r="B213" s="75" t="str">
        <x:v>Eliezer Mayenda</x:v>
      </x:c>
      <x:c r="C213" s="75" t="str">
        <x:v>Rennes</x:v>
      </x:c>
      <x:c r="D213" s="75" t="str">
        <x:v>Sunderland</x:v>
      </x:c>
      <x:c r="E213" s="77" t="d">
        <x:v>2026-07-06T00:00:00.000Z</x:v>
      </x:c>
      <x:c r="F213" s="75" t="str">
        <x:v>summer</x:v>
      </x:c>
      <x:c r="G213" s="75" t="str">
        <x:v>Forward — striker role unverified</x:v>
      </x:c>
      <x:c r="H213" s="79" t="n">
        <x:v>17100000</x:v>
      </x:c>
      <x:c r="I213" s="75" t="str">
        <x:v>GBP</x:v>
      </x:c>
      <x:c r="J213" s="81"/>
      <x:c r="K213" s="83"/>
      <x:c r="L213" s="75" t="str">
        <x:v>Evidence needed</x:v>
      </x:c>
      <x:c r="M213" s="75" t="str">
        <x:v>Reported fee available; verify striker role, production, age, availability and transfer before assigning a score.</x:v>
      </x:c>
      <x:c r="N213" s="75" t="str">
        <x:v>Not assessed</x:v>
      </x:c>
      <x:c r="O213" s="75" t="str">
        <x:v>Broad Forward label only; not a certified striker cohort. No comparable production supplied for this deal.</x:v>
      </x:c>
      <x:c r="P213" s="75" t="str">
        <x:v>https://www.theguardian.com/football/ng-interactive/2026/sep/01/mens-transfer-window-summer-2026-all-deals-from-europes-top-five-leagues</x:v>
      </x:c>
    </x:row>
    <x:row r="214" ht="25" customHeight="1">
      <x:c r="A214" s="69" t="str">
        <x:v>summer-S26-0268</x:v>
      </x:c>
      <x:c r="B214" s="69" t="str">
        <x:v>Sambou Soumano</x:v>
      </x:c>
      <x:c r="C214" s="69" t="str">
        <x:v>Reims</x:v>
      </x:c>
      <x:c r="D214" s="69" t="str">
        <x:v>Lorient</x:v>
      </x:c>
      <x:c r="E214" s="76" t="d">
        <x:v>2026-07-07T00:00:00.000Z</x:v>
      </x:c>
      <x:c r="F214" s="69" t="str">
        <x:v>summer</x:v>
      </x:c>
      <x:c r="G214" s="69" t="str">
        <x:v>Forward — striker role unverified</x:v>
      </x:c>
      <x:c r="H214" s="78"/>
      <x:c r="I214" s="69" t="str">
        <x:v>GBP</x:v>
      </x:c>
      <x:c r="J214" s="80"/>
      <x:c r="K214" s="82"/>
      <x:c r="L214" s="69" t="str">
        <x:v>Evidence needed</x:v>
      </x:c>
      <x:c r="M214" s="69" t="str">
        <x:v>Free base fee excludes wages and other costs; role and production evidence needed.</x:v>
      </x:c>
      <x:c r="N214" s="69" t="str">
        <x:v>Not assessed</x:v>
      </x:c>
      <x:c r="O214" s="69" t="str">
        <x:v>Broad Forward label only; not a certified striker cohort. No comparable production supplied for this deal.</x:v>
      </x:c>
      <x:c r="P214" s="69" t="str">
        <x:v>https://www.theguardian.com/football/ng-interactive/2026/sep/01/mens-transfer-window-summer-2026-all-deals-from-europes-top-five-leagues</x:v>
      </x:c>
    </x:row>
    <x:row r="215" ht="25" customHeight="1">
      <x:c r="A215" s="75" t="str">
        <x:v>summer-S26-0269</x:v>
      </x:c>
      <x:c r="B215" s="75" t="str">
        <x:v>Harry Gray</x:v>
      </x:c>
      <x:c r="C215" s="75" t="str">
        <x:v>Sheffield Wednesday</x:v>
      </x:c>
      <x:c r="D215" s="75" t="str">
        <x:v>Leeds United</x:v>
      </x:c>
      <x:c r="E215" s="77" t="d">
        <x:v>2026-07-07T00:00:00.000Z</x:v>
      </x:c>
      <x:c r="F215" s="75" t="str">
        <x:v>summer</x:v>
      </x:c>
      <x:c r="G215" s="75" t="str">
        <x:v>Forward — striker role unverified</x:v>
      </x:c>
      <x:c r="H215" s="79"/>
      <x:c r="I215" s="75" t="str">
        <x:v>GBP</x:v>
      </x:c>
      <x:c r="J215" s="81"/>
      <x:c r="K215" s="83"/>
      <x:c r="L215" s="75" t="str">
        <x:v>Evidence needed</x:v>
      </x:c>
      <x:c r="M215" s="75" t="str">
        <x:v>Loan/swap terms and buyer-specific production evidence needed.</x:v>
      </x:c>
      <x:c r="N215" s="75" t="str">
        <x:v>Not assessed</x:v>
      </x:c>
      <x:c r="O215" s="75" t="str">
        <x:v>Broad Forward label only; not a certified striker cohort. No comparable production supplied for this deal.</x:v>
      </x:c>
      <x:c r="P215" s="75" t="str">
        <x:v>https://www.theguardian.com/football/ng-interactive/2026/sep/01/mens-transfer-window-summer-2026-all-deals-from-europes-top-five-leagues</x:v>
      </x:c>
    </x:row>
    <x:row r="216" ht="25" customHeight="1">
      <x:c r="A216" s="69" t="str">
        <x:v>summer-S26-0275</x:v>
      </x:c>
      <x:c r="B216" s="69" t="str">
        <x:v>Emersonn</x:v>
      </x:c>
      <x:c r="C216" s="69" t="str">
        <x:v>Ipswich Town</x:v>
      </x:c>
      <x:c r="D216" s="69" t="str">
        <x:v>Toulouse</x:v>
      </x:c>
      <x:c r="E216" s="76" t="d">
        <x:v>2026-07-08T00:00:00.000Z</x:v>
      </x:c>
      <x:c r="F216" s="69" t="str">
        <x:v>summer</x:v>
      </x:c>
      <x:c r="G216" s="69" t="str">
        <x:v>Forward — striker role unverified</x:v>
      </x:c>
      <x:c r="H216" s="78" t="n">
        <x:v>24000000</x:v>
      </x:c>
      <x:c r="I216" s="69" t="str">
        <x:v>GBP</x:v>
      </x:c>
      <x:c r="J216" s="80"/>
      <x:c r="K216" s="82"/>
      <x:c r="L216" s="69" t="str">
        <x:v>Evidence needed</x:v>
      </x:c>
      <x:c r="M216" s="69" t="str">
        <x:v>Reported fee available; verify striker role, production, age, availability and transfer before assigning a score.</x:v>
      </x:c>
      <x:c r="N216" s="69" t="str">
        <x:v>Not assessed</x:v>
      </x:c>
      <x:c r="O216" s="69" t="str">
        <x:v>Broad Forward label only; not a certified striker cohort. No comparable production supplied for this deal.</x:v>
      </x:c>
      <x:c r="P216" s="69" t="str">
        <x:v>https://www.theguardian.com/football/ng-interactive/2026/sep/01/mens-transfer-window-summer-2026-all-deals-from-europes-top-five-leagues</x:v>
      </x:c>
    </x:row>
    <x:row r="217" ht="25" customHeight="1">
      <x:c r="A217" s="75" t="str">
        <x:v>summer-S26-0278</x:v>
      </x:c>
      <x:c r="B217" s="75" t="str">
        <x:v>Romelle Donovan</x:v>
      </x:c>
      <x:c r="C217" s="75" t="str">
        <x:v>Sheffield United</x:v>
      </x:c>
      <x:c r="D217" s="75" t="str">
        <x:v>Brentford</x:v>
      </x:c>
      <x:c r="E217" s="77" t="d">
        <x:v>2026-07-08T00:00:00.000Z</x:v>
      </x:c>
      <x:c r="F217" s="75" t="str">
        <x:v>summer</x:v>
      </x:c>
      <x:c r="G217" s="75" t="str">
        <x:v>Forward — striker role unverified</x:v>
      </x:c>
      <x:c r="H217" s="79"/>
      <x:c r="I217" s="75" t="str">
        <x:v>GBP</x:v>
      </x:c>
      <x:c r="J217" s="81"/>
      <x:c r="K217" s="83"/>
      <x:c r="L217" s="75" t="str">
        <x:v>Evidence needed</x:v>
      </x:c>
      <x:c r="M217" s="75" t="str">
        <x:v>Loan/swap terms and buyer-specific production evidence needed.</x:v>
      </x:c>
      <x:c r="N217" s="75" t="str">
        <x:v>Not assessed</x:v>
      </x:c>
      <x:c r="O217" s="75" t="str">
        <x:v>Broad Forward label only; not a certified striker cohort. No comparable production supplied for this deal.</x:v>
      </x:c>
      <x:c r="P217" s="75" t="str">
        <x:v>https://www.theguardian.com/football/ng-interactive/2026/sep/01/mens-transfer-window-summer-2026-all-deals-from-europes-top-five-leagues</x:v>
      </x:c>
    </x:row>
    <x:row r="218" ht="25" customHeight="1">
      <x:c r="A218" s="69" t="str">
        <x:v>summer-S26-0287</x:v>
      </x:c>
      <x:c r="B218" s="69" t="str">
        <x:v>Omar Sadik</x:v>
      </x:c>
      <x:c r="C218" s="69" t="str">
        <x:v>Ceuta</x:v>
      </x:c>
      <x:c r="D218" s="69" t="str">
        <x:v>Espanyol</x:v>
      </x:c>
      <x:c r="E218" s="76" t="d">
        <x:v>2026-07-08T00:00:00.000Z</x:v>
      </x:c>
      <x:c r="F218" s="69" t="str">
        <x:v>summer</x:v>
      </x:c>
      <x:c r="G218" s="69" t="str">
        <x:v>Forward — striker role unverified</x:v>
      </x:c>
      <x:c r="H218" s="78"/>
      <x:c r="I218" s="69" t="str">
        <x:v>GBP</x:v>
      </x:c>
      <x:c r="J218" s="80"/>
      <x:c r="K218" s="82"/>
      <x:c r="L218" s="69" t="str">
        <x:v>Evidence needed</x:v>
      </x:c>
      <x:c r="M218" s="69" t="str">
        <x:v>Loan/swap terms and buyer-specific production evidence needed.</x:v>
      </x:c>
      <x:c r="N218" s="69" t="str">
        <x:v>Not assessed</x:v>
      </x:c>
      <x:c r="O218" s="69" t="str">
        <x:v>Broad Forward label only; not a certified striker cohort. No comparable production supplied for this deal.</x:v>
      </x:c>
      <x:c r="P218" s="69" t="str">
        <x:v>https://www.theguardian.com/football/ng-interactive/2026/sep/01/mens-transfer-window-summer-2026-all-deals-from-europes-top-five-leagues</x:v>
      </x:c>
    </x:row>
    <x:row r="219" ht="25" customHeight="1">
      <x:c r="A219" s="75" t="str">
        <x:v>summer-S26-0294</x:v>
      </x:c>
      <x:c r="B219" s="75" t="str">
        <x:v>Callum Wilson</x:v>
      </x:c>
      <x:c r="C219" s="75" t="str">
        <x:v>Brentford</x:v>
      </x:c>
      <x:c r="D219" s="75" t="str">
        <x:v>West Ham United</x:v>
      </x:c>
      <x:c r="E219" s="77" t="d">
        <x:v>2026-07-09T00:00:00.000Z</x:v>
      </x:c>
      <x:c r="F219" s="75" t="str">
        <x:v>summer</x:v>
      </x:c>
      <x:c r="G219" s="75" t="str">
        <x:v>Forward — striker role unverified</x:v>
      </x:c>
      <x:c r="H219" s="79"/>
      <x:c r="I219" s="75" t="str">
        <x:v>GBP</x:v>
      </x:c>
      <x:c r="J219" s="81"/>
      <x:c r="K219" s="83"/>
      <x:c r="L219" s="75" t="str">
        <x:v>Evidence needed</x:v>
      </x:c>
      <x:c r="M219" s="75" t="str">
        <x:v>Free base fee excludes wages and other costs; role and production evidence needed.</x:v>
      </x:c>
      <x:c r="N219" s="75" t="str">
        <x:v>Not assessed</x:v>
      </x:c>
      <x:c r="O219" s="75" t="str">
        <x:v>Broad Forward label only; not a certified striker cohort. No comparable production supplied for this deal.</x:v>
      </x:c>
      <x:c r="P219" s="75" t="str">
        <x:v>https://www.theguardian.com/football/ng-interactive/2026/sep/01/mens-transfer-window-summer-2026-all-deals-from-europes-top-five-leagues</x:v>
      </x:c>
    </x:row>
    <x:row r="220" ht="25" customHeight="1">
      <x:c r="A220" s="69" t="str">
        <x:v>summer-S26-0303</x:v>
      </x:c>
      <x:c r="B220" s="69" t="str">
        <x:v>Jota Silva</x:v>
      </x:c>
      <x:c r="C220" s="69" t="str">
        <x:v>Olympiakos</x:v>
      </x:c>
      <x:c r="D220" s="69" t="str">
        <x:v>Nottingham Forest</x:v>
      </x:c>
      <x:c r="E220" s="76" t="d">
        <x:v>2026-07-09T00:00:00.000Z</x:v>
      </x:c>
      <x:c r="F220" s="69" t="str">
        <x:v>summer</x:v>
      </x:c>
      <x:c r="G220" s="69" t="str">
        <x:v>Forward — striker role unverified</x:v>
      </x:c>
      <x:c r="H220" s="78"/>
      <x:c r="I220" s="69" t="str">
        <x:v>GBP</x:v>
      </x:c>
      <x:c r="J220" s="80"/>
      <x:c r="K220" s="82"/>
      <x:c r="L220" s="69" t="str">
        <x:v>Evidence needed</x:v>
      </x:c>
      <x:c r="M220" s="69" t="str">
        <x:v>Loan/swap terms and buyer-specific production evidence needed.</x:v>
      </x:c>
      <x:c r="N220" s="69" t="str">
        <x:v>Not assessed</x:v>
      </x:c>
      <x:c r="O220" s="69" t="str">
        <x:v>Broad Forward label only; not a certified striker cohort. No comparable production supplied for this deal.</x:v>
      </x:c>
      <x:c r="P220" s="69" t="str">
        <x:v>https://www.theguardian.com/football/ng-interactive/2026/sep/01/mens-transfer-window-summer-2026-all-deals-from-europes-top-five-leagues</x:v>
      </x:c>
    </x:row>
    <x:row r="221" ht="25" customHeight="1">
      <x:c r="A221" s="75" t="str">
        <x:v>summer-S26-0306</x:v>
      </x:c>
      <x:c r="B221" s="75" t="str">
        <x:v>Albion Rrahmani</x:v>
      </x:c>
      <x:c r="C221" s="75" t="str">
        <x:v>Venezia</x:v>
      </x:c>
      <x:c r="D221" s="75" t="str">
        <x:v>Sparta Prague</x:v>
      </x:c>
      <x:c r="E221" s="77" t="d">
        <x:v>2026-07-09T00:00:00.000Z</x:v>
      </x:c>
      <x:c r="F221" s="75" t="str">
        <x:v>summer</x:v>
      </x:c>
      <x:c r="G221" s="75" t="str">
        <x:v>Forward — striker role unverified</x:v>
      </x:c>
      <x:c r="H221" s="79" t="n">
        <x:v>6400000</x:v>
      </x:c>
      <x:c r="I221" s="75" t="str">
        <x:v>GBP</x:v>
      </x:c>
      <x:c r="J221" s="81"/>
      <x:c r="K221" s="83"/>
      <x:c r="L221" s="75" t="str">
        <x:v>Evidence needed</x:v>
      </x:c>
      <x:c r="M221" s="75" t="str">
        <x:v>Reported fee available; verify striker role, production, age, availability and transfer before assigning a score.</x:v>
      </x:c>
      <x:c r="N221" s="75" t="str">
        <x:v>Not assessed</x:v>
      </x:c>
      <x:c r="O221" s="75" t="str">
        <x:v>Broad Forward label only; not a certified striker cohort. No comparable production supplied for this deal.</x:v>
      </x:c>
      <x:c r="P221" s="75" t="str">
        <x:v>https://www.theguardian.com/football/ng-interactive/2026/sep/01/mens-transfer-window-summer-2026-all-deals-from-europes-top-five-leagues</x:v>
      </x:c>
    </x:row>
    <x:row r="222" ht="25" customHeight="1">
      <x:c r="A222" s="69" t="str">
        <x:v>summer-S26-0307</x:v>
      </x:c>
      <x:c r="B222" s="69" t="str">
        <x:v>Kyle Joseph</x:v>
      </x:c>
      <x:c r="C222" s="69" t="str">
        <x:v>Middlesbrough</x:v>
      </x:c>
      <x:c r="D222" s="69" t="str">
        <x:v>Hull City</x:v>
      </x:c>
      <x:c r="E222" s="76" t="d">
        <x:v>2026-07-10T00:00:00.000Z</x:v>
      </x:c>
      <x:c r="F222" s="69" t="str">
        <x:v>summer</x:v>
      </x:c>
      <x:c r="G222" s="69" t="str">
        <x:v>Forward — striker role unverified</x:v>
      </x:c>
      <x:c r="H222" s="78"/>
      <x:c r="I222" s="69" t="str">
        <x:v>GBP</x:v>
      </x:c>
      <x:c r="J222" s="80"/>
      <x:c r="K222" s="82"/>
      <x:c r="L222" s="69" t="str">
        <x:v>Evidence needed</x:v>
      </x:c>
      <x:c r="M222" s="69" t="str">
        <x:v>Undisclosed fee: cannot assess fee versus worth.</x:v>
      </x:c>
      <x:c r="N222" s="69" t="str">
        <x:v>Not assessed</x:v>
      </x:c>
      <x:c r="O222" s="69" t="str">
        <x:v>Broad Forward label only; not a certified striker cohort. No comparable production supplied for this deal.</x:v>
      </x:c>
      <x:c r="P222" s="69" t="str">
        <x:v>https://www.theguardian.com/football/ng-interactive/2026/sep/01/mens-transfer-window-summer-2026-all-deals-from-europes-top-five-leagues</x:v>
      </x:c>
    </x:row>
    <x:row r="223" ht="25" customHeight="1">
      <x:c r="A223" s="75" t="str">
        <x:v>summer-S26-0317</x:v>
      </x:c>
      <x:c r="B223" s="75" t="str">
        <x:v>Elias Havel</x:v>
      </x:c>
      <x:c r="C223" s="75" t="str">
        <x:v>Genoa</x:v>
      </x:c>
      <x:c r="D223" s="75" t="str">
        <x:v>TSV Hartberg</x:v>
      </x:c>
      <x:c r="E223" s="77" t="d">
        <x:v>2026-07-10T00:00:00.000Z</x:v>
      </x:c>
      <x:c r="F223" s="75" t="str">
        <x:v>summer</x:v>
      </x:c>
      <x:c r="G223" s="75" t="str">
        <x:v>Forward — striker role unverified</x:v>
      </x:c>
      <x:c r="H223" s="79" t="n">
        <x:v>1700000</x:v>
      </x:c>
      <x:c r="I223" s="75" t="str">
        <x:v>GBP</x:v>
      </x:c>
      <x:c r="J223" s="81"/>
      <x:c r="K223" s="83"/>
      <x:c r="L223" s="75" t="str">
        <x:v>Evidence needed</x:v>
      </x:c>
      <x:c r="M223" s="75" t="str">
        <x:v>Reported fee available; verify striker role, production, age, availability and transfer before assigning a score.</x:v>
      </x:c>
      <x:c r="N223" s="75" t="str">
        <x:v>Not assessed</x:v>
      </x:c>
      <x:c r="O223" s="75" t="str">
        <x:v>Broad Forward label only; not a certified striker cohort. No comparable production supplied for this deal.</x:v>
      </x:c>
      <x:c r="P223" s="75" t="str">
        <x:v>https://www.theguardian.com/football/ng-interactive/2026/sep/01/mens-transfer-window-summer-2026-all-deals-from-europes-top-five-leagues</x:v>
      </x:c>
    </x:row>
    <x:row r="224" ht="25" customHeight="1">
      <x:c r="A224" s="69" t="str">
        <x:v>summer-S26-0322</x:v>
      </x:c>
      <x:c r="B224" s="69" t="str">
        <x:v>Tommaso Rubino</x:v>
      </x:c>
      <x:c r="C224" s="69" t="str">
        <x:v>Carrarese</x:v>
      </x:c>
      <x:c r="D224" s="69" t="str">
        <x:v>Fiorentina</x:v>
      </x:c>
      <x:c r="E224" s="76" t="d">
        <x:v>2026-07-10T00:00:00.000Z</x:v>
      </x:c>
      <x:c r="F224" s="69" t="str">
        <x:v>summer</x:v>
      </x:c>
      <x:c r="G224" s="69" t="str">
        <x:v>Forward — striker role unverified</x:v>
      </x:c>
      <x:c r="H224" s="78"/>
      <x:c r="I224" s="69" t="str">
        <x:v>GBP</x:v>
      </x:c>
      <x:c r="J224" s="80"/>
      <x:c r="K224" s="82"/>
      <x:c r="L224" s="69" t="str">
        <x:v>Evidence needed</x:v>
      </x:c>
      <x:c r="M224" s="69" t="str">
        <x:v>Loan/swap terms and buyer-specific production evidence needed.</x:v>
      </x:c>
      <x:c r="N224" s="69" t="str">
        <x:v>Not assessed</x:v>
      </x:c>
      <x:c r="O224" s="69" t="str">
        <x:v>Broad Forward label only; not a certified striker cohort. No comparable production supplied for this deal.</x:v>
      </x:c>
      <x:c r="P224" s="69" t="str">
        <x:v>https://www.theguardian.com/football/ng-interactive/2026/sep/01/mens-transfer-window-summer-2026-all-deals-from-europes-top-five-leagues</x:v>
      </x:c>
    </x:row>
    <x:row r="225" ht="25" customHeight="1">
      <x:c r="A225" s="75" t="str">
        <x:v>summer-S26-0325</x:v>
      </x:c>
      <x:c r="B225" s="75" t="str">
        <x:v>Giacomo Marconi</x:v>
      </x:c>
      <x:c r="C225" s="75" t="str">
        <x:v>Carrarese</x:v>
      </x:c>
      <x:c r="D225" s="75" t="str">
        <x:v>Parma</x:v>
      </x:c>
      <x:c r="E225" s="77" t="d">
        <x:v>2026-07-10T00:00:00.000Z</x:v>
      </x:c>
      <x:c r="F225" s="75" t="str">
        <x:v>summer</x:v>
      </x:c>
      <x:c r="G225" s="75" t="str">
        <x:v>Forward — striker role unverified</x:v>
      </x:c>
      <x:c r="H225" s="79"/>
      <x:c r="I225" s="75" t="str">
        <x:v>GBP</x:v>
      </x:c>
      <x:c r="J225" s="81"/>
      <x:c r="K225" s="83"/>
      <x:c r="L225" s="75" t="str">
        <x:v>Evidence needed</x:v>
      </x:c>
      <x:c r="M225" s="75" t="str">
        <x:v>Loan/swap terms and buyer-specific production evidence needed.</x:v>
      </x:c>
      <x:c r="N225" s="75" t="str">
        <x:v>Not assessed</x:v>
      </x:c>
      <x:c r="O225" s="75" t="str">
        <x:v>Broad Forward label only; not a certified striker cohort. No comparable production supplied for this deal.</x:v>
      </x:c>
      <x:c r="P225" s="75" t="str">
        <x:v>https://www.theguardian.com/football/ng-interactive/2026/sep/01/mens-transfer-window-summer-2026-all-deals-from-europes-top-five-leagues</x:v>
      </x:c>
    </x:row>
    <x:row r="226" ht="25" customHeight="1">
      <x:c r="A226" s="69" t="str">
        <x:v>summer-S26-0334</x:v>
      </x:c>
      <x:c r="B226" s="69" t="str">
        <x:v>Haris Tabakovic</x:v>
      </x:c>
      <x:c r="C226" s="69" t="str">
        <x:v>Red Bull Salzburg</x:v>
      </x:c>
      <x:c r="D226" s="69" t="str">
        <x:v>Hoffenheim</x:v>
      </x:c>
      <x:c r="E226" s="76" t="d">
        <x:v>2026-07-11T00:00:00.000Z</x:v>
      </x:c>
      <x:c r="F226" s="69" t="str">
        <x:v>summer</x:v>
      </x:c>
      <x:c r="G226" s="69" t="str">
        <x:v>Forward — striker role unverified</x:v>
      </x:c>
      <x:c r="H226" s="78" t="n">
        <x:v>4300000</x:v>
      </x:c>
      <x:c r="I226" s="69" t="str">
        <x:v>GBP</x:v>
      </x:c>
      <x:c r="J226" s="80"/>
      <x:c r="K226" s="82"/>
      <x:c r="L226" s="69" t="str">
        <x:v>Evidence needed</x:v>
      </x:c>
      <x:c r="M226" s="69" t="str">
        <x:v>Reported fee available; verify striker role, production, age, availability and transfer before assigning a score.</x:v>
      </x:c>
      <x:c r="N226" s="69" t="str">
        <x:v>Not assessed</x:v>
      </x:c>
      <x:c r="O226" s="69" t="str">
        <x:v>Broad Forward label only; not a certified striker cohort. No comparable production supplied for this deal.</x:v>
      </x:c>
      <x:c r="P226" s="69" t="str">
        <x:v>https://www.theguardian.com/football/ng-interactive/2026/sep/01/mens-transfer-window-summer-2026-all-deals-from-europes-top-five-leagues</x:v>
      </x:c>
    </x:row>
    <x:row r="227" ht="25" customHeight="1">
      <x:c r="A227" s="75" t="str">
        <x:v>summer-S26-0341</x:v>
      </x:c>
      <x:c r="B227" s="75" t="str">
        <x:v>Urko Izeta</x:v>
      </x:c>
      <x:c r="C227" s="75" t="str">
        <x:v>Cádiz</x:v>
      </x:c>
      <x:c r="D227" s="75" t="str">
        <x:v>Athletic Club</x:v>
      </x:c>
      <x:c r="E227" s="77" t="d">
        <x:v>2026-07-11T00:00:00.000Z</x:v>
      </x:c>
      <x:c r="F227" s="75" t="str">
        <x:v>summer</x:v>
      </x:c>
      <x:c r="G227" s="75" t="str">
        <x:v>Forward — striker role unverified</x:v>
      </x:c>
      <x:c r="H227" s="79"/>
      <x:c r="I227" s="75" t="str">
        <x:v>GBP</x:v>
      </x:c>
      <x:c r="J227" s="81"/>
      <x:c r="K227" s="83"/>
      <x:c r="L227" s="75" t="str">
        <x:v>Evidence needed</x:v>
      </x:c>
      <x:c r="M227" s="75" t="str">
        <x:v>Undisclosed fee: cannot assess fee versus worth.</x:v>
      </x:c>
      <x:c r="N227" s="75" t="str">
        <x:v>Not assessed</x:v>
      </x:c>
      <x:c r="O227" s="75" t="str">
        <x:v>Broad Forward label only; not a certified striker cohort. No comparable production supplied for this deal.</x:v>
      </x:c>
      <x:c r="P227" s="75" t="str">
        <x:v>https://www.theguardian.com/football/ng-interactive/2026/sep/01/mens-transfer-window-summer-2026-all-deals-from-europes-top-five-leagues</x:v>
      </x:c>
    </x:row>
    <x:row r="228" ht="25" customHeight="1">
      <x:c r="A228" s="69" t="str">
        <x:v>summer-S26-0345</x:v>
      </x:c>
      <x:c r="B228" s="69" t="str">
        <x:v>Louis Mafouta</x:v>
      </x:c>
      <x:c r="C228" s="69" t="str">
        <x:v>Le Mans</x:v>
      </x:c>
      <x:c r="D228" s="69" t="str">
        <x:v>Guingamp</x:v>
      </x:c>
      <x:c r="E228" s="76" t="d">
        <x:v>2026-07-11T00:00:00.000Z</x:v>
      </x:c>
      <x:c r="F228" s="69" t="str">
        <x:v>summer</x:v>
      </x:c>
      <x:c r="G228" s="69" t="str">
        <x:v>Forward — striker role unverified</x:v>
      </x:c>
      <x:c r="H228" s="78"/>
      <x:c r="I228" s="69" t="str">
        <x:v>GBP</x:v>
      </x:c>
      <x:c r="J228" s="80"/>
      <x:c r="K228" s="82"/>
      <x:c r="L228" s="69" t="str">
        <x:v>Evidence needed</x:v>
      </x:c>
      <x:c r="M228" s="69" t="str">
        <x:v>Undisclosed fee: cannot assess fee versus worth.</x:v>
      </x:c>
      <x:c r="N228" s="69" t="str">
        <x:v>Not assessed</x:v>
      </x:c>
      <x:c r="O228" s="69" t="str">
        <x:v>Broad Forward label only; not a certified striker cohort. No comparable production supplied for this deal.</x:v>
      </x:c>
      <x:c r="P228" s="69" t="str">
        <x:v>https://www.theguardian.com/football/ng-interactive/2026/sep/01/mens-transfer-window-summer-2026-all-deals-from-europes-top-five-leagues</x:v>
      </x:c>
    </x:row>
    <x:row r="229" ht="25" customHeight="1">
      <x:c r="A229" s="75" t="str">
        <x:v>summer-S26-0356</x:v>
      </x:c>
      <x:c r="B229" s="75" t="str">
        <x:v>Rodrigo Ribeiro</x:v>
      </x:c>
      <x:c r="C229" s="75" t="str">
        <x:v>Augsburg</x:v>
      </x:c>
      <x:c r="D229" s="75" t="str">
        <x:v>Sporting</x:v>
      </x:c>
      <x:c r="E229" s="77" t="d">
        <x:v>2026-05-27T00:00:00.000Z</x:v>
      </x:c>
      <x:c r="F229" s="75" t="str">
        <x:v>summer</x:v>
      </x:c>
      <x:c r="G229" s="75" t="str">
        <x:v>Forward — striker role unverified</x:v>
      </x:c>
      <x:c r="H229" s="79" t="n">
        <x:v>4300000</x:v>
      </x:c>
      <x:c r="I229" s="75" t="str">
        <x:v>GBP</x:v>
      </x:c>
      <x:c r="J229" s="81"/>
      <x:c r="K229" s="83"/>
      <x:c r="L229" s="75" t="str">
        <x:v>Evidence needed</x:v>
      </x:c>
      <x:c r="M229" s="75" t="str">
        <x:v>Reported fee available; verify striker role, production, age, availability and transfer before assigning a score.</x:v>
      </x:c>
      <x:c r="N229" s="75" t="str">
        <x:v>Not assessed</x:v>
      </x:c>
      <x:c r="O229" s="75" t="str">
        <x:v>Broad Forward label only; not a certified striker cohort. No comparable production supplied for this deal.</x:v>
      </x:c>
      <x:c r="P229" s="75" t="str">
        <x:v>https://www.theguardian.com/football/ng-interactive/2026/sep/01/mens-transfer-window-summer-2026-all-deals-from-europes-top-five-leagues</x:v>
      </x:c>
    </x:row>
    <x:row r="230" ht="25" customHeight="1">
      <x:c r="A230" s="69" t="str">
        <x:v>summer-S26-0364</x:v>
      </x:c>
      <x:c r="B230" s="69" t="str">
        <x:v>Antoine Griezmann</x:v>
      </x:c>
      <x:c r="C230" s="69" t="str">
        <x:v>Orlando City</x:v>
      </x:c>
      <x:c r="D230" s="69" t="str">
        <x:v>Atlético Madrid</x:v>
      </x:c>
      <x:c r="E230" s="76" t="d">
        <x:v>2026-07-08T00:00:00.000Z</x:v>
      </x:c>
      <x:c r="F230" s="69" t="str">
        <x:v>summer</x:v>
      </x:c>
      <x:c r="G230" s="69" t="str">
        <x:v>Forward — striker role unverified</x:v>
      </x:c>
      <x:c r="H230" s="78"/>
      <x:c r="I230" s="69" t="str">
        <x:v>GBP</x:v>
      </x:c>
      <x:c r="J230" s="80"/>
      <x:c r="K230" s="82"/>
      <x:c r="L230" s="69" t="str">
        <x:v>Evidence needed</x:v>
      </x:c>
      <x:c r="M230" s="69" t="str">
        <x:v>Free base fee excludes wages and other costs; role and production evidence needed.</x:v>
      </x:c>
      <x:c r="N230" s="69" t="str">
        <x:v>Not assessed</x:v>
      </x:c>
      <x:c r="O230" s="69" t="str">
        <x:v>Broad Forward label only; not a certified striker cohort. No comparable production supplied for this deal.</x:v>
      </x:c>
      <x:c r="P230" s="69" t="str">
        <x:v>https://www.theguardian.com/football/ng-interactive/2026/sep/01/mens-transfer-window-summer-2026-all-deals-from-europes-top-five-leagues</x:v>
      </x:c>
    </x:row>
    <x:row r="231" ht="25" customHeight="1">
      <x:c r="A231" s="75" t="str">
        <x:v>summer-S26-0366</x:v>
      </x:c>
      <x:c r="B231" s="75" t="str">
        <x:v>Matteo Spinaccè</x:v>
      </x:c>
      <x:c r="C231" s="75" t="str">
        <x:v>Mantova</x:v>
      </x:c>
      <x:c r="D231" s="75" t="str">
        <x:v>Inter</x:v>
      </x:c>
      <x:c r="E231" s="77" t="d">
        <x:v>2026-07-13T00:00:00.000Z</x:v>
      </x:c>
      <x:c r="F231" s="75" t="str">
        <x:v>summer</x:v>
      </x:c>
      <x:c r="G231" s="75" t="str">
        <x:v>Forward — striker role unverified</x:v>
      </x:c>
      <x:c r="H231" s="79"/>
      <x:c r="I231" s="75" t="str">
        <x:v>GBP</x:v>
      </x:c>
      <x:c r="J231" s="81"/>
      <x:c r="K231" s="83"/>
      <x:c r="L231" s="75" t="str">
        <x:v>Evidence needed</x:v>
      </x:c>
      <x:c r="M231" s="75" t="str">
        <x:v>Loan/swap terms and buyer-specific production evidence needed.</x:v>
      </x:c>
      <x:c r="N231" s="75" t="str">
        <x:v>Not assessed</x:v>
      </x:c>
      <x:c r="O231" s="75" t="str">
        <x:v>Broad Forward label only; not a certified striker cohort. No comparable production supplied for this deal.</x:v>
      </x:c>
      <x:c r="P231" s="75" t="str">
        <x:v>https://www.theguardian.com/football/ng-interactive/2026/sep/01/mens-transfer-window-summer-2026-all-deals-from-europes-top-five-leagues</x:v>
      </x:c>
    </x:row>
    <x:row r="232" ht="25" customHeight="1">
      <x:c r="A232" s="69" t="str">
        <x:v>summer-S26-0372</x:v>
      </x:c>
      <x:c r="B232" s="69" t="str">
        <x:v>Moustapha Cissé</x:v>
      </x:c>
      <x:c r="C232" s="69" t="str">
        <x:v>Carrarese</x:v>
      </x:c>
      <x:c r="D232" s="69" t="str">
        <x:v>Atalanta</x:v>
      </x:c>
      <x:c r="E232" s="76" t="d">
        <x:v>2026-07-13T00:00:00.000Z</x:v>
      </x:c>
      <x:c r="F232" s="69" t="str">
        <x:v>summer</x:v>
      </x:c>
      <x:c r="G232" s="69" t="str">
        <x:v>Forward — striker role unverified</x:v>
      </x:c>
      <x:c r="H232" s="78"/>
      <x:c r="I232" s="69" t="str">
        <x:v>GBP</x:v>
      </x:c>
      <x:c r="J232" s="80"/>
      <x:c r="K232" s="82"/>
      <x:c r="L232" s="69" t="str">
        <x:v>Evidence needed</x:v>
      </x:c>
      <x:c r="M232" s="69" t="str">
        <x:v>Loan/swap terms and buyer-specific production evidence needed.</x:v>
      </x:c>
      <x:c r="N232" s="69" t="str">
        <x:v>Not assessed</x:v>
      </x:c>
      <x:c r="O232" s="69" t="str">
        <x:v>Broad Forward label only; not a certified striker cohort. No comparable production supplied for this deal.</x:v>
      </x:c>
      <x:c r="P232" s="69" t="str">
        <x:v>https://www.theguardian.com/football/ng-interactive/2026/sep/01/mens-transfer-window-summer-2026-all-deals-from-europes-top-five-leagues</x:v>
      </x:c>
    </x:row>
    <x:row r="233" ht="25" customHeight="1">
      <x:c r="A233" s="75" t="str">
        <x:v>summer-S26-0381</x:v>
      </x:c>
      <x:c r="B233" s="75" t="str">
        <x:v>Álvaro Rodríguez</x:v>
      </x:c>
      <x:c r="C233" s="75" t="str">
        <x:v>Bournemouth</x:v>
      </x:c>
      <x:c r="D233" s="75" t="str">
        <x:v>Elche</x:v>
      </x:c>
      <x:c r="E233" s="77" t="d">
        <x:v>2026-07-14T00:00:00.000Z</x:v>
      </x:c>
      <x:c r="F233" s="75" t="str">
        <x:v>summer</x:v>
      </x:c>
      <x:c r="G233" s="75" t="str">
        <x:v>Forward — striker role unverified</x:v>
      </x:c>
      <x:c r="H233" s="79" t="n">
        <x:v>21300000</x:v>
      </x:c>
      <x:c r="I233" s="75" t="str">
        <x:v>GBP</x:v>
      </x:c>
      <x:c r="J233" s="81"/>
      <x:c r="K233" s="83"/>
      <x:c r="L233" s="75" t="str">
        <x:v>Evidence needed</x:v>
      </x:c>
      <x:c r="M233" s="75" t="str">
        <x:v>Reported fee available; verify striker role, production, age, availability and transfer before assigning a score.</x:v>
      </x:c>
      <x:c r="N233" s="75" t="str">
        <x:v>Not assessed</x:v>
      </x:c>
      <x:c r="O233" s="75" t="str">
        <x:v>Broad Forward label only; not a certified striker cohort. No comparable production supplied for this deal.</x:v>
      </x:c>
      <x:c r="P233" s="75" t="str">
        <x:v>https://www.theguardian.com/football/ng-interactive/2026/sep/01/mens-transfer-window-summer-2026-all-deals-from-europes-top-five-leagues</x:v>
      </x:c>
    </x:row>
    <x:row r="234" ht="25" customHeight="1">
      <x:c r="A234" s="69" t="str">
        <x:v>summer-S26-0388</x:v>
      </x:c>
      <x:c r="B234" s="69" t="str">
        <x:v>Ismaël Konaté</x:v>
      </x:c>
      <x:c r="C234" s="69" t="str">
        <x:v>Juventus</x:v>
      </x:c>
      <x:c r="D234" s="69" t="str">
        <x:v>Empoli</x:v>
      </x:c>
      <x:c r="E234" s="76" t="d">
        <x:v>2026-07-15T00:00:00.000Z</x:v>
      </x:c>
      <x:c r="F234" s="69" t="str">
        <x:v>summer</x:v>
      </x:c>
      <x:c r="G234" s="69" t="str">
        <x:v>Forward — striker role unverified</x:v>
      </x:c>
      <x:c r="H234" s="78"/>
      <x:c r="I234" s="69" t="str">
        <x:v>GBP</x:v>
      </x:c>
      <x:c r="J234" s="80"/>
      <x:c r="K234" s="82"/>
      <x:c r="L234" s="69" t="str">
        <x:v>Evidence needed</x:v>
      </x:c>
      <x:c r="M234" s="69" t="str">
        <x:v>Undisclosed fee: cannot assess fee versus worth.</x:v>
      </x:c>
      <x:c r="N234" s="69" t="str">
        <x:v>Not assessed</x:v>
      </x:c>
      <x:c r="O234" s="69" t="str">
        <x:v>Broad Forward label only; not a certified striker cohort. No comparable production supplied for this deal.</x:v>
      </x:c>
      <x:c r="P234" s="69" t="str">
        <x:v>https://www.theguardian.com/football/ng-interactive/2026/sep/01/mens-transfer-window-summer-2026-all-deals-from-europes-top-five-leagues</x:v>
      </x:c>
    </x:row>
    <x:row r="235" ht="25" customHeight="1">
      <x:c r="A235" s="75" t="str">
        <x:v>summer-S26-0389</x:v>
      </x:c>
      <x:c r="B235" s="75" t="str">
        <x:v>Lewis Dobbin</x:v>
      </x:c>
      <x:c r="C235" s="75" t="str">
        <x:v>Southampton</x:v>
      </x:c>
      <x:c r="D235" s="75" t="str">
        <x:v>Aston Villa</x:v>
      </x:c>
      <x:c r="E235" s="77" t="d">
        <x:v>2026-07-15T00:00:00.000Z</x:v>
      </x:c>
      <x:c r="F235" s="75" t="str">
        <x:v>summer</x:v>
      </x:c>
      <x:c r="G235" s="75" t="str">
        <x:v>Forward — striker role unverified</x:v>
      </x:c>
      <x:c r="H235" s="79" t="n">
        <x:v>9000000</x:v>
      </x:c>
      <x:c r="I235" s="75" t="str">
        <x:v>GBP</x:v>
      </x:c>
      <x:c r="J235" s="81"/>
      <x:c r="K235" s="83"/>
      <x:c r="L235" s="75" t="str">
        <x:v>Evidence needed</x:v>
      </x:c>
      <x:c r="M235" s="75" t="str">
        <x:v>Reported fee available; verify striker role, production, age, availability and transfer before assigning a score.</x:v>
      </x:c>
      <x:c r="N235" s="75" t="str">
        <x:v>Not assessed</x:v>
      </x:c>
      <x:c r="O235" s="75" t="str">
        <x:v>Broad Forward label only; not a certified striker cohort. No comparable production supplied for this deal.</x:v>
      </x:c>
      <x:c r="P235" s="75" t="str">
        <x:v>https://www.theguardian.com/football/ng-interactive/2026/sep/01/mens-transfer-window-summer-2026-all-deals-from-europes-top-five-leagues</x:v>
      </x:c>
    </x:row>
    <x:row r="236" ht="25" customHeight="1">
      <x:c r="A236" s="69" t="str">
        <x:v>summer-S26-0391</x:v>
      </x:c>
      <x:c r="B236" s="69" t="str">
        <x:v>Mason Greenwood</x:v>
      </x:c>
      <x:c r="C236" s="69" t="str">
        <x:v>Fenerbahce</x:v>
      </x:c>
      <x:c r="D236" s="69" t="str">
        <x:v>Marseille</x:v>
      </x:c>
      <x:c r="E236" s="76" t="d">
        <x:v>2026-07-15T00:00:00.000Z</x:v>
      </x:c>
      <x:c r="F236" s="69" t="str">
        <x:v>summer</x:v>
      </x:c>
      <x:c r="G236" s="69" t="str">
        <x:v>Forward — striker role unverified</x:v>
      </x:c>
      <x:c r="H236" s="78" t="n">
        <x:v>33000000</x:v>
      </x:c>
      <x:c r="I236" s="69" t="str">
        <x:v>GBP</x:v>
      </x:c>
      <x:c r="J236" s="80"/>
      <x:c r="K236" s="82"/>
      <x:c r="L236" s="69" t="str">
        <x:v>Evidence needed</x:v>
      </x:c>
      <x:c r="M236" s="69" t="str">
        <x:v>Reported fee available; verify striker role, production, age, availability and transfer before assigning a score.</x:v>
      </x:c>
      <x:c r="N236" s="69" t="str">
        <x:v>Not assessed</x:v>
      </x:c>
      <x:c r="O236" s="69" t="str">
        <x:v>Broad Forward label only; not a certified striker cohort. No comparable production supplied for this deal.</x:v>
      </x:c>
      <x:c r="P236" s="69" t="str">
        <x:v>https://www.theguardian.com/football/ng-interactive/2026/sep/01/mens-transfer-window-summer-2026-all-deals-from-europes-top-five-leagues</x:v>
      </x:c>
    </x:row>
    <x:row r="237" ht="25" customHeight="1">
      <x:c r="A237" s="75" t="str">
        <x:v>summer-S26-0396</x:v>
      </x:c>
      <x:c r="B237" s="75" t="str">
        <x:v>Maat Daniel Caprini</x:v>
      </x:c>
      <x:c r="C237" s="75" t="str">
        <x:v>Cesena</x:v>
      </x:c>
      <x:c r="D237" s="75" t="str">
        <x:v>Fiorentina</x:v>
      </x:c>
      <x:c r="E237" s="77" t="d">
        <x:v>2026-07-14T00:00:00.000Z</x:v>
      </x:c>
      <x:c r="F237" s="75" t="str">
        <x:v>summer</x:v>
      </x:c>
      <x:c r="G237" s="75" t="str">
        <x:v>Forward — striker role unverified</x:v>
      </x:c>
      <x:c r="H237" s="79"/>
      <x:c r="I237" s="75" t="str">
        <x:v>GBP</x:v>
      </x:c>
      <x:c r="J237" s="81"/>
      <x:c r="K237" s="83"/>
      <x:c r="L237" s="75" t="str">
        <x:v>Evidence needed</x:v>
      </x:c>
      <x:c r="M237" s="75" t="str">
        <x:v>Loan/swap terms and buyer-specific production evidence needed.</x:v>
      </x:c>
      <x:c r="N237" s="75" t="str">
        <x:v>Not assessed</x:v>
      </x:c>
      <x:c r="O237" s="75" t="str">
        <x:v>Broad Forward label only; not a certified striker cohort. No comparable production supplied for this deal.</x:v>
      </x:c>
      <x:c r="P237" s="75" t="str">
        <x:v>https://www.theguardian.com/football/ng-interactive/2026/sep/01/mens-transfer-window-summer-2026-all-deals-from-europes-top-five-leagues</x:v>
      </x:c>
    </x:row>
    <x:row r="238" ht="25" customHeight="1">
      <x:c r="A238" s="69" t="str">
        <x:v>summer-S26-0398</x:v>
      </x:c>
      <x:c r="B238" s="69" t="str">
        <x:v>Leandro Trossard</x:v>
      </x:c>
      <x:c r="C238" s="69" t="str">
        <x:v>Besiktas</x:v>
      </x:c>
      <x:c r="D238" s="69" t="str">
        <x:v>Arsenal</x:v>
      </x:c>
      <x:c r="E238" s="76" t="d">
        <x:v>2026-07-15T00:00:00.000Z</x:v>
      </x:c>
      <x:c r="F238" s="69" t="str">
        <x:v>summer</x:v>
      </x:c>
      <x:c r="G238" s="69" t="str">
        <x:v>Forward — striker role unverified</x:v>
      </x:c>
      <x:c r="H238" s="78" t="n">
        <x:v>15300000</x:v>
      </x:c>
      <x:c r="I238" s="69" t="str">
        <x:v>GBP</x:v>
      </x:c>
      <x:c r="J238" s="80"/>
      <x:c r="K238" s="82"/>
      <x:c r="L238" s="69" t="str">
        <x:v>Evidence needed</x:v>
      </x:c>
      <x:c r="M238" s="69" t="str">
        <x:v>Reported fee available; verify striker role, production, age, availability and transfer before assigning a score.</x:v>
      </x:c>
      <x:c r="N238" s="69" t="str">
        <x:v>Not assessed</x:v>
      </x:c>
      <x:c r="O238" s="69" t="str">
        <x:v>Broad Forward label only; not a certified striker cohort. No comparable production supplied for this deal.</x:v>
      </x:c>
      <x:c r="P238" s="69" t="str">
        <x:v>https://www.theguardian.com/football/ng-interactive/2026/sep/01/mens-transfer-window-summer-2026-all-deals-from-europes-top-five-leagues</x:v>
      </x:c>
    </x:row>
    <x:row r="239" ht="25" customHeight="1">
      <x:c r="A239" s="75" t="str">
        <x:v>summer-S26-0408</x:v>
      </x:c>
      <x:c r="B239" s="75" t="str">
        <x:v>Goduine Koyalipou</x:v>
      </x:c>
      <x:c r="C239" s="75" t="str">
        <x:v>KV Kortrijk</x:v>
      </x:c>
      <x:c r="D239" s="75" t="str">
        <x:v>Lens</x:v>
      </x:c>
      <x:c r="E239" s="77" t="d">
        <x:v>2026-07-16T00:00:00.000Z</x:v>
      </x:c>
      <x:c r="F239" s="75" t="str">
        <x:v>summer</x:v>
      </x:c>
      <x:c r="G239" s="75" t="str">
        <x:v>Forward — striker role unverified</x:v>
      </x:c>
      <x:c r="H239" s="79"/>
      <x:c r="I239" s="75" t="str">
        <x:v>GBP</x:v>
      </x:c>
      <x:c r="J239" s="81"/>
      <x:c r="K239" s="83"/>
      <x:c r="L239" s="75" t="str">
        <x:v>Evidence needed</x:v>
      </x:c>
      <x:c r="M239" s="75" t="str">
        <x:v>Loan/swap terms and buyer-specific production evidence needed.</x:v>
      </x:c>
      <x:c r="N239" s="75" t="str">
        <x:v>Not assessed</x:v>
      </x:c>
      <x:c r="O239" s="75" t="str">
        <x:v>Broad Forward label only; not a certified striker cohort. No comparable production supplied for this deal.</x:v>
      </x:c>
      <x:c r="P239" s="75" t="str">
        <x:v>https://www.theguardian.com/football/ng-interactive/2026/sep/01/mens-transfer-window-summer-2026-all-deals-from-europes-top-five-leagues</x:v>
      </x:c>
    </x:row>
    <x:row r="240" ht="25" customHeight="1">
      <x:c r="A240" s="69" t="str">
        <x:v>summer-S26-0417</x:v>
      </x:c>
      <x:c r="B240" s="69" t="str">
        <x:v>Conor Chaplin</x:v>
      </x:c>
      <x:c r="C240" s="69" t="str">
        <x:v>Leicester City</x:v>
      </x:c>
      <x:c r="D240" s="69" t="str">
        <x:v>Ipswich Town</x:v>
      </x:c>
      <x:c r="E240" s="76" t="d">
        <x:v>2026-07-16T00:00:00.000Z</x:v>
      </x:c>
      <x:c r="F240" s="69" t="str">
        <x:v>summer</x:v>
      </x:c>
      <x:c r="G240" s="69" t="str">
        <x:v>Forward — striker role unverified</x:v>
      </x:c>
      <x:c r="H240" s="78"/>
      <x:c r="I240" s="69" t="str">
        <x:v>GBP</x:v>
      </x:c>
      <x:c r="J240" s="80"/>
      <x:c r="K240" s="82"/>
      <x:c r="L240" s="69" t="str">
        <x:v>Evidence needed</x:v>
      </x:c>
      <x:c r="M240" s="69" t="str">
        <x:v>Free base fee excludes wages and other costs; role and production evidence needed.</x:v>
      </x:c>
      <x:c r="N240" s="69" t="str">
        <x:v>Not assessed</x:v>
      </x:c>
      <x:c r="O240" s="69" t="str">
        <x:v>Broad Forward label only; not a certified striker cohort. No comparable production supplied for this deal.</x:v>
      </x:c>
      <x:c r="P240" s="69" t="str">
        <x:v>https://www.theguardian.com/football/ng-interactive/2026/sep/01/mens-transfer-window-summer-2026-all-deals-from-europes-top-five-leagues</x:v>
      </x:c>
    </x:row>
    <x:row r="241" ht="25" customHeight="1">
      <x:c r="A241" s="75" t="str">
        <x:v>summer-S26-0433</x:v>
      </x:c>
      <x:c r="B241" s="75" t="str">
        <x:v>Nelson Weiper</x:v>
      </x:c>
      <x:c r="C241" s="75" t="str">
        <x:v>Sturm Graz</x:v>
      </x:c>
      <x:c r="D241" s="75" t="str">
        <x:v>Mainz 05</x:v>
      </x:c>
      <x:c r="E241" s="77" t="d">
        <x:v>2026-07-17T00:00:00.000Z</x:v>
      </x:c>
      <x:c r="F241" s="75" t="str">
        <x:v>summer</x:v>
      </x:c>
      <x:c r="G241" s="75" t="str">
        <x:v>Forward — striker role unverified</x:v>
      </x:c>
      <x:c r="H241" s="79"/>
      <x:c r="I241" s="75" t="str">
        <x:v>GBP</x:v>
      </x:c>
      <x:c r="J241" s="81"/>
      <x:c r="K241" s="83"/>
      <x:c r="L241" s="75" t="str">
        <x:v>Evidence needed</x:v>
      </x:c>
      <x:c r="M241" s="75" t="str">
        <x:v>Loan/swap terms and buyer-specific production evidence needed.</x:v>
      </x:c>
      <x:c r="N241" s="75" t="str">
        <x:v>Not assessed</x:v>
      </x:c>
      <x:c r="O241" s="75" t="str">
        <x:v>Broad Forward label only; not a certified striker cohort. No comparable production supplied for this deal.</x:v>
      </x:c>
      <x:c r="P241" s="75" t="str">
        <x:v>https://www.theguardian.com/football/ng-interactive/2026/sep/01/mens-transfer-window-summer-2026-all-deals-from-europes-top-five-leagues</x:v>
      </x:c>
    </x:row>
    <x:row r="242" ht="25" customHeight="1">
      <x:c r="A242" s="69" t="str">
        <x:v>summer-S26-0435</x:v>
      </x:c>
      <x:c r="B242" s="69" t="str">
        <x:v>Reigan Heskey</x:v>
      </x:c>
      <x:c r="C242" s="69" t="str">
        <x:v>Cologne</x:v>
      </x:c>
      <x:c r="D242" s="69" t="str">
        <x:v>Manchester City</x:v>
      </x:c>
      <x:c r="E242" s="76" t="d">
        <x:v>2026-07-17T00:00:00.000Z</x:v>
      </x:c>
      <x:c r="F242" s="69" t="str">
        <x:v>summer</x:v>
      </x:c>
      <x:c r="G242" s="69" t="str">
        <x:v>Forward — striker role unverified</x:v>
      </x:c>
      <x:c r="H242" s="78" t="n">
        <x:v>2000000</x:v>
      </x:c>
      <x:c r="I242" s="69" t="str">
        <x:v>GBP</x:v>
      </x:c>
      <x:c r="J242" s="80"/>
      <x:c r="K242" s="82"/>
      <x:c r="L242" s="69" t="str">
        <x:v>Evidence needed</x:v>
      </x:c>
      <x:c r="M242" s="69" t="str">
        <x:v>Reported fee available; verify striker role, production, age, availability and transfer before assigning a score.</x:v>
      </x:c>
      <x:c r="N242" s="69" t="str">
        <x:v>Not assessed</x:v>
      </x:c>
      <x:c r="O242" s="69" t="str">
        <x:v>Broad Forward label only; not a certified striker cohort. No comparable production supplied for this deal.</x:v>
      </x:c>
      <x:c r="P242" s="69" t="str">
        <x:v>https://www.theguardian.com/football/ng-interactive/2026/sep/01/mens-transfer-window-summer-2026-all-deals-from-europes-top-five-leagues</x:v>
      </x:c>
    </x:row>
    <x:row r="243" ht="25" customHeight="1">
      <x:c r="A243" s="75" t="str">
        <x:v>summer-S26-0437</x:v>
      </x:c>
      <x:c r="B243" s="75" t="str">
        <x:v>Grant-Leon Ranos</x:v>
      </x:c>
      <x:c r="C243" s="75" t="str">
        <x:v>CD Tenerife</x:v>
      </x:c>
      <x:c r="D243" s="75" t="str">
        <x:v>Borussia Mönchengladbach</x:v>
      </x:c>
      <x:c r="E243" s="77" t="d">
        <x:v>2026-07-17T00:00:00.000Z</x:v>
      </x:c>
      <x:c r="F243" s="75" t="str">
        <x:v>summer</x:v>
      </x:c>
      <x:c r="G243" s="75" t="str">
        <x:v>Forward — striker role unverified</x:v>
      </x:c>
      <x:c r="H243" s="79"/>
      <x:c r="I243" s="75" t="str">
        <x:v>GBP</x:v>
      </x:c>
      <x:c r="J243" s="81"/>
      <x:c r="K243" s="83"/>
      <x:c r="L243" s="75" t="str">
        <x:v>Evidence needed</x:v>
      </x:c>
      <x:c r="M243" s="75" t="str">
        <x:v>Undisclosed fee: cannot assess fee versus worth.</x:v>
      </x:c>
      <x:c r="N243" s="75" t="str">
        <x:v>Not assessed</x:v>
      </x:c>
      <x:c r="O243" s="75" t="str">
        <x:v>Broad Forward label only; not a certified striker cohort. No comparable production supplied for this deal.</x:v>
      </x:c>
      <x:c r="P243" s="75" t="str">
        <x:v>https://www.theguardian.com/football/ng-interactive/2026/sep/01/mens-transfer-window-summer-2026-all-deals-from-europes-top-five-leagues</x:v>
      </x:c>
    </x:row>
    <x:row r="244" ht="25" customHeight="1">
      <x:c r="A244" s="69" t="str">
        <x:v>summer-S26-0440</x:v>
      </x:c>
      <x:c r="B244" s="69" t="str">
        <x:v>Pierre-Emerick Aubameyang</x:v>
      </x:c>
      <x:c r="C244" s="69" t="str">
        <x:v>Deportivo La Coruña</x:v>
      </x:c>
      <x:c r="D244" s="69" t="str">
        <x:v>Marseille</x:v>
      </x:c>
      <x:c r="E244" s="76" t="d">
        <x:v>2026-07-16T00:00:00.000Z</x:v>
      </x:c>
      <x:c r="F244" s="69" t="str">
        <x:v>summer</x:v>
      </x:c>
      <x:c r="G244" s="69" t="str">
        <x:v>Forward — striker role unverified</x:v>
      </x:c>
      <x:c r="H244" s="78" t="n">
        <x:v>1300000</x:v>
      </x:c>
      <x:c r="I244" s="69" t="str">
        <x:v>GBP</x:v>
      </x:c>
      <x:c r="J244" s="80"/>
      <x:c r="K244" s="82"/>
      <x:c r="L244" s="69" t="str">
        <x:v>Evidence needed</x:v>
      </x:c>
      <x:c r="M244" s="69" t="str">
        <x:v>Reported fee available; verify striker role, production, age, availability and transfer before assigning a score.</x:v>
      </x:c>
      <x:c r="N244" s="69" t="str">
        <x:v>Not assessed</x:v>
      </x:c>
      <x:c r="O244" s="69" t="str">
        <x:v>Broad Forward label only; not a certified striker cohort. No comparable production supplied for this deal.</x:v>
      </x:c>
      <x:c r="P244" s="69" t="str">
        <x:v>https://www.theguardian.com/football/ng-interactive/2026/sep/01/mens-transfer-window-summer-2026-all-deals-from-europes-top-five-leagues</x:v>
      </x:c>
    </x:row>
    <x:row r="245" ht="25" customHeight="1">
      <x:c r="A245" s="75" t="str">
        <x:v>summer-S26-0444</x:v>
      </x:c>
      <x:c r="B245" s="75" t="str">
        <x:v>Erencan Yardimci</x:v>
      </x:c>
      <x:c r="C245" s="75" t="str">
        <x:v>Kaiserslautern</x:v>
      </x:c>
      <x:c r="D245" s="75" t="str">
        <x:v>Hoffenheim</x:v>
      </x:c>
      <x:c r="E245" s="77" t="d">
        <x:v>2026-07-18T00:00:00.000Z</x:v>
      </x:c>
      <x:c r="F245" s="75" t="str">
        <x:v>summer</x:v>
      </x:c>
      <x:c r="G245" s="75" t="str">
        <x:v>Forward — striker role unverified</x:v>
      </x:c>
      <x:c r="H245" s="79"/>
      <x:c r="I245" s="75" t="str">
        <x:v>GBP</x:v>
      </x:c>
      <x:c r="J245" s="81"/>
      <x:c r="K245" s="83"/>
      <x:c r="L245" s="75" t="str">
        <x:v>Evidence needed</x:v>
      </x:c>
      <x:c r="M245" s="75" t="str">
        <x:v>Loan/swap terms and buyer-specific production evidence needed.</x:v>
      </x:c>
      <x:c r="N245" s="75" t="str">
        <x:v>Not assessed</x:v>
      </x:c>
      <x:c r="O245" s="75" t="str">
        <x:v>Broad Forward label only; not a certified striker cohort. No comparable production supplied for this deal.</x:v>
      </x:c>
      <x:c r="P245" s="75" t="str">
        <x:v>https://www.theguardian.com/football/ng-interactive/2026/sep/01/mens-transfer-window-summer-2026-all-deals-from-europes-top-five-leagues</x:v>
      </x:c>
    </x:row>
    <x:row r="246" ht="25" customHeight="1">
      <x:c r="A246" s="69" t="str">
        <x:v>summer-S26-0450</x:v>
      </x:c>
      <x:c r="B246" s="69" t="str">
        <x:v>Aleksa Damjanovic</x:v>
      </x:c>
      <x:c r="C246" s="69" t="str">
        <x:v>Bayer Leverkusen</x:v>
      </x:c>
      <x:c r="D246" s="69" t="str">
        <x:v>Red Star Belgrade</x:v>
      </x:c>
      <x:c r="E246" s="76" t="d">
        <x:v>2026-02-13T00:00:00.000Z</x:v>
      </x:c>
      <x:c r="F246" s="69" t="str">
        <x:v>summer</x:v>
      </x:c>
      <x:c r="G246" s="69" t="str">
        <x:v>Forward — striker role unverified</x:v>
      </x:c>
      <x:c r="H246" s="78"/>
      <x:c r="I246" s="69" t="str">
        <x:v>GBP</x:v>
      </x:c>
      <x:c r="J246" s="80"/>
      <x:c r="K246" s="82"/>
      <x:c r="L246" s="69" t="str">
        <x:v>Evidence needed</x:v>
      </x:c>
      <x:c r="M246" s="69" t="str">
        <x:v>Undisclosed fee: cannot assess fee versus worth.</x:v>
      </x:c>
      <x:c r="N246" s="69" t="str">
        <x:v>Not assessed</x:v>
      </x:c>
      <x:c r="O246" s="69" t="str">
        <x:v>Broad Forward label only; not a certified striker cohort. No comparable production supplied for this deal.</x:v>
      </x:c>
      <x:c r="P246" s="69" t="str">
        <x:v>https://www.theguardian.com/football/ng-interactive/2026/sep/01/mens-transfer-window-summer-2026-all-deals-from-europes-top-five-leagues</x:v>
      </x:c>
    </x:row>
    <x:row r="247" ht="25" customHeight="1">
      <x:c r="A247" s="75" t="str">
        <x:v>summer-S26-0455</x:v>
      </x:c>
      <x:c r="B247" s="75" t="str">
        <x:v>Filip Marchwinski</x:v>
      </x:c>
      <x:c r="C247" s="75" t="str">
        <x:v>Cracovia</x:v>
      </x:c>
      <x:c r="D247" s="75" t="str">
        <x:v>Lecce</x:v>
      </x:c>
      <x:c r="E247" s="77" t="d">
        <x:v>2026-07-18T00:00:00.000Z</x:v>
      </x:c>
      <x:c r="F247" s="75" t="str">
        <x:v>summer</x:v>
      </x:c>
      <x:c r="G247" s="75" t="str">
        <x:v>Forward — striker role unverified</x:v>
      </x:c>
      <x:c r="H247" s="79"/>
      <x:c r="I247" s="75" t="str">
        <x:v>GBP</x:v>
      </x:c>
      <x:c r="J247" s="81"/>
      <x:c r="K247" s="83"/>
      <x:c r="L247" s="75" t="str">
        <x:v>Evidence needed</x:v>
      </x:c>
      <x:c r="M247" s="75" t="str">
        <x:v>Loan/swap terms and buyer-specific production evidence needed.</x:v>
      </x:c>
      <x:c r="N247" s="75" t="str">
        <x:v>Not assessed</x:v>
      </x:c>
      <x:c r="O247" s="75" t="str">
        <x:v>Broad Forward label only; not a certified striker cohort. No comparable production supplied for this deal.</x:v>
      </x:c>
      <x:c r="P247" s="75" t="str">
        <x:v>https://www.theguardian.com/football/ng-interactive/2026/sep/01/mens-transfer-window-summer-2026-all-deals-from-europes-top-five-leagues</x:v>
      </x:c>
    </x:row>
    <x:row r="248" ht="25" customHeight="1">
      <x:c r="A248" s="69" t="str">
        <x:v>summer-S26-0468</x:v>
      </x:c>
      <x:c r="B248" s="69" t="str">
        <x:v>Matty Warhurst</x:v>
      </x:c>
      <x:c r="C248" s="69" t="str">
        <x:v>Northampton</x:v>
      </x:c>
      <x:c r="D248" s="69" t="str">
        <x:v>Manchester City</x:v>
      </x:c>
      <x:c r="E248" s="76" t="d">
        <x:v>2026-07-21T00:00:00.000Z</x:v>
      </x:c>
      <x:c r="F248" s="69" t="str">
        <x:v>summer</x:v>
      </x:c>
      <x:c r="G248" s="69" t="str">
        <x:v>Forward — striker role unverified</x:v>
      </x:c>
      <x:c r="H248" s="78"/>
      <x:c r="I248" s="69" t="str">
        <x:v>GBP</x:v>
      </x:c>
      <x:c r="J248" s="80"/>
      <x:c r="K248" s="82"/>
      <x:c r="L248" s="69" t="str">
        <x:v>Evidence needed</x:v>
      </x:c>
      <x:c r="M248" s="69" t="str">
        <x:v>Undisclosed fee: cannot assess fee versus worth.</x:v>
      </x:c>
      <x:c r="N248" s="69" t="str">
        <x:v>Not assessed</x:v>
      </x:c>
      <x:c r="O248" s="69" t="str">
        <x:v>Broad Forward label only; not a certified striker cohort. No comparable production supplied for this deal.</x:v>
      </x:c>
      <x:c r="P248" s="69" t="str">
        <x:v>https://www.theguardian.com/football/ng-interactive/2026/sep/01/mens-transfer-window-summer-2026-all-deals-from-europes-top-five-leagues</x:v>
      </x:c>
    </x:row>
    <x:row r="249" ht="25" customHeight="1">
      <x:c r="A249" s="75" t="str">
        <x:v>summer-S26-0469</x:v>
      </x:c>
      <x:c r="B249" s="75" t="str">
        <x:v>Lassine Sinayoko</x:v>
      </x:c>
      <x:c r="C249" s="75" t="str">
        <x:v>Paris FC</x:v>
      </x:c>
      <x:c r="D249" s="75" t="str">
        <x:v>Auxerre</x:v>
      </x:c>
      <x:c r="E249" s="77" t="d">
        <x:v>2026-07-21T00:00:00.000Z</x:v>
      </x:c>
      <x:c r="F249" s="75" t="str">
        <x:v>summer</x:v>
      </x:c>
      <x:c r="G249" s="75" t="str">
        <x:v>Forward — striker role unverified</x:v>
      </x:c>
      <x:c r="H249" s="79" t="n">
        <x:v>6820000</x:v>
      </x:c>
      <x:c r="I249" s="75" t="str">
        <x:v>GBP</x:v>
      </x:c>
      <x:c r="J249" s="81"/>
      <x:c r="K249" s="83"/>
      <x:c r="L249" s="75" t="str">
        <x:v>Evidence needed</x:v>
      </x:c>
      <x:c r="M249" s="75" t="str">
        <x:v>Reported fee available; verify striker role, production, age, availability and transfer before assigning a score.</x:v>
      </x:c>
      <x:c r="N249" s="75" t="str">
        <x:v>Not assessed</x:v>
      </x:c>
      <x:c r="O249" s="75" t="str">
        <x:v>Broad Forward label only; not a certified striker cohort. No comparable production supplied for this deal.</x:v>
      </x:c>
      <x:c r="P249" s="75" t="str">
        <x:v>https://www.theguardian.com/football/ng-interactive/2026/sep/01/mens-transfer-window-summer-2026-all-deals-from-europes-top-five-leagues</x:v>
      </x:c>
    </x:row>
    <x:row r="250" ht="25" customHeight="1">
      <x:c r="A250" s="69" t="str">
        <x:v>summer-S26-0470</x:v>
      </x:c>
      <x:c r="B250" s="69" t="str">
        <x:v>Alejo Sarco</x:v>
      </x:c>
      <x:c r="C250" s="69" t="str">
        <x:v>Sporting Gijón</x:v>
      </x:c>
      <x:c r="D250" s="69" t="str">
        <x:v>Bayer Leverkusen</x:v>
      </x:c>
      <x:c r="E250" s="76" t="d">
        <x:v>2026-07-21T00:00:00.000Z</x:v>
      </x:c>
      <x:c r="F250" s="69" t="str">
        <x:v>summer</x:v>
      </x:c>
      <x:c r="G250" s="69" t="str">
        <x:v>Forward — striker role unverified</x:v>
      </x:c>
      <x:c r="H250" s="78"/>
      <x:c r="I250" s="69" t="str">
        <x:v>GBP</x:v>
      </x:c>
      <x:c r="J250" s="80"/>
      <x:c r="K250" s="82"/>
      <x:c r="L250" s="69" t="str">
        <x:v>Evidence needed</x:v>
      </x:c>
      <x:c r="M250" s="69" t="str">
        <x:v>Undisclosed fee: cannot assess fee versus worth.</x:v>
      </x:c>
      <x:c r="N250" s="69" t="str">
        <x:v>Not assessed</x:v>
      </x:c>
      <x:c r="O250" s="69" t="str">
        <x:v>Broad Forward label only; not a certified striker cohort. No comparable production supplied for this deal.</x:v>
      </x:c>
      <x:c r="P250" s="69" t="str">
        <x:v>https://www.theguardian.com/football/ng-interactive/2026/sep/01/mens-transfer-window-summer-2026-all-deals-from-europes-top-five-leagues</x:v>
      </x:c>
    </x:row>
    <x:row r="251" ht="25" customHeight="1">
      <x:c r="A251" s="75" t="str">
        <x:v>summer-S26-0471</x:v>
      </x:c>
      <x:c r="B251" s="75" t="str">
        <x:v>Yannick Eduardo</x:v>
      </x:c>
      <x:c r="C251" s="75" t="str">
        <x:v>ADO Den Haag</x:v>
      </x:c>
      <x:c r="D251" s="75" t="str">
        <x:v>Hoffenheim</x:v>
      </x:c>
      <x:c r="E251" s="77" t="d">
        <x:v>2026-07-21T00:00:00.000Z</x:v>
      </x:c>
      <x:c r="F251" s="75" t="str">
        <x:v>summer</x:v>
      </x:c>
      <x:c r="G251" s="75" t="str">
        <x:v>Forward — striker role unverified</x:v>
      </x:c>
      <x:c r="H251" s="79"/>
      <x:c r="I251" s="75" t="str">
        <x:v>GBP</x:v>
      </x:c>
      <x:c r="J251" s="81"/>
      <x:c r="K251" s="83"/>
      <x:c r="L251" s="75" t="str">
        <x:v>Evidence needed</x:v>
      </x:c>
      <x:c r="M251" s="75" t="str">
        <x:v>Loan/swap terms and buyer-specific production evidence needed.</x:v>
      </x:c>
      <x:c r="N251" s="75" t="str">
        <x:v>Not assessed</x:v>
      </x:c>
      <x:c r="O251" s="75" t="str">
        <x:v>Broad Forward label only; not a certified striker cohort. No comparable production supplied for this deal.</x:v>
      </x:c>
      <x:c r="P251" s="75" t="str">
        <x:v>https://www.theguardian.com/football/ng-interactive/2026/sep/01/mens-transfer-window-summer-2026-all-deals-from-europes-top-five-leagues</x:v>
      </x:c>
    </x:row>
    <x:row r="252" ht="25" customHeight="1">
      <x:c r="A252" s="69" t="str">
        <x:v>summer-S26-0474</x:v>
      </x:c>
      <x:c r="B252" s="69" t="str">
        <x:v>Amine El Ouazzani</x:v>
      </x:c>
      <x:c r="C252" s="69" t="str">
        <x:v>Angers</x:v>
      </x:c>
      <x:c r="D252" s="69" t="str">
        <x:v>Braga</x:v>
      </x:c>
      <x:c r="E252" s="76" t="d">
        <x:v>2026-07-20T00:00:00.000Z</x:v>
      </x:c>
      <x:c r="F252" s="69" t="str">
        <x:v>summer</x:v>
      </x:c>
      <x:c r="G252" s="69" t="str">
        <x:v>Forward — striker role unverified</x:v>
      </x:c>
      <x:c r="H252" s="78"/>
      <x:c r="I252" s="69" t="str">
        <x:v>GBP</x:v>
      </x:c>
      <x:c r="J252" s="80"/>
      <x:c r="K252" s="82"/>
      <x:c r="L252" s="69" t="str">
        <x:v>Evidence needed</x:v>
      </x:c>
      <x:c r="M252" s="69" t="str">
        <x:v>Loan/swap terms and buyer-specific production evidence needed.</x:v>
      </x:c>
      <x:c r="N252" s="69" t="str">
        <x:v>Not assessed</x:v>
      </x:c>
      <x:c r="O252" s="69" t="str">
        <x:v>Broad Forward label only; not a certified striker cohort. No comparable production supplied for this deal.</x:v>
      </x:c>
      <x:c r="P252" s="69" t="str">
        <x:v>https://www.theguardian.com/football/ng-interactive/2026/sep/01/mens-transfer-window-summer-2026-all-deals-from-europes-top-five-leagues</x:v>
      </x:c>
    </x:row>
    <x:row r="253" ht="25" customHeight="1">
      <x:c r="A253" s="75" t="str">
        <x:v>summer-S26-0488</x:v>
      </x:c>
      <x:c r="B253" s="75" t="str">
        <x:v>Daniel Fila</x:v>
      </x:c>
      <x:c r="C253" s="75" t="str">
        <x:v>Avellino</x:v>
      </x:c>
      <x:c r="D253" s="75" t="str">
        <x:v>Venezia</x:v>
      </x:c>
      <x:c r="E253" s="77" t="d">
        <x:v>2026-07-21T00:00:00.000Z</x:v>
      </x:c>
      <x:c r="F253" s="75" t="str">
        <x:v>summer</x:v>
      </x:c>
      <x:c r="G253" s="75" t="str">
        <x:v>Forward — striker role unverified</x:v>
      </x:c>
      <x:c r="H253" s="79"/>
      <x:c r="I253" s="75" t="str">
        <x:v>GBP</x:v>
      </x:c>
      <x:c r="J253" s="81"/>
      <x:c r="K253" s="83"/>
      <x:c r="L253" s="75" t="str">
        <x:v>Evidence needed</x:v>
      </x:c>
      <x:c r="M253" s="75" t="str">
        <x:v>Loan/swap terms and buyer-specific production evidence needed.</x:v>
      </x:c>
      <x:c r="N253" s="75" t="str">
        <x:v>Not assessed</x:v>
      </x:c>
      <x:c r="O253" s="75" t="str">
        <x:v>Broad Forward label only; not a certified striker cohort. No comparable production supplied for this deal.</x:v>
      </x:c>
      <x:c r="P253" s="75" t="str">
        <x:v>https://www.theguardian.com/football/ng-interactive/2026/sep/01/mens-transfer-window-summer-2026-all-deals-from-europes-top-five-leagues</x:v>
      </x:c>
    </x:row>
    <x:row r="254" ht="25" customHeight="1">
      <x:c r="A254" s="69" t="str">
        <x:v>summer-S26-0489</x:v>
      </x:c>
      <x:c r="B254" s="69" t="str">
        <x:v>Filippo Distefano</x:v>
      </x:c>
      <x:c r="C254" s="69" t="str">
        <x:v>Empoli</x:v>
      </x:c>
      <x:c r="D254" s="69" t="str">
        <x:v>Fiorentina</x:v>
      </x:c>
      <x:c r="E254" s="76" t="d">
        <x:v>2026-07-21T00:00:00.000Z</x:v>
      </x:c>
      <x:c r="F254" s="69" t="str">
        <x:v>summer</x:v>
      </x:c>
      <x:c r="G254" s="69" t="str">
        <x:v>Forward — striker role unverified</x:v>
      </x:c>
      <x:c r="H254" s="78"/>
      <x:c r="I254" s="69" t="str">
        <x:v>GBP</x:v>
      </x:c>
      <x:c r="J254" s="80"/>
      <x:c r="K254" s="82"/>
      <x:c r="L254" s="69" t="str">
        <x:v>Evidence needed</x:v>
      </x:c>
      <x:c r="M254" s="69" t="str">
        <x:v>Undisclosed fee: cannot assess fee versus worth.</x:v>
      </x:c>
      <x:c r="N254" s="69" t="str">
        <x:v>Not assessed</x:v>
      </x:c>
      <x:c r="O254" s="69" t="str">
        <x:v>Broad Forward label only; not a certified striker cohort. No comparable production supplied for this deal.</x:v>
      </x:c>
      <x:c r="P254" s="69" t="str">
        <x:v>https://www.theguardian.com/football/ng-interactive/2026/sep/01/mens-transfer-window-summer-2026-all-deals-from-europes-top-five-leagues</x:v>
      </x:c>
    </x:row>
    <x:row r="255" ht="25" customHeight="1">
      <x:c r="A255" s="75" t="str">
        <x:v>summer-S26-0494</x:v>
      </x:c>
      <x:c r="B255" s="75" t="str">
        <x:v>Patson Daka</x:v>
      </x:c>
      <x:c r="C255" s="75" t="str">
        <x:v>Hamburg</x:v>
      </x:c>
      <x:c r="D255" s="75" t="str">
        <x:v>Leicester City</x:v>
      </x:c>
      <x:c r="E255" s="77" t="d">
        <x:v>2026-07-22T00:00:00.000Z</x:v>
      </x:c>
      <x:c r="F255" s="75" t="str">
        <x:v>summer</x:v>
      </x:c>
      <x:c r="G255" s="75" t="str">
        <x:v>Forward — striker role unverified</x:v>
      </x:c>
      <x:c r="H255" s="79"/>
      <x:c r="I255" s="75" t="str">
        <x:v>GBP</x:v>
      </x:c>
      <x:c r="J255" s="81"/>
      <x:c r="K255" s="83"/>
      <x:c r="L255" s="75" t="str">
        <x:v>Evidence needed</x:v>
      </x:c>
      <x:c r="M255" s="75" t="str">
        <x:v>Free base fee excludes wages and other costs; role and production evidence needed.</x:v>
      </x:c>
      <x:c r="N255" s="75" t="str">
        <x:v>Not assessed</x:v>
      </x:c>
      <x:c r="O255" s="75" t="str">
        <x:v>Broad Forward label only; not a certified striker cohort. No comparable production supplied for this deal.</x:v>
      </x:c>
      <x:c r="P255" s="75" t="str">
        <x:v>https://www.theguardian.com/football/ng-interactive/2026/sep/01/mens-transfer-window-summer-2026-all-deals-from-europes-top-five-leagues</x:v>
      </x:c>
    </x:row>
    <x:row r="256" ht="25" customHeight="1">
      <x:c r="A256" s="69" t="str">
        <x:v>summer-S26-0499</x:v>
      </x:c>
      <x:c r="B256" s="69" t="str">
        <x:v>Will Lankshear</x:v>
      </x:c>
      <x:c r="C256" s="69" t="str">
        <x:v>Middlesbrough</x:v>
      </x:c>
      <x:c r="D256" s="69" t="str">
        <x:v>Tottenham Hotspur</x:v>
      </x:c>
      <x:c r="E256" s="76" t="d">
        <x:v>2026-07-22T00:00:00.000Z</x:v>
      </x:c>
      <x:c r="F256" s="69" t="str">
        <x:v>summer</x:v>
      </x:c>
      <x:c r="G256" s="69" t="str">
        <x:v>Forward — striker role unverified</x:v>
      </x:c>
      <x:c r="H256" s="78" t="n">
        <x:v>20000000</x:v>
      </x:c>
      <x:c r="I256" s="69" t="str">
        <x:v>GBP</x:v>
      </x:c>
      <x:c r="J256" s="80"/>
      <x:c r="K256" s="82"/>
      <x:c r="L256" s="69" t="str">
        <x:v>Evidence needed</x:v>
      </x:c>
      <x:c r="M256" s="69" t="str">
        <x:v>Reported fee available; verify striker role, production, age, availability and transfer before assigning a score.</x:v>
      </x:c>
      <x:c r="N256" s="69" t="str">
        <x:v>Not assessed</x:v>
      </x:c>
      <x:c r="O256" s="69" t="str">
        <x:v>Broad Forward label only; not a certified striker cohort. No comparable production supplied for this deal.</x:v>
      </x:c>
      <x:c r="P256" s="69" t="str">
        <x:v>https://www.theguardian.com/football/ng-interactive/2026/sep/01/mens-transfer-window-summer-2026-all-deals-from-europes-top-five-leagues</x:v>
      </x:c>
    </x:row>
    <x:row r="257" ht="25" customHeight="1">
      <x:c r="A257" s="75" t="str">
        <x:v>summer-S26-0503</x:v>
      </x:c>
      <x:c r="B257" s="75" t="str">
        <x:v>Luigi Caccavo</x:v>
      </x:c>
      <x:c r="C257" s="75" t="str">
        <x:v>Bologna</x:v>
      </x:c>
      <x:c r="D257" s="75" t="str">
        <x:v>Lumezzane</x:v>
      </x:c>
      <x:c r="E257" s="77" t="d">
        <x:v>2026-07-01T00:00:00.000Z</x:v>
      </x:c>
      <x:c r="F257" s="75" t="str">
        <x:v>summer</x:v>
      </x:c>
      <x:c r="G257" s="75" t="str">
        <x:v>Forward — striker role unverified</x:v>
      </x:c>
      <x:c r="H257" s="79" t="n">
        <x:v>300000</x:v>
      </x:c>
      <x:c r="I257" s="75" t="str">
        <x:v>GBP</x:v>
      </x:c>
      <x:c r="J257" s="81"/>
      <x:c r="K257" s="83"/>
      <x:c r="L257" s="75" t="str">
        <x:v>Evidence needed</x:v>
      </x:c>
      <x:c r="M257" s="75" t="str">
        <x:v>Reported fee available; verify striker role, production, age, availability and transfer before assigning a score.</x:v>
      </x:c>
      <x:c r="N257" s="75" t="str">
        <x:v>Not assessed</x:v>
      </x:c>
      <x:c r="O257" s="75" t="str">
        <x:v>Broad Forward label only; not a certified striker cohort. No comparable production supplied for this deal.</x:v>
      </x:c>
      <x:c r="P257" s="75" t="str">
        <x:v>https://www.theguardian.com/football/ng-interactive/2026/sep/01/mens-transfer-window-summer-2026-all-deals-from-europes-top-five-leagues</x:v>
      </x:c>
    </x:row>
    <x:row r="258" ht="25" customHeight="1">
      <x:c r="A258" s="69" t="str">
        <x:v>summer-S26-0504</x:v>
      </x:c>
      <x:c r="B258" s="69" t="str">
        <x:v>Luigi Caccavo</x:v>
      </x:c>
      <x:c r="C258" s="69" t="str">
        <x:v>Juve Stabia</x:v>
      </x:c>
      <x:c r="D258" s="69" t="str">
        <x:v>Bologna</x:v>
      </x:c>
      <x:c r="E258" s="76" t="d">
        <x:v>2026-07-18T00:00:00.000Z</x:v>
      </x:c>
      <x:c r="F258" s="69" t="str">
        <x:v>summer</x:v>
      </x:c>
      <x:c r="G258" s="69" t="str">
        <x:v>Forward — striker role unverified</x:v>
      </x:c>
      <x:c r="H258" s="78"/>
      <x:c r="I258" s="69" t="str">
        <x:v>GBP</x:v>
      </x:c>
      <x:c r="J258" s="80"/>
      <x:c r="K258" s="82"/>
      <x:c r="L258" s="69" t="str">
        <x:v>Evidence needed</x:v>
      </x:c>
      <x:c r="M258" s="69" t="str">
        <x:v>Loan/swap terms and buyer-specific production evidence needed.</x:v>
      </x:c>
      <x:c r="N258" s="69" t="str">
        <x:v>Not assessed</x:v>
      </x:c>
      <x:c r="O258" s="69" t="str">
        <x:v>Broad Forward label only; not a certified striker cohort. No comparable production supplied for this deal.</x:v>
      </x:c>
      <x:c r="P258" s="69" t="str">
        <x:v>https://www.theguardian.com/football/ng-interactive/2026/sep/01/mens-transfer-window-summer-2026-all-deals-from-europes-top-five-leagues</x:v>
      </x:c>
    </x:row>
    <x:row r="259" ht="25" customHeight="1">
      <x:c r="A259" s="75" t="str">
        <x:v>summer-S26-0512</x:v>
      </x:c>
      <x:c r="B259" s="75" t="str">
        <x:v>Kevin Cannavò</x:v>
      </x:c>
      <x:c r="C259" s="75" t="str">
        <x:v>Spezia</x:v>
      </x:c>
      <x:c r="D259" s="75" t="str">
        <x:v>Venezia</x:v>
      </x:c>
      <x:c r="E259" s="77" t="d">
        <x:v>2026-07-13T00:00:00.000Z</x:v>
      </x:c>
      <x:c r="F259" s="75" t="str">
        <x:v>summer</x:v>
      </x:c>
      <x:c r="G259" s="75" t="str">
        <x:v>Forward — striker role unverified</x:v>
      </x:c>
      <x:c r="H259" s="79"/>
      <x:c r="I259" s="75" t="str">
        <x:v>GBP</x:v>
      </x:c>
      <x:c r="J259" s="81"/>
      <x:c r="K259" s="83"/>
      <x:c r="L259" s="75" t="str">
        <x:v>Evidence needed</x:v>
      </x:c>
      <x:c r="M259" s="75" t="str">
        <x:v>Loan/swap terms and buyer-specific production evidence needed.</x:v>
      </x:c>
      <x:c r="N259" s="75" t="str">
        <x:v>Not assessed</x:v>
      </x:c>
      <x:c r="O259" s="75" t="str">
        <x:v>Broad Forward label only; not a certified striker cohort. No comparable production supplied for this deal.</x:v>
      </x:c>
      <x:c r="P259" s="75" t="str">
        <x:v>https://www.theguardian.com/football/ng-interactive/2026/sep/01/mens-transfer-window-summer-2026-all-deals-from-europes-top-five-leagues</x:v>
      </x:c>
    </x:row>
    <x:row r="260" ht="25" customHeight="1">
      <x:c r="A260" s="69" t="str">
        <x:v>summer-S26-0516</x:v>
      </x:c>
      <x:c r="B260" s="69" t="str">
        <x:v>Alessandro Selvini</x:v>
      </x:c>
      <x:c r="C260" s="69" t="str">
        <x:v>Pineto</x:v>
      </x:c>
      <x:c r="D260" s="69" t="str">
        <x:v>Frosinone</x:v>
      </x:c>
      <x:c r="E260" s="76" t="d">
        <x:v>2026-07-05T00:00:00.000Z</x:v>
      </x:c>
      <x:c r="F260" s="69" t="str">
        <x:v>summer</x:v>
      </x:c>
      <x:c r="G260" s="69" t="str">
        <x:v>Forward — striker role unverified</x:v>
      </x:c>
      <x:c r="H260" s="78"/>
      <x:c r="I260" s="69" t="str">
        <x:v>GBP</x:v>
      </x:c>
      <x:c r="J260" s="80"/>
      <x:c r="K260" s="82"/>
      <x:c r="L260" s="69" t="str">
        <x:v>Evidence needed</x:v>
      </x:c>
      <x:c r="M260" s="69" t="str">
        <x:v>Undisclosed fee: cannot assess fee versus worth.</x:v>
      </x:c>
      <x:c r="N260" s="69" t="str">
        <x:v>Not assessed</x:v>
      </x:c>
      <x:c r="O260" s="69" t="str">
        <x:v>Broad Forward label only; not a certified striker cohort. No comparable production supplied for this deal.</x:v>
      </x:c>
      <x:c r="P260" s="69" t="str">
        <x:v>https://www.theguardian.com/football/ng-interactive/2026/sep/01/mens-transfer-window-summer-2026-all-deals-from-europes-top-five-leagues</x:v>
      </x:c>
    </x:row>
    <x:row r="261" ht="25" customHeight="1">
      <x:c r="A261" s="75" t="str">
        <x:v>summer-S26-0517</x:v>
      </x:c>
      <x:c r="B261" s="75" t="str">
        <x:v>Lorenzo Gori</x:v>
      </x:c>
      <x:c r="C261" s="75" t="str">
        <x:v>Grosseto</x:v>
      </x:c>
      <x:c r="D261" s="75" t="str">
        <x:v>Frosinone</x:v>
      </x:c>
      <x:c r="E261" s="77" t="d">
        <x:v>2026-07-14T00:00:00.000Z</x:v>
      </x:c>
      <x:c r="F261" s="75" t="str">
        <x:v>summer</x:v>
      </x:c>
      <x:c r="G261" s="75" t="str">
        <x:v>Forward — striker role unverified</x:v>
      </x:c>
      <x:c r="H261" s="79"/>
      <x:c r="I261" s="75" t="str">
        <x:v>GBP</x:v>
      </x:c>
      <x:c r="J261" s="81"/>
      <x:c r="K261" s="83"/>
      <x:c r="L261" s="75" t="str">
        <x:v>Evidence needed</x:v>
      </x:c>
      <x:c r="M261" s="75" t="str">
        <x:v>Loan/swap terms and buyer-specific production evidence needed.</x:v>
      </x:c>
      <x:c r="N261" s="75" t="str">
        <x:v>Not assessed</x:v>
      </x:c>
      <x:c r="O261" s="75" t="str">
        <x:v>Broad Forward label only; not a certified striker cohort. No comparable production supplied for this deal.</x:v>
      </x:c>
      <x:c r="P261" s="75" t="str">
        <x:v>https://www.theguardian.com/football/ng-interactive/2026/sep/01/mens-transfer-window-summer-2026-all-deals-from-europes-top-five-leagues</x:v>
      </x:c>
    </x:row>
    <x:row r="262" ht="25" customHeight="1">
      <x:c r="A262" s="69" t="str">
        <x:v>summer-S26-0520</x:v>
      </x:c>
      <x:c r="B262" s="69" t="str">
        <x:v>Ibrahim Cissoko</x:v>
      </x:c>
      <x:c r="C262" s="69" t="str">
        <x:v>PEC Zwolle</x:v>
      </x:c>
      <x:c r="D262" s="69" t="str">
        <x:v>Toulouse</x:v>
      </x:c>
      <x:c r="E262" s="76" t="d">
        <x:v>2026-07-22T00:00:00.000Z</x:v>
      </x:c>
      <x:c r="F262" s="69" t="str">
        <x:v>summer</x:v>
      </x:c>
      <x:c r="G262" s="69" t="str">
        <x:v>Forward — striker role unverified</x:v>
      </x:c>
      <x:c r="H262" s="78"/>
      <x:c r="I262" s="69" t="str">
        <x:v>GBP</x:v>
      </x:c>
      <x:c r="J262" s="80"/>
      <x:c r="K262" s="82"/>
      <x:c r="L262" s="69" t="str">
        <x:v>Evidence needed</x:v>
      </x:c>
      <x:c r="M262" s="69" t="str">
        <x:v>Undisclosed fee: cannot assess fee versus worth.</x:v>
      </x:c>
      <x:c r="N262" s="69" t="str">
        <x:v>Not assessed</x:v>
      </x:c>
      <x:c r="O262" s="69" t="str">
        <x:v>Broad Forward label only; not a certified striker cohort. No comparable production supplied for this deal.</x:v>
      </x:c>
      <x:c r="P262" s="69" t="str">
        <x:v>https://www.theguardian.com/football/ng-interactive/2026/sep/01/mens-transfer-window-summer-2026-all-deals-from-europes-top-five-leagues</x:v>
      </x:c>
    </x:row>
    <x:row r="263" ht="25" customHeight="1">
      <x:c r="A263" s="75" t="str">
        <x:v>summer-S26-0523</x:v>
      </x:c>
      <x:c r="B263" s="75" t="str">
        <x:v>Akor Adams</x:v>
      </x:c>
      <x:c r="C263" s="75" t="str">
        <x:v>Venezia</x:v>
      </x:c>
      <x:c r="D263" s="75" t="str">
        <x:v>Sevilla</x:v>
      </x:c>
      <x:c r="E263" s="77" t="d">
        <x:v>2026-07-22T00:00:00.000Z</x:v>
      </x:c>
      <x:c r="F263" s="75" t="str">
        <x:v>summer</x:v>
      </x:c>
      <x:c r="G263" s="75" t="str">
        <x:v>Forward — striker role unverified</x:v>
      </x:c>
      <x:c r="H263" s="79" t="n">
        <x:v>14500000</x:v>
      </x:c>
      <x:c r="I263" s="75" t="str">
        <x:v>GBP</x:v>
      </x:c>
      <x:c r="J263" s="81"/>
      <x:c r="K263" s="83"/>
      <x:c r="L263" s="75" t="str">
        <x:v>Evidence needed</x:v>
      </x:c>
      <x:c r="M263" s="75" t="str">
        <x:v>Reported fee available; verify striker role, production, age, availability and transfer before assigning a score.</x:v>
      </x:c>
      <x:c r="N263" s="75" t="str">
        <x:v>Not assessed</x:v>
      </x:c>
      <x:c r="O263" s="75" t="str">
        <x:v>Broad Forward label only; not a certified striker cohort. No comparable production supplied for this deal.</x:v>
      </x:c>
      <x:c r="P263" s="75" t="str">
        <x:v>https://www.theguardian.com/football/ng-interactive/2026/sep/01/mens-transfer-window-summer-2026-all-deals-from-europes-top-five-leagues</x:v>
      </x:c>
    </x:row>
    <x:row r="264" ht="25" customHeight="1">
      <x:c r="A264" s="69" t="str">
        <x:v>summer-S26-0528</x:v>
      </x:c>
      <x:c r="B264" s="69" t="str">
        <x:v>Norman Bassette</x:v>
      </x:c>
      <x:c r="C264" s="69" t="str">
        <x:v>Westerlo</x:v>
      </x:c>
      <x:c r="D264" s="69" t="str">
        <x:v>Coventry City</x:v>
      </x:c>
      <x:c r="E264" s="76" t="d">
        <x:v>2026-07-22T00:00:00.000Z</x:v>
      </x:c>
      <x:c r="F264" s="69" t="str">
        <x:v>summer</x:v>
      </x:c>
      <x:c r="G264" s="69" t="str">
        <x:v>Forward — striker role unverified</x:v>
      </x:c>
      <x:c r="H264" s="78"/>
      <x:c r="I264" s="69" t="str">
        <x:v>GBP</x:v>
      </x:c>
      <x:c r="J264" s="80"/>
      <x:c r="K264" s="82"/>
      <x:c r="L264" s="69" t="str">
        <x:v>Evidence needed</x:v>
      </x:c>
      <x:c r="M264" s="69" t="str">
        <x:v>Loan/swap terms and buyer-specific production evidence needed.</x:v>
      </x:c>
      <x:c r="N264" s="69" t="str">
        <x:v>Not assessed</x:v>
      </x:c>
      <x:c r="O264" s="69" t="str">
        <x:v>Broad Forward label only; not a certified striker cohort. No comparable production supplied for this deal.</x:v>
      </x:c>
      <x:c r="P264" s="69" t="str">
        <x:v>https://www.theguardian.com/football/ng-interactive/2026/sep/01/mens-transfer-window-summer-2026-all-deals-from-europes-top-five-leagues</x:v>
      </x:c>
    </x:row>
    <x:row r="265" ht="25" customHeight="1">
      <x:c r="A265" s="75" t="str">
        <x:v>summer-S26-0542</x:v>
      </x:c>
      <x:c r="B265" s="75" t="str">
        <x:v>Zépiqueno Redmond</x:v>
      </x:c>
      <x:c r="C265" s="75" t="str">
        <x:v>Annecy</x:v>
      </x:c>
      <x:c r="D265" s="75" t="str">
        <x:v>Aston Villa</x:v>
      </x:c>
      <x:c r="E265" s="77" t="d">
        <x:v>2026-07-07T00:00:00.000Z</x:v>
      </x:c>
      <x:c r="F265" s="75" t="str">
        <x:v>summer</x:v>
      </x:c>
      <x:c r="G265" s="75" t="str">
        <x:v>Forward — striker role unverified</x:v>
      </x:c>
      <x:c r="H265" s="79"/>
      <x:c r="I265" s="75" t="str">
        <x:v>GBP</x:v>
      </x:c>
      <x:c r="J265" s="81"/>
      <x:c r="K265" s="83"/>
      <x:c r="L265" s="75" t="str">
        <x:v>Evidence needed</x:v>
      </x:c>
      <x:c r="M265" s="75" t="str">
        <x:v>Loan/swap terms and buyer-specific production evidence needed.</x:v>
      </x:c>
      <x:c r="N265" s="75" t="str">
        <x:v>Not assessed</x:v>
      </x:c>
      <x:c r="O265" s="75" t="str">
        <x:v>Broad Forward label only; not a certified striker cohort. No comparable production supplied for this deal.</x:v>
      </x:c>
      <x:c r="P265" s="75" t="str">
        <x:v>https://www.theguardian.com/football/ng-interactive/2026/sep/01/mens-transfer-window-summer-2026-all-deals-from-europes-top-five-leagues</x:v>
      </x:c>
    </x:row>
    <x:row r="266" ht="25" customHeight="1">
      <x:c r="A266" s="69" t="str">
        <x:v>summer-S26-0555</x:v>
      </x:c>
      <x:c r="B266" s="69" t="str">
        <x:v>Sota Nakamura</x:v>
      </x:c>
      <x:c r="C266" s="69" t="str">
        <x:v>Le Havre</x:v>
      </x:c>
      <x:c r="D266" s="69" t="str">
        <x:v>Sanfrecce Hiroshima</x:v>
      </x:c>
      <x:c r="E266" s="76" t="d">
        <x:v>2026-07-18T00:00:00.000Z</x:v>
      </x:c>
      <x:c r="F266" s="69" t="str">
        <x:v>summer</x:v>
      </x:c>
      <x:c r="G266" s="69" t="str">
        <x:v>Forward — striker role unverified</x:v>
      </x:c>
      <x:c r="H266" s="78"/>
      <x:c r="I266" s="69" t="str">
        <x:v>GBP</x:v>
      </x:c>
      <x:c r="J266" s="80"/>
      <x:c r="K266" s="82"/>
      <x:c r="L266" s="69" t="str">
        <x:v>Evidence needed</x:v>
      </x:c>
      <x:c r="M266" s="69" t="str">
        <x:v>Loan/swap terms and buyer-specific production evidence needed.</x:v>
      </x:c>
      <x:c r="N266" s="69" t="str">
        <x:v>Not assessed</x:v>
      </x:c>
      <x:c r="O266" s="69" t="str">
        <x:v>Broad Forward label only; not a certified striker cohort. No comparable production supplied for this deal.</x:v>
      </x:c>
      <x:c r="P266" s="69" t="str">
        <x:v>https://www.theguardian.com/football/ng-interactive/2026/sep/01/mens-transfer-window-summer-2026-all-deals-from-europes-top-five-leagues</x:v>
      </x:c>
    </x:row>
    <x:row r="267" ht="25" customHeight="1">
      <x:c r="A267" s="75" t="str">
        <x:v>summer-S26-0559</x:v>
      </x:c>
      <x:c r="B267" s="75" t="str">
        <x:v>Iker Bravo</x:v>
      </x:c>
      <x:c r="C267" s="75" t="str">
        <x:v>Watford</x:v>
      </x:c>
      <x:c r="D267" s="75" t="str">
        <x:v>Udinese</x:v>
      </x:c>
      <x:c r="E267" s="77" t="d">
        <x:v>2026-07-24T00:00:00.000Z</x:v>
      </x:c>
      <x:c r="F267" s="75" t="str">
        <x:v>summer</x:v>
      </x:c>
      <x:c r="G267" s="75" t="str">
        <x:v>Forward — striker role unverified</x:v>
      </x:c>
      <x:c r="H267" s="79"/>
      <x:c r="I267" s="75" t="str">
        <x:v>GBP</x:v>
      </x:c>
      <x:c r="J267" s="81"/>
      <x:c r="K267" s="83"/>
      <x:c r="L267" s="75" t="str">
        <x:v>Evidence needed</x:v>
      </x:c>
      <x:c r="M267" s="75" t="str">
        <x:v>Undisclosed fee: cannot assess fee versus worth.</x:v>
      </x:c>
      <x:c r="N267" s="75" t="str">
        <x:v>Not assessed</x:v>
      </x:c>
      <x:c r="O267" s="75" t="str">
        <x:v>Broad Forward label only; not a certified striker cohort. No comparable production supplied for this deal.</x:v>
      </x:c>
      <x:c r="P267" s="75" t="str">
        <x:v>https://www.theguardian.com/football/ng-interactive/2026/sep/01/mens-transfer-window-summer-2026-all-deals-from-europes-top-five-leagues</x:v>
      </x:c>
    </x:row>
    <x:row r="268" ht="25" customHeight="1">
      <x:c r="A268" s="69" t="str">
        <x:v>summer-S26-0561</x:v>
      </x:c>
      <x:c r="B268" s="69" t="str">
        <x:v>Francesco Camarda</x:v>
      </x:c>
      <x:c r="C268" s="69" t="str">
        <x:v>Milan</x:v>
      </x:c>
      <x:c r="D268" s="69" t="str">
        <x:v>Lecce</x:v>
      </x:c>
      <x:c r="E268" s="76" t="d">
        <x:v>2026-07-01T00:00:00.000Z</x:v>
      </x:c>
      <x:c r="F268" s="69" t="str">
        <x:v>summer</x:v>
      </x:c>
      <x:c r="G268" s="69" t="str">
        <x:v>Forward — striker role unverified</x:v>
      </x:c>
      <x:c r="H268" s="78" t="n">
        <x:v>3400000</x:v>
      </x:c>
      <x:c r="I268" s="69" t="str">
        <x:v>GBP</x:v>
      </x:c>
      <x:c r="J268" s="80"/>
      <x:c r="K268" s="82"/>
      <x:c r="L268" s="69" t="str">
        <x:v>Evidence needed</x:v>
      </x:c>
      <x:c r="M268" s="69" t="str">
        <x:v>Reported fee available; verify striker role, production, age, availability and transfer before assigning a score.</x:v>
      </x:c>
      <x:c r="N268" s="69" t="str">
        <x:v>Not assessed</x:v>
      </x:c>
      <x:c r="O268" s="69" t="str">
        <x:v>Broad Forward label only; not a certified striker cohort. No comparable production supplied for this deal.</x:v>
      </x:c>
      <x:c r="P268" s="69" t="str">
        <x:v>https://www.theguardian.com/football/ng-interactive/2026/sep/01/mens-transfer-window-summer-2026-all-deals-from-europes-top-five-leagues</x:v>
      </x:c>
    </x:row>
    <x:row r="269" ht="25" customHeight="1">
      <x:c r="A269" s="75" t="str">
        <x:v>summer-S26-0567</x:v>
      </x:c>
      <x:c r="B269" s="75" t="str">
        <x:v>Luca Kjerrumgaard</x:v>
      </x:c>
      <x:c r="C269" s="75" t="str">
        <x:v>Watford</x:v>
      </x:c>
      <x:c r="D269" s="75" t="str">
        <x:v>Udinese</x:v>
      </x:c>
      <x:c r="E269" s="77" t="d">
        <x:v>2026-07-24T00:00:00.000Z</x:v>
      </x:c>
      <x:c r="F269" s="75" t="str">
        <x:v>summer</x:v>
      </x:c>
      <x:c r="G269" s="75" t="str">
        <x:v>Forward — striker role unverified</x:v>
      </x:c>
      <x:c r="H269" s="79"/>
      <x:c r="I269" s="75" t="str">
        <x:v>GBP</x:v>
      </x:c>
      <x:c r="J269" s="81"/>
      <x:c r="K269" s="83"/>
      <x:c r="L269" s="75" t="str">
        <x:v>Evidence needed</x:v>
      </x:c>
      <x:c r="M269" s="75" t="str">
        <x:v>Undisclosed fee: cannot assess fee versus worth.</x:v>
      </x:c>
      <x:c r="N269" s="75" t="str">
        <x:v>Not assessed</x:v>
      </x:c>
      <x:c r="O269" s="75" t="str">
        <x:v>Broad Forward label only; not a certified striker cohort. No comparable production supplied for this deal.</x:v>
      </x:c>
      <x:c r="P269" s="75" t="str">
        <x:v>https://www.theguardian.com/football/ng-interactive/2026/sep/01/mens-transfer-window-summer-2026-all-deals-from-europes-top-five-leagues</x:v>
      </x:c>
    </x:row>
    <x:row r="270" ht="25" customHeight="1">
      <x:c r="A270" s="69" t="str">
        <x:v>summer-S26-0569</x:v>
      </x:c>
      <x:c r="B270" s="69" t="str">
        <x:v>Alessio Vacca</x:v>
      </x:c>
      <x:c r="C270" s="69" t="str">
        <x:v>Caratese</x:v>
      </x:c>
      <x:c r="D270" s="69" t="str">
        <x:v>Juventus</x:v>
      </x:c>
      <x:c r="E270" s="76" t="d">
        <x:v>2026-07-24T00:00:00.000Z</x:v>
      </x:c>
      <x:c r="F270" s="69" t="str">
        <x:v>summer</x:v>
      </x:c>
      <x:c r="G270" s="69" t="str">
        <x:v>Forward — striker role unverified</x:v>
      </x:c>
      <x:c r="H270" s="78"/>
      <x:c r="I270" s="69" t="str">
        <x:v>GBP</x:v>
      </x:c>
      <x:c r="J270" s="80"/>
      <x:c r="K270" s="82"/>
      <x:c r="L270" s="69" t="str">
        <x:v>Evidence needed</x:v>
      </x:c>
      <x:c r="M270" s="69" t="str">
        <x:v>Loan/swap terms and buyer-specific production evidence needed.</x:v>
      </x:c>
      <x:c r="N270" s="69" t="str">
        <x:v>Not assessed</x:v>
      </x:c>
      <x:c r="O270" s="69" t="str">
        <x:v>Broad Forward label only; not a certified striker cohort. No comparable production supplied for this deal.</x:v>
      </x:c>
      <x:c r="P270" s="69" t="str">
        <x:v>https://www.theguardian.com/football/ng-interactive/2026/sep/01/mens-transfer-window-summer-2026-all-deals-from-europes-top-five-leagues</x:v>
      </x:c>
    </x:row>
    <x:row r="271" ht="25" customHeight="1">
      <x:c r="A271" s="75" t="str">
        <x:v>summer-S26-0575</x:v>
      </x:c>
      <x:c r="B271" s="75" t="str">
        <x:v>Daizen Maeda</x:v>
      </x:c>
      <x:c r="C271" s="75" t="str">
        <x:v>Ipswich Town</x:v>
      </x:c>
      <x:c r="D271" s="75" t="str">
        <x:v>Celtic</x:v>
      </x:c>
      <x:c r="E271" s="77" t="d">
        <x:v>2026-07-25T00:00:00.000Z</x:v>
      </x:c>
      <x:c r="F271" s="75" t="str">
        <x:v>summer</x:v>
      </x:c>
      <x:c r="G271" s="75" t="str">
        <x:v>Forward — striker role unverified</x:v>
      </x:c>
      <x:c r="H271" s="79" t="n">
        <x:v>10000000</x:v>
      </x:c>
      <x:c r="I271" s="75" t="str">
        <x:v>GBP</x:v>
      </x:c>
      <x:c r="J271" s="81"/>
      <x:c r="K271" s="83"/>
      <x:c r="L271" s="75" t="str">
        <x:v>Evidence needed</x:v>
      </x:c>
      <x:c r="M271" s="75" t="str">
        <x:v>Reported fee available; verify striker role, production, age, availability and transfer before assigning a score.</x:v>
      </x:c>
      <x:c r="N271" s="75" t="str">
        <x:v>Not assessed</x:v>
      </x:c>
      <x:c r="O271" s="75" t="str">
        <x:v>Broad Forward label only; not a certified striker cohort. No comparable production supplied for this deal.</x:v>
      </x:c>
      <x:c r="P271" s="75" t="str">
        <x:v>https://www.theguardian.com/football/ng-interactive/2026/sep/01/mens-transfer-window-summer-2026-all-deals-from-europes-top-five-leagues</x:v>
      </x:c>
    </x:row>
    <x:row r="272" ht="25" customHeight="1">
      <x:c r="A272" s="69" t="str">
        <x:v>summer-S26-0578</x:v>
      </x:c>
      <x:c r="B272" s="69" t="str">
        <x:v>Carlos Fernández</x:v>
      </x:c>
      <x:c r="C272" s="69" t="str">
        <x:v>Real Oviedo</x:v>
      </x:c>
      <x:c r="D272" s="69" t="str">
        <x:v>Real Sociedad</x:v>
      </x:c>
      <x:c r="E272" s="76" t="d">
        <x:v>2026-07-25T00:00:00.000Z</x:v>
      </x:c>
      <x:c r="F272" s="69" t="str">
        <x:v>summer</x:v>
      </x:c>
      <x:c r="G272" s="69" t="str">
        <x:v>Forward — striker role unverified</x:v>
      </x:c>
      <x:c r="H272" s="78"/>
      <x:c r="I272" s="69" t="str">
        <x:v>GBP</x:v>
      </x:c>
      <x:c r="J272" s="80"/>
      <x:c r="K272" s="82"/>
      <x:c r="L272" s="69" t="str">
        <x:v>Evidence needed</x:v>
      </x:c>
      <x:c r="M272" s="69" t="str">
        <x:v>Undisclosed fee: cannot assess fee versus worth.</x:v>
      </x:c>
      <x:c r="N272" s="69" t="str">
        <x:v>Not assessed</x:v>
      </x:c>
      <x:c r="O272" s="69" t="str">
        <x:v>Broad Forward label only; not a certified striker cohort. No comparable production supplied for this deal.</x:v>
      </x:c>
      <x:c r="P272" s="69" t="str">
        <x:v>https://www.theguardian.com/football/ng-interactive/2026/sep/01/mens-transfer-window-summer-2026-all-deals-from-europes-top-five-leagues</x:v>
      </x:c>
    </x:row>
    <x:row r="273" ht="25" customHeight="1">
      <x:c r="A273" s="75" t="str">
        <x:v>summer-S26-0595</x:v>
      </x:c>
      <x:c r="B273" s="75" t="str">
        <x:v>Wesley Saïd</x:v>
      </x:c>
      <x:c r="C273" s="75" t="str">
        <x:v>Al-Shamal</x:v>
      </x:c>
      <x:c r="D273" s="75" t="str">
        <x:v>Lens</x:v>
      </x:c>
      <x:c r="E273" s="77" t="d">
        <x:v>2026-07-19T00:00:00.000Z</x:v>
      </x:c>
      <x:c r="F273" s="75" t="str">
        <x:v>summer</x:v>
      </x:c>
      <x:c r="G273" s="75" t="str">
        <x:v>Forward — striker role unverified</x:v>
      </x:c>
      <x:c r="H273" s="79"/>
      <x:c r="I273" s="75" t="str">
        <x:v>GBP</x:v>
      </x:c>
      <x:c r="J273" s="81"/>
      <x:c r="K273" s="83"/>
      <x:c r="L273" s="75" t="str">
        <x:v>Evidence needed</x:v>
      </x:c>
      <x:c r="M273" s="75" t="str">
        <x:v>Free base fee excludes wages and other costs; role and production evidence needed.</x:v>
      </x:c>
      <x:c r="N273" s="75" t="str">
        <x:v>Not assessed</x:v>
      </x:c>
      <x:c r="O273" s="75" t="str">
        <x:v>Broad Forward label only; not a certified striker cohort. No comparable production supplied for this deal.</x:v>
      </x:c>
      <x:c r="P273" s="75" t="str">
        <x:v>https://www.theguardian.com/football/ng-interactive/2026/sep/01/mens-transfer-window-summer-2026-all-deals-from-europes-top-five-leagues</x:v>
      </x:c>
    </x:row>
    <x:row r="274" ht="25" customHeight="1">
      <x:c r="A274" s="69" t="str">
        <x:v>summer-S26-0603</x:v>
      </x:c>
      <x:c r="B274" s="69" t="str">
        <x:v>Gift Orban</x:v>
      </x:c>
      <x:c r="C274" s="69" t="str">
        <x:v>Amedspor</x:v>
      </x:c>
      <x:c r="D274" s="69" t="str">
        <x:v>Hoffenheim</x:v>
      </x:c>
      <x:c r="E274" s="76" t="d">
        <x:v>2026-07-27T00:00:00.000Z</x:v>
      </x:c>
      <x:c r="F274" s="69" t="str">
        <x:v>summer</x:v>
      </x:c>
      <x:c r="G274" s="69" t="str">
        <x:v>Forward — striker role unverified</x:v>
      </x:c>
      <x:c r="H274" s="78"/>
      <x:c r="I274" s="69" t="str">
        <x:v>GBP</x:v>
      </x:c>
      <x:c r="J274" s="80"/>
      <x:c r="K274" s="82"/>
      <x:c r="L274" s="69" t="str">
        <x:v>Evidence needed</x:v>
      </x:c>
      <x:c r="M274" s="69" t="str">
        <x:v>Loan/swap terms and buyer-specific production evidence needed.</x:v>
      </x:c>
      <x:c r="N274" s="69" t="str">
        <x:v>Not assessed</x:v>
      </x:c>
      <x:c r="O274" s="69" t="str">
        <x:v>Broad Forward label only; not a certified striker cohort. No comparable production supplied for this deal.</x:v>
      </x:c>
      <x:c r="P274" s="69" t="str">
        <x:v>https://www.theguardian.com/football/ng-interactive/2026/sep/01/mens-transfer-window-summer-2026-all-deals-from-europes-top-five-leagues</x:v>
      </x:c>
    </x:row>
    <x:row r="275" ht="25" customHeight="1">
      <x:c r="A275" s="75" t="str">
        <x:v>summer-S26-0604</x:v>
      </x:c>
      <x:c r="B275" s="75" t="str">
        <x:v>Gustavo Varela</x:v>
      </x:c>
      <x:c r="C275" s="75" t="str">
        <x:v>Monza</x:v>
      </x:c>
      <x:c r="D275" s="75" t="str">
        <x:v>Benfica</x:v>
      </x:c>
      <x:c r="E275" s="77" t="d">
        <x:v>2026-07-27T00:00:00.000Z</x:v>
      </x:c>
      <x:c r="F275" s="75" t="str">
        <x:v>summer</x:v>
      </x:c>
      <x:c r="G275" s="75" t="str">
        <x:v>Forward — striker role unverified</x:v>
      </x:c>
      <x:c r="H275" s="79" t="n">
        <x:v>1700000</x:v>
      </x:c>
      <x:c r="I275" s="75" t="str">
        <x:v>GBP</x:v>
      </x:c>
      <x:c r="J275" s="81"/>
      <x:c r="K275" s="83"/>
      <x:c r="L275" s="75" t="str">
        <x:v>Evidence needed</x:v>
      </x:c>
      <x:c r="M275" s="75" t="str">
        <x:v>Reported fee available; verify striker role, production, age, availability and transfer before assigning a score.</x:v>
      </x:c>
      <x:c r="N275" s="75" t="str">
        <x:v>Not assessed</x:v>
      </x:c>
      <x:c r="O275" s="75" t="str">
        <x:v>Broad Forward label only; not a certified striker cohort. No comparable production supplied for this deal.</x:v>
      </x:c>
      <x:c r="P275" s="75" t="str">
        <x:v>https://www.theguardian.com/football/ng-interactive/2026/sep/01/mens-transfer-window-summer-2026-all-deals-from-europes-top-five-leagues</x:v>
      </x:c>
    </x:row>
    <x:row r="276" ht="25" customHeight="1">
      <x:c r="A276" s="69" t="str">
        <x:v>summer-S26-0605</x:v>
      </x:c>
      <x:c r="B276" s="69" t="str">
        <x:v>Lanroy Machine</x:v>
      </x:c>
      <x:c r="C276" s="69" t="str">
        <x:v>Heerenveen</x:v>
      </x:c>
      <x:c r="D276" s="69" t="str">
        <x:v>Angers</x:v>
      </x:c>
      <x:c r="E276" s="76" t="d">
        <x:v>2026-07-27T00:00:00.000Z</x:v>
      </x:c>
      <x:c r="F276" s="69" t="str">
        <x:v>summer</x:v>
      </x:c>
      <x:c r="G276" s="69" t="str">
        <x:v>Forward — striker role unverified</x:v>
      </x:c>
      <x:c r="H276" s="78"/>
      <x:c r="I276" s="69" t="str">
        <x:v>GBP</x:v>
      </x:c>
      <x:c r="J276" s="80"/>
      <x:c r="K276" s="82"/>
      <x:c r="L276" s="69" t="str">
        <x:v>Evidence needed</x:v>
      </x:c>
      <x:c r="M276" s="69" t="str">
        <x:v>Loan/swap terms and buyer-specific production evidence needed.</x:v>
      </x:c>
      <x:c r="N276" s="69" t="str">
        <x:v>Not assessed</x:v>
      </x:c>
      <x:c r="O276" s="69" t="str">
        <x:v>Broad Forward label only; not a certified striker cohort. No comparable production supplied for this deal.</x:v>
      </x:c>
      <x:c r="P276" s="69" t="str">
        <x:v>https://www.theguardian.com/football/ng-interactive/2026/sep/01/mens-transfer-window-summer-2026-all-deals-from-europes-top-five-leagues</x:v>
      </x:c>
    </x:row>
    <x:row r="277" ht="25" customHeight="1">
      <x:c r="A277" s="75" t="str">
        <x:v>summer-S26-0613</x:v>
      </x:c>
      <x:c r="B277" s="75" t="str">
        <x:v>Fynn Schenten</x:v>
      </x:c>
      <x:c r="C277" s="75" t="str">
        <x:v>Roda JC</x:v>
      </x:c>
      <x:c r="D277" s="75" t="str">
        <x:v>Cologne</x:v>
      </x:c>
      <x:c r="E277" s="77" t="d">
        <x:v>2026-07-28T00:00:00.000Z</x:v>
      </x:c>
      <x:c r="F277" s="75" t="str">
        <x:v>summer</x:v>
      </x:c>
      <x:c r="G277" s="75" t="str">
        <x:v>Forward — striker role unverified</x:v>
      </x:c>
      <x:c r="H277" s="79"/>
      <x:c r="I277" s="75" t="str">
        <x:v>GBP</x:v>
      </x:c>
      <x:c r="J277" s="81"/>
      <x:c r="K277" s="83"/>
      <x:c r="L277" s="75" t="str">
        <x:v>Evidence needed</x:v>
      </x:c>
      <x:c r="M277" s="75" t="str">
        <x:v>Loan/swap terms and buyer-specific production evidence needed.</x:v>
      </x:c>
      <x:c r="N277" s="75" t="str">
        <x:v>Not assessed</x:v>
      </x:c>
      <x:c r="O277" s="75" t="str">
        <x:v>Broad Forward label only; not a certified striker cohort. No comparable production supplied for this deal.</x:v>
      </x:c>
      <x:c r="P277" s="75" t="str">
        <x:v>https://www.theguardian.com/football/ng-interactive/2026/sep/01/mens-transfer-window-summer-2026-all-deals-from-europes-top-five-leagues</x:v>
      </x:c>
    </x:row>
    <x:row r="278" ht="25" customHeight="1">
      <x:c r="A278" s="69" t="str">
        <x:v>summer-S26-0616</x:v>
      </x:c>
      <x:c r="B278" s="69" t="str">
        <x:v>Loïs Openda</x:v>
      </x:c>
      <x:c r="C278" s="69" t="str">
        <x:v>Lyon</x:v>
      </x:c>
      <x:c r="D278" s="69" t="str">
        <x:v>Juventus</x:v>
      </x:c>
      <x:c r="E278" s="76" t="d">
        <x:v>2026-07-28T00:00:00.000Z</x:v>
      </x:c>
      <x:c r="F278" s="69" t="str">
        <x:v>summer</x:v>
      </x:c>
      <x:c r="G278" s="69" t="str">
        <x:v>Forward — striker role unverified</x:v>
      </x:c>
      <x:c r="H278" s="78"/>
      <x:c r="I278" s="69" t="str">
        <x:v>GBP</x:v>
      </x:c>
      <x:c r="J278" s="80"/>
      <x:c r="K278" s="82"/>
      <x:c r="L278" s="69" t="str">
        <x:v>Evidence needed</x:v>
      </x:c>
      <x:c r="M278" s="69" t="str">
        <x:v>Loan/swap terms and buyer-specific production evidence needed.</x:v>
      </x:c>
      <x:c r="N278" s="69" t="str">
        <x:v>Not assessed</x:v>
      </x:c>
      <x:c r="O278" s="69" t="str">
        <x:v>Broad Forward label only; not a certified striker cohort. No comparable production supplied for this deal.</x:v>
      </x:c>
      <x:c r="P278" s="69" t="str">
        <x:v>https://www.theguardian.com/football/ng-interactive/2026/sep/01/mens-transfer-window-summer-2026-all-deals-from-europes-top-five-leagues</x:v>
      </x:c>
    </x:row>
    <x:row r="279" ht="25" customHeight="1">
      <x:c r="A279" s="75" t="str">
        <x:v>summer-S26-0617</x:v>
      </x:c>
      <x:c r="B279" s="75" t="str">
        <x:v>Adrian Benedyczak</x:v>
      </x:c>
      <x:c r="C279" s="75" t="str">
        <x:v>Kasimpasa</x:v>
      </x:c>
      <x:c r="D279" s="75" t="str">
        <x:v>Parma</x:v>
      </x:c>
      <x:c r="E279" s="77" t="d">
        <x:v>2026-07-28T00:00:00.000Z</x:v>
      </x:c>
      <x:c r="F279" s="75" t="str">
        <x:v>summer</x:v>
      </x:c>
      <x:c r="G279" s="75" t="str">
        <x:v>Forward — striker role unverified</x:v>
      </x:c>
      <x:c r="H279" s="79" t="n">
        <x:v>3400000</x:v>
      </x:c>
      <x:c r="I279" s="75" t="str">
        <x:v>GBP</x:v>
      </x:c>
      <x:c r="J279" s="81"/>
      <x:c r="K279" s="83"/>
      <x:c r="L279" s="75" t="str">
        <x:v>Evidence needed</x:v>
      </x:c>
      <x:c r="M279" s="75" t="str">
        <x:v>Reported fee available; verify striker role, production, age, availability and transfer before assigning a score.</x:v>
      </x:c>
      <x:c r="N279" s="75" t="str">
        <x:v>Not assessed</x:v>
      </x:c>
      <x:c r="O279" s="75" t="str">
        <x:v>Broad Forward label only; not a certified striker cohort. No comparable production supplied for this deal.</x:v>
      </x:c>
      <x:c r="P279" s="75" t="str">
        <x:v>https://www.theguardian.com/football/ng-interactive/2026/sep/01/mens-transfer-window-summer-2026-all-deals-from-europes-top-five-leagues</x:v>
      </x:c>
    </x:row>
    <x:row r="280" ht="25" customHeight="1">
      <x:c r="A280" s="69" t="str">
        <x:v>summer-S26-0622</x:v>
      </x:c>
      <x:c r="B280" s="69" t="str">
        <x:v>Rémy Labeau-Lascary</x:v>
      </x:c>
      <x:c r="C280" s="69" t="str">
        <x:v>Auxerre</x:v>
      </x:c>
      <x:c r="D280" s="69" t="str">
        <x:v>Lens</x:v>
      </x:c>
      <x:c r="E280" s="76" t="d">
        <x:v>2026-07-27T00:00:00.000Z</x:v>
      </x:c>
      <x:c r="F280" s="69" t="str">
        <x:v>summer</x:v>
      </x:c>
      <x:c r="G280" s="69" t="str">
        <x:v>Forward — striker role unverified</x:v>
      </x:c>
      <x:c r="H280" s="78"/>
      <x:c r="I280" s="69" t="str">
        <x:v>GBP</x:v>
      </x:c>
      <x:c r="J280" s="80"/>
      <x:c r="K280" s="82"/>
      <x:c r="L280" s="69" t="str">
        <x:v>Evidence needed</x:v>
      </x:c>
      <x:c r="M280" s="69" t="str">
        <x:v>Loan/swap terms and buyer-specific production evidence needed.</x:v>
      </x:c>
      <x:c r="N280" s="69" t="str">
        <x:v>Not assessed</x:v>
      </x:c>
      <x:c r="O280" s="69" t="str">
        <x:v>Broad Forward label only; not a certified striker cohort. No comparable production supplied for this deal.</x:v>
      </x:c>
      <x:c r="P280" s="69" t="str">
        <x:v>https://www.theguardian.com/football/ng-interactive/2026/sep/01/mens-transfer-window-summer-2026-all-deals-from-europes-top-five-leagues</x:v>
      </x:c>
    </x:row>
    <x:row r="281" ht="25" customHeight="1">
      <x:c r="A281" s="75" t="str">
        <x:v>summer-S26-0635</x:v>
      </x:c>
      <x:c r="B281" s="75" t="str">
        <x:v>Unai Ropero</x:v>
      </x:c>
      <x:c r="C281" s="75" t="str">
        <x:v>Racing Ferrol</x:v>
      </x:c>
      <x:c r="D281" s="75" t="str">
        <x:v>Alavés</x:v>
      </x:c>
      <x:c r="E281" s="77" t="d">
        <x:v>2026-07-08T00:00:00.000Z</x:v>
      </x:c>
      <x:c r="F281" s="75" t="str">
        <x:v>summer</x:v>
      </x:c>
      <x:c r="G281" s="75" t="str">
        <x:v>Forward — striker role unverified</x:v>
      </x:c>
      <x:c r="H281" s="79"/>
      <x:c r="I281" s="75" t="str">
        <x:v>GBP</x:v>
      </x:c>
      <x:c r="J281" s="81"/>
      <x:c r="K281" s="83"/>
      <x:c r="L281" s="75" t="str">
        <x:v>Evidence needed</x:v>
      </x:c>
      <x:c r="M281" s="75" t="str">
        <x:v>Loan/swap terms and buyer-specific production evidence needed.</x:v>
      </x:c>
      <x:c r="N281" s="75" t="str">
        <x:v>Not assessed</x:v>
      </x:c>
      <x:c r="O281" s="75" t="str">
        <x:v>Broad Forward label only; not a certified striker cohort. No comparable production supplied for this deal.</x:v>
      </x:c>
      <x:c r="P281" s="75" t="str">
        <x:v>https://www.theguardian.com/football/ng-interactive/2026/sep/01/mens-transfer-window-summer-2026-all-deals-from-europes-top-five-leagues</x:v>
      </x:c>
    </x:row>
    <x:row r="282" ht="25" customHeight="1">
      <x:c r="A282" s="69" t="str">
        <x:v>summer-S26-0636</x:v>
      </x:c>
      <x:c r="B282" s="69" t="str">
        <x:v>Hamza Bellari</x:v>
      </x:c>
      <x:c r="C282" s="69" t="str">
        <x:v>Castellón</x:v>
      </x:c>
      <x:c r="D282" s="69" t="str">
        <x:v>Valencia</x:v>
      </x:c>
      <x:c r="E282" s="76" t="d">
        <x:v>2026-07-08T00:00:00.000Z</x:v>
      </x:c>
      <x:c r="F282" s="69" t="str">
        <x:v>summer</x:v>
      </x:c>
      <x:c r="G282" s="69" t="str">
        <x:v>Forward — striker role unverified</x:v>
      </x:c>
      <x:c r="H282" s="78"/>
      <x:c r="I282" s="69" t="str">
        <x:v>GBP</x:v>
      </x:c>
      <x:c r="J282" s="80"/>
      <x:c r="K282" s="82"/>
      <x:c r="L282" s="69" t="str">
        <x:v>Evidence needed</x:v>
      </x:c>
      <x:c r="M282" s="69" t="str">
        <x:v>Free base fee excludes wages and other costs; role and production evidence needed.</x:v>
      </x:c>
      <x:c r="N282" s="69" t="str">
        <x:v>Not assessed</x:v>
      </x:c>
      <x:c r="O282" s="69" t="str">
        <x:v>Broad Forward label only; not a certified striker cohort. No comparable production supplied for this deal.</x:v>
      </x:c>
      <x:c r="P282" s="69" t="str">
        <x:v>https://www.theguardian.com/football/ng-interactive/2026/sep/01/mens-transfer-window-summer-2026-all-deals-from-europes-top-five-leagues</x:v>
      </x:c>
    </x:row>
    <x:row r="283" ht="25" customHeight="1">
      <x:c r="A283" s="75" t="str">
        <x:v>summer-S26-0653</x:v>
      </x:c>
      <x:c r="B283" s="75" t="str">
        <x:v>Carlos Lumbreras</x:v>
      </x:c>
      <x:c r="C283" s="75" t="str">
        <x:v>Eibar</x:v>
      </x:c>
      <x:c r="D283" s="75" t="str">
        <x:v>Osasuna</x:v>
      </x:c>
      <x:c r="E283" s="77" t="d">
        <x:v>2026-07-01T00:00:00.000Z</x:v>
      </x:c>
      <x:c r="F283" s="75" t="str">
        <x:v>summer</x:v>
      </x:c>
      <x:c r="G283" s="75" t="str">
        <x:v>Forward — striker role unverified</x:v>
      </x:c>
      <x:c r="H283" s="79"/>
      <x:c r="I283" s="75" t="str">
        <x:v>GBP</x:v>
      </x:c>
      <x:c r="J283" s="81"/>
      <x:c r="K283" s="83"/>
      <x:c r="L283" s="75" t="str">
        <x:v>Evidence needed</x:v>
      </x:c>
      <x:c r="M283" s="75" t="str">
        <x:v>Free base fee excludes wages and other costs; role and production evidence needed.</x:v>
      </x:c>
      <x:c r="N283" s="75" t="str">
        <x:v>Not assessed</x:v>
      </x:c>
      <x:c r="O283" s="75" t="str">
        <x:v>Broad Forward label only; not a certified striker cohort. No comparable production supplied for this deal.</x:v>
      </x:c>
      <x:c r="P283" s="75" t="str">
        <x:v>https://www.theguardian.com/football/ng-interactive/2026/sep/01/mens-transfer-window-summer-2026-all-deals-from-europes-top-five-leagues</x:v>
      </x:c>
    </x:row>
    <x:row r="284" ht="25" customHeight="1">
      <x:c r="A284" s="69" t="str">
        <x:v>summer-S26-0657</x:v>
      </x:c>
      <x:c r="B284" s="69" t="str">
        <x:v>Diego Morcillo</x:v>
      </x:c>
      <x:c r="C284" s="69" t="str">
        <x:v>Real Jaén</x:v>
      </x:c>
      <x:c r="D284" s="69" t="str">
        <x:v>Alavés</x:v>
      </x:c>
      <x:c r="E284" s="76" t="d">
        <x:v>2026-06-29T00:00:00.000Z</x:v>
      </x:c>
      <x:c r="F284" s="69" t="str">
        <x:v>summer</x:v>
      </x:c>
      <x:c r="G284" s="69" t="str">
        <x:v>Forward — striker role unverified</x:v>
      </x:c>
      <x:c r="H284" s="78"/>
      <x:c r="I284" s="69" t="str">
        <x:v>GBP</x:v>
      </x:c>
      <x:c r="J284" s="80"/>
      <x:c r="K284" s="82"/>
      <x:c r="L284" s="69" t="str">
        <x:v>Evidence needed</x:v>
      </x:c>
      <x:c r="M284" s="69" t="str">
        <x:v>Free base fee excludes wages and other costs; role and production evidence needed.</x:v>
      </x:c>
      <x:c r="N284" s="69" t="str">
        <x:v>Not assessed</x:v>
      </x:c>
      <x:c r="O284" s="69" t="str">
        <x:v>Broad Forward label only; not a certified striker cohort. No comparable production supplied for this deal.</x:v>
      </x:c>
      <x:c r="P284" s="69" t="str">
        <x:v>https://www.theguardian.com/football/ng-interactive/2026/sep/01/mens-transfer-window-summer-2026-all-deals-from-europes-top-five-leagues</x:v>
      </x:c>
    </x:row>
    <x:row r="285" ht="25" customHeight="1">
      <x:c r="A285" s="75" t="str">
        <x:v>summer-S26-0665</x:v>
      </x:c>
      <x:c r="B285" s="75" t="str">
        <x:v>Damián Pizarro</x:v>
      </x:c>
      <x:c r="C285" s="75" t="str">
        <x:v>Audax Italiano</x:v>
      </x:c>
      <x:c r="D285" s="75" t="str">
        <x:v>Udinese</x:v>
      </x:c>
      <x:c r="E285" s="77" t="d">
        <x:v>2026-07-29T00:00:00.000Z</x:v>
      </x:c>
      <x:c r="F285" s="75" t="str">
        <x:v>summer</x:v>
      </x:c>
      <x:c r="G285" s="75" t="str">
        <x:v>Forward — striker role unverified</x:v>
      </x:c>
      <x:c r="H285" s="79"/>
      <x:c r="I285" s="75" t="str">
        <x:v>GBP</x:v>
      </x:c>
      <x:c r="J285" s="81"/>
      <x:c r="K285" s="83"/>
      <x:c r="L285" s="75" t="str">
        <x:v>Evidence needed</x:v>
      </x:c>
      <x:c r="M285" s="75" t="str">
        <x:v>Loan/swap terms and buyer-specific production evidence needed.</x:v>
      </x:c>
      <x:c r="N285" s="75" t="str">
        <x:v>Not assessed</x:v>
      </x:c>
      <x:c r="O285" s="75" t="str">
        <x:v>Broad Forward label only; not a certified striker cohort. No comparable production supplied for this deal.</x:v>
      </x:c>
      <x:c r="P285" s="75" t="str">
        <x:v>https://www.theguardian.com/football/ng-interactive/2026/sep/01/mens-transfer-window-summer-2026-all-deals-from-europes-top-five-leagues</x:v>
      </x:c>
    </x:row>
    <x:row r="286" ht="25" customHeight="1">
      <x:c r="A286" s="69" t="str">
        <x:v>summer-S26-0670</x:v>
      </x:c>
      <x:c r="B286" s="69" t="str">
        <x:v>Gennaro Anatriello</x:v>
      </x:c>
      <x:c r="C286" s="69" t="str">
        <x:v>Lumezzane</x:v>
      </x:c>
      <x:c r="D286" s="69" t="str">
        <x:v>Bologna</x:v>
      </x:c>
      <x:c r="E286" s="76" t="d">
        <x:v>2026-07-27T00:00:00.000Z</x:v>
      </x:c>
      <x:c r="F286" s="69" t="str">
        <x:v>summer</x:v>
      </x:c>
      <x:c r="G286" s="69" t="str">
        <x:v>Forward — striker role unverified</x:v>
      </x:c>
      <x:c r="H286" s="78"/>
      <x:c r="I286" s="69" t="str">
        <x:v>GBP</x:v>
      </x:c>
      <x:c r="J286" s="80"/>
      <x:c r="K286" s="82"/>
      <x:c r="L286" s="69" t="str">
        <x:v>Evidence needed</x:v>
      </x:c>
      <x:c r="M286" s="69" t="str">
        <x:v>Loan/swap terms and buyer-specific production evidence needed.</x:v>
      </x:c>
      <x:c r="N286" s="69" t="str">
        <x:v>Not assessed</x:v>
      </x:c>
      <x:c r="O286" s="69" t="str">
        <x:v>Broad Forward label only; not a certified striker cohort. No comparable production supplied for this deal.</x:v>
      </x:c>
      <x:c r="P286" s="69" t="str">
        <x:v>https://www.theguardian.com/football/ng-interactive/2026/sep/01/mens-transfer-window-summer-2026-all-deals-from-europes-top-five-leagues</x:v>
      </x:c>
    </x:row>
    <x:row r="287" ht="25" customHeight="1">
      <x:c r="A287" s="75" t="str">
        <x:v>summer-S26-0673</x:v>
      </x:c>
      <x:c r="B287" s="75" t="str">
        <x:v>Santiago Castro</x:v>
      </x:c>
      <x:c r="C287" s="75" t="str">
        <x:v>Roma</x:v>
      </x:c>
      <x:c r="D287" s="75" t="str">
        <x:v>Bologna</x:v>
      </x:c>
      <x:c r="E287" s="77" t="d">
        <x:v>2026-07-30T00:00:00.000Z</x:v>
      </x:c>
      <x:c r="F287" s="75" t="str">
        <x:v>summer</x:v>
      </x:c>
      <x:c r="G287" s="75" t="str">
        <x:v>Forward — striker role unverified</x:v>
      </x:c>
      <x:c r="H287" s="79" t="n">
        <x:v>29980000</x:v>
      </x:c>
      <x:c r="I287" s="75" t="str">
        <x:v>GBP</x:v>
      </x:c>
      <x:c r="J287" s="81"/>
      <x:c r="K287" s="83"/>
      <x:c r="L287" s="75" t="str">
        <x:v>Evidence needed</x:v>
      </x:c>
      <x:c r="M287" s="75" t="str">
        <x:v>Reported fee available; verify striker role, production, age, availability and transfer before assigning a score.</x:v>
      </x:c>
      <x:c r="N287" s="75" t="str">
        <x:v>Not assessed</x:v>
      </x:c>
      <x:c r="O287" s="75" t="str">
        <x:v>Broad Forward label only; not a certified striker cohort. No comparable production supplied for this deal.</x:v>
      </x:c>
      <x:c r="P287" s="75" t="str">
        <x:v>https://www.theguardian.com/football/ng-interactive/2026/sep/01/mens-transfer-window-summer-2026-all-deals-from-europes-top-five-leagues</x:v>
      </x:c>
    </x:row>
    <x:row r="288" ht="25" customHeight="1">
      <x:c r="A288" s="69" t="str">
        <x:v>summer-S26-0678</x:v>
      </x:c>
      <x:c r="B288" s="69" t="str">
        <x:v>Matthis Abline</x:v>
      </x:c>
      <x:c r="C288" s="69" t="str">
        <x:v>Monaco</x:v>
      </x:c>
      <x:c r="D288" s="69" t="str">
        <x:v>Nantes</x:v>
      </x:c>
      <x:c r="E288" s="76" t="d">
        <x:v>2026-07-30T00:00:00.000Z</x:v>
      </x:c>
      <x:c r="F288" s="69" t="str">
        <x:v>summer</x:v>
      </x:c>
      <x:c r="G288" s="69" t="str">
        <x:v>Forward — striker role unverified</x:v>
      </x:c>
      <x:c r="H288" s="78" t="n">
        <x:v>21400000</x:v>
      </x:c>
      <x:c r="I288" s="69" t="str">
        <x:v>GBP</x:v>
      </x:c>
      <x:c r="J288" s="80"/>
      <x:c r="K288" s="82"/>
      <x:c r="L288" s="69" t="str">
        <x:v>Evidence needed</x:v>
      </x:c>
      <x:c r="M288" s="69" t="str">
        <x:v>Reported fee available; verify striker role, production, age, availability and transfer before assigning a score.</x:v>
      </x:c>
      <x:c r="N288" s="69" t="str">
        <x:v>Not assessed</x:v>
      </x:c>
      <x:c r="O288" s="69" t="str">
        <x:v>Broad Forward label only; not a certified striker cohort. No comparable production supplied for this deal.</x:v>
      </x:c>
      <x:c r="P288" s="69" t="str">
        <x:v>https://www.theguardian.com/football/ng-interactive/2026/sep/01/mens-transfer-window-summer-2026-all-deals-from-europes-top-five-leagues</x:v>
      </x:c>
    </x:row>
    <x:row r="289" ht="25" customHeight="1">
      <x:c r="A289" s="75" t="str">
        <x:v>summer-S26-0680</x:v>
      </x:c>
      <x:c r="B289" s="75" t="str">
        <x:v>Joan Tincres</x:v>
      </x:c>
      <x:c r="C289" s="75" t="str">
        <x:v>Le Havre</x:v>
      </x:c>
      <x:c r="D289" s="75" t="str">
        <x:v>Monaco</x:v>
      </x:c>
      <x:c r="E289" s="77" t="d">
        <x:v>2026-07-30T00:00:00.000Z</x:v>
      </x:c>
      <x:c r="F289" s="75" t="str">
        <x:v>summer</x:v>
      </x:c>
      <x:c r="G289" s="75" t="str">
        <x:v>Forward — striker role unverified</x:v>
      </x:c>
      <x:c r="H289" s="79"/>
      <x:c r="I289" s="75" t="str">
        <x:v>GBP</x:v>
      </x:c>
      <x:c r="J289" s="81"/>
      <x:c r="K289" s="83"/>
      <x:c r="L289" s="75" t="str">
        <x:v>Evidence needed</x:v>
      </x:c>
      <x:c r="M289" s="75" t="str">
        <x:v>Undisclosed fee: cannot assess fee versus worth.</x:v>
      </x:c>
      <x:c r="N289" s="75" t="str">
        <x:v>Not assessed</x:v>
      </x:c>
      <x:c r="O289" s="75" t="str">
        <x:v>Broad Forward label only; not a certified striker cohort. No comparable production supplied for this deal.</x:v>
      </x:c>
      <x:c r="P289" s="75" t="str">
        <x:v>https://www.theguardian.com/football/ng-interactive/2026/sep/01/mens-transfer-window-summer-2026-all-deals-from-europes-top-five-leagues</x:v>
      </x:c>
    </x:row>
    <x:row r="290" ht="25" customHeight="1">
      <x:c r="A290" s="69" t="str">
        <x:v>summer-S26-0682</x:v>
      </x:c>
      <x:c r="B290" s="69" t="str">
        <x:v>Rares Burnete</x:v>
      </x:c>
      <x:c r="C290" s="69" t="str">
        <x:v>Südtirol</x:v>
      </x:c>
      <x:c r="D290" s="69" t="str">
        <x:v>Lecce</x:v>
      </x:c>
      <x:c r="E290" s="76" t="d">
        <x:v>2026-07-30T00:00:00.000Z</x:v>
      </x:c>
      <x:c r="F290" s="69" t="str">
        <x:v>summer</x:v>
      </x:c>
      <x:c r="G290" s="69" t="str">
        <x:v>Forward — striker role unverified</x:v>
      </x:c>
      <x:c r="H290" s="78"/>
      <x:c r="I290" s="69" t="str">
        <x:v>GBP</x:v>
      </x:c>
      <x:c r="J290" s="80"/>
      <x:c r="K290" s="82"/>
      <x:c r="L290" s="69" t="str">
        <x:v>Evidence needed</x:v>
      </x:c>
      <x:c r="M290" s="69" t="str">
        <x:v>Loan/swap terms and buyer-specific production evidence needed.</x:v>
      </x:c>
      <x:c r="N290" s="69" t="str">
        <x:v>Not assessed</x:v>
      </x:c>
      <x:c r="O290" s="69" t="str">
        <x:v>Broad Forward label only; not a certified striker cohort. No comparable production supplied for this deal.</x:v>
      </x:c>
      <x:c r="P290" s="69" t="str">
        <x:v>https://www.theguardian.com/football/ng-interactive/2026/sep/01/mens-transfer-window-summer-2026-all-deals-from-europes-top-five-leagues</x:v>
      </x:c>
    </x:row>
    <x:row r="291" ht="25" customHeight="1">
      <x:c r="A291" s="75" t="str">
        <x:v>summer-S26-0683</x:v>
      </x:c>
      <x:c r="B291" s="75" t="str">
        <x:v>Artem Dovbyk</x:v>
      </x:c>
      <x:c r="C291" s="75" t="str">
        <x:v>Bologna</x:v>
      </x:c>
      <x:c r="D291" s="75" t="str">
        <x:v>Roma</x:v>
      </x:c>
      <x:c r="E291" s="77" t="d">
        <x:v>2026-07-30T00:00:00.000Z</x:v>
      </x:c>
      <x:c r="F291" s="75" t="str">
        <x:v>summer</x:v>
      </x:c>
      <x:c r="G291" s="75" t="str">
        <x:v>Forward — striker role unverified</x:v>
      </x:c>
      <x:c r="H291" s="79"/>
      <x:c r="I291" s="75" t="str">
        <x:v>GBP</x:v>
      </x:c>
      <x:c r="J291" s="81"/>
      <x:c r="K291" s="83"/>
      <x:c r="L291" s="75" t="str">
        <x:v>Evidence needed</x:v>
      </x:c>
      <x:c r="M291" s="75" t="str">
        <x:v>Loan/swap terms and buyer-specific production evidence needed.</x:v>
      </x:c>
      <x:c r="N291" s="75" t="str">
        <x:v>Not assessed</x:v>
      </x:c>
      <x:c r="O291" s="75" t="str">
        <x:v>Broad Forward label only; not a certified striker cohort. No comparable production supplied for this deal.</x:v>
      </x:c>
      <x:c r="P291" s="75" t="str">
        <x:v>https://www.theguardian.com/football/ng-interactive/2026/sep/01/mens-transfer-window-summer-2026-all-deals-from-europes-top-five-leagues</x:v>
      </x:c>
    </x:row>
    <x:row r="292" ht="25" customHeight="1">
      <x:c r="A292" s="69" t="str">
        <x:v>summer-S26-0684</x:v>
      </x:c>
      <x:c r="B292" s="69" t="str">
        <x:v>Carlos Espí</x:v>
      </x:c>
      <x:c r="C292" s="69" t="str">
        <x:v>Real Madrid</x:v>
      </x:c>
      <x:c r="D292" s="69" t="str">
        <x:v>Levante</x:v>
      </x:c>
      <x:c r="E292" s="76" t="d">
        <x:v>2026-07-31T00:00:00.000Z</x:v>
      </x:c>
      <x:c r="F292" s="69" t="str">
        <x:v>summer</x:v>
      </x:c>
      <x:c r="G292" s="69" t="str">
        <x:v>Forward — striker role unverified</x:v>
      </x:c>
      <x:c r="H292" s="78" t="n">
        <x:v>21400000</x:v>
      </x:c>
      <x:c r="I292" s="69" t="str">
        <x:v>GBP</x:v>
      </x:c>
      <x:c r="J292" s="80"/>
      <x:c r="K292" s="82"/>
      <x:c r="L292" s="69" t="str">
        <x:v>Evidence needed</x:v>
      </x:c>
      <x:c r="M292" s="69" t="str">
        <x:v>Reported fee available; verify striker role, production, age, availability and transfer before assigning a score.</x:v>
      </x:c>
      <x:c r="N292" s="69" t="str">
        <x:v>Not assessed</x:v>
      </x:c>
      <x:c r="O292" s="69" t="str">
        <x:v>Broad Forward label only; not a certified striker cohort. No comparable production supplied for this deal.</x:v>
      </x:c>
      <x:c r="P292" s="69" t="str">
        <x:v>https://www.theguardian.com/football/ng-interactive/2026/sep/01/mens-transfer-window-summer-2026-all-deals-from-europes-top-five-leagues</x:v>
      </x:c>
    </x:row>
    <x:row r="293" ht="25" customHeight="1">
      <x:c r="A293" s="75" t="str">
        <x:v>summer-S26-0686</x:v>
      </x:c>
      <x:c r="B293" s="75" t="str">
        <x:v>Lucas Michal</x:v>
      </x:c>
      <x:c r="C293" s="75" t="str">
        <x:v>Cercle Brugge</x:v>
      </x:c>
      <x:c r="D293" s="75" t="str">
        <x:v>Monaco</x:v>
      </x:c>
      <x:c r="E293" s="77" t="d">
        <x:v>2026-07-30T00:00:00.000Z</x:v>
      </x:c>
      <x:c r="F293" s="75" t="str">
        <x:v>summer</x:v>
      </x:c>
      <x:c r="G293" s="75" t="str">
        <x:v>Forward — striker role unverified</x:v>
      </x:c>
      <x:c r="H293" s="79"/>
      <x:c r="I293" s="75" t="str">
        <x:v>GBP</x:v>
      </x:c>
      <x:c r="J293" s="81"/>
      <x:c r="K293" s="83"/>
      <x:c r="L293" s="75" t="str">
        <x:v>Evidence needed</x:v>
      </x:c>
      <x:c r="M293" s="75" t="str">
        <x:v>Loan/swap terms and buyer-specific production evidence needed.</x:v>
      </x:c>
      <x:c r="N293" s="75" t="str">
        <x:v>Not assessed</x:v>
      </x:c>
      <x:c r="O293" s="75" t="str">
        <x:v>Broad Forward label only; not a certified striker cohort. No comparable production supplied for this deal.</x:v>
      </x:c>
      <x:c r="P293" s="75" t="str">
        <x:v>https://www.theguardian.com/football/ng-interactive/2026/sep/01/mens-transfer-window-summer-2026-all-deals-from-europes-top-five-leagues</x:v>
      </x:c>
    </x:row>
    <x:row r="294" ht="25" customHeight="1">
      <x:c r="A294" s="69" t="str">
        <x:v>summer-S26-0689</x:v>
      </x:c>
      <x:c r="B294" s="69" t="str">
        <x:v>Kieron Bowie</x:v>
      </x:c>
      <x:c r="C294" s="69" t="str">
        <x:v>Sassuolo</x:v>
      </x:c>
      <x:c r="D294" s="69" t="str">
        <x:v>Verona</x:v>
      </x:c>
      <x:c r="E294" s="76" t="d">
        <x:v>2026-07-31T00:00:00.000Z</x:v>
      </x:c>
      <x:c r="F294" s="69" t="str">
        <x:v>summer</x:v>
      </x:c>
      <x:c r="G294" s="69" t="str">
        <x:v>Forward — striker role unverified</x:v>
      </x:c>
      <x:c r="H294" s="78"/>
      <x:c r="I294" s="69" t="str">
        <x:v>GBP</x:v>
      </x:c>
      <x:c r="J294" s="80"/>
      <x:c r="K294" s="82"/>
      <x:c r="L294" s="69" t="str">
        <x:v>Evidence needed</x:v>
      </x:c>
      <x:c r="M294" s="69" t="str">
        <x:v>Loan/swap terms and buyer-specific production evidence needed.</x:v>
      </x:c>
      <x:c r="N294" s="69" t="str">
        <x:v>Not assessed</x:v>
      </x:c>
      <x:c r="O294" s="69" t="str">
        <x:v>Broad Forward label only; not a certified striker cohort. No comparable production supplied for this deal.</x:v>
      </x:c>
      <x:c r="P294" s="69" t="str">
        <x:v>https://www.theguardian.com/football/ng-interactive/2026/sep/01/mens-transfer-window-summer-2026-all-deals-from-europes-top-five-leagues</x:v>
      </x:c>
    </x:row>
    <x:row r="295" ht="25" customHeight="1">
      <x:c r="A295" s="75" t="str">
        <x:v>summer-S26-0691</x:v>
      </x:c>
      <x:c r="B295" s="75" t="str">
        <x:v>Josh Maja</x:v>
      </x:c>
      <x:c r="C295" s="75" t="str">
        <x:v>Le Havre</x:v>
      </x:c>
      <x:c r="D295" s="75" t="str">
        <x:v>West Bromwich Albion</x:v>
      </x:c>
      <x:c r="E295" s="77" t="d">
        <x:v>2026-07-31T00:00:00.000Z</x:v>
      </x:c>
      <x:c r="F295" s="75" t="str">
        <x:v>summer</x:v>
      </x:c>
      <x:c r="G295" s="75" t="str">
        <x:v>Forward — striker role unverified</x:v>
      </x:c>
      <x:c r="H295" s="79"/>
      <x:c r="I295" s="75" t="str">
        <x:v>GBP</x:v>
      </x:c>
      <x:c r="J295" s="81"/>
      <x:c r="K295" s="83"/>
      <x:c r="L295" s="75" t="str">
        <x:v>Evidence needed</x:v>
      </x:c>
      <x:c r="M295" s="75" t="str">
        <x:v>Free base fee excludes wages and other costs; role and production evidence needed.</x:v>
      </x:c>
      <x:c r="N295" s="75" t="str">
        <x:v>Not assessed</x:v>
      </x:c>
      <x:c r="O295" s="75" t="str">
        <x:v>Broad Forward label only; not a certified striker cohort. No comparable production supplied for this deal.</x:v>
      </x:c>
      <x:c r="P295" s="75" t="str">
        <x:v>https://www.theguardian.com/football/ng-interactive/2026/sep/01/mens-transfer-window-summer-2026-all-deals-from-europes-top-five-leagues</x:v>
      </x:c>
    </x:row>
    <x:row r="296" ht="25" customHeight="1">
      <x:c r="A296" s="69" t="str">
        <x:v>summer-S26-0693</x:v>
      </x:c>
      <x:c r="B296" s="69" t="str">
        <x:v>Mason Burstow</x:v>
      </x:c>
      <x:c r="C296" s="69" t="str">
        <x:v>Sheffield Wednesday</x:v>
      </x:c>
      <x:c r="D296" s="69" t="str">
        <x:v>Hull City</x:v>
      </x:c>
      <x:c r="E296" s="76" t="d">
        <x:v>2026-07-31T00:00:00.000Z</x:v>
      </x:c>
      <x:c r="F296" s="69" t="str">
        <x:v>summer</x:v>
      </x:c>
      <x:c r="G296" s="69" t="str">
        <x:v>Forward — striker role unverified</x:v>
      </x:c>
      <x:c r="H296" s="78"/>
      <x:c r="I296" s="69" t="str">
        <x:v>GBP</x:v>
      </x:c>
      <x:c r="J296" s="80"/>
      <x:c r="K296" s="82"/>
      <x:c r="L296" s="69" t="str">
        <x:v>Evidence needed</x:v>
      </x:c>
      <x:c r="M296" s="69" t="str">
        <x:v>Loan/swap terms and buyer-specific production evidence needed.</x:v>
      </x:c>
      <x:c r="N296" s="69" t="str">
        <x:v>Not assessed</x:v>
      </x:c>
      <x:c r="O296" s="69" t="str">
        <x:v>Broad Forward label only; not a certified striker cohort. No comparable production supplied for this deal.</x:v>
      </x:c>
      <x:c r="P296" s="69" t="str">
        <x:v>https://www.theguardian.com/football/ng-interactive/2026/sep/01/mens-transfer-window-summer-2026-all-deals-from-europes-top-five-leagues</x:v>
      </x:c>
    </x:row>
    <x:row r="297" ht="25" customHeight="1">
      <x:c r="A297" s="75" t="str">
        <x:v>summer-S26-0700</x:v>
      </x:c>
      <x:c r="B297" s="75" t="str">
        <x:v>Samuele Mulattieri</x:v>
      </x:c>
      <x:c r="C297" s="75" t="str">
        <x:v>Verona</x:v>
      </x:c>
      <x:c r="D297" s="75" t="str">
        <x:v>Sassuolo</x:v>
      </x:c>
      <x:c r="E297" s="77" t="d">
        <x:v>2026-07-31T00:00:00.000Z</x:v>
      </x:c>
      <x:c r="F297" s="75" t="str">
        <x:v>summer</x:v>
      </x:c>
      <x:c r="G297" s="75" t="str">
        <x:v>Forward — striker role unverified</x:v>
      </x:c>
      <x:c r="H297" s="79"/>
      <x:c r="I297" s="75" t="str">
        <x:v>GBP</x:v>
      </x:c>
      <x:c r="J297" s="81"/>
      <x:c r="K297" s="83"/>
      <x:c r="L297" s="75" t="str">
        <x:v>Evidence needed</x:v>
      </x:c>
      <x:c r="M297" s="75" t="str">
        <x:v>Loan/swap terms and buyer-specific production evidence needed.</x:v>
      </x:c>
      <x:c r="N297" s="75" t="str">
        <x:v>Not assessed</x:v>
      </x:c>
      <x:c r="O297" s="75" t="str">
        <x:v>Broad Forward label only; not a certified striker cohort. No comparable production supplied for this deal.</x:v>
      </x:c>
      <x:c r="P297" s="75" t="str">
        <x:v>https://www.theguardian.com/football/ng-interactive/2026/sep/01/mens-transfer-window-summer-2026-all-deals-from-europes-top-five-leagues</x:v>
      </x:c>
    </x:row>
    <x:row r="298" ht="25" customHeight="1">
      <x:c r="A298" s="69" t="str">
        <x:v>summer-S26-0704</x:v>
      </x:c>
      <x:c r="B298" s="69" t="str">
        <x:v>Sam Szmodics</x:v>
      </x:c>
      <x:c r="C298" s="69" t="str">
        <x:v>Derby County</x:v>
      </x:c>
      <x:c r="D298" s="69" t="str">
        <x:v>Ipswich Town</x:v>
      </x:c>
      <x:c r="E298" s="76" t="d">
        <x:v>2026-08-01T00:00:00.000Z</x:v>
      </x:c>
      <x:c r="F298" s="69" t="str">
        <x:v>summer</x:v>
      </x:c>
      <x:c r="G298" s="69" t="str">
        <x:v>Forward — striker role unverified</x:v>
      </x:c>
      <x:c r="H298" s="78"/>
      <x:c r="I298" s="69" t="str">
        <x:v>GBP</x:v>
      </x:c>
      <x:c r="J298" s="80"/>
      <x:c r="K298" s="82"/>
      <x:c r="L298" s="69" t="str">
        <x:v>Evidence needed</x:v>
      </x:c>
      <x:c r="M298" s="69" t="str">
        <x:v>Loan/swap terms and buyer-specific production evidence needed.</x:v>
      </x:c>
      <x:c r="N298" s="69" t="str">
        <x:v>Not assessed</x:v>
      </x:c>
      <x:c r="O298" s="69" t="str">
        <x:v>Broad Forward label only; not a certified striker cohort. No comparable production supplied for this deal.</x:v>
      </x:c>
      <x:c r="P298" s="69" t="str">
        <x:v>https://www.theguardian.com/football/ng-interactive/2026/sep/01/mens-transfer-window-summer-2026-all-deals-from-europes-top-five-leagues</x:v>
      </x:c>
    </x:row>
    <x:row r="299" ht="25" customHeight="1">
      <x:c r="A299" s="75" t="str">
        <x:v>summer-S26-0709</x:v>
      </x:c>
      <x:c r="B299" s="75" t="str">
        <x:v>Danny Welbeck</x:v>
      </x:c>
      <x:c r="C299" s="75" t="str">
        <x:v>Chelsea</x:v>
      </x:c>
      <x:c r="D299" s="75" t="str">
        <x:v>Brighton</x:v>
      </x:c>
      <x:c r="E299" s="77" t="d">
        <x:v>2026-08-01T00:00:00.000Z</x:v>
      </x:c>
      <x:c r="F299" s="75" t="str">
        <x:v>summer</x:v>
      </x:c>
      <x:c r="G299" s="75" t="str">
        <x:v>Forward — striker role unverified</x:v>
      </x:c>
      <x:c r="H299" s="79" t="n">
        <x:v>5000000</x:v>
      </x:c>
      <x:c r="I299" s="75" t="str">
        <x:v>GBP</x:v>
      </x:c>
      <x:c r="J299" s="81"/>
      <x:c r="K299" s="83"/>
      <x:c r="L299" s="75" t="str">
        <x:v>Evidence needed</x:v>
      </x:c>
      <x:c r="M299" s="75" t="str">
        <x:v>Reported fee available; verify striker role, production, age, availability and transfer before assigning a score.</x:v>
      </x:c>
      <x:c r="N299" s="75" t="str">
        <x:v>Not assessed</x:v>
      </x:c>
      <x:c r="O299" s="75" t="str">
        <x:v>Broad Forward label only; not a certified striker cohort. No comparable production supplied for this deal.</x:v>
      </x:c>
      <x:c r="P299" s="75" t="str">
        <x:v>https://www.theguardian.com/football/ng-interactive/2026/sep/01/mens-transfer-window-summer-2026-all-deals-from-europes-top-five-leagues</x:v>
      </x:c>
    </x:row>
    <x:row r="300" ht="25" customHeight="1">
      <x:c r="A300" s="69" t="str">
        <x:v>summer-S26-0720</x:v>
      </x:c>
      <x:c r="B300" s="69" t="str">
        <x:v>Willem Geubbels</x:v>
      </x:c>
      <x:c r="C300" s="69" t="str">
        <x:v>Lecce</x:v>
      </x:c>
      <x:c r="D300" s="69" t="str">
        <x:v>Paris FC</x:v>
      </x:c>
      <x:c r="E300" s="76" t="d">
        <x:v>2026-08-02T00:00:00.000Z</x:v>
      </x:c>
      <x:c r="F300" s="69" t="str">
        <x:v>summer</x:v>
      </x:c>
      <x:c r="G300" s="69" t="str">
        <x:v>Forward — striker role unverified</x:v>
      </x:c>
      <x:c r="H300" s="78" t="n">
        <x:v>4300000</x:v>
      </x:c>
      <x:c r="I300" s="69" t="str">
        <x:v>GBP</x:v>
      </x:c>
      <x:c r="J300" s="80"/>
      <x:c r="K300" s="82"/>
      <x:c r="L300" s="69" t="str">
        <x:v>Evidence needed</x:v>
      </x:c>
      <x:c r="M300" s="69" t="str">
        <x:v>Reported fee available; verify striker role, production, age, availability and transfer before assigning a score.</x:v>
      </x:c>
      <x:c r="N300" s="69" t="str">
        <x:v>Not assessed</x:v>
      </x:c>
      <x:c r="O300" s="69" t="str">
        <x:v>Broad Forward label only; not a certified striker cohort. No comparable production supplied for this deal.</x:v>
      </x:c>
      <x:c r="P300" s="69" t="str">
        <x:v>https://www.theguardian.com/football/ng-interactive/2026/sep/01/mens-transfer-window-summer-2026-all-deals-from-europes-top-five-leagues</x:v>
      </x:c>
    </x:row>
    <x:row r="301" ht="25" customHeight="1">
      <x:c r="A301" s="75" t="str">
        <x:v>summer-S26-0722</x:v>
      </x:c>
      <x:c r="B301" s="75" t="str">
        <x:v>Emmanuel Latte Lath</x:v>
      </x:c>
      <x:c r="C301" s="75" t="str">
        <x:v>Union Berlin</x:v>
      </x:c>
      <x:c r="D301" s="75" t="str">
        <x:v>Atlanta United</x:v>
      </x:c>
      <x:c r="E301" s="77" t="d">
        <x:v>2026-08-02T00:00:00.000Z</x:v>
      </x:c>
      <x:c r="F301" s="75" t="str">
        <x:v>summer</x:v>
      </x:c>
      <x:c r="G301" s="75" t="str">
        <x:v>Forward — striker role unverified</x:v>
      </x:c>
      <x:c r="H301" s="79"/>
      <x:c r="I301" s="75" t="str">
        <x:v>GBP</x:v>
      </x:c>
      <x:c r="J301" s="81"/>
      <x:c r="K301" s="83"/>
      <x:c r="L301" s="75" t="str">
        <x:v>Evidence needed</x:v>
      </x:c>
      <x:c r="M301" s="75" t="str">
        <x:v>Loan/swap terms and buyer-specific production evidence needed.</x:v>
      </x:c>
      <x:c r="N301" s="75" t="str">
        <x:v>Not assessed</x:v>
      </x:c>
      <x:c r="O301" s="75" t="str">
        <x:v>Broad Forward label only; not a certified striker cohort. No comparable production supplied for this deal.</x:v>
      </x:c>
      <x:c r="P301" s="75" t="str">
        <x:v>https://www.theguardian.com/football/ng-interactive/2026/sep/01/mens-transfer-window-summer-2026-all-deals-from-europes-top-five-leagues</x:v>
      </x:c>
    </x:row>
    <x:row r="302" ht="25" customHeight="1">
      <x:c r="A302" s="69" t="str">
        <x:v>summer-S26-0724</x:v>
      </x:c>
      <x:c r="B302" s="69" t="str">
        <x:v>Randal Kolo Muani</x:v>
      </x:c>
      <x:c r="C302" s="69" t="str">
        <x:v>Juventus</x:v>
      </x:c>
      <x:c r="D302" s="69" t="str">
        <x:v>Paris Saint-Germain</x:v>
      </x:c>
      <x:c r="E302" s="76" t="d">
        <x:v>2026-08-02T00:00:00.000Z</x:v>
      </x:c>
      <x:c r="F302" s="69" t="str">
        <x:v>summer</x:v>
      </x:c>
      <x:c r="G302" s="69" t="str">
        <x:v>Forward — striker role unverified</x:v>
      </x:c>
      <x:c r="H302" s="78" t="n">
        <x:v>32500000</x:v>
      </x:c>
      <x:c r="I302" s="69" t="str">
        <x:v>GBP</x:v>
      </x:c>
      <x:c r="J302" s="80"/>
      <x:c r="K302" s="82"/>
      <x:c r="L302" s="69" t="str">
        <x:v>Evidence needed</x:v>
      </x:c>
      <x:c r="M302" s="69" t="str">
        <x:v>Reported fee available; verify striker role, production, age, availability and transfer before assigning a score.</x:v>
      </x:c>
      <x:c r="N302" s="69" t="str">
        <x:v>Not assessed</x:v>
      </x:c>
      <x:c r="O302" s="69" t="str">
        <x:v>Broad Forward label only; not a certified striker cohort. No comparable production supplied for this deal.</x:v>
      </x:c>
      <x:c r="P302" s="69" t="str">
        <x:v>https://www.theguardian.com/football/ng-interactive/2026/sep/01/mens-transfer-window-summer-2026-all-deals-from-europes-top-five-leagues</x:v>
      </x:c>
    </x:row>
    <x:row r="303" ht="25" customHeight="1">
      <x:c r="A303" s="75" t="str">
        <x:v>summer-S26-0729</x:v>
      </x:c>
      <x:c r="B303" s="75" t="str">
        <x:v>Konstantinos Karetsas</x:v>
      </x:c>
      <x:c r="C303" s="75" t="str">
        <x:v>Borussia Dortmund</x:v>
      </x:c>
      <x:c r="D303" s="75" t="str">
        <x:v>Genk</x:v>
      </x:c>
      <x:c r="E303" s="77" t="d">
        <x:v>2026-08-03T00:00:00.000Z</x:v>
      </x:c>
      <x:c r="F303" s="75" t="str">
        <x:v>summer</x:v>
      </x:c>
      <x:c r="G303" s="75" t="str">
        <x:v>Forward — striker role unverified</x:v>
      </x:c>
      <x:c r="H303" s="79" t="n">
        <x:v>25700000</x:v>
      </x:c>
      <x:c r="I303" s="75" t="str">
        <x:v>GBP</x:v>
      </x:c>
      <x:c r="J303" s="81"/>
      <x:c r="K303" s="83"/>
      <x:c r="L303" s="75" t="str">
        <x:v>Evidence needed</x:v>
      </x:c>
      <x:c r="M303" s="75" t="str">
        <x:v>Reported fee available; verify striker role, production, age, availability and transfer before assigning a score.</x:v>
      </x:c>
      <x:c r="N303" s="75" t="str">
        <x:v>Not assessed</x:v>
      </x:c>
      <x:c r="O303" s="75" t="str">
        <x:v>Broad Forward label only; not a certified striker cohort. No comparable production supplied for this deal.</x:v>
      </x:c>
      <x:c r="P303" s="75" t="str">
        <x:v>https://www.theguardian.com/football/ng-interactive/2026/sep/01/mens-transfer-window-summer-2026-all-deals-from-europes-top-five-leagues</x:v>
      </x:c>
    </x:row>
    <x:row r="304" ht="25" customHeight="1">
      <x:c r="A304" s="69" t="str">
        <x:v>summer-S26-0733</x:v>
      </x:c>
      <x:c r="B304" s="69" t="str">
        <x:v>Dominic Vavassori</x:v>
      </x:c>
      <x:c r="C304" s="69" t="str">
        <x:v>Palermo</x:v>
      </x:c>
      <x:c r="D304" s="69" t="str">
        <x:v>Atalanta</x:v>
      </x:c>
      <x:c r="E304" s="76" t="d">
        <x:v>2026-08-01T00:00:00.000Z</x:v>
      </x:c>
      <x:c r="F304" s="69" t="str">
        <x:v>summer</x:v>
      </x:c>
      <x:c r="G304" s="69" t="str">
        <x:v>Forward — striker role unverified</x:v>
      </x:c>
      <x:c r="H304" s="78"/>
      <x:c r="I304" s="69" t="str">
        <x:v>GBP</x:v>
      </x:c>
      <x:c r="J304" s="80"/>
      <x:c r="K304" s="82"/>
      <x:c r="L304" s="69" t="str">
        <x:v>Evidence needed</x:v>
      </x:c>
      <x:c r="M304" s="69" t="str">
        <x:v>Loan/swap terms and buyer-specific production evidence needed.</x:v>
      </x:c>
      <x:c r="N304" s="69" t="str">
        <x:v>Not assessed</x:v>
      </x:c>
      <x:c r="O304" s="69" t="str">
        <x:v>Broad Forward label only; not a certified striker cohort. No comparable production supplied for this deal.</x:v>
      </x:c>
      <x:c r="P304" s="69" t="str">
        <x:v>https://www.theguardian.com/football/ng-interactive/2026/sep/01/mens-transfer-window-summer-2026-all-deals-from-europes-top-five-leagues</x:v>
      </x:c>
    </x:row>
    <x:row r="305" ht="25" customHeight="1">
      <x:c r="A305" s="75" t="str">
        <x:v>summer-S26-0741</x:v>
      </x:c>
      <x:c r="B305" s="75" t="str">
        <x:v>Gonzalo García</x:v>
      </x:c>
      <x:c r="C305" s="75" t="str">
        <x:v>Fulham</x:v>
      </x:c>
      <x:c r="D305" s="75" t="str">
        <x:v>Real Madrid</x:v>
      </x:c>
      <x:c r="E305" s="77" t="d">
        <x:v>2026-08-03T00:00:00.000Z</x:v>
      </x:c>
      <x:c r="F305" s="75" t="str">
        <x:v>summer</x:v>
      </x:c>
      <x:c r="G305" s="75" t="str">
        <x:v>Forward — striker role unverified</x:v>
      </x:c>
      <x:c r="H305" s="79" t="n">
        <x:v>34280000</x:v>
      </x:c>
      <x:c r="I305" s="75" t="str">
        <x:v>GBP</x:v>
      </x:c>
      <x:c r="J305" s="81"/>
      <x:c r="K305" s="83"/>
      <x:c r="L305" s="75" t="str">
        <x:v>Evidence needed</x:v>
      </x:c>
      <x:c r="M305" s="75" t="str">
        <x:v>Reported fee available; verify striker role, production, age, availability and transfer before assigning a score.</x:v>
      </x:c>
      <x:c r="N305" s="75" t="str">
        <x:v>Not assessed</x:v>
      </x:c>
      <x:c r="O305" s="75" t="str">
        <x:v>Broad Forward label only; not a certified striker cohort. No comparable production supplied for this deal.</x:v>
      </x:c>
      <x:c r="P305" s="75" t="str">
        <x:v>https://www.theguardian.com/football/ng-interactive/2026/sep/01/mens-transfer-window-summer-2026-all-deals-from-europes-top-five-leagues</x:v>
      </x:c>
    </x:row>
    <x:row r="306" ht="25" customHeight="1">
      <x:c r="A306" s="69" t="str">
        <x:v>summer-S26-0748</x:v>
      </x:c>
      <x:c r="B306" s="69" t="str">
        <x:v>Ahmed Abdullahi</x:v>
      </x:c>
      <x:c r="C306" s="69" t="str">
        <x:v>Eyupspor</x:v>
      </x:c>
      <x:c r="D306" s="69" t="str">
        <x:v>Sunderland</x:v>
      </x:c>
      <x:c r="E306" s="76" t="d">
        <x:v>2026-08-04T00:00:00.000Z</x:v>
      </x:c>
      <x:c r="F306" s="69" t="str">
        <x:v>summer</x:v>
      </x:c>
      <x:c r="G306" s="69" t="str">
        <x:v>Forward — striker role unverified</x:v>
      </x:c>
      <x:c r="H306" s="78"/>
      <x:c r="I306" s="69" t="str">
        <x:v>GBP</x:v>
      </x:c>
      <x:c r="J306" s="80"/>
      <x:c r="K306" s="82"/>
      <x:c r="L306" s="69" t="str">
        <x:v>Evidence needed</x:v>
      </x:c>
      <x:c r="M306" s="69" t="str">
        <x:v>Undisclosed fee: cannot assess fee versus worth.</x:v>
      </x:c>
      <x:c r="N306" s="69" t="str">
        <x:v>Not assessed</x:v>
      </x:c>
      <x:c r="O306" s="69" t="str">
        <x:v>Broad Forward label only; not a certified striker cohort. No comparable production supplied for this deal.</x:v>
      </x:c>
      <x:c r="P306" s="69" t="str">
        <x:v>https://www.theguardian.com/football/ng-interactive/2026/sep/01/mens-transfer-window-summer-2026-all-deals-from-europes-top-five-leagues</x:v>
      </x:c>
    </x:row>
    <x:row r="307" ht="25" customHeight="1">
      <x:c r="A307" s="75" t="str">
        <x:v>summer-S26-0749</x:v>
      </x:c>
      <x:c r="B307" s="75" t="str">
        <x:v>Leonardo Cerri</x:v>
      </x:c>
      <x:c r="C307" s="75" t="str">
        <x:v>Grenoble</x:v>
      </x:c>
      <x:c r="D307" s="75" t="str">
        <x:v>Juventus</x:v>
      </x:c>
      <x:c r="E307" s="77" t="d">
        <x:v>2026-08-03T00:00:00.000Z</x:v>
      </x:c>
      <x:c r="F307" s="75" t="str">
        <x:v>summer</x:v>
      </x:c>
      <x:c r="G307" s="75" t="str">
        <x:v>Forward — striker role unverified</x:v>
      </x:c>
      <x:c r="H307" s="79"/>
      <x:c r="I307" s="75" t="str">
        <x:v>GBP</x:v>
      </x:c>
      <x:c r="J307" s="81"/>
      <x:c r="K307" s="83"/>
      <x:c r="L307" s="75" t="str">
        <x:v>Evidence needed</x:v>
      </x:c>
      <x:c r="M307" s="75" t="str">
        <x:v>Loan/swap terms and buyer-specific production evidence needed.</x:v>
      </x:c>
      <x:c r="N307" s="75" t="str">
        <x:v>Not assessed</x:v>
      </x:c>
      <x:c r="O307" s="75" t="str">
        <x:v>Broad Forward label only; not a certified striker cohort. No comparable production supplied for this deal.</x:v>
      </x:c>
      <x:c r="P307" s="75" t="str">
        <x:v>https://www.theguardian.com/football/ng-interactive/2026/sep/01/mens-transfer-window-summer-2026-all-deals-from-europes-top-five-leagues</x:v>
      </x:c>
    </x:row>
    <x:row r="308" ht="25" customHeight="1">
      <x:c r="A308" s="69" t="str">
        <x:v>summer-S26-0752</x:v>
      </x:c>
      <x:c r="B308" s="69" t="str">
        <x:v>Rafa Mir</x:v>
      </x:c>
      <x:c r="C308" s="69" t="str">
        <x:v>Aris Saloniki</x:v>
      </x:c>
      <x:c r="D308" s="69" t="str">
        <x:v>Sevilla</x:v>
      </x:c>
      <x:c r="E308" s="76" t="d">
        <x:v>2026-08-04T00:00:00.000Z</x:v>
      </x:c>
      <x:c r="F308" s="69" t="str">
        <x:v>summer</x:v>
      </x:c>
      <x:c r="G308" s="69" t="str">
        <x:v>Forward — striker role unverified</x:v>
      </x:c>
      <x:c r="H308" s="78"/>
      <x:c r="I308" s="69" t="str">
        <x:v>GBP</x:v>
      </x:c>
      <x:c r="J308" s="80"/>
      <x:c r="K308" s="82"/>
      <x:c r="L308" s="69" t="str">
        <x:v>Evidence needed</x:v>
      </x:c>
      <x:c r="M308" s="69" t="str">
        <x:v>Loan/swap terms and buyer-specific production evidence needed.</x:v>
      </x:c>
      <x:c r="N308" s="69" t="str">
        <x:v>Not assessed</x:v>
      </x:c>
      <x:c r="O308" s="69" t="str">
        <x:v>Broad Forward label only; not a certified striker cohort. No comparable production supplied for this deal.</x:v>
      </x:c>
      <x:c r="P308" s="69" t="str">
        <x:v>https://www.theguardian.com/football/ng-interactive/2026/sep/01/mens-transfer-window-summer-2026-all-deals-from-europes-top-five-leagues</x:v>
      </x:c>
    </x:row>
    <x:row r="309" ht="25" customHeight="1">
      <x:c r="A309" s="75" t="str">
        <x:v>summer-S26-0758</x:v>
      </x:c>
      <x:c r="B309" s="75" t="str">
        <x:v>Alessandro Debenedetti</x:v>
      </x:c>
      <x:c r="C309" s="75" t="str">
        <x:v>Cesena</x:v>
      </x:c>
      <x:c r="D309" s="75" t="str">
        <x:v>Genoa</x:v>
      </x:c>
      <x:c r="E309" s="77" t="d">
        <x:v>2026-08-04T00:00:00.000Z</x:v>
      </x:c>
      <x:c r="F309" s="75" t="str">
        <x:v>summer</x:v>
      </x:c>
      <x:c r="G309" s="75" t="str">
        <x:v>Forward — striker role unverified</x:v>
      </x:c>
      <x:c r="H309" s="79"/>
      <x:c r="I309" s="75" t="str">
        <x:v>GBP</x:v>
      </x:c>
      <x:c r="J309" s="81"/>
      <x:c r="K309" s="83"/>
      <x:c r="L309" s="75" t="str">
        <x:v>Evidence needed</x:v>
      </x:c>
      <x:c r="M309" s="75" t="str">
        <x:v>Loan/swap terms and buyer-specific production evidence needed.</x:v>
      </x:c>
      <x:c r="N309" s="75" t="str">
        <x:v>Not assessed</x:v>
      </x:c>
      <x:c r="O309" s="75" t="str">
        <x:v>Broad Forward label only; not a certified striker cohort. No comparable production supplied for this deal.</x:v>
      </x:c>
      <x:c r="P309" s="75" t="str">
        <x:v>https://www.theguardian.com/football/ng-interactive/2026/sep/01/mens-transfer-window-summer-2026-all-deals-from-europes-top-five-leagues</x:v>
      </x:c>
    </x:row>
    <x:row r="310" ht="25" customHeight="1">
      <x:c r="A310" s="69" t="str">
        <x:v>summer-S26-0761</x:v>
      </x:c>
      <x:c r="B310" s="69" t="str">
        <x:v>Mohamed Salah</x:v>
      </x:c>
      <x:c r="C310" s="69" t="str">
        <x:v>Trabzonspor</x:v>
      </x:c>
      <x:c r="D310" s="69" t="str">
        <x:v>Liverpool</x:v>
      </x:c>
      <x:c r="E310" s="76" t="d">
        <x:v>2026-08-05T00:00:00.000Z</x:v>
      </x:c>
      <x:c r="F310" s="69" t="str">
        <x:v>summer</x:v>
      </x:c>
      <x:c r="G310" s="69" t="str">
        <x:v>Forward — striker role unverified</x:v>
      </x:c>
      <x:c r="H310" s="78"/>
      <x:c r="I310" s="69" t="str">
        <x:v>GBP</x:v>
      </x:c>
      <x:c r="J310" s="80"/>
      <x:c r="K310" s="82"/>
      <x:c r="L310" s="69" t="str">
        <x:v>Evidence needed</x:v>
      </x:c>
      <x:c r="M310" s="69" t="str">
        <x:v>Free base fee excludes wages and other costs; role and production evidence needed.</x:v>
      </x:c>
      <x:c r="N310" s="69" t="str">
        <x:v>Not assessed</x:v>
      </x:c>
      <x:c r="O310" s="69" t="str">
        <x:v>Broad Forward label only; not a certified striker cohort. No comparable production supplied for this deal.</x:v>
      </x:c>
      <x:c r="P310" s="69" t="str">
        <x:v>https://www.theguardian.com/football/ng-interactive/2026/sep/01/mens-transfer-window-summer-2026-all-deals-from-europes-top-five-leagues</x:v>
      </x:c>
    </x:row>
    <x:row r="311" ht="25" customHeight="1">
      <x:c r="A311" s="75" t="str">
        <x:v>summer-S26-0762</x:v>
      </x:c>
      <x:c r="B311" s="75" t="str">
        <x:v>Yassir Zabiri</x:v>
      </x:c>
      <x:c r="C311" s="75" t="str">
        <x:v>Racing Santander</x:v>
      </x:c>
      <x:c r="D311" s="75" t="str">
        <x:v>Rennes</x:v>
      </x:c>
      <x:c r="E311" s="77" t="d">
        <x:v>2026-07-29T00:00:00.000Z</x:v>
      </x:c>
      <x:c r="F311" s="75" t="str">
        <x:v>summer</x:v>
      </x:c>
      <x:c r="G311" s="75" t="str">
        <x:v>Forward — striker role unverified</x:v>
      </x:c>
      <x:c r="H311" s="79"/>
      <x:c r="I311" s="75" t="str">
        <x:v>GBP</x:v>
      </x:c>
      <x:c r="J311" s="81"/>
      <x:c r="K311" s="83"/>
      <x:c r="L311" s="75" t="str">
        <x:v>Evidence needed</x:v>
      </x:c>
      <x:c r="M311" s="75" t="str">
        <x:v>Loan/swap terms and buyer-specific production evidence needed.</x:v>
      </x:c>
      <x:c r="N311" s="75" t="str">
        <x:v>Not assessed</x:v>
      </x:c>
      <x:c r="O311" s="75" t="str">
        <x:v>Broad Forward label only; not a certified striker cohort. No comparable production supplied for this deal.</x:v>
      </x:c>
      <x:c r="P311" s="75" t="str">
        <x:v>https://www.theguardian.com/football/ng-interactive/2026/sep/01/mens-transfer-window-summer-2026-all-deals-from-europes-top-five-leagues</x:v>
      </x:c>
    </x:row>
    <x:row r="312" ht="25" customHeight="1">
      <x:c r="A312" s="69" t="str">
        <x:v>summer-S26-0770</x:v>
      </x:c>
      <x:c r="B312" s="69" t="str">
        <x:v>David Ankeye</x:v>
      </x:c>
      <x:c r="C312" s="69" t="str">
        <x:v>Zeleznicar Pancevo</x:v>
      </x:c>
      <x:c r="D312" s="69" t="str">
        <x:v>Genoa</x:v>
      </x:c>
      <x:c r="E312" s="76" t="d">
        <x:v>2026-07-04T00:00:00.000Z</x:v>
      </x:c>
      <x:c r="F312" s="69" t="str">
        <x:v>summer</x:v>
      </x:c>
      <x:c r="G312" s="69" t="str">
        <x:v>Forward — striker role unverified</x:v>
      </x:c>
      <x:c r="H312" s="78" t="n">
        <x:v>400000</x:v>
      </x:c>
      <x:c r="I312" s="69" t="str">
        <x:v>GBP</x:v>
      </x:c>
      <x:c r="J312" s="80"/>
      <x:c r="K312" s="82"/>
      <x:c r="L312" s="69" t="str">
        <x:v>Evidence needed</x:v>
      </x:c>
      <x:c r="M312" s="69" t="str">
        <x:v>Reported fee available; verify striker role, production, age, availability and transfer before assigning a score.</x:v>
      </x:c>
      <x:c r="N312" s="69" t="str">
        <x:v>Not assessed</x:v>
      </x:c>
      <x:c r="O312" s="69" t="str">
        <x:v>Broad Forward label only; not a certified striker cohort. No comparable production supplied for this deal.</x:v>
      </x:c>
      <x:c r="P312" s="69" t="str">
        <x:v>https://www.theguardian.com/football/ng-interactive/2026/sep/01/mens-transfer-window-summer-2026-all-deals-from-europes-top-five-leagues</x:v>
      </x:c>
    </x:row>
    <x:row r="313" ht="25" customHeight="1">
      <x:c r="A313" s="75" t="str">
        <x:v>summer-S26-0774</x:v>
      </x:c>
      <x:c r="B313" s="75" t="str">
        <x:v>Gabriele Pessolani</x:v>
      </x:c>
      <x:c r="C313" s="75" t="str">
        <x:v>Crema</x:v>
      </x:c>
      <x:c r="D313" s="75" t="str">
        <x:v>Genoa</x:v>
      </x:c>
      <x:c r="E313" s="77" t="d">
        <x:v>2026-07-27T00:00:00.000Z</x:v>
      </x:c>
      <x:c r="F313" s="75" t="str">
        <x:v>summer</x:v>
      </x:c>
      <x:c r="G313" s="75" t="str">
        <x:v>Forward — striker role unverified</x:v>
      </x:c>
      <x:c r="H313" s="79"/>
      <x:c r="I313" s="75" t="str">
        <x:v>GBP</x:v>
      </x:c>
      <x:c r="J313" s="81"/>
      <x:c r="K313" s="83"/>
      <x:c r="L313" s="75" t="str">
        <x:v>Evidence needed</x:v>
      </x:c>
      <x:c r="M313" s="75" t="str">
        <x:v>Loan/swap terms and buyer-specific production evidence needed.</x:v>
      </x:c>
      <x:c r="N313" s="75" t="str">
        <x:v>Not assessed</x:v>
      </x:c>
      <x:c r="O313" s="75" t="str">
        <x:v>Broad Forward label only; not a certified striker cohort. No comparable production supplied for this deal.</x:v>
      </x:c>
      <x:c r="P313" s="75" t="str">
        <x:v>https://www.theguardian.com/football/ng-interactive/2026/sep/01/mens-transfer-window-summer-2026-all-deals-from-europes-top-five-leagues</x:v>
      </x:c>
    </x:row>
    <x:row r="314" ht="25" customHeight="1">
      <x:c r="A314" s="69" t="str">
        <x:v>summer-S26-0790</x:v>
      </x:c>
      <x:c r="B314" s="69" t="str">
        <x:v>Kevin Fustini</x:v>
      </x:c>
      <x:c r="C314" s="69" t="str">
        <x:v>Como 1907</x:v>
      </x:c>
      <x:c r="D314" s="69" t="str">
        <x:v>Bologna</x:v>
      </x:c>
      <x:c r="E314" s="76" t="d">
        <x:v>2026-08-04T00:00:00.000Z</x:v>
      </x:c>
      <x:c r="F314" s="69" t="str">
        <x:v>summer</x:v>
      </x:c>
      <x:c r="G314" s="69" t="str">
        <x:v>Forward — striker role unverified</x:v>
      </x:c>
      <x:c r="H314" s="78"/>
      <x:c r="I314" s="69" t="str">
        <x:v>GBP</x:v>
      </x:c>
      <x:c r="J314" s="80"/>
      <x:c r="K314" s="82"/>
      <x:c r="L314" s="69" t="str">
        <x:v>Evidence needed</x:v>
      </x:c>
      <x:c r="M314" s="69" t="str">
        <x:v>Undisclosed fee: cannot assess fee versus worth.</x:v>
      </x:c>
      <x:c r="N314" s="69" t="str">
        <x:v>Not assessed</x:v>
      </x:c>
      <x:c r="O314" s="69" t="str">
        <x:v>Broad Forward label only; not a certified striker cohort. No comparable production supplied for this deal.</x:v>
      </x:c>
      <x:c r="P314" s="69" t="str">
        <x:v>https://www.theguardian.com/football/ng-interactive/2026/sep/01/mens-transfer-window-summer-2026-all-deals-from-europes-top-five-leagues</x:v>
      </x:c>
    </x:row>
    <x:row r="315" ht="25" customHeight="1">
      <x:c r="A315" s="75" t="str">
        <x:v>summer-S26-0803</x:v>
      </x:c>
      <x:c r="B315" s="75" t="str">
        <x:v>El Bilal Touré</x:v>
      </x:c>
      <x:c r="C315" s="75" t="str">
        <x:v>Parma</x:v>
      </x:c>
      <x:c r="D315" s="75" t="str">
        <x:v>Atalanta</x:v>
      </x:c>
      <x:c r="E315" s="77" t="d">
        <x:v>2026-08-07T00:00:00.000Z</x:v>
      </x:c>
      <x:c r="F315" s="75" t="str">
        <x:v>summer</x:v>
      </x:c>
      <x:c r="G315" s="75" t="str">
        <x:v>Forward — striker role unverified</x:v>
      </x:c>
      <x:c r="H315" s="79"/>
      <x:c r="I315" s="75" t="str">
        <x:v>GBP</x:v>
      </x:c>
      <x:c r="J315" s="81"/>
      <x:c r="K315" s="83"/>
      <x:c r="L315" s="75" t="str">
        <x:v>Evidence needed</x:v>
      </x:c>
      <x:c r="M315" s="75" t="str">
        <x:v>Loan/swap terms and buyer-specific production evidence needed.</x:v>
      </x:c>
      <x:c r="N315" s="75" t="str">
        <x:v>Not assessed</x:v>
      </x:c>
      <x:c r="O315" s="75" t="str">
        <x:v>Broad Forward label only; not a certified striker cohort. No comparable production supplied for this deal.</x:v>
      </x:c>
      <x:c r="P315" s="75" t="str">
        <x:v>https://www.theguardian.com/football/ng-interactive/2026/sep/01/mens-transfer-window-summer-2026-all-deals-from-europes-top-five-leagues</x:v>
      </x:c>
    </x:row>
    <x:row r="316" ht="25" customHeight="1">
      <x:c r="A316" s="69" t="str">
        <x:v>summer-S26-0830</x:v>
      </x:c>
      <x:c r="B316" s="69" t="str">
        <x:v>Yanis Musuayi</x:v>
      </x:c>
      <x:c r="C316" s="69" t="str">
        <x:v>Levante</x:v>
      </x:c>
      <x:c r="D316" s="69" t="str">
        <x:v>Club Brugge</x:v>
      </x:c>
      <x:c r="E316" s="76" t="d">
        <x:v>2026-08-02T00:00:00.000Z</x:v>
      </x:c>
      <x:c r="F316" s="69" t="str">
        <x:v>summer</x:v>
      </x:c>
      <x:c r="G316" s="69" t="str">
        <x:v>Forward — striker role unverified</x:v>
      </x:c>
      <x:c r="H316" s="78" t="n">
        <x:v>2100000</x:v>
      </x:c>
      <x:c r="I316" s="69" t="str">
        <x:v>GBP</x:v>
      </x:c>
      <x:c r="J316" s="80"/>
      <x:c r="K316" s="82"/>
      <x:c r="L316" s="69" t="str">
        <x:v>Evidence needed</x:v>
      </x:c>
      <x:c r="M316" s="69" t="str">
        <x:v>Reported fee available; verify striker role, production, age, availability and transfer before assigning a score.</x:v>
      </x:c>
      <x:c r="N316" s="69" t="str">
        <x:v>Not assessed</x:v>
      </x:c>
      <x:c r="O316" s="69" t="str">
        <x:v>Broad Forward label only; not a certified striker cohort. No comparable production supplied for this deal.</x:v>
      </x:c>
      <x:c r="P316" s="69" t="str">
        <x:v>https://www.theguardian.com/football/ng-interactive/2026/sep/01/mens-transfer-window-summer-2026-all-deals-from-europes-top-five-leagues</x:v>
      </x:c>
    </x:row>
    <x:row r="317" ht="25" customHeight="1">
      <x:c r="A317" s="75" t="str">
        <x:v>summer-S26-0834</x:v>
      </x:c>
      <x:c r="B317" s="75" t="str">
        <x:v>Álex Forés</x:v>
      </x:c>
      <x:c r="C317" s="75" t="str">
        <x:v>Burgos</x:v>
      </x:c>
      <x:c r="D317" s="75" t="str">
        <x:v>Villarreal</x:v>
      </x:c>
      <x:c r="E317" s="77" t="d">
        <x:v>2026-08-07T00:00:00.000Z</x:v>
      </x:c>
      <x:c r="F317" s="75" t="str">
        <x:v>summer</x:v>
      </x:c>
      <x:c r="G317" s="75" t="str">
        <x:v>Forward — striker role unverified</x:v>
      </x:c>
      <x:c r="H317" s="79" t="n">
        <x:v>300000</x:v>
      </x:c>
      <x:c r="I317" s="75" t="str">
        <x:v>GBP</x:v>
      </x:c>
      <x:c r="J317" s="81"/>
      <x:c r="K317" s="83"/>
      <x:c r="L317" s="75" t="str">
        <x:v>Evidence needed</x:v>
      </x:c>
      <x:c r="M317" s="75" t="str">
        <x:v>Reported fee available; verify striker role, production, age, availability and transfer before assigning a score.</x:v>
      </x:c>
      <x:c r="N317" s="75" t="str">
        <x:v>Not assessed</x:v>
      </x:c>
      <x:c r="O317" s="75" t="str">
        <x:v>Broad Forward label only; not a certified striker cohort. No comparable production supplied for this deal.</x:v>
      </x:c>
      <x:c r="P317" s="75" t="str">
        <x:v>https://www.theguardian.com/football/ng-interactive/2026/sep/01/mens-transfer-window-summer-2026-all-deals-from-europes-top-five-leagues</x:v>
      </x:c>
    </x:row>
    <x:row r="318" ht="25" customHeight="1">
      <x:c r="A318" s="69" t="str">
        <x:v>summer-S26-0835</x:v>
      </x:c>
      <x:c r="B318" s="69" t="str">
        <x:v>Pau Cabanes</x:v>
      </x:c>
      <x:c r="C318" s="69" t="str">
        <x:v>Eldense</x:v>
      </x:c>
      <x:c r="D318" s="69" t="str">
        <x:v>Villarreal</x:v>
      </x:c>
      <x:c r="E318" s="76" t="d">
        <x:v>2026-08-05T00:00:00.000Z</x:v>
      </x:c>
      <x:c r="F318" s="69" t="str">
        <x:v>summer</x:v>
      </x:c>
      <x:c r="G318" s="69" t="str">
        <x:v>Forward — striker role unverified</x:v>
      </x:c>
      <x:c r="H318" s="78"/>
      <x:c r="I318" s="69" t="str">
        <x:v>GBP</x:v>
      </x:c>
      <x:c r="J318" s="80"/>
      <x:c r="K318" s="82"/>
      <x:c r="L318" s="69" t="str">
        <x:v>Evidence needed</x:v>
      </x:c>
      <x:c r="M318" s="69" t="str">
        <x:v>Free base fee excludes wages and other costs; role and production evidence needed.</x:v>
      </x:c>
      <x:c r="N318" s="69" t="str">
        <x:v>Not assessed</x:v>
      </x:c>
      <x:c r="O318" s="69" t="str">
        <x:v>Broad Forward label only; not a certified striker cohort. No comparable production supplied for this deal.</x:v>
      </x:c>
      <x:c r="P318" s="69" t="str">
        <x:v>https://www.theguardian.com/football/ng-interactive/2026/sep/01/mens-transfer-window-summer-2026-all-deals-from-europes-top-five-leagues</x:v>
      </x:c>
    </x:row>
    <x:row r="319" ht="25" customHeight="1">
      <x:c r="A319" s="75" t="str">
        <x:v>summer-S26-0836</x:v>
      </x:c>
      <x:c r="B319" s="75" t="str">
        <x:v>Iwan Morgan</x:v>
      </x:c>
      <x:c r="C319" s="75" t="str">
        <x:v>Grimsby Town</x:v>
      </x:c>
      <x:c r="D319" s="75" t="str">
        <x:v>Brentford</x:v>
      </x:c>
      <x:c r="E319" s="77" t="d">
        <x:v>2026-08-07T00:00:00.000Z</x:v>
      </x:c>
      <x:c r="F319" s="75" t="str">
        <x:v>summer</x:v>
      </x:c>
      <x:c r="G319" s="75" t="str">
        <x:v>Forward — striker role unverified</x:v>
      </x:c>
      <x:c r="H319" s="79"/>
      <x:c r="I319" s="75" t="str">
        <x:v>GBP</x:v>
      </x:c>
      <x:c r="J319" s="81"/>
      <x:c r="K319" s="83"/>
      <x:c r="L319" s="75" t="str">
        <x:v>Evidence needed</x:v>
      </x:c>
      <x:c r="M319" s="75" t="str">
        <x:v>Undisclosed fee: cannot assess fee versus worth.</x:v>
      </x:c>
      <x:c r="N319" s="75" t="str">
        <x:v>Not assessed</x:v>
      </x:c>
      <x:c r="O319" s="75" t="str">
        <x:v>Broad Forward label only; not a certified striker cohort. No comparable production supplied for this deal.</x:v>
      </x:c>
      <x:c r="P319" s="75" t="str">
        <x:v>https://www.theguardian.com/football/ng-interactive/2026/sep/01/mens-transfer-window-summer-2026-all-deals-from-europes-top-five-leagues</x:v>
      </x:c>
    </x:row>
    <x:row r="320" ht="25" customHeight="1">
      <x:c r="A320" s="69" t="str">
        <x:v>summer-S26-0841</x:v>
      </x:c>
      <x:c r="B320" s="69" t="str">
        <x:v>Sion Oppong</x:v>
      </x:c>
      <x:c r="C320" s="69" t="str">
        <x:v>Toulouse</x:v>
      </x:c>
      <x:c r="D320" s="69" t="str">
        <x:v>Brommapojkarna</x:v>
      </x:c>
      <x:c r="E320" s="76" t="d">
        <x:v>2026-08-07T00:00:00.000Z</x:v>
      </x:c>
      <x:c r="F320" s="69" t="str">
        <x:v>summer</x:v>
      </x:c>
      <x:c r="G320" s="69" t="str">
        <x:v>Forward — striker role unverified</x:v>
      </x:c>
      <x:c r="H320" s="78" t="n">
        <x:v>3400000</x:v>
      </x:c>
      <x:c r="I320" s="69" t="str">
        <x:v>GBP</x:v>
      </x:c>
      <x:c r="J320" s="80"/>
      <x:c r="K320" s="82"/>
      <x:c r="L320" s="69" t="str">
        <x:v>Evidence needed</x:v>
      </x:c>
      <x:c r="M320" s="69" t="str">
        <x:v>Reported fee available; verify striker role, production, age, availability and transfer before assigning a score.</x:v>
      </x:c>
      <x:c r="N320" s="69" t="str">
        <x:v>Not assessed</x:v>
      </x:c>
      <x:c r="O320" s="69" t="str">
        <x:v>Broad Forward label only; not a certified striker cohort. No comparable production supplied for this deal.</x:v>
      </x:c>
      <x:c r="P320" s="69" t="str">
        <x:v>https://www.theguardian.com/football/ng-interactive/2026/sep/01/mens-transfer-window-summer-2026-all-deals-from-europes-top-five-leagues</x:v>
      </x:c>
    </x:row>
    <x:row r="321" ht="25" customHeight="1">
      <x:c r="A321" s="75" t="str">
        <x:v>summer-S26-0848</x:v>
      </x:c>
      <x:c r="B321" s="75" t="str">
        <x:v>Daniel Mikolajewski</x:v>
      </x:c>
      <x:c r="C321" s="75" t="str">
        <x:v>FC Luzern</x:v>
      </x:c>
      <x:c r="D321" s="75" t="str">
        <x:v>Parma</x:v>
      </x:c>
      <x:c r="E321" s="77" t="d">
        <x:v>2026-08-06T00:00:00.000Z</x:v>
      </x:c>
      <x:c r="F321" s="75" t="str">
        <x:v>summer</x:v>
      </x:c>
      <x:c r="G321" s="75" t="str">
        <x:v>Forward — striker role unverified</x:v>
      </x:c>
      <x:c r="H321" s="79"/>
      <x:c r="I321" s="75" t="str">
        <x:v>GBP</x:v>
      </x:c>
      <x:c r="J321" s="81"/>
      <x:c r="K321" s="83"/>
      <x:c r="L321" s="75" t="str">
        <x:v>Evidence needed</x:v>
      </x:c>
      <x:c r="M321" s="75" t="str">
        <x:v>Loan/swap terms and buyer-specific production evidence needed.</x:v>
      </x:c>
      <x:c r="N321" s="75" t="str">
        <x:v>Not assessed</x:v>
      </x:c>
      <x:c r="O321" s="75" t="str">
        <x:v>Broad Forward label only; not a certified striker cohort. No comparable production supplied for this deal.</x:v>
      </x:c>
      <x:c r="P321" s="75" t="str">
        <x:v>https://www.theguardian.com/football/ng-interactive/2026/sep/01/mens-transfer-window-summer-2026-all-deals-from-europes-top-five-leagues</x:v>
      </x:c>
    </x:row>
    <x:row r="322" ht="25" customHeight="1">
      <x:c r="A322" s="69" t="str">
        <x:v>summer-S26-0859</x:v>
      </x:c>
      <x:c r="B322" s="69" t="str">
        <x:v>Mario Domínguez</x:v>
      </x:c>
      <x:c r="C322" s="69" t="str">
        <x:v>Excelsior</x:v>
      </x:c>
      <x:c r="D322" s="69" t="str">
        <x:v>Valencia</x:v>
      </x:c>
      <x:c r="E322" s="76" t="d">
        <x:v>2026-08-08T00:00:00.000Z</x:v>
      </x:c>
      <x:c r="F322" s="69" t="str">
        <x:v>summer</x:v>
      </x:c>
      <x:c r="G322" s="69" t="str">
        <x:v>Forward — striker role unverified</x:v>
      </x:c>
      <x:c r="H322" s="78"/>
      <x:c r="I322" s="69" t="str">
        <x:v>GBP</x:v>
      </x:c>
      <x:c r="J322" s="80"/>
      <x:c r="K322" s="82"/>
      <x:c r="L322" s="69" t="str">
        <x:v>Evidence needed</x:v>
      </x:c>
      <x:c r="M322" s="69" t="str">
        <x:v>Loan/swap terms and buyer-specific production evidence needed.</x:v>
      </x:c>
      <x:c r="N322" s="69" t="str">
        <x:v>Not assessed</x:v>
      </x:c>
      <x:c r="O322" s="69" t="str">
        <x:v>Broad Forward label only; not a certified striker cohort. No comparable production supplied for this deal.</x:v>
      </x:c>
      <x:c r="P322" s="69" t="str">
        <x:v>https://www.theguardian.com/football/ng-interactive/2026/sep/01/mens-transfer-window-summer-2026-all-deals-from-europes-top-five-leagues</x:v>
      </x:c>
    </x:row>
    <x:row r="323" ht="25" customHeight="1">
      <x:c r="A323" s="75" t="str">
        <x:v>summer-S26-0866</x:v>
      </x:c>
      <x:c r="B323" s="75" t="str">
        <x:v>Deniz Zeitler</x:v>
      </x:c>
      <x:c r="C323" s="75" t="str">
        <x:v>Paderborn</x:v>
      </x:c>
      <x:c r="D323" s="75" t="str">
        <x:v>Hoffenheim</x:v>
      </x:c>
      <x:c r="E323" s="77" t="d">
        <x:v>2026-08-10T00:00:00.000Z</x:v>
      </x:c>
      <x:c r="F323" s="75" t="str">
        <x:v>summer</x:v>
      </x:c>
      <x:c r="G323" s="75" t="str">
        <x:v>Forward — striker role unverified</x:v>
      </x:c>
      <x:c r="H323" s="79"/>
      <x:c r="I323" s="75" t="str">
        <x:v>GBP</x:v>
      </x:c>
      <x:c r="J323" s="81"/>
      <x:c r="K323" s="83"/>
      <x:c r="L323" s="75" t="str">
        <x:v>Evidence needed</x:v>
      </x:c>
      <x:c r="M323" s="75" t="str">
        <x:v>Loan/swap terms and buyer-specific production evidence needed.</x:v>
      </x:c>
      <x:c r="N323" s="75" t="str">
        <x:v>Not assessed</x:v>
      </x:c>
      <x:c r="O323" s="75" t="str">
        <x:v>Broad Forward label only; not a certified striker cohort. No comparable production supplied for this deal.</x:v>
      </x:c>
      <x:c r="P323" s="75" t="str">
        <x:v>https://www.theguardian.com/football/ng-interactive/2026/sep/01/mens-transfer-window-summer-2026-all-deals-from-europes-top-five-leagues</x:v>
      </x:c>
    </x:row>
    <x:row r="324" ht="25" customHeight="1">
      <x:c r="A324" s="69" t="str">
        <x:v>summer-S26-0868</x:v>
      </x:c>
      <x:c r="B324" s="69" t="str">
        <x:v>Dzenan Pejcinovic</x:v>
      </x:c>
      <x:c r="C324" s="69" t="str">
        <x:v>Stuttgart</x:v>
      </x:c>
      <x:c r="D324" s="69" t="str">
        <x:v>Wolfsburg</x:v>
      </x:c>
      <x:c r="E324" s="76" t="d">
        <x:v>2026-08-10T00:00:00.000Z</x:v>
      </x:c>
      <x:c r="F324" s="69" t="str">
        <x:v>summer</x:v>
      </x:c>
      <x:c r="G324" s="69" t="str">
        <x:v>Forward — striker role unverified</x:v>
      </x:c>
      <x:c r="H324" s="78" t="n">
        <x:v>21400000</x:v>
      </x:c>
      <x:c r="I324" s="69" t="str">
        <x:v>GBP</x:v>
      </x:c>
      <x:c r="J324" s="80"/>
      <x:c r="K324" s="82"/>
      <x:c r="L324" s="69" t="str">
        <x:v>Evidence needed</x:v>
      </x:c>
      <x:c r="M324" s="69" t="str">
        <x:v>Reported fee available; verify striker role, production, age, availability and transfer before assigning a score.</x:v>
      </x:c>
      <x:c r="N324" s="69" t="str">
        <x:v>Not assessed</x:v>
      </x:c>
      <x:c r="O324" s="69" t="str">
        <x:v>Broad Forward label only; not a certified striker cohort. No comparable production supplied for this deal.</x:v>
      </x:c>
      <x:c r="P324" s="69" t="str">
        <x:v>https://www.theguardian.com/football/ng-interactive/2026/sep/01/mens-transfer-window-summer-2026-all-deals-from-europes-top-five-leagues</x:v>
      </x:c>
    </x:row>
    <x:row r="325" ht="25" customHeight="1">
      <x:c r="A325" s="75" t="str">
        <x:v>summer-S26-0869</x:v>
      </x:c>
      <x:c r="B325" s="75" t="str">
        <x:v>Kevin Carlos</x:v>
      </x:c>
      <x:c r="C325" s="75" t="str">
        <x:v>Cagliari</x:v>
      </x:c>
      <x:c r="D325" s="75" t="str">
        <x:v>Nice</x:v>
      </x:c>
      <x:c r="E325" s="77" t="d">
        <x:v>2026-08-10T00:00:00.000Z</x:v>
      </x:c>
      <x:c r="F325" s="75" t="str">
        <x:v>summer</x:v>
      </x:c>
      <x:c r="G325" s="75" t="str">
        <x:v>Forward — striker role unverified</x:v>
      </x:c>
      <x:c r="H325" s="79"/>
      <x:c r="I325" s="75" t="str">
        <x:v>GBP</x:v>
      </x:c>
      <x:c r="J325" s="81"/>
      <x:c r="K325" s="83"/>
      <x:c r="L325" s="75" t="str">
        <x:v>Evidence needed</x:v>
      </x:c>
      <x:c r="M325" s="75" t="str">
        <x:v>Loan/swap terms and buyer-specific production evidence needed.</x:v>
      </x:c>
      <x:c r="N325" s="75" t="str">
        <x:v>Not assessed</x:v>
      </x:c>
      <x:c r="O325" s="75" t="str">
        <x:v>Broad Forward label only; not a certified striker cohort. No comparable production supplied for this deal.</x:v>
      </x:c>
      <x:c r="P325" s="75" t="str">
        <x:v>https://www.theguardian.com/football/ng-interactive/2026/sep/01/mens-transfer-window-summer-2026-all-deals-from-europes-top-five-leagues</x:v>
      </x:c>
    </x:row>
    <x:row r="326" ht="25" customHeight="1">
      <x:c r="A326" s="69" t="str">
        <x:v>summer-S26-0871</x:v>
      </x:c>
      <x:c r="B326" s="69" t="str">
        <x:v>Mansour Ouro-Tagba</x:v>
      </x:c>
      <x:c r="C326" s="69" t="str">
        <x:v>Bochum</x:v>
      </x:c>
      <x:c r="D326" s="69" t="str">
        <x:v>Cologne</x:v>
      </x:c>
      <x:c r="E326" s="76" t="d">
        <x:v>2026-08-10T00:00:00.000Z</x:v>
      </x:c>
      <x:c r="F326" s="69" t="str">
        <x:v>summer</x:v>
      </x:c>
      <x:c r="G326" s="69" t="str">
        <x:v>Forward — striker role unverified</x:v>
      </x:c>
      <x:c r="H326" s="78"/>
      <x:c r="I326" s="69" t="str">
        <x:v>GBP</x:v>
      </x:c>
      <x:c r="J326" s="80"/>
      <x:c r="K326" s="82"/>
      <x:c r="L326" s="69" t="str">
        <x:v>Evidence needed</x:v>
      </x:c>
      <x:c r="M326" s="69" t="str">
        <x:v>Undisclosed fee: cannot assess fee versus worth.</x:v>
      </x:c>
      <x:c r="N326" s="69" t="str">
        <x:v>Not assessed</x:v>
      </x:c>
      <x:c r="O326" s="69" t="str">
        <x:v>Broad Forward label only; not a certified striker cohort. No comparable production supplied for this deal.</x:v>
      </x:c>
      <x:c r="P326" s="69" t="str">
        <x:v>https://www.theguardian.com/football/ng-interactive/2026/sep/01/mens-transfer-window-summer-2026-all-deals-from-europes-top-five-leagues</x:v>
      </x:c>
    </x:row>
    <x:row r="327" ht="25" customHeight="1">
      <x:c r="A327" s="75" t="str">
        <x:v>summer-S26-0873</x:v>
      </x:c>
      <x:c r="B327" s="75" t="str">
        <x:v>Valdrin Mustafa</x:v>
      </x:c>
      <x:c r="C327" s="75" t="str">
        <x:v>Elversberg</x:v>
      </x:c>
      <x:c r="D327" s="75" t="str">
        <x:v>Kickers Offenbach</x:v>
      </x:c>
      <x:c r="E327" s="77" t="d">
        <x:v>2026-08-10T00:00:00.000Z</x:v>
      </x:c>
      <x:c r="F327" s="75" t="str">
        <x:v>summer</x:v>
      </x:c>
      <x:c r="G327" s="75" t="str">
        <x:v>Forward — striker role unverified</x:v>
      </x:c>
      <x:c r="H327" s="79"/>
      <x:c r="I327" s="75" t="str">
        <x:v>GBP</x:v>
      </x:c>
      <x:c r="J327" s="81"/>
      <x:c r="K327" s="83"/>
      <x:c r="L327" s="75" t="str">
        <x:v>Evidence needed</x:v>
      </x:c>
      <x:c r="M327" s="75" t="str">
        <x:v>Free base fee excludes wages and other costs; role and production evidence needed.</x:v>
      </x:c>
      <x:c r="N327" s="75" t="str">
        <x:v>Not assessed</x:v>
      </x:c>
      <x:c r="O327" s="75" t="str">
        <x:v>Broad Forward label only; not a certified striker cohort. No comparable production supplied for this deal.</x:v>
      </x:c>
      <x:c r="P327" s="75" t="str">
        <x:v>https://www.theguardian.com/football/ng-interactive/2026/sep/01/mens-transfer-window-summer-2026-all-deals-from-europes-top-five-leagues</x:v>
      </x:c>
    </x:row>
    <x:row r="328" ht="25" customHeight="1">
      <x:c r="A328" s="69" t="str">
        <x:v>summer-S26-0877</x:v>
      </x:c>
      <x:c r="B328" s="69" t="str">
        <x:v>Aymen Zouin</x:v>
      </x:c>
      <x:c r="C328" s="69" t="str">
        <x:v>Parma</x:v>
      </x:c>
      <x:c r="D328" s="69" t="str">
        <x:v>Inter</x:v>
      </x:c>
      <x:c r="E328" s="76" t="d">
        <x:v>2026-08-10T00:00:00.000Z</x:v>
      </x:c>
      <x:c r="F328" s="69" t="str">
        <x:v>summer</x:v>
      </x:c>
      <x:c r="G328" s="69" t="str">
        <x:v>Forward — striker role unverified</x:v>
      </x:c>
      <x:c r="H328" s="78"/>
      <x:c r="I328" s="69" t="str">
        <x:v>GBP</x:v>
      </x:c>
      <x:c r="J328" s="80"/>
      <x:c r="K328" s="82"/>
      <x:c r="L328" s="69" t="str">
        <x:v>Evidence needed</x:v>
      </x:c>
      <x:c r="M328" s="69" t="str">
        <x:v>Undisclosed fee: cannot assess fee versus worth.</x:v>
      </x:c>
      <x:c r="N328" s="69" t="str">
        <x:v>Not assessed</x:v>
      </x:c>
      <x:c r="O328" s="69" t="str">
        <x:v>Broad Forward label only; not a certified striker cohort. No comparable production supplied for this deal.</x:v>
      </x:c>
      <x:c r="P328" s="69" t="str">
        <x:v>https://www.theguardian.com/football/ng-interactive/2026/sep/01/mens-transfer-window-summer-2026-all-deals-from-europes-top-five-leagues</x:v>
      </x:c>
    </x:row>
    <x:row r="329" ht="25" customHeight="1">
      <x:c r="A329" s="75" t="str">
        <x:v>summer-S26-0886</x:v>
      </x:c>
      <x:c r="B329" s="75" t="str">
        <x:v>Brennan Johnson</x:v>
      </x:c>
      <x:c r="C329" s="75" t="str">
        <x:v>Everton</x:v>
      </x:c>
      <x:c r="D329" s="75" t="str">
        <x:v>Crystal Palace</x:v>
      </x:c>
      <x:c r="E329" s="77" t="d">
        <x:v>2026-08-11T00:00:00.000Z</x:v>
      </x:c>
      <x:c r="F329" s="75" t="str">
        <x:v>summer</x:v>
      </x:c>
      <x:c r="G329" s="75" t="str">
        <x:v>Forward — striker role unverified</x:v>
      </x:c>
      <x:c r="H329" s="79"/>
      <x:c r="I329" s="75" t="str">
        <x:v>GBP</x:v>
      </x:c>
      <x:c r="J329" s="81"/>
      <x:c r="K329" s="83"/>
      <x:c r="L329" s="75" t="str">
        <x:v>Evidence needed</x:v>
      </x:c>
      <x:c r="M329" s="75" t="str">
        <x:v>Loan/swap terms and buyer-specific production evidence needed.</x:v>
      </x:c>
      <x:c r="N329" s="75" t="str">
        <x:v>Not assessed</x:v>
      </x:c>
      <x:c r="O329" s="75" t="str">
        <x:v>Broad Forward label only; not a certified striker cohort. No comparable production supplied for this deal.</x:v>
      </x:c>
      <x:c r="P329" s="75" t="str">
        <x:v>https://www.theguardian.com/football/ng-interactive/2026/sep/01/mens-transfer-window-summer-2026-all-deals-from-europes-top-five-leagues</x:v>
      </x:c>
    </x:row>
    <x:row r="330" ht="25" customHeight="1">
      <x:c r="A330" s="69" t="str">
        <x:v>summer-S26-0889</x:v>
      </x:c>
      <x:c r="B330" s="69" t="str">
        <x:v>Divin Mubama</x:v>
      </x:c>
      <x:c r="C330" s="69" t="str">
        <x:v>Southampton</x:v>
      </x:c>
      <x:c r="D330" s="69" t="str">
        <x:v>Manchester City</x:v>
      </x:c>
      <x:c r="E330" s="76" t="d">
        <x:v>2026-08-11T00:00:00.000Z</x:v>
      </x:c>
      <x:c r="F330" s="69" t="str">
        <x:v>summer</x:v>
      </x:c>
      <x:c r="G330" s="69" t="str">
        <x:v>Forward — striker role unverified</x:v>
      </x:c>
      <x:c r="H330" s="78"/>
      <x:c r="I330" s="69" t="str">
        <x:v>GBP</x:v>
      </x:c>
      <x:c r="J330" s="80"/>
      <x:c r="K330" s="82"/>
      <x:c r="L330" s="69" t="str">
        <x:v>Evidence needed</x:v>
      </x:c>
      <x:c r="M330" s="69" t="str">
        <x:v>Loan/swap terms and buyer-specific production evidence needed.</x:v>
      </x:c>
      <x:c r="N330" s="69" t="str">
        <x:v>Not assessed</x:v>
      </x:c>
      <x:c r="O330" s="69" t="str">
        <x:v>Broad Forward label only; not a certified striker cohort. No comparable production supplied for this deal.</x:v>
      </x:c>
      <x:c r="P330" s="69" t="str">
        <x:v>https://www.theguardian.com/football/ng-interactive/2026/sep/01/mens-transfer-window-summer-2026-all-deals-from-europes-top-five-leagues</x:v>
      </x:c>
    </x:row>
    <x:row r="331" ht="25" customHeight="1">
      <x:c r="A331" s="75" t="str">
        <x:v>summer-S26-0891</x:v>
      </x:c>
      <x:c r="B331" s="75" t="str">
        <x:v>Robbie Ure</x:v>
      </x:c>
      <x:c r="C331" s="75" t="str">
        <x:v>Sevilla</x:v>
      </x:c>
      <x:c r="D331" s="75" t="str">
        <x:v>Sirius</x:v>
      </x:c>
      <x:c r="E331" s="77" t="d">
        <x:v>2026-08-11T00:00:00.000Z</x:v>
      </x:c>
      <x:c r="F331" s="75" t="str">
        <x:v>summer</x:v>
      </x:c>
      <x:c r="G331" s="75" t="str">
        <x:v>Forward — striker role unverified</x:v>
      </x:c>
      <x:c r="H331" s="79" t="n">
        <x:v>5600000</x:v>
      </x:c>
      <x:c r="I331" s="75" t="str">
        <x:v>GBP</x:v>
      </x:c>
      <x:c r="J331" s="81"/>
      <x:c r="K331" s="83"/>
      <x:c r="L331" s="75" t="str">
        <x:v>Evidence needed</x:v>
      </x:c>
      <x:c r="M331" s="75" t="str">
        <x:v>Reported fee available; verify striker role, production, age, availability and transfer before assigning a score.</x:v>
      </x:c>
      <x:c r="N331" s="75" t="str">
        <x:v>Not assessed</x:v>
      </x:c>
      <x:c r="O331" s="75" t="str">
        <x:v>Broad Forward label only; not a certified striker cohort. No comparable production supplied for this deal.</x:v>
      </x:c>
      <x:c r="P331" s="75" t="str">
        <x:v>https://www.theguardian.com/football/ng-interactive/2026/sep/01/mens-transfer-window-summer-2026-all-deals-from-europes-top-five-leagues</x:v>
      </x:c>
    </x:row>
    <x:row r="332" ht="25" customHeight="1">
      <x:c r="A332" s="69" t="str">
        <x:v>summer-S26-0897</x:v>
      </x:c>
      <x:c r="B332" s="69" t="str">
        <x:v>Christian Corradi</x:v>
      </x:c>
      <x:c r="C332" s="69" t="str">
        <x:v>Juventus</x:v>
      </x:c>
      <x:c r="D332" s="69" t="str">
        <x:v>Verona</x:v>
      </x:c>
      <x:c r="E332" s="76" t="d">
        <x:v>2026-08-11T00:00:00.000Z</x:v>
      </x:c>
      <x:c r="F332" s="69" t="str">
        <x:v>summer</x:v>
      </x:c>
      <x:c r="G332" s="69" t="str">
        <x:v>Forward — striker role unverified</x:v>
      </x:c>
      <x:c r="H332" s="78"/>
      <x:c r="I332" s="69" t="str">
        <x:v>GBP</x:v>
      </x:c>
      <x:c r="J332" s="80"/>
      <x:c r="K332" s="82"/>
      <x:c r="L332" s="69" t="str">
        <x:v>Evidence needed</x:v>
      </x:c>
      <x:c r="M332" s="69" t="str">
        <x:v>Loan/swap terms and buyer-specific production evidence needed.</x:v>
      </x:c>
      <x:c r="N332" s="69" t="str">
        <x:v>Not assessed</x:v>
      </x:c>
      <x:c r="O332" s="69" t="str">
        <x:v>Broad Forward label only; not a certified striker cohort. No comparable production supplied for this deal.</x:v>
      </x:c>
      <x:c r="P332" s="69" t="str">
        <x:v>https://www.theguardian.com/football/ng-interactive/2026/sep/01/mens-transfer-window-summer-2026-all-deals-from-europes-top-five-leagues</x:v>
      </x:c>
    </x:row>
    <x:row r="333" ht="25" customHeight="1">
      <x:c r="A333" s="75" t="str">
        <x:v>summer-S26-0898</x:v>
      </x:c>
      <x:c r="B333" s="75" t="str">
        <x:v>Hugo López</x:v>
      </x:c>
      <x:c r="C333" s="75" t="str">
        <x:v>FC Andorra</x:v>
      </x:c>
      <x:c r="D333" s="75" t="str">
        <x:v>Villarreal</x:v>
      </x:c>
      <x:c r="E333" s="77" t="d">
        <x:v>2026-08-11T00:00:00.000Z</x:v>
      </x:c>
      <x:c r="F333" s="75" t="str">
        <x:v>summer</x:v>
      </x:c>
      <x:c r="G333" s="75" t="str">
        <x:v>Forward — striker role unverified</x:v>
      </x:c>
      <x:c r="H333" s="79"/>
      <x:c r="I333" s="75" t="str">
        <x:v>GBP</x:v>
      </x:c>
      <x:c r="J333" s="81"/>
      <x:c r="K333" s="83"/>
      <x:c r="L333" s="75" t="str">
        <x:v>Evidence needed</x:v>
      </x:c>
      <x:c r="M333" s="75" t="str">
        <x:v>Loan/swap terms and buyer-specific production evidence needed.</x:v>
      </x:c>
      <x:c r="N333" s="75" t="str">
        <x:v>Not assessed</x:v>
      </x:c>
      <x:c r="O333" s="75" t="str">
        <x:v>Broad Forward label only; not a certified striker cohort. No comparable production supplied for this deal.</x:v>
      </x:c>
      <x:c r="P333" s="75" t="str">
        <x:v>https://www.theguardian.com/football/ng-interactive/2026/sep/01/mens-transfer-window-summer-2026-all-deals-from-europes-top-five-leagues</x:v>
      </x:c>
    </x:row>
    <x:row r="334" ht="25" customHeight="1">
      <x:c r="A334" s="69" t="str">
        <x:v>summer-S26-0902</x:v>
      </x:c>
      <x:c r="B334" s="69" t="str">
        <x:v>Evann Guessand</x:v>
      </x:c>
      <x:c r="C334" s="69" t="str">
        <x:v>Crystal Palace</x:v>
      </x:c>
      <x:c r="D334" s="69" t="str">
        <x:v>Aston Villa</x:v>
      </x:c>
      <x:c r="E334" s="76" t="d">
        <x:v>2026-08-12T00:00:00.000Z</x:v>
      </x:c>
      <x:c r="F334" s="69" t="str">
        <x:v>summer</x:v>
      </x:c>
      <x:c r="G334" s="69" t="str">
        <x:v>Forward — striker role unverified</x:v>
      </x:c>
      <x:c r="H334" s="78"/>
      <x:c r="I334" s="69" t="str">
        <x:v>GBP</x:v>
      </x:c>
      <x:c r="J334" s="80"/>
      <x:c r="K334" s="82"/>
      <x:c r="L334" s="69" t="str">
        <x:v>Evidence needed</x:v>
      </x:c>
      <x:c r="M334" s="69" t="str">
        <x:v>Loan/swap terms and buyer-specific production evidence needed.</x:v>
      </x:c>
      <x:c r="N334" s="69" t="str">
        <x:v>Not assessed</x:v>
      </x:c>
      <x:c r="O334" s="69" t="str">
        <x:v>Broad Forward label only; not a certified striker cohort. No comparable production supplied for this deal.</x:v>
      </x:c>
      <x:c r="P334" s="69" t="str">
        <x:v>https://www.theguardian.com/football/ng-interactive/2026/sep/01/mens-transfer-window-summer-2026-all-deals-from-europes-top-five-leagues</x:v>
      </x:c>
    </x:row>
    <x:row r="335" ht="25" customHeight="1">
      <x:c r="A335" s="75" t="str">
        <x:v>summer-S26-0908</x:v>
      </x:c>
      <x:c r="B335" s="75" t="str">
        <x:v>Romelu Lukaku</x:v>
      </x:c>
      <x:c r="C335" s="75" t="str">
        <x:v>Fenerbahce</x:v>
      </x:c>
      <x:c r="D335" s="75" t="str">
        <x:v>Napoli</x:v>
      </x:c>
      <x:c r="E335" s="77" t="d">
        <x:v>2026-08-12T00:00:00.000Z</x:v>
      </x:c>
      <x:c r="F335" s="75" t="str">
        <x:v>summer</x:v>
      </x:c>
      <x:c r="G335" s="75" t="str">
        <x:v>Forward — striker role unverified</x:v>
      </x:c>
      <x:c r="H335" s="79" t="n">
        <x:v>5100000</x:v>
      </x:c>
      <x:c r="I335" s="75" t="str">
        <x:v>GBP</x:v>
      </x:c>
      <x:c r="J335" s="81"/>
      <x:c r="K335" s="83"/>
      <x:c r="L335" s="75" t="str">
        <x:v>Evidence needed</x:v>
      </x:c>
      <x:c r="M335" s="75" t="str">
        <x:v>Reported fee available; verify striker role, production, age, availability and transfer before assigning a score.</x:v>
      </x:c>
      <x:c r="N335" s="75" t="str">
        <x:v>Not assessed</x:v>
      </x:c>
      <x:c r="O335" s="75" t="str">
        <x:v>Broad Forward label only; not a certified striker cohort. No comparable production supplied for this deal.</x:v>
      </x:c>
      <x:c r="P335" s="75" t="str">
        <x:v>https://www.theguardian.com/football/ng-interactive/2026/sep/01/mens-transfer-window-summer-2026-all-deals-from-europes-top-five-leagues</x:v>
      </x:c>
    </x:row>
    <x:row r="336" ht="25" customHeight="1">
      <x:c r="A336" s="69" t="str">
        <x:v>summer-S26-0913</x:v>
      </x:c>
      <x:c r="B336" s="69" t="str">
        <x:v>Alexis Sánchez</x:v>
      </x:c>
      <x:c r="C336" s="69" t="str">
        <x:v>CF Montréal</x:v>
      </x:c>
      <x:c r="D336" s="69" t="str">
        <x:v>Sevilla</x:v>
      </x:c>
      <x:c r="E336" s="76" t="d">
        <x:v>2026-08-11T00:00:00.000Z</x:v>
      </x:c>
      <x:c r="F336" s="69" t="str">
        <x:v>summer</x:v>
      </x:c>
      <x:c r="G336" s="69" t="str">
        <x:v>Forward — striker role unverified</x:v>
      </x:c>
      <x:c r="H336" s="78"/>
      <x:c r="I336" s="69" t="str">
        <x:v>GBP</x:v>
      </x:c>
      <x:c r="J336" s="80"/>
      <x:c r="K336" s="82"/>
      <x:c r="L336" s="69" t="str">
        <x:v>Evidence needed</x:v>
      </x:c>
      <x:c r="M336" s="69" t="str">
        <x:v>Free base fee excludes wages and other costs; role and production evidence needed.</x:v>
      </x:c>
      <x:c r="N336" s="69" t="str">
        <x:v>Not assessed</x:v>
      </x:c>
      <x:c r="O336" s="69" t="str">
        <x:v>Broad Forward label only; not a certified striker cohort. No comparable production supplied for this deal.</x:v>
      </x:c>
      <x:c r="P336" s="69" t="str">
        <x:v>https://www.theguardian.com/football/ng-interactive/2026/sep/01/mens-transfer-window-summer-2026-all-deals-from-europes-top-five-leagues</x:v>
      </x:c>
    </x:row>
    <x:row r="337" ht="25" customHeight="1">
      <x:c r="A337" s="75" t="str">
        <x:v>summer-S26-0917</x:v>
      </x:c>
      <x:c r="B337" s="75" t="str">
        <x:v>Riccardo Braschi</x:v>
      </x:c>
      <x:c r="C337" s="75" t="str">
        <x:v>Thun</x:v>
      </x:c>
      <x:c r="D337" s="75" t="str">
        <x:v>Fiorentina</x:v>
      </x:c>
      <x:c r="E337" s="77" t="d">
        <x:v>2026-08-11T00:00:00.000Z</x:v>
      </x:c>
      <x:c r="F337" s="75" t="str">
        <x:v>summer</x:v>
      </x:c>
      <x:c r="G337" s="75" t="str">
        <x:v>Forward — striker role unverified</x:v>
      </x:c>
      <x:c r="H337" s="79" t="n">
        <x:v>900000</x:v>
      </x:c>
      <x:c r="I337" s="75" t="str">
        <x:v>GBP</x:v>
      </x:c>
      <x:c r="J337" s="81"/>
      <x:c r="K337" s="83"/>
      <x:c r="L337" s="75" t="str">
        <x:v>Evidence needed</x:v>
      </x:c>
      <x:c r="M337" s="75" t="str">
        <x:v>Reported fee available; verify striker role, production, age, availability and transfer before assigning a score.</x:v>
      </x:c>
      <x:c r="N337" s="75" t="str">
        <x:v>Not assessed</x:v>
      </x:c>
      <x:c r="O337" s="75" t="str">
        <x:v>Broad Forward label only; not a certified striker cohort. No comparable production supplied for this deal.</x:v>
      </x:c>
      <x:c r="P337" s="75" t="str">
        <x:v>https://www.theguardian.com/football/ng-interactive/2026/sep/01/mens-transfer-window-summer-2026-all-deals-from-europes-top-five-leagues</x:v>
      </x:c>
    </x:row>
    <x:row r="338" ht="25" customHeight="1">
      <x:c r="A338" s="69" t="str">
        <x:v>summer-S26-0919</x:v>
      </x:c>
      <x:c r="B338" s="69" t="str">
        <x:v>Enzo Molebe</x:v>
      </x:c>
      <x:c r="C338" s="69" t="str">
        <x:v>Lausanne</x:v>
      </x:c>
      <x:c r="D338" s="69" t="str">
        <x:v>Lyon</x:v>
      </x:c>
      <x:c r="E338" s="76" t="d">
        <x:v>2026-08-11T00:00:00.000Z</x:v>
      </x:c>
      <x:c r="F338" s="69" t="str">
        <x:v>summer</x:v>
      </x:c>
      <x:c r="G338" s="69" t="str">
        <x:v>Forward — striker role unverified</x:v>
      </x:c>
      <x:c r="H338" s="78"/>
      <x:c r="I338" s="69" t="str">
        <x:v>GBP</x:v>
      </x:c>
      <x:c r="J338" s="80"/>
      <x:c r="K338" s="82"/>
      <x:c r="L338" s="69" t="str">
        <x:v>Evidence needed</x:v>
      </x:c>
      <x:c r="M338" s="69" t="str">
        <x:v>Loan/swap terms and buyer-specific production evidence needed.</x:v>
      </x:c>
      <x:c r="N338" s="69" t="str">
        <x:v>Not assessed</x:v>
      </x:c>
      <x:c r="O338" s="69" t="str">
        <x:v>Broad Forward label only; not a certified striker cohort. No comparable production supplied for this deal.</x:v>
      </x:c>
      <x:c r="P338" s="69" t="str">
        <x:v>https://www.theguardian.com/football/ng-interactive/2026/sep/01/mens-transfer-window-summer-2026-all-deals-from-europes-top-five-leagues</x:v>
      </x:c>
    </x:row>
    <x:row r="339" ht="25" customHeight="1">
      <x:c r="A339" s="75" t="str">
        <x:v>summer-S26-0920</x:v>
      </x:c>
      <x:c r="B339" s="75" t="str">
        <x:v>Dusan Vlahovic</x:v>
      </x:c>
      <x:c r="C339" s="75" t="str">
        <x:v>Besiktas</x:v>
      </x:c>
      <x:c r="D339" s="75" t="str">
        <x:v>Juventus</x:v>
      </x:c>
      <x:c r="E339" s="77" t="d">
        <x:v>2026-08-12T00:00:00.000Z</x:v>
      </x:c>
      <x:c r="F339" s="75" t="str">
        <x:v>summer</x:v>
      </x:c>
      <x:c r="G339" s="75" t="str">
        <x:v>Forward — striker role unverified</x:v>
      </x:c>
      <x:c r="H339" s="79"/>
      <x:c r="I339" s="75" t="str">
        <x:v>GBP</x:v>
      </x:c>
      <x:c r="J339" s="81"/>
      <x:c r="K339" s="83"/>
      <x:c r="L339" s="75" t="str">
        <x:v>Evidence needed</x:v>
      </x:c>
      <x:c r="M339" s="75" t="str">
        <x:v>Free base fee excludes wages and other costs; role and production evidence needed.</x:v>
      </x:c>
      <x:c r="N339" s="75" t="str">
        <x:v>Not assessed</x:v>
      </x:c>
      <x:c r="O339" s="75" t="str">
        <x:v>Broad Forward label only; not a certified striker cohort. No comparable production supplied for this deal.</x:v>
      </x:c>
      <x:c r="P339" s="75" t="str">
        <x:v>https://www.theguardian.com/football/ng-interactive/2026/sep/01/mens-transfer-window-summer-2026-all-deals-from-europes-top-five-leagues</x:v>
      </x:c>
    </x:row>
    <x:row r="340" ht="25" customHeight="1">
      <x:c r="A340" s="69" t="str">
        <x:v>summer-S26-0925</x:v>
      </x:c>
      <x:c r="B340" s="69" t="str">
        <x:v>Franjo Ivanovic</x:v>
      </x:c>
      <x:c r="C340" s="69" t="str">
        <x:v>Lens</x:v>
      </x:c>
      <x:c r="D340" s="69" t="str">
        <x:v>Benfica</x:v>
      </x:c>
      <x:c r="E340" s="76" t="d">
        <x:v>2026-08-12T00:00:00.000Z</x:v>
      </x:c>
      <x:c r="F340" s="69" t="str">
        <x:v>summer</x:v>
      </x:c>
      <x:c r="G340" s="69" t="str">
        <x:v>Forward — striker role unverified</x:v>
      </x:c>
      <x:c r="H340" s="78"/>
      <x:c r="I340" s="69" t="str">
        <x:v>GBP</x:v>
      </x:c>
      <x:c r="J340" s="80"/>
      <x:c r="K340" s="82"/>
      <x:c r="L340" s="69" t="str">
        <x:v>Evidence needed</x:v>
      </x:c>
      <x:c r="M340" s="69" t="str">
        <x:v>Loan/swap terms and buyer-specific production evidence needed.</x:v>
      </x:c>
      <x:c r="N340" s="69" t="str">
        <x:v>Not assessed</x:v>
      </x:c>
      <x:c r="O340" s="69" t="str">
        <x:v>Broad Forward label only; not a certified striker cohort. No comparable production supplied for this deal.</x:v>
      </x:c>
      <x:c r="P340" s="69" t="str">
        <x:v>https://www.theguardian.com/football/ng-interactive/2026/sep/01/mens-transfer-window-summer-2026-all-deals-from-europes-top-five-leagues</x:v>
      </x:c>
    </x:row>
    <x:row r="341" ht="25" customHeight="1">
      <x:c r="A341" s="75" t="str">
        <x:v>summer-S26-0927</x:v>
      </x:c>
      <x:c r="B341" s="75" t="str">
        <x:v>Federico Gattoni</x:v>
      </x:c>
      <x:c r="C341" s="75" t="str">
        <x:v>Ascoli</x:v>
      </x:c>
      <x:c r="D341" s="75" t="str">
        <x:v>Sevilla</x:v>
      </x:c>
      <x:c r="E341" s="77" t="d">
        <x:v>2026-08-12T00:00:00.000Z</x:v>
      </x:c>
      <x:c r="F341" s="75" t="str">
        <x:v>summer</x:v>
      </x:c>
      <x:c r="G341" s="75" t="str">
        <x:v>Forward — striker role unverified</x:v>
      </x:c>
      <x:c r="H341" s="79"/>
      <x:c r="I341" s="75" t="str">
        <x:v>GBP</x:v>
      </x:c>
      <x:c r="J341" s="81"/>
      <x:c r="K341" s="83"/>
      <x:c r="L341" s="75" t="str">
        <x:v>Evidence needed</x:v>
      </x:c>
      <x:c r="M341" s="75" t="str">
        <x:v>Undisclosed fee: cannot assess fee versus worth.</x:v>
      </x:c>
      <x:c r="N341" s="75" t="str">
        <x:v>Not assessed</x:v>
      </x:c>
      <x:c r="O341" s="75" t="str">
        <x:v>Broad Forward label only; not a certified striker cohort. No comparable production supplied for this deal.</x:v>
      </x:c>
      <x:c r="P341" s="75" t="str">
        <x:v>https://www.theguardian.com/football/ng-interactive/2026/sep/01/mens-transfer-window-summer-2026-all-deals-from-europes-top-five-leagues</x:v>
      </x:c>
    </x:row>
    <x:row r="342" ht="25" customHeight="1">
      <x:c r="A342" s="69" t="str">
        <x:v>summer-S26-0928</x:v>
      </x:c>
      <x:c r="B342" s="69" t="str">
        <x:v>Noam Obougou</x:v>
      </x:c>
      <x:c r="C342" s="69" t="str">
        <x:v>Nancy</x:v>
      </x:c>
      <x:c r="D342" s="69" t="str">
        <x:v>Le Havre</x:v>
      </x:c>
      <x:c r="E342" s="76" t="d">
        <x:v>2026-08-12T00:00:00.000Z</x:v>
      </x:c>
      <x:c r="F342" s="69" t="str">
        <x:v>summer</x:v>
      </x:c>
      <x:c r="G342" s="69" t="str">
        <x:v>Forward — striker role unverified</x:v>
      </x:c>
      <x:c r="H342" s="78"/>
      <x:c r="I342" s="69" t="str">
        <x:v>GBP</x:v>
      </x:c>
      <x:c r="J342" s="80"/>
      <x:c r="K342" s="82"/>
      <x:c r="L342" s="69" t="str">
        <x:v>Evidence needed</x:v>
      </x:c>
      <x:c r="M342" s="69" t="str">
        <x:v>Loan/swap terms and buyer-specific production evidence needed.</x:v>
      </x:c>
      <x:c r="N342" s="69" t="str">
        <x:v>Not assessed</x:v>
      </x:c>
      <x:c r="O342" s="69" t="str">
        <x:v>Broad Forward label only; not a certified striker cohort. No comparable production supplied for this deal.</x:v>
      </x:c>
      <x:c r="P342" s="69" t="str">
        <x:v>https://www.theguardian.com/football/ng-interactive/2026/sep/01/mens-transfer-window-summer-2026-all-deals-from-europes-top-five-leagues</x:v>
      </x:c>
    </x:row>
    <x:row r="343" ht="25" customHeight="1">
      <x:c r="A343" s="75" t="str">
        <x:v>summer-S26-0933</x:v>
      </x:c>
      <x:c r="B343" s="75" t="str">
        <x:v>Enes Unal</x:v>
      </x:c>
      <x:c r="C343" s="75" t="str">
        <x:v>Getafe</x:v>
      </x:c>
      <x:c r="D343" s="75" t="str">
        <x:v>Bournemouth</x:v>
      </x:c>
      <x:c r="E343" s="77" t="d">
        <x:v>2026-08-13T00:00:00.000Z</x:v>
      </x:c>
      <x:c r="F343" s="75" t="str">
        <x:v>summer</x:v>
      </x:c>
      <x:c r="G343" s="75" t="str">
        <x:v>Forward — striker role unverified</x:v>
      </x:c>
      <x:c r="H343" s="79"/>
      <x:c r="I343" s="75" t="str">
        <x:v>GBP</x:v>
      </x:c>
      <x:c r="J343" s="81"/>
      <x:c r="K343" s="83"/>
      <x:c r="L343" s="75" t="str">
        <x:v>Evidence needed</x:v>
      </x:c>
      <x:c r="M343" s="75" t="str">
        <x:v>Free base fee excludes wages and other costs; role and production evidence needed.</x:v>
      </x:c>
      <x:c r="N343" s="75" t="str">
        <x:v>Not assessed</x:v>
      </x:c>
      <x:c r="O343" s="75" t="str">
        <x:v>Broad Forward label only; not a certified striker cohort. No comparable production supplied for this deal.</x:v>
      </x:c>
      <x:c r="P343" s="75" t="str">
        <x:v>https://www.theguardian.com/football/ng-interactive/2026/sep/01/mens-transfer-window-summer-2026-all-deals-from-europes-top-five-leagues</x:v>
      </x:c>
    </x:row>
    <x:row r="344" ht="25" customHeight="1">
      <x:c r="A344" s="69" t="str">
        <x:v>summer-S26-0934</x:v>
      </x:c>
      <x:c r="B344" s="69" t="str">
        <x:v>Roberto Piccoli</x:v>
      </x:c>
      <x:c r="C344" s="69" t="str">
        <x:v>Bologna</x:v>
      </x:c>
      <x:c r="D344" s="69" t="str">
        <x:v>Fiorentina</x:v>
      </x:c>
      <x:c r="E344" s="76" t="d">
        <x:v>2026-08-13T00:00:00.000Z</x:v>
      </x:c>
      <x:c r="F344" s="69" t="str">
        <x:v>summer</x:v>
      </x:c>
      <x:c r="G344" s="69" t="str">
        <x:v>Forward — striker role unverified</x:v>
      </x:c>
      <x:c r="H344" s="78"/>
      <x:c r="I344" s="69" t="str">
        <x:v>GBP</x:v>
      </x:c>
      <x:c r="J344" s="80"/>
      <x:c r="K344" s="82"/>
      <x:c r="L344" s="69" t="str">
        <x:v>Evidence needed</x:v>
      </x:c>
      <x:c r="M344" s="69" t="str">
        <x:v>Loan/swap terms and buyer-specific production evidence needed.</x:v>
      </x:c>
      <x:c r="N344" s="69" t="str">
        <x:v>Not assessed</x:v>
      </x:c>
      <x:c r="O344" s="69" t="str">
        <x:v>Broad Forward label only; not a certified striker cohort. No comparable production supplied for this deal.</x:v>
      </x:c>
      <x:c r="P344" s="69" t="str">
        <x:v>https://www.theguardian.com/football/ng-interactive/2026/sep/01/mens-transfer-window-summer-2026-all-deals-from-europes-top-five-leagues</x:v>
      </x:c>
    </x:row>
    <x:row r="345" ht="25" customHeight="1">
      <x:c r="A345" s="75" t="str">
        <x:v>summer-S26-0935</x:v>
      </x:c>
      <x:c r="B345" s="75" t="str">
        <x:v>Mateo Pellegrino</x:v>
      </x:c>
      <x:c r="C345" s="75" t="str">
        <x:v>Fiorentina</x:v>
      </x:c>
      <x:c r="D345" s="75" t="str">
        <x:v>Parma</x:v>
      </x:c>
      <x:c r="E345" s="77" t="d">
        <x:v>2026-08-13T00:00:00.000Z</x:v>
      </x:c>
      <x:c r="F345" s="75" t="str">
        <x:v>summer</x:v>
      </x:c>
      <x:c r="G345" s="75" t="str">
        <x:v>Forward — striker role unverified</x:v>
      </x:c>
      <x:c r="H345" s="79" t="n">
        <x:v>19200000</x:v>
      </x:c>
      <x:c r="I345" s="75" t="str">
        <x:v>GBP</x:v>
      </x:c>
      <x:c r="J345" s="81"/>
      <x:c r="K345" s="83"/>
      <x:c r="L345" s="75" t="str">
        <x:v>Evidence needed</x:v>
      </x:c>
      <x:c r="M345" s="75" t="str">
        <x:v>Reported fee available; verify striker role, production, age, availability and transfer before assigning a score.</x:v>
      </x:c>
      <x:c r="N345" s="75" t="str">
        <x:v>Not assessed</x:v>
      </x:c>
      <x:c r="O345" s="75" t="str">
        <x:v>Broad Forward label only; not a certified striker cohort. No comparable production supplied for this deal.</x:v>
      </x:c>
      <x:c r="P345" s="75" t="str">
        <x:v>https://www.theguardian.com/football/ng-interactive/2026/sep/01/mens-transfer-window-summer-2026-all-deals-from-europes-top-five-leagues</x:v>
      </x:c>
    </x:row>
    <x:row r="346" ht="25" customHeight="1">
      <x:c r="A346" s="69" t="str">
        <x:v>summer-S26-0942</x:v>
      </x:c>
      <x:c r="B346" s="69" t="str">
        <x:v>Tiziano Perrotta</x:v>
      </x:c>
      <x:c r="C346" s="69" t="str">
        <x:v>Elche</x:v>
      </x:c>
      <x:c r="D346" s="69" t="str">
        <x:v>Banfield</x:v>
      </x:c>
      <x:c r="E346" s="76" t="d">
        <x:v>2026-08-13T00:00:00.000Z</x:v>
      </x:c>
      <x:c r="F346" s="69" t="str">
        <x:v>summer</x:v>
      </x:c>
      <x:c r="G346" s="69" t="str">
        <x:v>Forward — striker role unverified</x:v>
      </x:c>
      <x:c r="H346" s="78"/>
      <x:c r="I346" s="69" t="str">
        <x:v>GBP</x:v>
      </x:c>
      <x:c r="J346" s="80"/>
      <x:c r="K346" s="82"/>
      <x:c r="L346" s="69" t="str">
        <x:v>Evidence needed</x:v>
      </x:c>
      <x:c r="M346" s="69" t="str">
        <x:v>Undisclosed fee: cannot assess fee versus worth.</x:v>
      </x:c>
      <x:c r="N346" s="69" t="str">
        <x:v>Not assessed</x:v>
      </x:c>
      <x:c r="O346" s="69" t="str">
        <x:v>Broad Forward label only; not a certified striker cohort. No comparable production supplied for this deal.</x:v>
      </x:c>
      <x:c r="P346" s="69" t="str">
        <x:v>https://www.theguardian.com/football/ng-interactive/2026/sep/01/mens-transfer-window-summer-2026-all-deals-from-europes-top-five-leagues</x:v>
      </x:c>
    </x:row>
    <x:row r="347" ht="25" customHeight="1">
      <x:c r="A347" s="75" t="str">
        <x:v>summer-S26-0943</x:v>
      </x:c>
      <x:c r="B347" s="75" t="str">
        <x:v>Tiziano Perrotta</x:v>
      </x:c>
      <x:c r="C347" s="75" t="str">
        <x:v>Defensa y Justicia</x:v>
      </x:c>
      <x:c r="D347" s="75" t="str">
        <x:v>Elche</x:v>
      </x:c>
      <x:c r="E347" s="77" t="d">
        <x:v>2026-08-13T00:00:00.000Z</x:v>
      </x:c>
      <x:c r="F347" s="75" t="str">
        <x:v>summer</x:v>
      </x:c>
      <x:c r="G347" s="75" t="str">
        <x:v>Forward — striker role unverified</x:v>
      </x:c>
      <x:c r="H347" s="79"/>
      <x:c r="I347" s="75" t="str">
        <x:v>GBP</x:v>
      </x:c>
      <x:c r="J347" s="81"/>
      <x:c r="K347" s="83"/>
      <x:c r="L347" s="75" t="str">
        <x:v>Evidence needed</x:v>
      </x:c>
      <x:c r="M347" s="75" t="str">
        <x:v>Loan/swap terms and buyer-specific production evidence needed.</x:v>
      </x:c>
      <x:c r="N347" s="75" t="str">
        <x:v>Not assessed</x:v>
      </x:c>
      <x:c r="O347" s="75" t="str">
        <x:v>Broad Forward label only; not a certified striker cohort. No comparable production supplied for this deal.</x:v>
      </x:c>
      <x:c r="P347" s="75" t="str">
        <x:v>https://www.theguardian.com/football/ng-interactive/2026/sep/01/mens-transfer-window-summer-2026-all-deals-from-europes-top-five-leagues</x:v>
      </x:c>
    </x:row>
    <x:row r="348" ht="25" customHeight="1">
      <x:c r="A348" s="69" t="str">
        <x:v>summer-S26-0945</x:v>
      </x:c>
      <x:c r="B348" s="69" t="str">
        <x:v>Armindo Sieb</x:v>
      </x:c>
      <x:c r="C348" s="69" t="str">
        <x:v>Los Angeles FC</x:v>
      </x:c>
      <x:c r="D348" s="69" t="str">
        <x:v>Bayern Munich</x:v>
      </x:c>
      <x:c r="E348" s="76" t="d">
        <x:v>2026-08-13T00:00:00.000Z</x:v>
      </x:c>
      <x:c r="F348" s="69" t="str">
        <x:v>summer</x:v>
      </x:c>
      <x:c r="G348" s="69" t="str">
        <x:v>Forward — striker role unverified</x:v>
      </x:c>
      <x:c r="H348" s="78" t="n">
        <x:v>430000</x:v>
      </x:c>
      <x:c r="I348" s="69" t="str">
        <x:v>GBP</x:v>
      </x:c>
      <x:c r="J348" s="80"/>
      <x:c r="K348" s="82"/>
      <x:c r="L348" s="69" t="str">
        <x:v>Evidence needed</x:v>
      </x:c>
      <x:c r="M348" s="69" t="str">
        <x:v>Reported fee available; verify striker role, production, age, availability and transfer before assigning a score.</x:v>
      </x:c>
      <x:c r="N348" s="69" t="str">
        <x:v>Not assessed</x:v>
      </x:c>
      <x:c r="O348" s="69" t="str">
        <x:v>Broad Forward label only; not a certified striker cohort. No comparable production supplied for this deal.</x:v>
      </x:c>
      <x:c r="P348" s="69" t="str">
        <x:v>https://www.theguardian.com/football/ng-interactive/2026/sep/01/mens-transfer-window-summer-2026-all-deals-from-europes-top-five-leagues</x:v>
      </x:c>
    </x:row>
    <x:row r="349" ht="25" customHeight="1">
      <x:c r="A349" s="75" t="str">
        <x:v>summer-S26-0950</x:v>
      </x:c>
      <x:c r="B349" s="75" t="str">
        <x:v>Enis Destan</x:v>
      </x:c>
      <x:c r="C349" s="75" t="str">
        <x:v>Konyaspor</x:v>
      </x:c>
      <x:c r="D349" s="75" t="str">
        <x:v>Hull City</x:v>
      </x:c>
      <x:c r="E349" s="77" t="d">
        <x:v>2026-08-14T00:00:00.000Z</x:v>
      </x:c>
      <x:c r="F349" s="75" t="str">
        <x:v>summer</x:v>
      </x:c>
      <x:c r="G349" s="75" t="str">
        <x:v>Forward — striker role unverified</x:v>
      </x:c>
      <x:c r="H349" s="79"/>
      <x:c r="I349" s="75" t="str">
        <x:v>GBP</x:v>
      </x:c>
      <x:c r="J349" s="81"/>
      <x:c r="K349" s="83"/>
      <x:c r="L349" s="75" t="str">
        <x:v>Evidence needed</x:v>
      </x:c>
      <x:c r="M349" s="75" t="str">
        <x:v>Undisclosed fee: cannot assess fee versus worth.</x:v>
      </x:c>
      <x:c r="N349" s="75" t="str">
        <x:v>Not assessed</x:v>
      </x:c>
      <x:c r="O349" s="75" t="str">
        <x:v>Broad Forward label only; not a certified striker cohort. No comparable production supplied for this deal.</x:v>
      </x:c>
      <x:c r="P349" s="75" t="str">
        <x:v>https://www.theguardian.com/football/ng-interactive/2026/sep/01/mens-transfer-window-summer-2026-all-deals-from-europes-top-five-leagues</x:v>
      </x:c>
    </x:row>
    <x:row r="350" ht="25" customHeight="1">
      <x:c r="A350" s="69" t="str">
        <x:v>summer-S26-0952</x:v>
      </x:c>
      <x:c r="B350" s="69" t="str">
        <x:v>Flavio Russo</x:v>
      </x:c>
      <x:c r="C350" s="69" t="str">
        <x:v>Catania</x:v>
      </x:c>
      <x:c r="D350" s="69" t="str">
        <x:v>Sassuolo</x:v>
      </x:c>
      <x:c r="E350" s="76" t="d">
        <x:v>2026-08-14T00:00:00.000Z</x:v>
      </x:c>
      <x:c r="F350" s="69" t="str">
        <x:v>summer</x:v>
      </x:c>
      <x:c r="G350" s="69" t="str">
        <x:v>Forward — striker role unverified</x:v>
      </x:c>
      <x:c r="H350" s="78"/>
      <x:c r="I350" s="69" t="str">
        <x:v>GBP</x:v>
      </x:c>
      <x:c r="J350" s="80"/>
      <x:c r="K350" s="82"/>
      <x:c r="L350" s="69" t="str">
        <x:v>Evidence needed</x:v>
      </x:c>
      <x:c r="M350" s="69" t="str">
        <x:v>Loan/swap terms and buyer-specific production evidence needed.</x:v>
      </x:c>
      <x:c r="N350" s="69" t="str">
        <x:v>Not assessed</x:v>
      </x:c>
      <x:c r="O350" s="69" t="str">
        <x:v>Broad Forward label only; not a certified striker cohort. No comparable production supplied for this deal.</x:v>
      </x:c>
      <x:c r="P350" s="69" t="str">
        <x:v>https://www.theguardian.com/football/ng-interactive/2026/sep/01/mens-transfer-window-summer-2026-all-deals-from-europes-top-five-leagues</x:v>
      </x:c>
    </x:row>
    <x:row r="351" ht="25" customHeight="1">
      <x:c r="A351" s="75" t="str">
        <x:v>summer-S26-0955</x:v>
      </x:c>
      <x:c r="B351" s="75" t="str">
        <x:v>David Romero</x:v>
      </x:c>
      <x:c r="C351" s="75" t="str">
        <x:v>Parma</x:v>
      </x:c>
      <x:c r="D351" s="75" t="str">
        <x:v>Club Atlético Tigre</x:v>
      </x:c>
      <x:c r="E351" s="77" t="d">
        <x:v>2026-08-14T00:00:00.000Z</x:v>
      </x:c>
      <x:c r="F351" s="75" t="str">
        <x:v>summer</x:v>
      </x:c>
      <x:c r="G351" s="75" t="str">
        <x:v>Forward — striker role unverified</x:v>
      </x:c>
      <x:c r="H351" s="79" t="n">
        <x:v>6000000</x:v>
      </x:c>
      <x:c r="I351" s="75" t="str">
        <x:v>GBP</x:v>
      </x:c>
      <x:c r="J351" s="81"/>
      <x:c r="K351" s="83"/>
      <x:c r="L351" s="75" t="str">
        <x:v>Evidence needed</x:v>
      </x:c>
      <x:c r="M351" s="75" t="str">
        <x:v>Reported fee available; verify striker role, production, age, availability and transfer before assigning a score.</x:v>
      </x:c>
      <x:c r="N351" s="75" t="str">
        <x:v>Not assessed</x:v>
      </x:c>
      <x:c r="O351" s="75" t="str">
        <x:v>Broad Forward label only; not a certified striker cohort. No comparable production supplied for this deal.</x:v>
      </x:c>
      <x:c r="P351" s="75" t="str">
        <x:v>https://www.theguardian.com/football/ng-interactive/2026/sep/01/mens-transfer-window-summer-2026-all-deals-from-europes-top-five-leagues</x:v>
      </x:c>
    </x:row>
    <x:row r="352" ht="25" customHeight="1">
      <x:c r="A352" s="69" t="str">
        <x:v>summer-S26-0961</x:v>
      </x:c>
      <x:c r="B352" s="69" t="str">
        <x:v>Dastan Satpayev</x:v>
      </x:c>
      <x:c r="C352" s="69" t="str">
        <x:v>Burnley</x:v>
      </x:c>
      <x:c r="D352" s="69" t="str">
        <x:v>Chelsea</x:v>
      </x:c>
      <x:c r="E352" s="76" t="d">
        <x:v>2026-08-14T00:00:00.000Z</x:v>
      </x:c>
      <x:c r="F352" s="69" t="str">
        <x:v>summer</x:v>
      </x:c>
      <x:c r="G352" s="69" t="str">
        <x:v>Forward — striker role unverified</x:v>
      </x:c>
      <x:c r="H352" s="78"/>
      <x:c r="I352" s="69" t="str">
        <x:v>GBP</x:v>
      </x:c>
      <x:c r="J352" s="80"/>
      <x:c r="K352" s="82"/>
      <x:c r="L352" s="69" t="str">
        <x:v>Evidence needed</x:v>
      </x:c>
      <x:c r="M352" s="69" t="str">
        <x:v>Loan/swap terms and buyer-specific production evidence needed.</x:v>
      </x:c>
      <x:c r="N352" s="69" t="str">
        <x:v>Not assessed</x:v>
      </x:c>
      <x:c r="O352" s="69" t="str">
        <x:v>Broad Forward label only; not a certified striker cohort. No comparable production supplied for this deal.</x:v>
      </x:c>
      <x:c r="P352" s="69" t="str">
        <x:v>https://www.theguardian.com/football/ng-interactive/2026/sep/01/mens-transfer-window-summer-2026-all-deals-from-europes-top-five-leagues</x:v>
      </x:c>
    </x:row>
    <x:row r="353" ht="25" customHeight="1">
      <x:c r="A353" s="75" t="str">
        <x:v>summer-S26-0971</x:v>
      </x:c>
      <x:c r="B353" s="75" t="str">
        <x:v>Ferran Torres</x:v>
      </x:c>
      <x:c r="C353" s="75" t="str">
        <x:v>Paris Saint-Germain</x:v>
      </x:c>
      <x:c r="D353" s="75" t="str">
        <x:v>Barcelona</x:v>
      </x:c>
      <x:c r="E353" s="77" t="d">
        <x:v>2026-08-15T00:00:00.000Z</x:v>
      </x:c>
      <x:c r="F353" s="75" t="str">
        <x:v>summer</x:v>
      </x:c>
      <x:c r="G353" s="75" t="str">
        <x:v>Forward — striker role unverified</x:v>
      </x:c>
      <x:c r="H353" s="79" t="n">
        <x:v>42800000</x:v>
      </x:c>
      <x:c r="I353" s="75" t="str">
        <x:v>GBP</x:v>
      </x:c>
      <x:c r="J353" s="81"/>
      <x:c r="K353" s="83"/>
      <x:c r="L353" s="75" t="str">
        <x:v>Evidence needed</x:v>
      </x:c>
      <x:c r="M353" s="75" t="str">
        <x:v>Reported fee available; verify striker role, production, age, availability and transfer before assigning a score.</x:v>
      </x:c>
      <x:c r="N353" s="75" t="str">
        <x:v>Not assessed</x:v>
      </x:c>
      <x:c r="O353" s="75" t="str">
        <x:v>Broad Forward label only; not a certified striker cohort. No comparable production supplied for this deal.</x:v>
      </x:c>
      <x:c r="P353" s="75" t="str">
        <x:v>https://www.theguardian.com/football/ng-interactive/2026/sep/01/mens-transfer-window-summer-2026-all-deals-from-europes-top-five-leagues</x:v>
      </x:c>
    </x:row>
    <x:row r="354" ht="25" customHeight="1">
      <x:c r="A354" s="69" t="str">
        <x:v>summer-S26-0974</x:v>
      </x:c>
      <x:c r="B354" s="69" t="str">
        <x:v>Joe Gelhardt</x:v>
      </x:c>
      <x:c r="C354" s="69" t="str">
        <x:v>Hull City</x:v>
      </x:c>
      <x:c r="D354" s="69" t="str">
        <x:v>Leeds United</x:v>
      </x:c>
      <x:c r="E354" s="76" t="d">
        <x:v>2026-08-15T00:00:00.000Z</x:v>
      </x:c>
      <x:c r="F354" s="69" t="str">
        <x:v>summer</x:v>
      </x:c>
      <x:c r="G354" s="69" t="str">
        <x:v>Forward — striker role unverified</x:v>
      </x:c>
      <x:c r="H354" s="78" t="n">
        <x:v>6500000</x:v>
      </x:c>
      <x:c r="I354" s="69" t="str">
        <x:v>GBP</x:v>
      </x:c>
      <x:c r="J354" s="80"/>
      <x:c r="K354" s="82"/>
      <x:c r="L354" s="69" t="str">
        <x:v>Evidence needed</x:v>
      </x:c>
      <x:c r="M354" s="69" t="str">
        <x:v>Reported fee available; verify striker role, production, age, availability and transfer before assigning a score.</x:v>
      </x:c>
      <x:c r="N354" s="69" t="str">
        <x:v>Not assessed</x:v>
      </x:c>
      <x:c r="O354" s="69" t="str">
        <x:v>Broad Forward label only; not a certified striker cohort. No comparable production supplied for this deal.</x:v>
      </x:c>
      <x:c r="P354" s="69" t="str">
        <x:v>https://www.theguardian.com/football/ng-interactive/2026/sep/01/mens-transfer-window-summer-2026-all-deals-from-europes-top-five-leagues</x:v>
      </x:c>
    </x:row>
    <x:row r="355" ht="25" customHeight="1">
      <x:c r="A355" s="75" t="str">
        <x:v>summer-S26-0975</x:v>
      </x:c>
      <x:c r="B355" s="75" t="str">
        <x:v>Janis Antiste</x:v>
      </x:c>
      <x:c r="C355" s="75" t="str">
        <x:v>Gornik Zabrze</x:v>
      </x:c>
      <x:c r="D355" s="75" t="str">
        <x:v>Sassuolo</x:v>
      </x:c>
      <x:c r="E355" s="77" t="d">
        <x:v>2026-08-15T00:00:00.000Z</x:v>
      </x:c>
      <x:c r="F355" s="75" t="str">
        <x:v>summer</x:v>
      </x:c>
      <x:c r="G355" s="75" t="str">
        <x:v>Forward — striker role unverified</x:v>
      </x:c>
      <x:c r="H355" s="79"/>
      <x:c r="I355" s="75" t="str">
        <x:v>GBP</x:v>
      </x:c>
      <x:c r="J355" s="81"/>
      <x:c r="K355" s="83"/>
      <x:c r="L355" s="75" t="str">
        <x:v>Evidence needed</x:v>
      </x:c>
      <x:c r="M355" s="75" t="str">
        <x:v>Loan/swap terms and buyer-specific production evidence needed.</x:v>
      </x:c>
      <x:c r="N355" s="75" t="str">
        <x:v>Not assessed</x:v>
      </x:c>
      <x:c r="O355" s="75" t="str">
        <x:v>Broad Forward label only; not a certified striker cohort. No comparable production supplied for this deal.</x:v>
      </x:c>
      <x:c r="P355" s="75" t="str">
        <x:v>https://www.theguardian.com/football/ng-interactive/2026/sep/01/mens-transfer-window-summer-2026-all-deals-from-europes-top-five-leagues</x:v>
      </x:c>
    </x:row>
    <x:row r="356" ht="25" customHeight="1">
      <x:c r="A356" s="69" t="str">
        <x:v>summer-S26-0978</x:v>
      </x:c>
      <x:c r="B356" s="69" t="str">
        <x:v>Agustín Álvarez</x:v>
      </x:c>
      <x:c r="C356" s="69" t="str">
        <x:v>Talleres</x:v>
      </x:c>
      <x:c r="D356" s="69" t="str">
        <x:v>Sassuolo</x:v>
      </x:c>
      <x:c r="E356" s="76" t="d">
        <x:v>2026-08-14T00:00:00.000Z</x:v>
      </x:c>
      <x:c r="F356" s="69" t="str">
        <x:v>summer</x:v>
      </x:c>
      <x:c r="G356" s="69" t="str">
        <x:v>Forward — striker role unverified</x:v>
      </x:c>
      <x:c r="H356" s="78"/>
      <x:c r="I356" s="69" t="str">
        <x:v>GBP</x:v>
      </x:c>
      <x:c r="J356" s="80"/>
      <x:c r="K356" s="82"/>
      <x:c r="L356" s="69" t="str">
        <x:v>Evidence needed</x:v>
      </x:c>
      <x:c r="M356" s="69" t="str">
        <x:v>Loan/swap terms and buyer-specific production evidence needed.</x:v>
      </x:c>
      <x:c r="N356" s="69" t="str">
        <x:v>Not assessed</x:v>
      </x:c>
      <x:c r="O356" s="69" t="str">
        <x:v>Broad Forward label only; not a certified striker cohort. No comparable production supplied for this deal.</x:v>
      </x:c>
      <x:c r="P356" s="69" t="str">
        <x:v>https://www.theguardian.com/football/ng-interactive/2026/sep/01/mens-transfer-window-summer-2026-all-deals-from-europes-top-five-leagues</x:v>
      </x:c>
    </x:row>
    <x:row r="357" ht="25" customHeight="1">
      <x:c r="A357" s="75" t="str">
        <x:v>summer-S26-0982</x:v>
      </x:c>
      <x:c r="B357" s="75" t="str">
        <x:v>Noel Futkeu</x:v>
      </x:c>
      <x:c r="C357" s="75" t="str">
        <x:v>Elversberg</x:v>
      </x:c>
      <x:c r="D357" s="75" t="str">
        <x:v>Eintracht Frankfurt</x:v>
      </x:c>
      <x:c r="E357" s="77" t="d">
        <x:v>2026-08-15T00:00:00.000Z</x:v>
      </x:c>
      <x:c r="F357" s="75" t="str">
        <x:v>summer</x:v>
      </x:c>
      <x:c r="G357" s="75" t="str">
        <x:v>Forward — striker role unverified</x:v>
      </x:c>
      <x:c r="H357" s="79"/>
      <x:c r="I357" s="75" t="str">
        <x:v>GBP</x:v>
      </x:c>
      <x:c r="J357" s="81"/>
      <x:c r="K357" s="83"/>
      <x:c r="L357" s="75" t="str">
        <x:v>Evidence needed</x:v>
      </x:c>
      <x:c r="M357" s="75" t="str">
        <x:v>Loan/swap terms and buyer-specific production evidence needed.</x:v>
      </x:c>
      <x:c r="N357" s="75" t="str">
        <x:v>Not assessed</x:v>
      </x:c>
      <x:c r="O357" s="75" t="str">
        <x:v>Broad Forward label only; not a certified striker cohort. No comparable production supplied for this deal.</x:v>
      </x:c>
      <x:c r="P357" s="75" t="str">
        <x:v>https://www.theguardian.com/football/ng-interactive/2026/sep/01/mens-transfer-window-summer-2026-all-deals-from-europes-top-five-leagues</x:v>
      </x:c>
    </x:row>
    <x:row r="358" ht="25" customHeight="1">
      <x:c r="A358" s="69" t="str">
        <x:v>summer-S26-0989</x:v>
      </x:c>
      <x:c r="B358" s="69" t="str">
        <x:v>Julio Enciso</x:v>
      </x:c>
      <x:c r="C358" s="69" t="str">
        <x:v>Ipswich Town</x:v>
      </x:c>
      <x:c r="D358" s="69" t="str">
        <x:v>Strasbourg</x:v>
      </x:c>
      <x:c r="E358" s="76" t="d">
        <x:v>2026-08-17T00:00:00.000Z</x:v>
      </x:c>
      <x:c r="F358" s="69" t="str">
        <x:v>summer</x:v>
      </x:c>
      <x:c r="G358" s="69" t="str">
        <x:v>Forward — striker role unverified</x:v>
      </x:c>
      <x:c r="H358" s="78" t="n">
        <x:v>26000000</x:v>
      </x:c>
      <x:c r="I358" s="69" t="str">
        <x:v>GBP</x:v>
      </x:c>
      <x:c r="J358" s="80"/>
      <x:c r="K358" s="82"/>
      <x:c r="L358" s="69" t="str">
        <x:v>Evidence needed</x:v>
      </x:c>
      <x:c r="M358" s="69" t="str">
        <x:v>Reported fee available; verify striker role, production, age, availability and transfer before assigning a score.</x:v>
      </x:c>
      <x:c r="N358" s="69" t="str">
        <x:v>Not assessed</x:v>
      </x:c>
      <x:c r="O358" s="69" t="str">
        <x:v>Broad Forward label only; not a certified striker cohort. No comparable production supplied for this deal.</x:v>
      </x:c>
      <x:c r="P358" s="69" t="str">
        <x:v>https://www.theguardian.com/football/ng-interactive/2026/sep/01/mens-transfer-window-summer-2026-all-deals-from-europes-top-five-leagues</x:v>
      </x:c>
    </x:row>
    <x:row r="359" ht="25" customHeight="1">
      <x:c r="A359" s="75" t="str">
        <x:v>summer-S26-0990</x:v>
      </x:c>
      <x:c r="B359" s="75" t="str">
        <x:v>Taiwo Awoniyi</x:v>
      </x:c>
      <x:c r="C359" s="75" t="str">
        <x:v>Coventry City</x:v>
      </x:c>
      <x:c r="D359" s="75" t="str">
        <x:v>Nottingham Forest</x:v>
      </x:c>
      <x:c r="E359" s="77" t="d">
        <x:v>2026-08-17T00:00:00.000Z</x:v>
      </x:c>
      <x:c r="F359" s="75" t="str">
        <x:v>summer</x:v>
      </x:c>
      <x:c r="G359" s="75" t="str">
        <x:v>Forward — striker role unverified</x:v>
      </x:c>
      <x:c r="H359" s="79" t="n">
        <x:v>9000000</x:v>
      </x:c>
      <x:c r="I359" s="75" t="str">
        <x:v>GBP</x:v>
      </x:c>
      <x:c r="J359" s="81"/>
      <x:c r="K359" s="83"/>
      <x:c r="L359" s="75" t="str">
        <x:v>Evidence needed</x:v>
      </x:c>
      <x:c r="M359" s="75" t="str">
        <x:v>Reported fee available; verify striker role, production, age, availability and transfer before assigning a score.</x:v>
      </x:c>
      <x:c r="N359" s="75" t="str">
        <x:v>Not assessed</x:v>
      </x:c>
      <x:c r="O359" s="75" t="str">
        <x:v>Broad Forward label only; not a certified striker cohort. No comparable production supplied for this deal.</x:v>
      </x:c>
      <x:c r="P359" s="75" t="str">
        <x:v>https://www.theguardian.com/football/ng-interactive/2026/sep/01/mens-transfer-window-summer-2026-all-deals-from-europes-top-five-leagues</x:v>
      </x:c>
    </x:row>
    <x:row r="360" ht="25" customHeight="1">
      <x:c r="A360" s="69" t="str">
        <x:v>summer-S26-0991</x:v>
      </x:c>
      <x:c r="B360" s="69" t="str">
        <x:v>Michy Batshuayi</x:v>
      </x:c>
      <x:c r="C360" s="69" t="str">
        <x:v>Abha Club</x:v>
      </x:c>
      <x:c r="D360" s="69" t="str">
        <x:v>Eintracht Frankfurt</x:v>
      </x:c>
      <x:c r="E360" s="76" t="d">
        <x:v>2026-08-17T00:00:00.000Z</x:v>
      </x:c>
      <x:c r="F360" s="69" t="str">
        <x:v>summer</x:v>
      </x:c>
      <x:c r="G360" s="69" t="str">
        <x:v>Forward — striker role unverified</x:v>
      </x:c>
      <x:c r="H360" s="78"/>
      <x:c r="I360" s="69" t="str">
        <x:v>GBP</x:v>
      </x:c>
      <x:c r="J360" s="80"/>
      <x:c r="K360" s="82"/>
      <x:c r="L360" s="69" t="str">
        <x:v>Evidence needed</x:v>
      </x:c>
      <x:c r="M360" s="69" t="str">
        <x:v>Undisclosed fee: cannot assess fee versus worth.</x:v>
      </x:c>
      <x:c r="N360" s="69" t="str">
        <x:v>Not assessed</x:v>
      </x:c>
      <x:c r="O360" s="69" t="str">
        <x:v>Broad Forward label only; not a certified striker cohort. No comparable production supplied for this deal.</x:v>
      </x:c>
      <x:c r="P360" s="69" t="str">
        <x:v>https://www.theguardian.com/football/ng-interactive/2026/sep/01/mens-transfer-window-summer-2026-all-deals-from-europes-top-five-leagues</x:v>
      </x:c>
    </x:row>
    <x:row r="361" ht="25" customHeight="1">
      <x:c r="A361" s="75" t="str">
        <x:v>summer-S26-0994</x:v>
      </x:c>
      <x:c r="B361" s="75" t="str">
        <x:v>Jacobo Ortega</x:v>
      </x:c>
      <x:c r="C361" s="75" t="str">
        <x:v>Strasbourg</x:v>
      </x:c>
      <x:c r="D361" s="75" t="str">
        <x:v>Real Madrid</x:v>
      </x:c>
      <x:c r="E361" s="77" t="d">
        <x:v>2026-08-17T00:00:00.000Z</x:v>
      </x:c>
      <x:c r="F361" s="75" t="str">
        <x:v>summer</x:v>
      </x:c>
      <x:c r="G361" s="75" t="str">
        <x:v>Forward — striker role unverified</x:v>
      </x:c>
      <x:c r="H361" s="79" t="n">
        <x:v>8600000</x:v>
      </x:c>
      <x:c r="I361" s="75" t="str">
        <x:v>GBP</x:v>
      </x:c>
      <x:c r="J361" s="81"/>
      <x:c r="K361" s="83"/>
      <x:c r="L361" s="75" t="str">
        <x:v>Evidence needed</x:v>
      </x:c>
      <x:c r="M361" s="75" t="str">
        <x:v>Reported fee available; verify striker role, production, age, availability and transfer before assigning a score.</x:v>
      </x:c>
      <x:c r="N361" s="75" t="str">
        <x:v>Not assessed</x:v>
      </x:c>
      <x:c r="O361" s="75" t="str">
        <x:v>Broad Forward label only; not a certified striker cohort. No comparable production supplied for this deal.</x:v>
      </x:c>
      <x:c r="P361" s="75" t="str">
        <x:v>https://www.theguardian.com/football/ng-interactive/2026/sep/01/mens-transfer-window-summer-2026-all-deals-from-europes-top-five-leagues</x:v>
      </x:c>
    </x:row>
    <x:row r="362" ht="25" customHeight="1">
      <x:c r="A362" s="69" t="str">
        <x:v>summer-S26-1000</x:v>
      </x:c>
      <x:c r="B362" s="69" t="str">
        <x:v>Thijs Dallinga</x:v>
      </x:c>
      <x:c r="C362" s="69" t="str">
        <x:v>Cologne</x:v>
      </x:c>
      <x:c r="D362" s="69" t="str">
        <x:v>Bologna</x:v>
      </x:c>
      <x:c r="E362" s="76" t="d">
        <x:v>2026-08-17T00:00:00.000Z</x:v>
      </x:c>
      <x:c r="F362" s="69" t="str">
        <x:v>summer</x:v>
      </x:c>
      <x:c r="G362" s="69" t="str">
        <x:v>Forward — striker role unverified</x:v>
      </x:c>
      <x:c r="H362" s="78"/>
      <x:c r="I362" s="69" t="str">
        <x:v>GBP</x:v>
      </x:c>
      <x:c r="J362" s="80"/>
      <x:c r="K362" s="82"/>
      <x:c r="L362" s="69" t="str">
        <x:v>Evidence needed</x:v>
      </x:c>
      <x:c r="M362" s="69" t="str">
        <x:v>Loan/swap terms and buyer-specific production evidence needed.</x:v>
      </x:c>
      <x:c r="N362" s="69" t="str">
        <x:v>Not assessed</x:v>
      </x:c>
      <x:c r="O362" s="69" t="str">
        <x:v>Broad Forward label only; not a certified striker cohort. No comparable production supplied for this deal.</x:v>
      </x:c>
      <x:c r="P362" s="69" t="str">
        <x:v>https://www.theguardian.com/football/ng-interactive/2026/sep/01/mens-transfer-window-summer-2026-all-deals-from-europes-top-five-leagues</x:v>
      </x:c>
    </x:row>
    <x:row r="363" ht="25" customHeight="1">
      <x:c r="A363" s="75" t="str">
        <x:v>summer-S26-1010</x:v>
      </x:c>
      <x:c r="B363" s="75" t="str">
        <x:v>Niclas Füllkrug</x:v>
      </x:c>
      <x:c r="C363" s="75" t="str">
        <x:v>Werder Bremen</x:v>
      </x:c>
      <x:c r="D363" s="75" t="str">
        <x:v>West Ham United</x:v>
      </x:c>
      <x:c r="E363" s="77" t="d">
        <x:v>2026-08-18T00:00:00.000Z</x:v>
      </x:c>
      <x:c r="F363" s="75" t="str">
        <x:v>summer</x:v>
      </x:c>
      <x:c r="G363" s="75" t="str">
        <x:v>Forward — striker role unverified</x:v>
      </x:c>
      <x:c r="H363" s="79"/>
      <x:c r="I363" s="75" t="str">
        <x:v>GBP</x:v>
      </x:c>
      <x:c r="J363" s="81"/>
      <x:c r="K363" s="83"/>
      <x:c r="L363" s="75" t="str">
        <x:v>Evidence needed</x:v>
      </x:c>
      <x:c r="M363" s="75" t="str">
        <x:v>Loan/swap terms and buyer-specific production evidence needed.</x:v>
      </x:c>
      <x:c r="N363" s="75" t="str">
        <x:v>Not assessed</x:v>
      </x:c>
      <x:c r="O363" s="75" t="str">
        <x:v>Broad Forward label only; not a certified striker cohort. No comparable production supplied for this deal.</x:v>
      </x:c>
      <x:c r="P363" s="75" t="str">
        <x:v>https://www.theguardian.com/football/ng-interactive/2026/sep/01/mens-transfer-window-summer-2026-all-deals-from-europes-top-five-leagues</x:v>
      </x:c>
    </x:row>
    <x:row r="364" ht="25" customHeight="1">
      <x:c r="A364" s="69" t="str">
        <x:v>summer-S26-1024</x:v>
      </x:c>
      <x:c r="B364" s="69" t="str">
        <x:v>Promise David</x:v>
      </x:c>
      <x:c r="C364" s="69" t="str">
        <x:v>Brighton</x:v>
      </x:c>
      <x:c r="D364" s="69" t="str">
        <x:v>Union St-Gilloise</x:v>
      </x:c>
      <x:c r="E364" s="76" t="d">
        <x:v>2026-08-18T00:00:00.000Z</x:v>
      </x:c>
      <x:c r="F364" s="69" t="str">
        <x:v>summer</x:v>
      </x:c>
      <x:c r="G364" s="69" t="str">
        <x:v>Forward — striker role unverified</x:v>
      </x:c>
      <x:c r="H364" s="78"/>
      <x:c r="I364" s="69" t="str">
        <x:v>GBP</x:v>
      </x:c>
      <x:c r="J364" s="80"/>
      <x:c r="K364" s="82"/>
      <x:c r="L364" s="69" t="str">
        <x:v>Evidence needed</x:v>
      </x:c>
      <x:c r="M364" s="69" t="str">
        <x:v>Loan/swap terms and buyer-specific production evidence needed.</x:v>
      </x:c>
      <x:c r="N364" s="69" t="str">
        <x:v>Not assessed</x:v>
      </x:c>
      <x:c r="O364" s="69" t="str">
        <x:v>Broad Forward label only; not a certified striker cohort. No comparable production supplied for this deal.</x:v>
      </x:c>
      <x:c r="P364" s="69" t="str">
        <x:v>https://www.theguardian.com/football/ng-interactive/2026/sep/01/mens-transfer-window-summer-2026-all-deals-from-europes-top-five-leagues</x:v>
      </x:c>
    </x:row>
    <x:row r="365" ht="25" customHeight="1">
      <x:c r="A365" s="75" t="str">
        <x:v>summer-S26-1026</x:v>
      </x:c>
      <x:c r="B365" s="75" t="str">
        <x:v>Thomás De Martis</x:v>
      </x:c>
      <x:c r="C365" s="75" t="str">
        <x:v>Parma</x:v>
      </x:c>
      <x:c r="D365" s="75" t="str">
        <x:v>Lanús</x:v>
      </x:c>
      <x:c r="E365" s="77" t="d">
        <x:v>2026-08-18T00:00:00.000Z</x:v>
      </x:c>
      <x:c r="F365" s="75" t="str">
        <x:v>summer</x:v>
      </x:c>
      <x:c r="G365" s="75" t="str">
        <x:v>Forward — striker role unverified</x:v>
      </x:c>
      <x:c r="H365" s="79"/>
      <x:c r="I365" s="75" t="str">
        <x:v>GBP</x:v>
      </x:c>
      <x:c r="J365" s="81"/>
      <x:c r="K365" s="83"/>
      <x:c r="L365" s="75" t="str">
        <x:v>Evidence needed</x:v>
      </x:c>
      <x:c r="M365" s="75" t="str">
        <x:v>Loan/swap terms and buyer-specific production evidence needed.</x:v>
      </x:c>
      <x:c r="N365" s="75" t="str">
        <x:v>Not assessed</x:v>
      </x:c>
      <x:c r="O365" s="75" t="str">
        <x:v>Broad Forward label only; not a certified striker cohort. No comparable production supplied for this deal.</x:v>
      </x:c>
      <x:c r="P365" s="75" t="str">
        <x:v>https://www.theguardian.com/football/ng-interactive/2026/sep/01/mens-transfer-window-summer-2026-all-deals-from-europes-top-five-leagues</x:v>
      </x:c>
    </x:row>
    <x:row r="366" ht="25" customHeight="1">
      <x:c r="A366" s="69" t="str">
        <x:v>summer-S26-1027</x:v>
      </x:c>
      <x:c r="B366" s="69" t="str">
        <x:v>Joël Piroe</x:v>
      </x:c>
      <x:c r="C366" s="69" t="str">
        <x:v>West Ham United</x:v>
      </x:c>
      <x:c r="D366" s="69" t="str">
        <x:v>Leeds United</x:v>
      </x:c>
      <x:c r="E366" s="76" t="d">
        <x:v>2026-08-19T00:00:00.000Z</x:v>
      </x:c>
      <x:c r="F366" s="69" t="str">
        <x:v>summer</x:v>
      </x:c>
      <x:c r="G366" s="69" t="str">
        <x:v>Forward — striker role unverified</x:v>
      </x:c>
      <x:c r="H366" s="78"/>
      <x:c r="I366" s="69" t="str">
        <x:v>GBP</x:v>
      </x:c>
      <x:c r="J366" s="80"/>
      <x:c r="K366" s="82"/>
      <x:c r="L366" s="69" t="str">
        <x:v>Evidence needed</x:v>
      </x:c>
      <x:c r="M366" s="69" t="str">
        <x:v>Loan/swap terms and buyer-specific production evidence needed.</x:v>
      </x:c>
      <x:c r="N366" s="69" t="str">
        <x:v>Not assessed</x:v>
      </x:c>
      <x:c r="O366" s="69" t="str">
        <x:v>Broad Forward label only; not a certified striker cohort. No comparable production supplied for this deal.</x:v>
      </x:c>
      <x:c r="P366" s="69" t="str">
        <x:v>https://www.theguardian.com/football/ng-interactive/2026/sep/01/mens-transfer-window-summer-2026-all-deals-from-europes-top-five-leagues</x:v>
      </x:c>
    </x:row>
    <x:row r="367" ht="25" customHeight="1">
      <x:c r="A367" s="75" t="str">
        <x:v>summer-S26-1040</x:v>
      </x:c>
      <x:c r="B367" s="75" t="str">
        <x:v>Sidiki Cherif</x:v>
      </x:c>
      <x:c r="C367" s="75" t="str">
        <x:v>Coventry City</x:v>
      </x:c>
      <x:c r="D367" s="75" t="str">
        <x:v>Fenerbahce</x:v>
      </x:c>
      <x:c r="E367" s="77" t="d">
        <x:v>2026-08-19T00:00:00.000Z</x:v>
      </x:c>
      <x:c r="F367" s="75" t="str">
        <x:v>summer</x:v>
      </x:c>
      <x:c r="G367" s="75" t="str">
        <x:v>Forward — striker role unverified</x:v>
      </x:c>
      <x:c r="H367" s="79" t="n">
        <x:v>20500000</x:v>
      </x:c>
      <x:c r="I367" s="75" t="str">
        <x:v>GBP</x:v>
      </x:c>
      <x:c r="J367" s="81"/>
      <x:c r="K367" s="83"/>
      <x:c r="L367" s="75" t="str">
        <x:v>Evidence needed</x:v>
      </x:c>
      <x:c r="M367" s="75" t="str">
        <x:v>Reported fee available; verify striker role, production, age, availability and transfer before assigning a score.</x:v>
      </x:c>
      <x:c r="N367" s="75" t="str">
        <x:v>Not assessed</x:v>
      </x:c>
      <x:c r="O367" s="75" t="str">
        <x:v>Broad Forward label only; not a certified striker cohort. No comparable production supplied for this deal.</x:v>
      </x:c>
      <x:c r="P367" s="75" t="str">
        <x:v>https://www.theguardian.com/football/ng-interactive/2026/sep/01/mens-transfer-window-summer-2026-all-deals-from-europes-top-five-leagues</x:v>
      </x:c>
    </x:row>
    <x:row r="368" ht="25" customHeight="1">
      <x:c r="A368" s="69" t="str">
        <x:v>summer-S26-1050</x:v>
      </x:c>
      <x:c r="B368" s="69" t="str">
        <x:v>Troy Parrott</x:v>
      </x:c>
      <x:c r="C368" s="69" t="str">
        <x:v>Real Betis</x:v>
      </x:c>
      <x:c r="D368" s="69" t="str">
        <x:v>AZ Alkmaar</x:v>
      </x:c>
      <x:c r="E368" s="76" t="d">
        <x:v>2026-08-20T00:00:00.000Z</x:v>
      </x:c>
      <x:c r="F368" s="69" t="str">
        <x:v>summer</x:v>
      </x:c>
      <x:c r="G368" s="69" t="str">
        <x:v>Forward — striker role unverified</x:v>
      </x:c>
      <x:c r="H368" s="78" t="n">
        <x:v>17100000</x:v>
      </x:c>
      <x:c r="I368" s="69" t="str">
        <x:v>GBP</x:v>
      </x:c>
      <x:c r="J368" s="80"/>
      <x:c r="K368" s="82"/>
      <x:c r="L368" s="69" t="str">
        <x:v>Evidence needed</x:v>
      </x:c>
      <x:c r="M368" s="69" t="str">
        <x:v>Reported fee available; verify striker role, production, age, availability and transfer before assigning a score.</x:v>
      </x:c>
      <x:c r="N368" s="69" t="str">
        <x:v>Not assessed</x:v>
      </x:c>
      <x:c r="O368" s="69" t="str">
        <x:v>Broad Forward label only; not a certified striker cohort. No comparable production supplied for this deal.</x:v>
      </x:c>
      <x:c r="P368" s="69" t="str">
        <x:v>https://www.theguardian.com/football/ng-interactive/2026/sep/01/mens-transfer-window-summer-2026-all-deals-from-europes-top-five-leagues</x:v>
      </x:c>
    </x:row>
    <x:row r="369" ht="25" customHeight="1">
      <x:c r="A369" s="75" t="str">
        <x:v>summer-S26-1055</x:v>
      </x:c>
      <x:c r="B369" s="75" t="str">
        <x:v>George Hirst</x:v>
      </x:c>
      <x:c r="C369" s="75" t="str">
        <x:v>Stoke City</x:v>
      </x:c>
      <x:c r="D369" s="75" t="str">
        <x:v>Ipswich Town</x:v>
      </x:c>
      <x:c r="E369" s="77" t="d">
        <x:v>2026-08-20T00:00:00.000Z</x:v>
      </x:c>
      <x:c r="F369" s="75" t="str">
        <x:v>summer</x:v>
      </x:c>
      <x:c r="G369" s="75" t="str">
        <x:v>Forward — striker role unverified</x:v>
      </x:c>
      <x:c r="H369" s="79" t="n">
        <x:v>6000000</x:v>
      </x:c>
      <x:c r="I369" s="75" t="str">
        <x:v>GBP</x:v>
      </x:c>
      <x:c r="J369" s="81"/>
      <x:c r="K369" s="83"/>
      <x:c r="L369" s="75" t="str">
        <x:v>Evidence needed</x:v>
      </x:c>
      <x:c r="M369" s="75" t="str">
        <x:v>Reported fee available; verify striker role, production, age, availability and transfer before assigning a score.</x:v>
      </x:c>
      <x:c r="N369" s="75" t="str">
        <x:v>Not assessed</x:v>
      </x:c>
      <x:c r="O369" s="75" t="str">
        <x:v>Broad Forward label only; not a certified striker cohort. No comparable production supplied for this deal.</x:v>
      </x:c>
      <x:c r="P369" s="75" t="str">
        <x:v>https://www.theguardian.com/football/ng-interactive/2026/sep/01/mens-transfer-window-summer-2026-all-deals-from-europes-top-five-leagues</x:v>
      </x:c>
    </x:row>
    <x:row r="370" ht="25" customHeight="1">
      <x:c r="A370" s="69" t="str">
        <x:v>summer-S26-1056</x:v>
      </x:c>
      <x:c r="B370" s="69" t="str">
        <x:v>Divine Mukasa</x:v>
      </x:c>
      <x:c r="C370" s="69" t="str">
        <x:v>West Ham United</x:v>
      </x:c>
      <x:c r="D370" s="69" t="str">
        <x:v>Manchester City</x:v>
      </x:c>
      <x:c r="E370" s="76" t="d">
        <x:v>2026-08-21T00:00:00.000Z</x:v>
      </x:c>
      <x:c r="F370" s="69" t="str">
        <x:v>summer</x:v>
      </x:c>
      <x:c r="G370" s="69" t="str">
        <x:v>Forward — striker role unverified</x:v>
      </x:c>
      <x:c r="H370" s="78"/>
      <x:c r="I370" s="69" t="str">
        <x:v>GBP</x:v>
      </x:c>
      <x:c r="J370" s="80"/>
      <x:c r="K370" s="82"/>
      <x:c r="L370" s="69" t="str">
        <x:v>Evidence needed</x:v>
      </x:c>
      <x:c r="M370" s="69" t="str">
        <x:v>Loan/swap terms and buyer-specific production evidence needed.</x:v>
      </x:c>
      <x:c r="N370" s="69" t="str">
        <x:v>Not assessed</x:v>
      </x:c>
      <x:c r="O370" s="69" t="str">
        <x:v>Broad Forward label only; not a certified striker cohort. No comparable production supplied for this deal.</x:v>
      </x:c>
      <x:c r="P370" s="69" t="str">
        <x:v>https://www.theguardian.com/football/ng-interactive/2026/sep/01/mens-transfer-window-summer-2026-all-deals-from-europes-top-five-leagues</x:v>
      </x:c>
    </x:row>
    <x:row r="371" ht="25" customHeight="1">
      <x:c r="A371" s="75" t="str">
        <x:v>summer-S26-1080</x:v>
      </x:c>
      <x:c r="B371" s="75" t="str">
        <x:v>Adam Buksa</x:v>
      </x:c>
      <x:c r="C371" s="75" t="str">
        <x:v>Mallorca</x:v>
      </x:c>
      <x:c r="D371" s="75" t="str">
        <x:v>Udinese</x:v>
      </x:c>
      <x:c r="E371" s="77" t="d">
        <x:v>2026-08-23T00:00:00.000Z</x:v>
      </x:c>
      <x:c r="F371" s="75" t="str">
        <x:v>summer</x:v>
      </x:c>
      <x:c r="G371" s="75" t="str">
        <x:v>Forward — striker role unverified</x:v>
      </x:c>
      <x:c r="H371" s="79"/>
      <x:c r="I371" s="75" t="str">
        <x:v>GBP</x:v>
      </x:c>
      <x:c r="J371" s="81"/>
      <x:c r="K371" s="83"/>
      <x:c r="L371" s="75" t="str">
        <x:v>Evidence needed</x:v>
      </x:c>
      <x:c r="M371" s="75" t="str">
        <x:v>Loan/swap terms and buyer-specific production evidence needed.</x:v>
      </x:c>
      <x:c r="N371" s="75" t="str">
        <x:v>Not assessed</x:v>
      </x:c>
      <x:c r="O371" s="75" t="str">
        <x:v>Broad Forward label only; not a certified striker cohort. No comparable production supplied for this deal.</x:v>
      </x:c>
      <x:c r="P371" s="75" t="str">
        <x:v>https://www.theguardian.com/football/ng-interactive/2026/sep/01/mens-transfer-window-summer-2026-all-deals-from-europes-top-five-leagues</x:v>
      </x:c>
    </x:row>
    <x:row r="372" ht="25" customHeight="1">
      <x:c r="A372" s="69" t="str">
        <x:v>summer-S26-1081</x:v>
      </x:c>
      <x:c r="B372" s="69" t="str">
        <x:v>Antonio Casas</x:v>
      </x:c>
      <x:c r="C372" s="69" t="str">
        <x:v>Sporting Gijón</x:v>
      </x:c>
      <x:c r="D372" s="69" t="str">
        <x:v>Venezia</x:v>
      </x:c>
      <x:c r="E372" s="76" t="d">
        <x:v>2026-08-23T00:00:00.000Z</x:v>
      </x:c>
      <x:c r="F372" s="69" t="str">
        <x:v>summer</x:v>
      </x:c>
      <x:c r="G372" s="69" t="str">
        <x:v>Forward — striker role unverified</x:v>
      </x:c>
      <x:c r="H372" s="78"/>
      <x:c r="I372" s="69" t="str">
        <x:v>GBP</x:v>
      </x:c>
      <x:c r="J372" s="80"/>
      <x:c r="K372" s="82"/>
      <x:c r="L372" s="69" t="str">
        <x:v>Evidence needed</x:v>
      </x:c>
      <x:c r="M372" s="69" t="str">
        <x:v>Loan/swap terms and buyer-specific production evidence needed.</x:v>
      </x:c>
      <x:c r="N372" s="69" t="str">
        <x:v>Not assessed</x:v>
      </x:c>
      <x:c r="O372" s="69" t="str">
        <x:v>Broad Forward label only; not a certified striker cohort. No comparable production supplied for this deal.</x:v>
      </x:c>
      <x:c r="P372" s="69" t="str">
        <x:v>https://www.theguardian.com/football/ng-interactive/2026/sep/01/mens-transfer-window-summer-2026-all-deals-from-europes-top-five-leagues</x:v>
      </x:c>
    </x:row>
    <x:row r="373" ht="25" customHeight="1">
      <x:c r="A373" s="75" t="str">
        <x:v>summer-S26-1086</x:v>
      </x:c>
      <x:c r="B373" s="75" t="str">
        <x:v>Vanja Vlahovic</x:v>
      </x:c>
      <x:c r="C373" s="75" t="str">
        <x:v>Mantova</x:v>
      </x:c>
      <x:c r="D373" s="75" t="str">
        <x:v>Atalanta</x:v>
      </x:c>
      <x:c r="E373" s="77" t="d">
        <x:v>2026-08-21T00:00:00.000Z</x:v>
      </x:c>
      <x:c r="F373" s="75" t="str">
        <x:v>summer</x:v>
      </x:c>
      <x:c r="G373" s="75" t="str">
        <x:v>Forward — striker role unverified</x:v>
      </x:c>
      <x:c r="H373" s="79"/>
      <x:c r="I373" s="75" t="str">
        <x:v>GBP</x:v>
      </x:c>
      <x:c r="J373" s="81"/>
      <x:c r="K373" s="83"/>
      <x:c r="L373" s="75" t="str">
        <x:v>Evidence needed</x:v>
      </x:c>
      <x:c r="M373" s="75" t="str">
        <x:v>Loan/swap terms and buyer-specific production evidence needed.</x:v>
      </x:c>
      <x:c r="N373" s="75" t="str">
        <x:v>Not assessed</x:v>
      </x:c>
      <x:c r="O373" s="75" t="str">
        <x:v>Broad Forward label only; not a certified striker cohort. No comparable production supplied for this deal.</x:v>
      </x:c>
      <x:c r="P373" s="75" t="str">
        <x:v>https://www.theguardian.com/football/ng-interactive/2026/sep/01/mens-transfer-window-summer-2026-all-deals-from-europes-top-five-leagues</x:v>
      </x:c>
    </x:row>
    <x:row r="374" ht="25" customHeight="1">
      <x:c r="A374" s="69" t="str">
        <x:v>summer-S26-1089</x:v>
      </x:c>
      <x:c r="B374" s="69" t="str">
        <x:v>Breel Embolo</x:v>
      </x:c>
      <x:c r="C374" s="69" t="str">
        <x:v>Atlanta United</x:v>
      </x:c>
      <x:c r="D374" s="69" t="str">
        <x:v>Rennes</x:v>
      </x:c>
      <x:c r="E374" s="76" t="d">
        <x:v>2026-08-23T00:00:00.000Z</x:v>
      </x:c>
      <x:c r="F374" s="69" t="str">
        <x:v>summer</x:v>
      </x:c>
      <x:c r="G374" s="69" t="str">
        <x:v>Forward — striker role unverified</x:v>
      </x:c>
      <x:c r="H374" s="78" t="n">
        <x:v>14600000</x:v>
      </x:c>
      <x:c r="I374" s="69" t="str">
        <x:v>GBP</x:v>
      </x:c>
      <x:c r="J374" s="80"/>
      <x:c r="K374" s="82"/>
      <x:c r="L374" s="69" t="str">
        <x:v>Evidence needed</x:v>
      </x:c>
      <x:c r="M374" s="69" t="str">
        <x:v>Reported fee available; verify striker role, production, age, availability and transfer before assigning a score.</x:v>
      </x:c>
      <x:c r="N374" s="69" t="str">
        <x:v>Not assessed</x:v>
      </x:c>
      <x:c r="O374" s="69" t="str">
        <x:v>Broad Forward label only; not a certified striker cohort. No comparable production supplied for this deal.</x:v>
      </x:c>
      <x:c r="P374" s="69" t="str">
        <x:v>https://www.theguardian.com/football/ng-interactive/2026/sep/01/mens-transfer-window-summer-2026-all-deals-from-europes-top-five-leagues</x:v>
      </x:c>
    </x:row>
    <x:row r="375" ht="25" customHeight="1">
      <x:c r="A375" s="75" t="str">
        <x:v>summer-S26-1090</x:v>
      </x:c>
      <x:c r="B375" s="75" t="str">
        <x:v>Terem Moffi</x:v>
      </x:c>
      <x:c r="C375" s="75" t="str">
        <x:v>Hamburg</x:v>
      </x:c>
      <x:c r="D375" s="75" t="str">
        <x:v>Nice</x:v>
      </x:c>
      <x:c r="E375" s="77" t="d">
        <x:v>2026-08-24T00:00:00.000Z</x:v>
      </x:c>
      <x:c r="F375" s="75" t="str">
        <x:v>summer</x:v>
      </x:c>
      <x:c r="G375" s="75" t="str">
        <x:v>Forward — striker role unverified</x:v>
      </x:c>
      <x:c r="H375" s="79" t="n">
        <x:v>1700000</x:v>
      </x:c>
      <x:c r="I375" s="75" t="str">
        <x:v>GBP</x:v>
      </x:c>
      <x:c r="J375" s="81"/>
      <x:c r="K375" s="83"/>
      <x:c r="L375" s="75" t="str">
        <x:v>Evidence needed</x:v>
      </x:c>
      <x:c r="M375" s="75" t="str">
        <x:v>Reported fee available; verify striker role, production, age, availability and transfer before assigning a score.</x:v>
      </x:c>
      <x:c r="N375" s="75" t="str">
        <x:v>Not assessed</x:v>
      </x:c>
      <x:c r="O375" s="75" t="str">
        <x:v>Broad Forward label only; not a certified striker cohort. No comparable production supplied for this deal.</x:v>
      </x:c>
      <x:c r="P375" s="75" t="str">
        <x:v>https://www.theguardian.com/football/ng-interactive/2026/sep/01/mens-transfer-window-summer-2026-all-deals-from-europes-top-five-leagues</x:v>
      </x:c>
    </x:row>
    <x:row r="376" ht="25" customHeight="1">
      <x:c r="A376" s="69" t="str">
        <x:v>summer-S26-1096</x:v>
      </x:c>
      <x:c r="B376" s="69" t="str">
        <x:v>Ezequiel Ponce</x:v>
      </x:c>
      <x:c r="C376" s="69" t="str">
        <x:v>Elche</x:v>
      </x:c>
      <x:c r="D376" s="69" t="str">
        <x:v>Houston Dynamo</x:v>
      </x:c>
      <x:c r="E376" s="76" t="d">
        <x:v>2026-08-14T00:00:00.000Z</x:v>
      </x:c>
      <x:c r="F376" s="69" t="str">
        <x:v>summer</x:v>
      </x:c>
      <x:c r="G376" s="69" t="str">
        <x:v>Forward — striker role unverified</x:v>
      </x:c>
      <x:c r="H376" s="78" t="n">
        <x:v>1700000</x:v>
      </x:c>
      <x:c r="I376" s="69" t="str">
        <x:v>GBP</x:v>
      </x:c>
      <x:c r="J376" s="80"/>
      <x:c r="K376" s="82"/>
      <x:c r="L376" s="69" t="str">
        <x:v>Evidence needed</x:v>
      </x:c>
      <x:c r="M376" s="69" t="str">
        <x:v>Reported fee available; verify striker role, production, age, availability and transfer before assigning a score.</x:v>
      </x:c>
      <x:c r="N376" s="69" t="str">
        <x:v>Not assessed</x:v>
      </x:c>
      <x:c r="O376" s="69" t="str">
        <x:v>Broad Forward label only; not a certified striker cohort. No comparable production supplied for this deal.</x:v>
      </x:c>
      <x:c r="P376" s="69" t="str">
        <x:v>https://www.theguardian.com/football/ng-interactive/2026/sep/01/mens-transfer-window-summer-2026-all-deals-from-europes-top-five-leagues</x:v>
      </x:c>
    </x:row>
    <x:row r="377" ht="25" customHeight="1">
      <x:c r="A377" s="75" t="str">
        <x:v>summer-S26-1104</x:v>
      </x:c>
      <x:c r="B377" s="75" t="str">
        <x:v>Jovan Milosevic</x:v>
      </x:c>
      <x:c r="C377" s="75" t="str">
        <x:v>Braga</x:v>
      </x:c>
      <x:c r="D377" s="75" t="str">
        <x:v>Stuttgart</x:v>
      </x:c>
      <x:c r="E377" s="77" t="d">
        <x:v>2026-08-20T00:00:00.000Z</x:v>
      </x:c>
      <x:c r="F377" s="75" t="str">
        <x:v>summer</x:v>
      </x:c>
      <x:c r="G377" s="75" t="str">
        <x:v>Forward — striker role unverified</x:v>
      </x:c>
      <x:c r="H377" s="79" t="n">
        <x:v>6900000</x:v>
      </x:c>
      <x:c r="I377" s="75" t="str">
        <x:v>GBP</x:v>
      </x:c>
      <x:c r="J377" s="81"/>
      <x:c r="K377" s="83"/>
      <x:c r="L377" s="75" t="str">
        <x:v>Evidence needed</x:v>
      </x:c>
      <x:c r="M377" s="75" t="str">
        <x:v>Reported fee available; verify striker role, production, age, availability and transfer before assigning a score.</x:v>
      </x:c>
      <x:c r="N377" s="75" t="str">
        <x:v>Not assessed</x:v>
      </x:c>
      <x:c r="O377" s="75" t="str">
        <x:v>Broad Forward label only; not a certified striker cohort. No comparable production supplied for this deal.</x:v>
      </x:c>
      <x:c r="P377" s="75" t="str">
        <x:v>https://www.theguardian.com/football/ng-interactive/2026/sep/01/mens-transfer-window-summer-2026-all-deals-from-europes-top-five-leagues</x:v>
      </x:c>
    </x:row>
    <x:row r="378" ht="25" customHeight="1">
      <x:c r="A378" s="69" t="str">
        <x:v>summer-S26-1109</x:v>
      </x:c>
      <x:c r="B378" s="69" t="str">
        <x:v>Elye Wahi</x:v>
      </x:c>
      <x:c r="C378" s="69" t="str">
        <x:v>Nice</x:v>
      </x:c>
      <x:c r="D378" s="69" t="str">
        <x:v>Eintracht Frankfurt</x:v>
      </x:c>
      <x:c r="E378" s="76" t="d">
        <x:v>2026-08-24T00:00:00.000Z</x:v>
      </x:c>
      <x:c r="F378" s="69" t="str">
        <x:v>summer</x:v>
      </x:c>
      <x:c r="G378" s="69" t="str">
        <x:v>Forward — striker role unverified</x:v>
      </x:c>
      <x:c r="H378" s="78"/>
      <x:c r="I378" s="69" t="str">
        <x:v>GBP</x:v>
      </x:c>
      <x:c r="J378" s="80"/>
      <x:c r="K378" s="82"/>
      <x:c r="L378" s="69" t="str">
        <x:v>Evidence needed</x:v>
      </x:c>
      <x:c r="M378" s="69" t="str">
        <x:v>Loan/swap terms and buyer-specific production evidence needed.</x:v>
      </x:c>
      <x:c r="N378" s="69" t="str">
        <x:v>Not assessed</x:v>
      </x:c>
      <x:c r="O378" s="69" t="str">
        <x:v>Broad Forward label only; not a certified striker cohort. No comparable production supplied for this deal.</x:v>
      </x:c>
      <x:c r="P378" s="69" t="str">
        <x:v>https://www.theguardian.com/football/ng-interactive/2026/sep/01/mens-transfer-window-summer-2026-all-deals-from-europes-top-five-leagues</x:v>
      </x:c>
    </x:row>
    <x:row r="379" ht="25" customHeight="1">
      <x:c r="A379" s="75" t="str">
        <x:v>summer-S26-1112</x:v>
      </x:c>
      <x:c r="B379" s="75" t="str">
        <x:v>Agustín Albarracín</x:v>
      </x:c>
      <x:c r="C379" s="75" t="str">
        <x:v>Albacete</x:v>
      </x:c>
      <x:c r="D379" s="75" t="str">
        <x:v>Cagliari</x:v>
      </x:c>
      <x:c r="E379" s="77" t="d">
        <x:v>2026-08-25T00:00:00.000Z</x:v>
      </x:c>
      <x:c r="F379" s="75" t="str">
        <x:v>summer</x:v>
      </x:c>
      <x:c r="G379" s="75" t="str">
        <x:v>Forward — striker role unverified</x:v>
      </x:c>
      <x:c r="H379" s="79"/>
      <x:c r="I379" s="75" t="str">
        <x:v>GBP</x:v>
      </x:c>
      <x:c r="J379" s="81"/>
      <x:c r="K379" s="83"/>
      <x:c r="L379" s="75" t="str">
        <x:v>Evidence needed</x:v>
      </x:c>
      <x:c r="M379" s="75" t="str">
        <x:v>Loan/swap terms and buyer-specific production evidence needed.</x:v>
      </x:c>
      <x:c r="N379" s="75" t="str">
        <x:v>Not assessed</x:v>
      </x:c>
      <x:c r="O379" s="75" t="str">
        <x:v>Broad Forward label only; not a certified striker cohort. No comparable production supplied for this deal.</x:v>
      </x:c>
      <x:c r="P379" s="75" t="str">
        <x:v>https://www.theguardian.com/football/ng-interactive/2026/sep/01/mens-transfer-window-summer-2026-all-deals-from-europes-top-five-leagues</x:v>
      </x:c>
    </x:row>
    <x:row r="380" ht="25" customHeight="1">
      <x:c r="A380" s="69" t="str">
        <x:v>summer-S26-1113</x:v>
      </x:c>
      <x:c r="B380" s="69" t="str">
        <x:v>Milutin Osmajic</x:v>
      </x:c>
      <x:c r="C380" s="69" t="str">
        <x:v>Genoa</x:v>
      </x:c>
      <x:c r="D380" s="69" t="str">
        <x:v>Preston</x:v>
      </x:c>
      <x:c r="E380" s="76" t="d">
        <x:v>2026-08-24T00:00:00.000Z</x:v>
      </x:c>
      <x:c r="F380" s="69" t="str">
        <x:v>summer</x:v>
      </x:c>
      <x:c r="G380" s="69" t="str">
        <x:v>Forward — striker role unverified</x:v>
      </x:c>
      <x:c r="H380" s="78" t="n">
        <x:v>2100000</x:v>
      </x:c>
      <x:c r="I380" s="69" t="str">
        <x:v>GBP</x:v>
      </x:c>
      <x:c r="J380" s="80"/>
      <x:c r="K380" s="82"/>
      <x:c r="L380" s="69" t="str">
        <x:v>Evidence needed</x:v>
      </x:c>
      <x:c r="M380" s="69" t="str">
        <x:v>Reported fee available; verify striker role, production, age, availability and transfer before assigning a score.</x:v>
      </x:c>
      <x:c r="N380" s="69" t="str">
        <x:v>Not assessed</x:v>
      </x:c>
      <x:c r="O380" s="69" t="str">
        <x:v>Broad Forward label only; not a certified striker cohort. No comparable production supplied for this deal.</x:v>
      </x:c>
      <x:c r="P380" s="69" t="str">
        <x:v>https://www.theguardian.com/football/ng-interactive/2026/sep/01/mens-transfer-window-summer-2026-all-deals-from-europes-top-five-leagues</x:v>
      </x:c>
    </x:row>
    <x:row r="381" ht="25" customHeight="1">
      <x:c r="A381" s="75" t="str">
        <x:v>summer-S26-1118</x:v>
      </x:c>
      <x:c r="B381" s="75" t="str">
        <x:v>Christopher Nkunku</x:v>
      </x:c>
      <x:c r="C381" s="75" t="str">
        <x:v>RB Leipzig</x:v>
      </x:c>
      <x:c r="D381" s="75" t="str">
        <x:v>Milan</x:v>
      </x:c>
      <x:c r="E381" s="77" t="d">
        <x:v>2026-08-25T00:00:00.000Z</x:v>
      </x:c>
      <x:c r="F381" s="75" t="str">
        <x:v>summer</x:v>
      </x:c>
      <x:c r="G381" s="75" t="str">
        <x:v>Forward — striker role unverified</x:v>
      </x:c>
      <x:c r="H381" s="79"/>
      <x:c r="I381" s="75" t="str">
        <x:v>GBP</x:v>
      </x:c>
      <x:c r="J381" s="81"/>
      <x:c r="K381" s="83"/>
      <x:c r="L381" s="75" t="str">
        <x:v>Evidence needed</x:v>
      </x:c>
      <x:c r="M381" s="75" t="str">
        <x:v>Loan/swap terms and buyer-specific production evidence needed.</x:v>
      </x:c>
      <x:c r="N381" s="75" t="str">
        <x:v>Not assessed</x:v>
      </x:c>
      <x:c r="O381" s="75" t="str">
        <x:v>Broad Forward label only; not a certified striker cohort. No comparable production supplied for this deal.</x:v>
      </x:c>
      <x:c r="P381" s="75" t="str">
        <x:v>https://www.theguardian.com/football/ng-interactive/2026/sep/01/mens-transfer-window-summer-2026-all-deals-from-europes-top-five-leagues</x:v>
      </x:c>
    </x:row>
    <x:row r="382" ht="25" customHeight="1">
      <x:c r="A382" s="69" t="str">
        <x:v>summer-S26-1124</x:v>
      </x:c>
      <x:c r="B382" s="69" t="str">
        <x:v>Ali al-Hamadi</x:v>
      </x:c>
      <x:c r="C382" s="69" t="str">
        <x:v>Sheffield Wednesday</x:v>
      </x:c>
      <x:c r="D382" s="69" t="str">
        <x:v>Ipswich Town</x:v>
      </x:c>
      <x:c r="E382" s="76" t="d">
        <x:v>2026-08-26T00:00:00.000Z</x:v>
      </x:c>
      <x:c r="F382" s="69" t="str">
        <x:v>summer</x:v>
      </x:c>
      <x:c r="G382" s="69" t="str">
        <x:v>Forward — striker role unverified</x:v>
      </x:c>
      <x:c r="H382" s="78"/>
      <x:c r="I382" s="69" t="str">
        <x:v>GBP</x:v>
      </x:c>
      <x:c r="J382" s="80"/>
      <x:c r="K382" s="82"/>
      <x:c r="L382" s="69" t="str">
        <x:v>Evidence needed</x:v>
      </x:c>
      <x:c r="M382" s="69" t="str">
        <x:v>Loan/swap terms and buyer-specific production evidence needed.</x:v>
      </x:c>
      <x:c r="N382" s="69" t="str">
        <x:v>Not assessed</x:v>
      </x:c>
      <x:c r="O382" s="69" t="str">
        <x:v>Broad Forward label only; not a certified striker cohort. No comparable production supplied for this deal.</x:v>
      </x:c>
      <x:c r="P382" s="69" t="str">
        <x:v>https://www.theguardian.com/football/ng-interactive/2026/sep/01/mens-transfer-window-summer-2026-all-deals-from-europes-top-five-leagues</x:v>
      </x:c>
    </x:row>
    <x:row r="383" ht="25" customHeight="1">
      <x:c r="A383" s="75" t="str">
        <x:v>summer-S26-1133</x:v>
      </x:c>
      <x:c r="B383" s="75" t="str">
        <x:v>Marvin Pieringer</x:v>
      </x:c>
      <x:c r="C383" s="75" t="str">
        <x:v>Paderborn</x:v>
      </x:c>
      <x:c r="D383" s="75" t="str">
        <x:v>Heidenheim</x:v>
      </x:c>
      <x:c r="E383" s="77" t="d">
        <x:v>2026-08-26T00:00:00.000Z</x:v>
      </x:c>
      <x:c r="F383" s="75" t="str">
        <x:v>summer</x:v>
      </x:c>
      <x:c r="G383" s="75" t="str">
        <x:v>Forward — striker role unverified</x:v>
      </x:c>
      <x:c r="H383" s="79" t="n">
        <x:v>2570000</x:v>
      </x:c>
      <x:c r="I383" s="75" t="str">
        <x:v>GBP</x:v>
      </x:c>
      <x:c r="J383" s="81"/>
      <x:c r="K383" s="83"/>
      <x:c r="L383" s="75" t="str">
        <x:v>Evidence needed</x:v>
      </x:c>
      <x:c r="M383" s="75" t="str">
        <x:v>Reported fee available; verify striker role, production, age, availability and transfer before assigning a score.</x:v>
      </x:c>
      <x:c r="N383" s="75" t="str">
        <x:v>Not assessed</x:v>
      </x:c>
      <x:c r="O383" s="75" t="str">
        <x:v>Broad Forward label only; not a certified striker cohort. No comparable production supplied for this deal.</x:v>
      </x:c>
      <x:c r="P383" s="75" t="str">
        <x:v>https://www.theguardian.com/football/ng-interactive/2026/sep/01/mens-transfer-window-summer-2026-all-deals-from-europes-top-five-leagues</x:v>
      </x:c>
    </x:row>
    <x:row r="384" ht="25" customHeight="1">
      <x:c r="A384" s="69" t="str">
        <x:v>summer-S26-1140</x:v>
      </x:c>
      <x:c r="B384" s="69" t="str">
        <x:v>Liam Delap</x:v>
      </x:c>
      <x:c r="C384" s="69" t="str">
        <x:v>Nottingham Forest</x:v>
      </x:c>
      <x:c r="D384" s="69" t="str">
        <x:v>Chelsea</x:v>
      </x:c>
      <x:c r="E384" s="76" t="d">
        <x:v>2026-08-27T00:00:00.000Z</x:v>
      </x:c>
      <x:c r="F384" s="69" t="str">
        <x:v>summer</x:v>
      </x:c>
      <x:c r="G384" s="69" t="str">
        <x:v>Forward — striker role unverified</x:v>
      </x:c>
      <x:c r="H384" s="78" t="n">
        <x:v>45000000</x:v>
      </x:c>
      <x:c r="I384" s="69" t="str">
        <x:v>GBP</x:v>
      </x:c>
      <x:c r="J384" s="80"/>
      <x:c r="K384" s="82"/>
      <x:c r="L384" s="69" t="str">
        <x:v>Evidence needed</x:v>
      </x:c>
      <x:c r="M384" s="69" t="str">
        <x:v>Reported fee available; verify striker role, production, age, availability and transfer before assigning a score.</x:v>
      </x:c>
      <x:c r="N384" s="69" t="str">
        <x:v>Not assessed</x:v>
      </x:c>
      <x:c r="O384" s="69" t="str">
        <x:v>Broad Forward label only; not a certified striker cohort. No comparable production supplied for this deal.</x:v>
      </x:c>
      <x:c r="P384" s="69" t="str">
        <x:v>https://www.theguardian.com/football/ng-interactive/2026/sep/01/mens-transfer-window-summer-2026-all-deals-from-europes-top-five-leagues</x:v>
      </x:c>
    </x:row>
    <x:row r="385" ht="25" customHeight="1">
      <x:c r="A385" s="75" t="str">
        <x:v>summer-S26-1144</x:v>
      </x:c>
      <x:c r="B385" s="75" t="str">
        <x:v>Lamin Sillah</x:v>
      </x:c>
      <x:c r="C385" s="75" t="str">
        <x:v>Gillingham</x:v>
      </x:c>
      <x:c r="D385" s="75" t="str">
        <x:v>Nottingham Forest</x:v>
      </x:c>
      <x:c r="E385" s="77" t="d">
        <x:v>2026-08-27T00:00:00.000Z</x:v>
      </x:c>
      <x:c r="F385" s="75" t="str">
        <x:v>summer</x:v>
      </x:c>
      <x:c r="G385" s="75" t="str">
        <x:v>Forward — striker role unverified</x:v>
      </x:c>
      <x:c r="H385" s="79"/>
      <x:c r="I385" s="75" t="str">
        <x:v>GBP</x:v>
      </x:c>
      <x:c r="J385" s="81"/>
      <x:c r="K385" s="83"/>
      <x:c r="L385" s="75" t="str">
        <x:v>Evidence needed</x:v>
      </x:c>
      <x:c r="M385" s="75" t="str">
        <x:v>Loan/swap terms and buyer-specific production evidence needed.</x:v>
      </x:c>
      <x:c r="N385" s="75" t="str">
        <x:v>Not assessed</x:v>
      </x:c>
      <x:c r="O385" s="75" t="str">
        <x:v>Broad Forward label only; not a certified striker cohort. No comparable production supplied for this deal.</x:v>
      </x:c>
      <x:c r="P385" s="75" t="str">
        <x:v>https://www.theguardian.com/football/ng-interactive/2026/sep/01/mens-transfer-window-summer-2026-all-deals-from-europes-top-five-leagues</x:v>
      </x:c>
    </x:row>
    <x:row r="386" ht="25" customHeight="1">
      <x:c r="A386" s="69" t="str">
        <x:v>summer-S26-1146</x:v>
      </x:c>
      <x:c r="B386" s="69" t="str">
        <x:v>Omar Marmoush</x:v>
      </x:c>
      <x:c r="C386" s="69" t="str">
        <x:v>Tottenham Hotspur</x:v>
      </x:c>
      <x:c r="D386" s="69" t="str">
        <x:v>Manchester City</x:v>
      </x:c>
      <x:c r="E386" s="76" t="d">
        <x:v>2026-08-27T00:00:00.000Z</x:v>
      </x:c>
      <x:c r="F386" s="69" t="str">
        <x:v>summer</x:v>
      </x:c>
      <x:c r="G386" s="69" t="str">
        <x:v>Forward — striker role unverified</x:v>
      </x:c>
      <x:c r="H386" s="78"/>
      <x:c r="I386" s="69" t="str">
        <x:v>GBP</x:v>
      </x:c>
      <x:c r="J386" s="80"/>
      <x:c r="K386" s="82"/>
      <x:c r="L386" s="69" t="str">
        <x:v>Evidence needed</x:v>
      </x:c>
      <x:c r="M386" s="69" t="str">
        <x:v>Loan/swap terms and buyer-specific production evidence needed.</x:v>
      </x:c>
      <x:c r="N386" s="69" t="str">
        <x:v>Not assessed</x:v>
      </x:c>
      <x:c r="O386" s="69" t="str">
        <x:v>Broad Forward label only; not a certified striker cohort. No comparable production supplied for this deal.</x:v>
      </x:c>
      <x:c r="P386" s="69" t="str">
        <x:v>https://www.theguardian.com/football/ng-interactive/2026/sep/01/mens-transfer-window-summer-2026-all-deals-from-europes-top-five-leagues</x:v>
      </x:c>
    </x:row>
    <x:row r="387" ht="25" customHeight="1">
      <x:c r="A387" s="75" t="str">
        <x:v>summer-S26-1157</x:v>
      </x:c>
      <x:c r="B387" s="75" t="str">
        <x:v>Nicolas Jackson</x:v>
      </x:c>
      <x:c r="C387" s="75" t="str">
        <x:v>Aston Villa</x:v>
      </x:c>
      <x:c r="D387" s="75" t="str">
        <x:v>Chelsea</x:v>
      </x:c>
      <x:c r="E387" s="77" t="d">
        <x:v>2026-08-28T00:00:00.000Z</x:v>
      </x:c>
      <x:c r="F387" s="75" t="str">
        <x:v>summer</x:v>
      </x:c>
      <x:c r="G387" s="75" t="str">
        <x:v>Forward — striker role unverified</x:v>
      </x:c>
      <x:c r="H387" s="79" t="n">
        <x:v>47500000</x:v>
      </x:c>
      <x:c r="I387" s="75" t="str">
        <x:v>GBP</x:v>
      </x:c>
      <x:c r="J387" s="81"/>
      <x:c r="K387" s="83"/>
      <x:c r="L387" s="75" t="str">
        <x:v>Evidence needed</x:v>
      </x:c>
      <x:c r="M387" s="75" t="str">
        <x:v>Reported fee available; verify striker role, production, age, availability and transfer before assigning a score.</x:v>
      </x:c>
      <x:c r="N387" s="75" t="str">
        <x:v>Not assessed</x:v>
      </x:c>
      <x:c r="O387" s="75" t="str">
        <x:v>Broad Forward label only; not a certified striker cohort. No comparable production supplied for this deal.</x:v>
      </x:c>
      <x:c r="P387" s="75" t="str">
        <x:v>https://www.theguardian.com/football/ng-interactive/2026/sep/01/mens-transfer-window-summer-2026-all-deals-from-europes-top-five-leagues</x:v>
      </x:c>
    </x:row>
    <x:row r="388" ht="25" customHeight="1">
      <x:c r="A388" s="69" t="str">
        <x:v>summer-S26-1160</x:v>
      </x:c>
      <x:c r="B388" s="69" t="str">
        <x:v>Tomas Bobcek</x:v>
      </x:c>
      <x:c r="C388" s="69" t="str">
        <x:v>Frosinone</x:v>
      </x:c>
      <x:c r="D388" s="69" t="str">
        <x:v>Lechia Gdansk</x:v>
      </x:c>
      <x:c r="E388" s="76" t="d">
        <x:v>2026-08-28T00:00:00.000Z</x:v>
      </x:c>
      <x:c r="F388" s="69" t="str">
        <x:v>summer</x:v>
      </x:c>
      <x:c r="G388" s="69" t="str">
        <x:v>Forward — striker role unverified</x:v>
      </x:c>
      <x:c r="H388" s="78" t="n">
        <x:v>9160000</x:v>
      </x:c>
      <x:c r="I388" s="69" t="str">
        <x:v>GBP</x:v>
      </x:c>
      <x:c r="J388" s="80"/>
      <x:c r="K388" s="82"/>
      <x:c r="L388" s="69" t="str">
        <x:v>Evidence needed</x:v>
      </x:c>
      <x:c r="M388" s="69" t="str">
        <x:v>Reported fee available; verify striker role, production, age, availability and transfer before assigning a score.</x:v>
      </x:c>
      <x:c r="N388" s="69" t="str">
        <x:v>Not assessed</x:v>
      </x:c>
      <x:c r="O388" s="69" t="str">
        <x:v>Broad Forward label only; not a certified striker cohort. No comparable production supplied for this deal.</x:v>
      </x:c>
      <x:c r="P388" s="69" t="str">
        <x:v>https://www.theguardian.com/football/ng-interactive/2026/sep/01/mens-transfer-window-summer-2026-all-deals-from-europes-top-five-leagues</x:v>
      </x:c>
    </x:row>
    <x:row r="389" ht="25" customHeight="1">
      <x:c r="A389" s="75" t="str">
        <x:v>summer-S26-1161</x:v>
      </x:c>
      <x:c r="B389" s="75" t="str">
        <x:v>Álvaro Morata</x:v>
      </x:c>
      <x:c r="C389" s="75" t="str">
        <x:v>Leganés</x:v>
      </x:c>
      <x:c r="D389" s="75" t="str">
        <x:v>Como 1907</x:v>
      </x:c>
      <x:c r="E389" s="77" t="d">
        <x:v>2026-08-28T00:00:00.000Z</x:v>
      </x:c>
      <x:c r="F389" s="75" t="str">
        <x:v>summer</x:v>
      </x:c>
      <x:c r="G389" s="75" t="str">
        <x:v>Forward — striker role unverified</x:v>
      </x:c>
      <x:c r="H389" s="79"/>
      <x:c r="I389" s="75" t="str">
        <x:v>GBP</x:v>
      </x:c>
      <x:c r="J389" s="81"/>
      <x:c r="K389" s="83"/>
      <x:c r="L389" s="75" t="str">
        <x:v>Evidence needed</x:v>
      </x:c>
      <x:c r="M389" s="75" t="str">
        <x:v>Loan/swap terms and buyer-specific production evidence needed.</x:v>
      </x:c>
      <x:c r="N389" s="75" t="str">
        <x:v>Not assessed</x:v>
      </x:c>
      <x:c r="O389" s="75" t="str">
        <x:v>Broad Forward label only; not a certified striker cohort. No comparable production supplied for this deal.</x:v>
      </x:c>
      <x:c r="P389" s="75" t="str">
        <x:v>https://www.theguardian.com/football/ng-interactive/2026/sep/01/mens-transfer-window-summer-2026-all-deals-from-europes-top-five-leagues</x:v>
      </x:c>
    </x:row>
    <x:row r="390" ht="25" customHeight="1">
      <x:c r="A390" s="69" t="str">
        <x:v>summer-S26-1166</x:v>
      </x:c>
      <x:c r="B390" s="69" t="str">
        <x:v>Walid Cheddira</x:v>
      </x:c>
      <x:c r="C390" s="69" t="str">
        <x:v>Avellino</x:v>
      </x:c>
      <x:c r="D390" s="69" t="str">
        <x:v>Napoli</x:v>
      </x:c>
      <x:c r="E390" s="76" t="d">
        <x:v>2026-08-28T00:00:00.000Z</x:v>
      </x:c>
      <x:c r="F390" s="69" t="str">
        <x:v>summer</x:v>
      </x:c>
      <x:c r="G390" s="69" t="str">
        <x:v>Forward — striker role unverified</x:v>
      </x:c>
      <x:c r="H390" s="78" t="n">
        <x:v>3000000</x:v>
      </x:c>
      <x:c r="I390" s="69" t="str">
        <x:v>GBP</x:v>
      </x:c>
      <x:c r="J390" s="80"/>
      <x:c r="K390" s="82"/>
      <x:c r="L390" s="69" t="str">
        <x:v>Evidence needed</x:v>
      </x:c>
      <x:c r="M390" s="69" t="str">
        <x:v>Reported fee available; verify striker role, production, age, availability and transfer before assigning a score.</x:v>
      </x:c>
      <x:c r="N390" s="69" t="str">
        <x:v>Not assessed</x:v>
      </x:c>
      <x:c r="O390" s="69" t="str">
        <x:v>Broad Forward label only; not a certified striker cohort. No comparable production supplied for this deal.</x:v>
      </x:c>
      <x:c r="P390" s="69" t="str">
        <x:v>https://www.theguardian.com/football/ng-interactive/2026/sep/01/mens-transfer-window-summer-2026-all-deals-from-europes-top-five-leagues</x:v>
      </x:c>
    </x:row>
    <x:row r="391" ht="25" customHeight="1">
      <x:c r="A391" s="75" t="str">
        <x:v>summer-S26-1167</x:v>
      </x:c>
      <x:c r="B391" s="75" t="str">
        <x:v>William Bøving</x:v>
      </x:c>
      <x:c r="C391" s="75" t="str">
        <x:v>Nuremberg</x:v>
      </x:c>
      <x:c r="D391" s="75" t="str">
        <x:v>Mainz 05</x:v>
      </x:c>
      <x:c r="E391" s="77" t="d">
        <x:v>2026-08-28T00:00:00.000Z</x:v>
      </x:c>
      <x:c r="F391" s="75" t="str">
        <x:v>summer</x:v>
      </x:c>
      <x:c r="G391" s="75" t="str">
        <x:v>Forward — striker role unverified</x:v>
      </x:c>
      <x:c r="H391" s="79"/>
      <x:c r="I391" s="75" t="str">
        <x:v>GBP</x:v>
      </x:c>
      <x:c r="J391" s="81"/>
      <x:c r="K391" s="83"/>
      <x:c r="L391" s="75" t="str">
        <x:v>Evidence needed</x:v>
      </x:c>
      <x:c r="M391" s="75" t="str">
        <x:v>Loan/swap terms and buyer-specific production evidence needed.</x:v>
      </x:c>
      <x:c r="N391" s="75" t="str">
        <x:v>Not assessed</x:v>
      </x:c>
      <x:c r="O391" s="75" t="str">
        <x:v>Broad Forward label only; not a certified striker cohort. No comparable production supplied for this deal.</x:v>
      </x:c>
      <x:c r="P391" s="75" t="str">
        <x:v>https://www.theguardian.com/football/ng-interactive/2026/sep/01/mens-transfer-window-summer-2026-all-deals-from-europes-top-five-leagues</x:v>
      </x:c>
    </x:row>
    <x:row r="392" ht="25" customHeight="1">
      <x:c r="A392" s="69" t="str">
        <x:v>summer-S26-1169</x:v>
      </x:c>
      <x:c r="B392" s="69" t="str">
        <x:v>Jon Karrikaburu</x:v>
      </x:c>
      <x:c r="C392" s="69" t="str">
        <x:v>Burgos</x:v>
      </x:c>
      <x:c r="D392" s="69" t="str">
        <x:v>Real Sociedad</x:v>
      </x:c>
      <x:c r="E392" s="76" t="d">
        <x:v>2026-08-28T00:00:00.000Z</x:v>
      </x:c>
      <x:c r="F392" s="69" t="str">
        <x:v>summer</x:v>
      </x:c>
      <x:c r="G392" s="69" t="str">
        <x:v>Forward — striker role unverified</x:v>
      </x:c>
      <x:c r="H392" s="78"/>
      <x:c r="I392" s="69" t="str">
        <x:v>GBP</x:v>
      </x:c>
      <x:c r="J392" s="80"/>
      <x:c r="K392" s="82"/>
      <x:c r="L392" s="69" t="str">
        <x:v>Evidence needed</x:v>
      </x:c>
      <x:c r="M392" s="69" t="str">
        <x:v>Free base fee excludes wages and other costs; role and production evidence needed.</x:v>
      </x:c>
      <x:c r="N392" s="69" t="str">
        <x:v>Not assessed</x:v>
      </x:c>
      <x:c r="O392" s="69" t="str">
        <x:v>Broad Forward label only; not a certified striker cohort. No comparable production supplied for this deal.</x:v>
      </x:c>
      <x:c r="P392" s="69" t="str">
        <x:v>https://www.theguardian.com/football/ng-interactive/2026/sep/01/mens-transfer-window-summer-2026-all-deals-from-europes-top-five-leagues</x:v>
      </x:c>
    </x:row>
    <x:row r="393" ht="25" customHeight="1">
      <x:c r="A393" s="75" t="str">
        <x:v>summer-S26-1192</x:v>
      </x:c>
      <x:c r="B393" s="75" t="str">
        <x:v>Alvin Okoro</x:v>
      </x:c>
      <x:c r="C393" s="75" t="str">
        <x:v>Südtirol</x:v>
      </x:c>
      <x:c r="D393" s="75" t="str">
        <x:v>Venezia</x:v>
      </x:c>
      <x:c r="E393" s="77" t="d">
        <x:v>2026-08-29T00:00:00.000Z</x:v>
      </x:c>
      <x:c r="F393" s="75" t="str">
        <x:v>summer</x:v>
      </x:c>
      <x:c r="G393" s="75" t="str">
        <x:v>Forward — striker role unverified</x:v>
      </x:c>
      <x:c r="H393" s="79"/>
      <x:c r="I393" s="75" t="str">
        <x:v>GBP</x:v>
      </x:c>
      <x:c r="J393" s="81"/>
      <x:c r="K393" s="83"/>
      <x:c r="L393" s="75" t="str">
        <x:v>Evidence needed</x:v>
      </x:c>
      <x:c r="M393" s="75" t="str">
        <x:v>Loan/swap terms and buyer-specific production evidence needed.</x:v>
      </x:c>
      <x:c r="N393" s="75" t="str">
        <x:v>Not assessed</x:v>
      </x:c>
      <x:c r="O393" s="75" t="str">
        <x:v>Broad Forward label only; not a certified striker cohort. No comparable production supplied for this deal.</x:v>
      </x:c>
      <x:c r="P393" s="75" t="str">
        <x:v>https://www.theguardian.com/football/ng-interactive/2026/sep/01/mens-transfer-window-summer-2026-all-deals-from-europes-top-five-leagues</x:v>
      </x:c>
    </x:row>
    <x:row r="394" ht="25" customHeight="1">
      <x:c r="A394" s="69" t="str">
        <x:v>summer-S26-1193</x:v>
      </x:c>
      <x:c r="B394" s="69" t="str">
        <x:v>Sebastiano Esposito</x:v>
      </x:c>
      <x:c r="C394" s="69" t="str">
        <x:v>Sassuolo</x:v>
      </x:c>
      <x:c r="D394" s="69" t="str">
        <x:v>Cagliari</x:v>
      </x:c>
      <x:c r="E394" s="76" t="d">
        <x:v>2026-08-29T00:00:00.000Z</x:v>
      </x:c>
      <x:c r="F394" s="69" t="str">
        <x:v>summer</x:v>
      </x:c>
      <x:c r="G394" s="69" t="str">
        <x:v>Forward — striker role unverified</x:v>
      </x:c>
      <x:c r="H394" s="78"/>
      <x:c r="I394" s="69" t="str">
        <x:v>GBP</x:v>
      </x:c>
      <x:c r="J394" s="80"/>
      <x:c r="K394" s="82"/>
      <x:c r="L394" s="69" t="str">
        <x:v>Evidence needed</x:v>
      </x:c>
      <x:c r="M394" s="69" t="str">
        <x:v>Loan/swap terms and buyer-specific production evidence needed.</x:v>
      </x:c>
      <x:c r="N394" s="69" t="str">
        <x:v>Not assessed</x:v>
      </x:c>
      <x:c r="O394" s="69" t="str">
        <x:v>Broad Forward label only; not a certified striker cohort. No comparable production supplied for this deal.</x:v>
      </x:c>
      <x:c r="P394" s="69" t="str">
        <x:v>https://www.theguardian.com/football/ng-interactive/2026/sep/01/mens-transfer-window-summer-2026-all-deals-from-europes-top-five-leagues</x:v>
      </x:c>
    </x:row>
    <x:row r="395" ht="25" customHeight="1">
      <x:c r="A395" s="75" t="str">
        <x:v>summer-S26-1195</x:v>
      </x:c>
      <x:c r="B395" s="75" t="str">
        <x:v>Gabriele Artistico</x:v>
      </x:c>
      <x:c r="C395" s="75" t="str">
        <x:v>Padova</x:v>
      </x:c>
      <x:c r="D395" s="75" t="str">
        <x:v>Lazio</x:v>
      </x:c>
      <x:c r="E395" s="77" t="d">
        <x:v>2026-08-27T00:00:00.000Z</x:v>
      </x:c>
      <x:c r="F395" s="75" t="str">
        <x:v>summer</x:v>
      </x:c>
      <x:c r="G395" s="75" t="str">
        <x:v>Forward — striker role unverified</x:v>
      </x:c>
      <x:c r="H395" s="79" t="n">
        <x:v>2600000</x:v>
      </x:c>
      <x:c r="I395" s="75" t="str">
        <x:v>GBP</x:v>
      </x:c>
      <x:c r="J395" s="81"/>
      <x:c r="K395" s="83"/>
      <x:c r="L395" s="75" t="str">
        <x:v>Evidence needed</x:v>
      </x:c>
      <x:c r="M395" s="75" t="str">
        <x:v>Reported fee available; verify striker role, production, age, availability and transfer before assigning a score.</x:v>
      </x:c>
      <x:c r="N395" s="75" t="str">
        <x:v>Not assessed</x:v>
      </x:c>
      <x:c r="O395" s="75" t="str">
        <x:v>Broad Forward label only; not a certified striker cohort. No comparable production supplied for this deal.</x:v>
      </x:c>
      <x:c r="P395" s="75" t="str">
        <x:v>https://www.theguardian.com/football/ng-interactive/2026/sep/01/mens-transfer-window-summer-2026-all-deals-from-europes-top-five-leagues</x:v>
      </x:c>
    </x:row>
    <x:row r="396" ht="25" customHeight="1">
      <x:c r="A396" s="69" t="str">
        <x:v>summer-S26-1196</x:v>
      </x:c>
      <x:c r="B396" s="69" t="str">
        <x:v>Daniel Birligea</x:v>
      </x:c>
      <x:c r="C396" s="69" t="str">
        <x:v>Frosinone</x:v>
      </x:c>
      <x:c r="D396" s="69" t="str">
        <x:v>FCSB</x:v>
      </x:c>
      <x:c r="E396" s="76" t="d">
        <x:v>2026-08-27T00:00:00.000Z</x:v>
      </x:c>
      <x:c r="F396" s="69" t="str">
        <x:v>summer</x:v>
      </x:c>
      <x:c r="G396" s="69" t="str">
        <x:v>Forward — striker role unverified</x:v>
      </x:c>
      <x:c r="H396" s="78"/>
      <x:c r="I396" s="69" t="str">
        <x:v>GBP</x:v>
      </x:c>
      <x:c r="J396" s="80"/>
      <x:c r="K396" s="82"/>
      <x:c r="L396" s="69" t="str">
        <x:v>Evidence needed</x:v>
      </x:c>
      <x:c r="M396" s="69" t="str">
        <x:v>Loan/swap terms and buyer-specific production evidence needed.</x:v>
      </x:c>
      <x:c r="N396" s="69" t="str">
        <x:v>Not assessed</x:v>
      </x:c>
      <x:c r="O396" s="69" t="str">
        <x:v>Broad Forward label only; not a certified striker cohort. No comparable production supplied for this deal.</x:v>
      </x:c>
      <x:c r="P396" s="69" t="str">
        <x:v>https://www.theguardian.com/football/ng-interactive/2026/sep/01/mens-transfer-window-summer-2026-all-deals-from-europes-top-five-leagues</x:v>
      </x:c>
    </x:row>
    <x:row r="397" ht="25" customHeight="1">
      <x:c r="A397" s="75" t="str">
        <x:v>summer-S26-1197</x:v>
      </x:c>
      <x:c r="B397" s="75" t="str">
        <x:v>Andrea Pinamonti</x:v>
      </x:c>
      <x:c r="C397" s="75" t="str">
        <x:v>Lazio</x:v>
      </x:c>
      <x:c r="D397" s="75" t="str">
        <x:v>Sassuolo</x:v>
      </x:c>
      <x:c r="E397" s="77" t="d">
        <x:v>2026-08-27T00:00:00.000Z</x:v>
      </x:c>
      <x:c r="F397" s="75" t="str">
        <x:v>summer</x:v>
      </x:c>
      <x:c r="G397" s="75" t="str">
        <x:v>Forward — striker role unverified</x:v>
      </x:c>
      <x:c r="H397" s="79" t="n">
        <x:v>2600000</x:v>
      </x:c>
      <x:c r="I397" s="75" t="str">
        <x:v>GBP</x:v>
      </x:c>
      <x:c r="J397" s="81"/>
      <x:c r="K397" s="83"/>
      <x:c r="L397" s="75" t="str">
        <x:v>Evidence needed</x:v>
      </x:c>
      <x:c r="M397" s="75" t="str">
        <x:v>Reported fee available; verify striker role, production, age, availability and transfer before assigning a score.</x:v>
      </x:c>
      <x:c r="N397" s="75" t="str">
        <x:v>Not assessed</x:v>
      </x:c>
      <x:c r="O397" s="75" t="str">
        <x:v>Broad Forward label only; not a certified striker cohort. No comparable production supplied for this deal.</x:v>
      </x:c>
      <x:c r="P397" s="75" t="str">
        <x:v>https://www.theguardian.com/football/ng-interactive/2026/sep/01/mens-transfer-window-summer-2026-all-deals-from-europes-top-five-leagues</x:v>
      </x:c>
    </x:row>
    <x:row r="398" ht="25" customHeight="1">
      <x:c r="A398" s="69" t="str">
        <x:v>summer-S26-1216</x:v>
      </x:c>
      <x:c r="B398" s="69" t="str">
        <x:v>Ollie Watkins</x:v>
      </x:c>
      <x:c r="C398" s="69" t="str">
        <x:v>Al-Hilal</x:v>
      </x:c>
      <x:c r="D398" s="69" t="str">
        <x:v>Aston Villa</x:v>
      </x:c>
      <x:c r="E398" s="76" t="d">
        <x:v>2026-08-30T00:00:00.000Z</x:v>
      </x:c>
      <x:c r="F398" s="69" t="str">
        <x:v>summer</x:v>
      </x:c>
      <x:c r="G398" s="69" t="str">
        <x:v>Forward — striker role unverified</x:v>
      </x:c>
      <x:c r="H398" s="78" t="n">
        <x:v>51000000</x:v>
      </x:c>
      <x:c r="I398" s="69" t="str">
        <x:v>GBP</x:v>
      </x:c>
      <x:c r="J398" s="80"/>
      <x:c r="K398" s="82"/>
      <x:c r="L398" s="69" t="str">
        <x:v>Evidence needed</x:v>
      </x:c>
      <x:c r="M398" s="69" t="str">
        <x:v>Reported fee available; verify striker role, production, age, availability and transfer before assigning a score.</x:v>
      </x:c>
      <x:c r="N398" s="69" t="str">
        <x:v>Not assessed</x:v>
      </x:c>
      <x:c r="O398" s="69" t="str">
        <x:v>Broad Forward label only; not a certified striker cohort. No comparable production supplied for this deal.</x:v>
      </x:c>
      <x:c r="P398" s="69" t="str">
        <x:v>https://www.theguardian.com/football/ng-interactive/2026/sep/01/mens-transfer-window-summer-2026-all-deals-from-europes-top-five-leagues</x:v>
      </x:c>
    </x:row>
    <x:row r="399" ht="25" customHeight="1">
      <x:c r="A399" s="75" t="str">
        <x:v>summer-S26-1220</x:v>
      </x:c>
      <x:c r="B399" s="75" t="str">
        <x:v>Alieu Njie</x:v>
      </x:c>
      <x:c r="C399" s="75" t="str">
        <x:v>Fiorentina</x:v>
      </x:c>
      <x:c r="D399" s="75" t="str">
        <x:v>Torino</x:v>
      </x:c>
      <x:c r="E399" s="77" t="d">
        <x:v>2026-08-30T00:00:00.000Z</x:v>
      </x:c>
      <x:c r="F399" s="75" t="str">
        <x:v>summer</x:v>
      </x:c>
      <x:c r="G399" s="75" t="str">
        <x:v>Forward — striker role unverified</x:v>
      </x:c>
      <x:c r="H399" s="79"/>
      <x:c r="I399" s="75" t="str">
        <x:v>GBP</x:v>
      </x:c>
      <x:c r="J399" s="81"/>
      <x:c r="K399" s="83"/>
      <x:c r="L399" s="75" t="str">
        <x:v>Evidence needed</x:v>
      </x:c>
      <x:c r="M399" s="75" t="str">
        <x:v>Loan/swap terms and buyer-specific production evidence needed.</x:v>
      </x:c>
      <x:c r="N399" s="75" t="str">
        <x:v>Not assessed</x:v>
      </x:c>
      <x:c r="O399" s="75" t="str">
        <x:v>Broad Forward label only; not a certified striker cohort. No comparable production supplied for this deal.</x:v>
      </x:c>
      <x:c r="P399" s="75" t="str">
        <x:v>https://www.theguardian.com/football/ng-interactive/2026/sep/01/mens-transfer-window-summer-2026-all-deals-from-europes-top-five-leagues</x:v>
      </x:c>
    </x:row>
    <x:row r="400" ht="25" customHeight="1">
      <x:c r="A400" s="69" t="str">
        <x:v>summer-S26-1224</x:v>
      </x:c>
      <x:c r="B400" s="69" t="str">
        <x:v>Eman Kospo</x:v>
      </x:c>
      <x:c r="C400" s="69" t="str">
        <x:v>Mantova</x:v>
      </x:c>
      <x:c r="D400" s="69" t="str">
        <x:v>Fiorentina</x:v>
      </x:c>
      <x:c r="E400" s="76" t="d">
        <x:v>2026-08-30T00:00:00.000Z</x:v>
      </x:c>
      <x:c r="F400" s="69" t="str">
        <x:v>summer</x:v>
      </x:c>
      <x:c r="G400" s="69" t="str">
        <x:v>Forward — striker role unverified</x:v>
      </x:c>
      <x:c r="H400" s="78"/>
      <x:c r="I400" s="69" t="str">
        <x:v>GBP</x:v>
      </x:c>
      <x:c r="J400" s="80"/>
      <x:c r="K400" s="82"/>
      <x:c r="L400" s="69" t="str">
        <x:v>Evidence needed</x:v>
      </x:c>
      <x:c r="M400" s="69" t="str">
        <x:v>Loan/swap terms and buyer-specific production evidence needed.</x:v>
      </x:c>
      <x:c r="N400" s="69" t="str">
        <x:v>Not assessed</x:v>
      </x:c>
      <x:c r="O400" s="69" t="str">
        <x:v>Broad Forward label only; not a certified striker cohort. No comparable production supplied for this deal.</x:v>
      </x:c>
      <x:c r="P400" s="69" t="str">
        <x:v>https://www.theguardian.com/football/ng-interactive/2026/sep/01/mens-transfer-window-summer-2026-all-deals-from-europes-top-five-leagues</x:v>
      </x:c>
    </x:row>
    <x:row r="401" ht="25" customHeight="1">
      <x:c r="A401" s="75" t="str">
        <x:v>summer-S26-1232</x:v>
      </x:c>
      <x:c r="B401" s="75" t="str">
        <x:v>Alessandro Vogt</x:v>
      </x:c>
      <x:c r="C401" s="75" t="str">
        <x:v>Heidenheim</x:v>
      </x:c>
      <x:c r="D401" s="75" t="str">
        <x:v>Hoffenheim</x:v>
      </x:c>
      <x:c r="E401" s="77" t="d">
        <x:v>2026-08-31T00:00:00.000Z</x:v>
      </x:c>
      <x:c r="F401" s="75" t="str">
        <x:v>summer</x:v>
      </x:c>
      <x:c r="G401" s="75" t="str">
        <x:v>Forward — striker role unverified</x:v>
      </x:c>
      <x:c r="H401" s="79"/>
      <x:c r="I401" s="75" t="str">
        <x:v>GBP</x:v>
      </x:c>
      <x:c r="J401" s="81"/>
      <x:c r="K401" s="83"/>
      <x:c r="L401" s="75" t="str">
        <x:v>Evidence needed</x:v>
      </x:c>
      <x:c r="M401" s="75" t="str">
        <x:v>Loan/swap terms and buyer-specific production evidence needed.</x:v>
      </x:c>
      <x:c r="N401" s="75" t="str">
        <x:v>Not assessed</x:v>
      </x:c>
      <x:c r="O401" s="75" t="str">
        <x:v>Broad Forward label only; not a certified striker cohort. No comparable production supplied for this deal.</x:v>
      </x:c>
      <x:c r="P401" s="75" t="str">
        <x:v>https://www.theguardian.com/football/ng-interactive/2026/sep/01/mens-transfer-window-summer-2026-all-deals-from-europes-top-five-leagues</x:v>
      </x:c>
    </x:row>
    <x:row r="402" ht="25" customHeight="1">
      <x:c r="A402" s="69" t="str">
        <x:v>summer-S26-1239</x:v>
      </x:c>
      <x:c r="B402" s="69" t="str">
        <x:v>David Datro Fofana</x:v>
      </x:c>
      <x:c r="C402" s="69" t="str">
        <x:v>Servette</x:v>
      </x:c>
      <x:c r="D402" s="69" t="str">
        <x:v>Chelsea</x:v>
      </x:c>
      <x:c r="E402" s="76" t="d">
        <x:v>2026-08-31T00:00:00.000Z</x:v>
      </x:c>
      <x:c r="F402" s="69" t="str">
        <x:v>summer</x:v>
      </x:c>
      <x:c r="G402" s="69" t="str">
        <x:v>Forward — striker role unverified</x:v>
      </x:c>
      <x:c r="H402" s="78"/>
      <x:c r="I402" s="69" t="str">
        <x:v>GBP</x:v>
      </x:c>
      <x:c r="J402" s="80"/>
      <x:c r="K402" s="82"/>
      <x:c r="L402" s="69" t="str">
        <x:v>Evidence needed</x:v>
      </x:c>
      <x:c r="M402" s="69" t="str">
        <x:v>Undisclosed fee: cannot assess fee versus worth.</x:v>
      </x:c>
      <x:c r="N402" s="69" t="str">
        <x:v>Not assessed</x:v>
      </x:c>
      <x:c r="O402" s="69" t="str">
        <x:v>Broad Forward label only; not a certified striker cohort. No comparable production supplied for this deal.</x:v>
      </x:c>
      <x:c r="P402" s="69" t="str">
        <x:v>https://www.theguardian.com/football/ng-interactive/2026/sep/01/mens-transfer-window-summer-2026-all-deals-from-europes-top-five-leagues</x:v>
      </x:c>
    </x:row>
    <x:row r="403" ht="25" customHeight="1">
      <x:c r="A403" s="75" t="str">
        <x:v>summer-S26-1240</x:v>
      </x:c>
      <x:c r="B403" s="75" t="str">
        <x:v>Conrad Harder</x:v>
      </x:c>
      <x:c r="C403" s="75" t="str">
        <x:v>Strasbourg</x:v>
      </x:c>
      <x:c r="D403" s="75" t="str">
        <x:v>RB Leipzig</x:v>
      </x:c>
      <x:c r="E403" s="77" t="d">
        <x:v>2026-09-01T00:00:00.000Z</x:v>
      </x:c>
      <x:c r="F403" s="75" t="str">
        <x:v>summer</x:v>
      </x:c>
      <x:c r="G403" s="75" t="str">
        <x:v>Forward — striker role unverified</x:v>
      </x:c>
      <x:c r="H403" s="79"/>
      <x:c r="I403" s="75" t="str">
        <x:v>GBP</x:v>
      </x:c>
      <x:c r="J403" s="81"/>
      <x:c r="K403" s="83"/>
      <x:c r="L403" s="75" t="str">
        <x:v>Evidence needed</x:v>
      </x:c>
      <x:c r="M403" s="75" t="str">
        <x:v>Loan/swap terms and buyer-specific production evidence needed.</x:v>
      </x:c>
      <x:c r="N403" s="75" t="str">
        <x:v>Not assessed</x:v>
      </x:c>
      <x:c r="O403" s="75" t="str">
        <x:v>Broad Forward label only; not a certified striker cohort. No comparable production supplied for this deal.</x:v>
      </x:c>
      <x:c r="P403" s="75" t="str">
        <x:v>https://www.theguardian.com/football/ng-interactive/2026/sep/01/mens-transfer-window-summer-2026-all-deals-from-europes-top-five-leagues</x:v>
      </x:c>
    </x:row>
    <x:row r="404" ht="25" customHeight="1">
      <x:c r="A404" s="69" t="str">
        <x:v>summer-S26-1241</x:v>
      </x:c>
      <x:c r="B404" s="69" t="str">
        <x:v>Luís Semedo</x:v>
      </x:c>
      <x:c r="C404" s="69" t="str">
        <x:v>Clermont Foot</x:v>
      </x:c>
      <x:c r="D404" s="69" t="str">
        <x:v>Sunderland</x:v>
      </x:c>
      <x:c r="E404" s="76" t="d">
        <x:v>2026-09-01T00:00:00.000Z</x:v>
      </x:c>
      <x:c r="F404" s="69" t="str">
        <x:v>summer</x:v>
      </x:c>
      <x:c r="G404" s="69" t="str">
        <x:v>Forward — striker role unverified</x:v>
      </x:c>
      <x:c r="H404" s="78"/>
      <x:c r="I404" s="69" t="str">
        <x:v>GBP</x:v>
      </x:c>
      <x:c r="J404" s="80"/>
      <x:c r="K404" s="82"/>
      <x:c r="L404" s="69" t="str">
        <x:v>Evidence needed</x:v>
      </x:c>
      <x:c r="M404" s="69" t="str">
        <x:v>Undisclosed fee: cannot assess fee versus worth.</x:v>
      </x:c>
      <x:c r="N404" s="69" t="str">
        <x:v>Not assessed</x:v>
      </x:c>
      <x:c r="O404" s="69" t="str">
        <x:v>Broad Forward label only; not a certified striker cohort. No comparable production supplied for this deal.</x:v>
      </x:c>
      <x:c r="P404" s="69" t="str">
        <x:v>https://www.theguardian.com/football/ng-interactive/2026/sep/01/mens-transfer-window-summer-2026-all-deals-from-europes-top-five-leagues</x:v>
      </x:c>
    </x:row>
    <x:row r="405" ht="25" customHeight="1">
      <x:c r="A405" s="75" t="str">
        <x:v>summer-S26-1242</x:v>
      </x:c>
      <x:c r="B405" s="75" t="str">
        <x:v>Marc Guiu</x:v>
      </x:c>
      <x:c r="C405" s="75" t="str">
        <x:v>RB Leipzig</x:v>
      </x:c>
      <x:c r="D405" s="75" t="str">
        <x:v>Chelsea</x:v>
      </x:c>
      <x:c r="E405" s="77" t="d">
        <x:v>2026-09-01T00:00:00.000Z</x:v>
      </x:c>
      <x:c r="F405" s="75" t="str">
        <x:v>summer</x:v>
      </x:c>
      <x:c r="G405" s="75" t="str">
        <x:v>Forward — striker role unverified</x:v>
      </x:c>
      <x:c r="H405" s="79" t="n">
        <x:v>14500000</x:v>
      </x:c>
      <x:c r="I405" s="75" t="str">
        <x:v>GBP</x:v>
      </x:c>
      <x:c r="J405" s="81"/>
      <x:c r="K405" s="83"/>
      <x:c r="L405" s="75" t="str">
        <x:v>Evidence needed</x:v>
      </x:c>
      <x:c r="M405" s="75" t="str">
        <x:v>Reported fee available; verify striker role, production, age, availability and transfer before assigning a score.</x:v>
      </x:c>
      <x:c r="N405" s="75" t="str">
        <x:v>Not assessed</x:v>
      </x:c>
      <x:c r="O405" s="75" t="str">
        <x:v>Broad Forward label only; not a certified striker cohort. No comparable production supplied for this deal.</x:v>
      </x:c>
      <x:c r="P405" s="75" t="str">
        <x:v>https://www.theguardian.com/football/ng-interactive/2026/sep/01/mens-transfer-window-summer-2026-all-deals-from-europes-top-five-leagues</x:v>
      </x:c>
    </x:row>
    <x:row r="406" ht="25" customHeight="1">
      <x:c r="A406" s="69" t="str">
        <x:v>summer-S26-1248</x:v>
      </x:c>
      <x:c r="B406" s="69" t="str">
        <x:v>Ilyas Ansah</x:v>
      </x:c>
      <x:c r="C406" s="69" t="str">
        <x:v>Hull City</x:v>
      </x:c>
      <x:c r="D406" s="69" t="str">
        <x:v>Union Berlin</x:v>
      </x:c>
      <x:c r="E406" s="76" t="d">
        <x:v>2026-09-01T00:00:00.000Z</x:v>
      </x:c>
      <x:c r="F406" s="69" t="str">
        <x:v>summer</x:v>
      </x:c>
      <x:c r="G406" s="69" t="str">
        <x:v>Forward — striker role unverified</x:v>
      </x:c>
      <x:c r="H406" s="78" t="n">
        <x:v>14500000</x:v>
      </x:c>
      <x:c r="I406" s="69" t="str">
        <x:v>GBP</x:v>
      </x:c>
      <x:c r="J406" s="80"/>
      <x:c r="K406" s="82"/>
      <x:c r="L406" s="69" t="str">
        <x:v>Evidence needed</x:v>
      </x:c>
      <x:c r="M406" s="69" t="str">
        <x:v>Reported fee available; verify striker role, production, age, availability and transfer before assigning a score.</x:v>
      </x:c>
      <x:c r="N406" s="69" t="str">
        <x:v>Not assessed</x:v>
      </x:c>
      <x:c r="O406" s="69" t="str">
        <x:v>Broad Forward label only; not a certified striker cohort. No comparable production supplied for this deal.</x:v>
      </x:c>
      <x:c r="P406" s="69" t="str">
        <x:v>https://www.theguardian.com/football/ng-interactive/2026/sep/01/mens-transfer-window-summer-2026-all-deals-from-europes-top-five-leagues</x:v>
      </x:c>
    </x:row>
    <x:row r="407" ht="25" customHeight="1">
      <x:c r="A407" s="75" t="str">
        <x:v>summer-S26-1252</x:v>
      </x:c>
      <x:c r="B407" s="75" t="str">
        <x:v>Gonzalo Petit</x:v>
      </x:c>
      <x:c r="C407" s="75" t="str">
        <x:v>Cádiz</x:v>
      </x:c>
      <x:c r="D407" s="75" t="str">
        <x:v>Real Betis</x:v>
      </x:c>
      <x:c r="E407" s="77" t="d">
        <x:v>2026-09-01T00:00:00.000Z</x:v>
      </x:c>
      <x:c r="F407" s="75" t="str">
        <x:v>summer</x:v>
      </x:c>
      <x:c r="G407" s="75" t="str">
        <x:v>Forward — striker role unverified</x:v>
      </x:c>
      <x:c r="H407" s="79"/>
      <x:c r="I407" s="75" t="str">
        <x:v>GBP</x:v>
      </x:c>
      <x:c r="J407" s="81"/>
      <x:c r="K407" s="83"/>
      <x:c r="L407" s="75" t="str">
        <x:v>Evidence needed</x:v>
      </x:c>
      <x:c r="M407" s="75" t="str">
        <x:v>Loan/swap terms and buyer-specific production evidence needed.</x:v>
      </x:c>
      <x:c r="N407" s="75" t="str">
        <x:v>Not assessed</x:v>
      </x:c>
      <x:c r="O407" s="75" t="str">
        <x:v>Broad Forward label only; not a certified striker cohort. No comparable production supplied for this deal.</x:v>
      </x:c>
      <x:c r="P407" s="75" t="str">
        <x:v>https://www.theguardian.com/football/ng-interactive/2026/sep/01/mens-transfer-window-summer-2026-all-deals-from-europes-top-five-leagues</x:v>
      </x:c>
    </x:row>
    <x:row r="408" ht="25" customHeight="1">
      <x:c r="A408" s="69" t="str">
        <x:v>summer-S26-1259</x:v>
      </x:c>
      <x:c r="B408" s="69" t="str">
        <x:v>Lazar Jovanovic</x:v>
      </x:c>
      <x:c r="C408" s="69" t="str">
        <x:v>Udinese</x:v>
      </x:c>
      <x:c r="D408" s="69" t="str">
        <x:v>Stuttgart</x:v>
      </x:c>
      <x:c r="E408" s="76" t="d">
        <x:v>2026-09-01T00:00:00.000Z</x:v>
      </x:c>
      <x:c r="F408" s="69" t="str">
        <x:v>summer</x:v>
      </x:c>
      <x:c r="G408" s="69" t="str">
        <x:v>Forward — striker role unverified</x:v>
      </x:c>
      <x:c r="H408" s="78" t="n">
        <x:v>5500000</x:v>
      </x:c>
      <x:c r="I408" s="69" t="str">
        <x:v>GBP</x:v>
      </x:c>
      <x:c r="J408" s="80"/>
      <x:c r="K408" s="82"/>
      <x:c r="L408" s="69" t="str">
        <x:v>Evidence needed</x:v>
      </x:c>
      <x:c r="M408" s="69" t="str">
        <x:v>Reported fee available; verify striker role, production, age, availability and transfer before assigning a score.</x:v>
      </x:c>
      <x:c r="N408" s="69" t="str">
        <x:v>Not assessed</x:v>
      </x:c>
      <x:c r="O408" s="69" t="str">
        <x:v>Broad Forward label only; not a certified striker cohort. No comparable production supplied for this deal.</x:v>
      </x:c>
      <x:c r="P408" s="69" t="str">
        <x:v>https://www.theguardian.com/football/ng-interactive/2026/sep/01/mens-transfer-window-summer-2026-all-deals-from-europes-top-five-leagues</x:v>
      </x:c>
    </x:row>
    <x:row r="409" ht="25" customHeight="1">
      <x:c r="A409" s="75" t="str">
        <x:v>summer-S26-1262</x:v>
      </x:c>
      <x:c r="B409" s="75" t="str">
        <x:v>Christian Gomis</x:v>
      </x:c>
      <x:c r="C409" s="75" t="str">
        <x:v>CD Tenerife</x:v>
      </x:c>
      <x:c r="D409" s="75" t="str">
        <x:v>Schalke 04</x:v>
      </x:c>
      <x:c r="E409" s="77" t="d">
        <x:v>2026-09-01T00:00:00.000Z</x:v>
      </x:c>
      <x:c r="F409" s="75" t="str">
        <x:v>summer</x:v>
      </x:c>
      <x:c r="G409" s="75" t="str">
        <x:v>Forward — striker role unverified</x:v>
      </x:c>
      <x:c r="H409" s="79"/>
      <x:c r="I409" s="75" t="str">
        <x:v>GBP</x:v>
      </x:c>
      <x:c r="J409" s="81"/>
      <x:c r="K409" s="83"/>
      <x:c r="L409" s="75" t="str">
        <x:v>Evidence needed</x:v>
      </x:c>
      <x:c r="M409" s="75" t="str">
        <x:v>Loan/swap terms and buyer-specific production evidence needed.</x:v>
      </x:c>
      <x:c r="N409" s="75" t="str">
        <x:v>Not assessed</x:v>
      </x:c>
      <x:c r="O409" s="75" t="str">
        <x:v>Broad Forward label only; not a certified striker cohort. No comparable production supplied for this deal.</x:v>
      </x:c>
      <x:c r="P409" s="75" t="str">
        <x:v>https://www.theguardian.com/football/ng-interactive/2026/sep/01/mens-transfer-window-summer-2026-all-deals-from-europes-top-five-leagues</x:v>
      </x:c>
    </x:row>
    <x:row r="410" ht="25" customHeight="1">
      <x:c r="A410" s="69" t="str">
        <x:v>summer-S26-1267</x:v>
      </x:c>
      <x:c r="B410" s="69" t="str">
        <x:v>Gabriel Jesus</x:v>
      </x:c>
      <x:c r="C410" s="69" t="str">
        <x:v>Barcelona</x:v>
      </x:c>
      <x:c r="D410" s="69" t="str">
        <x:v>Arsenal</x:v>
      </x:c>
      <x:c r="E410" s="76" t="d">
        <x:v>2026-09-01T00:00:00.000Z</x:v>
      </x:c>
      <x:c r="F410" s="69" t="str">
        <x:v>summer</x:v>
      </x:c>
      <x:c r="G410" s="69" t="str">
        <x:v>Forward — striker role unverified</x:v>
      </x:c>
      <x:c r="H410" s="78" t="n">
        <x:v>8600000</x:v>
      </x:c>
      <x:c r="I410" s="69" t="str">
        <x:v>GBP</x:v>
      </x:c>
      <x:c r="J410" s="80"/>
      <x:c r="K410" s="82"/>
      <x:c r="L410" s="69" t="str">
        <x:v>Evidence needed</x:v>
      </x:c>
      <x:c r="M410" s="69" t="str">
        <x:v>Reported fee available; verify striker role, production, age, availability and transfer before assigning a score.</x:v>
      </x:c>
      <x:c r="N410" s="69" t="str">
        <x:v>Not assessed</x:v>
      </x:c>
      <x:c r="O410" s="69" t="str">
        <x:v>Broad Forward label only; not a certified striker cohort. No comparable production supplied for this deal.</x:v>
      </x:c>
      <x:c r="P410" s="69" t="str">
        <x:v>https://www.theguardian.com/football/ng-interactive/2026/sep/01/mens-transfer-window-summer-2026-all-deals-from-europes-top-five-leagues</x:v>
      </x:c>
    </x:row>
    <x:row r="411" ht="25" customHeight="1">
      <x:c r="A411" s="75" t="str">
        <x:v>summer-S26-1270</x:v>
      </x:c>
      <x:c r="B411" s="75" t="str">
        <x:v>Rayan Philippe</x:v>
      </x:c>
      <x:c r="C411" s="75" t="str">
        <x:v>Paderborn</x:v>
      </x:c>
      <x:c r="D411" s="75" t="str">
        <x:v>Hamburg</x:v>
      </x:c>
      <x:c r="E411" s="77" t="d">
        <x:v>2026-09-01T00:00:00.000Z</x:v>
      </x:c>
      <x:c r="F411" s="75" t="str">
        <x:v>summer</x:v>
      </x:c>
      <x:c r="G411" s="75" t="str">
        <x:v>Forward — striker role unverified</x:v>
      </x:c>
      <x:c r="H411" s="79"/>
      <x:c r="I411" s="75" t="str">
        <x:v>GBP</x:v>
      </x:c>
      <x:c r="J411" s="81"/>
      <x:c r="K411" s="83"/>
      <x:c r="L411" s="75" t="str">
        <x:v>Evidence needed</x:v>
      </x:c>
      <x:c r="M411" s="75" t="str">
        <x:v>Loan/swap terms and buyer-specific production evidence needed.</x:v>
      </x:c>
      <x:c r="N411" s="75" t="str">
        <x:v>Not assessed</x:v>
      </x:c>
      <x:c r="O411" s="75" t="str">
        <x:v>Broad Forward label only; not a certified striker cohort. No comparable production supplied for this deal.</x:v>
      </x:c>
      <x:c r="P411" s="75" t="str">
        <x:v>https://www.theguardian.com/football/ng-interactive/2026/sep/01/mens-transfer-window-summer-2026-all-deals-from-europes-top-five-leagues</x:v>
      </x:c>
    </x:row>
    <x:row r="412" ht="25" customHeight="1">
      <x:c r="A412" s="69" t="str">
        <x:v>summer-S26-1280</x:v>
      </x:c>
      <x:c r="B412" s="69" t="str">
        <x:v>Matias Fernandez-Pardo</x:v>
      </x:c>
      <x:c r="C412" s="69" t="str">
        <x:v>Newcastle United</x:v>
      </x:c>
      <x:c r="D412" s="69" t="str">
        <x:v>Lille</x:v>
      </x:c>
      <x:c r="E412" s="76" t="d">
        <x:v>2026-09-01T00:00:00.000Z</x:v>
      </x:c>
      <x:c r="F412" s="69" t="str">
        <x:v>summer</x:v>
      </x:c>
      <x:c r="G412" s="69" t="str">
        <x:v>Forward — striker role unverified</x:v>
      </x:c>
      <x:c r="H412" s="78" t="n">
        <x:v>51000000</x:v>
      </x:c>
      <x:c r="I412" s="69" t="str">
        <x:v>GBP</x:v>
      </x:c>
      <x:c r="J412" s="80"/>
      <x:c r="K412" s="82"/>
      <x:c r="L412" s="69" t="str">
        <x:v>Evidence needed</x:v>
      </x:c>
      <x:c r="M412" s="69" t="str">
        <x:v>Reported fee available; verify striker role, production, age, availability and transfer before assigning a score.</x:v>
      </x:c>
      <x:c r="N412" s="69" t="str">
        <x:v>Not assessed</x:v>
      </x:c>
      <x:c r="O412" s="69" t="str">
        <x:v>Broad Forward label only; not a certified striker cohort. No comparable production supplied for this deal.</x:v>
      </x:c>
      <x:c r="P412" s="69" t="str">
        <x:v>https://www.theguardian.com/football/ng-interactive/2026/sep/01/mens-transfer-window-summer-2026-all-deals-from-europes-top-five-leagues</x:v>
      </x:c>
    </x:row>
    <x:row r="413" ht="25" customHeight="1">
      <x:c r="A413" s="75" t="str">
        <x:v>summer-S26-1282</x:v>
      </x:c>
      <x:c r="B413" s="75" t="str">
        <x:v>Arijon Ibrahimović</x:v>
      </x:c>
      <x:c r="C413" s="75" t="str">
        <x:v>Augsburg</x:v>
      </x:c>
      <x:c r="D413" s="75" t="str">
        <x:v>Bayern Munich</x:v>
      </x:c>
      <x:c r="E413" s="77" t="d">
        <x:v>2026-09-01T00:00:00.000Z</x:v>
      </x:c>
      <x:c r="F413" s="75" t="str">
        <x:v>summer</x:v>
      </x:c>
      <x:c r="G413" s="75" t="str">
        <x:v>Forward — striker role unverified</x:v>
      </x:c>
      <x:c r="H413" s="79"/>
      <x:c r="I413" s="75" t="str">
        <x:v>GBP</x:v>
      </x:c>
      <x:c r="J413" s="81"/>
      <x:c r="K413" s="83"/>
      <x:c r="L413" s="75" t="str">
        <x:v>Evidence needed</x:v>
      </x:c>
      <x:c r="M413" s="75" t="str">
        <x:v>Loan/swap terms and buyer-specific production evidence needed.</x:v>
      </x:c>
      <x:c r="N413" s="75" t="str">
        <x:v>Not assessed</x:v>
      </x:c>
      <x:c r="O413" s="75" t="str">
        <x:v>Broad Forward label only; not a certified striker cohort. No comparable production supplied for this deal.</x:v>
      </x:c>
      <x:c r="P413" s="75" t="str">
        <x:v>https://www.theguardian.com/football/ng-interactive/2026/sep/01/mens-transfer-window-summer-2026-all-deals-from-europes-top-five-leagues</x:v>
      </x:c>
    </x:row>
    <x:row r="414" ht="25" customHeight="1">
      <x:c r="A414" s="69" t="str">
        <x:v>summer-S26-1283</x:v>
      </x:c>
      <x:c r="B414" s="69" t="str">
        <x:v>Timothé Nkada</x:v>
      </x:c>
      <x:c r="C414" s="69" t="str">
        <x:v>Troyes</x:v>
      </x:c>
      <x:c r="D414" s="69" t="str">
        <x:v>Standard Liège</x:v>
      </x:c>
      <x:c r="E414" s="76" t="d">
        <x:v>2026-09-01T00:00:00.000Z</x:v>
      </x:c>
      <x:c r="F414" s="69" t="str">
        <x:v>summer</x:v>
      </x:c>
      <x:c r="G414" s="69" t="str">
        <x:v>Forward — striker role unverified</x:v>
      </x:c>
      <x:c r="H414" s="78"/>
      <x:c r="I414" s="69" t="str">
        <x:v>GBP</x:v>
      </x:c>
      <x:c r="J414" s="80"/>
      <x:c r="K414" s="82"/>
      <x:c r="L414" s="69" t="str">
        <x:v>Evidence needed</x:v>
      </x:c>
      <x:c r="M414" s="69" t="str">
        <x:v>Loan/swap terms and buyer-specific production evidence needed.</x:v>
      </x:c>
      <x:c r="N414" s="69" t="str">
        <x:v>Not assessed</x:v>
      </x:c>
      <x:c r="O414" s="69" t="str">
        <x:v>Broad Forward label only; not a certified striker cohort. No comparable production supplied for this deal.</x:v>
      </x:c>
      <x:c r="P414" s="69" t="str">
        <x:v>https://www.theguardian.com/football/ng-interactive/2026/sep/01/mens-transfer-window-summer-2026-all-deals-from-europes-top-five-leagues</x:v>
      </x:c>
    </x:row>
    <x:row r="415" ht="25" customHeight="1">
      <x:c r="A415" s="75" t="str">
        <x:v>summer-S26-1288</x:v>
      </x:c>
      <x:c r="B415" s="75" t="str">
        <x:v>Louey Ben Farhat</x:v>
      </x:c>
      <x:c r="C415" s="75" t="str">
        <x:v>Freiburg</x:v>
      </x:c>
      <x:c r="D415" s="75" t="str">
        <x:v>Karlsruhe</x:v>
      </x:c>
      <x:c r="E415" s="77" t="d">
        <x:v>2026-09-01T00:00:00.000Z</x:v>
      </x:c>
      <x:c r="F415" s="75" t="str">
        <x:v>summer</x:v>
      </x:c>
      <x:c r="G415" s="75" t="str">
        <x:v>Forward — striker role unverified</x:v>
      </x:c>
      <x:c r="H415" s="79" t="n">
        <x:v>6400000</x:v>
      </x:c>
      <x:c r="I415" s="75" t="str">
        <x:v>GBP</x:v>
      </x:c>
      <x:c r="J415" s="81"/>
      <x:c r="K415" s="83"/>
      <x:c r="L415" s="75" t="str">
        <x:v>Evidence needed</x:v>
      </x:c>
      <x:c r="M415" s="75" t="str">
        <x:v>Reported fee available; verify striker role, production, age, availability and transfer before assigning a score.</x:v>
      </x:c>
      <x:c r="N415" s="75" t="str">
        <x:v>Not assessed</x:v>
      </x:c>
      <x:c r="O415" s="75" t="str">
        <x:v>Broad Forward label only; not a certified striker cohort. No comparable production supplied for this deal.</x:v>
      </x:c>
      <x:c r="P415" s="75" t="str">
        <x:v>https://www.theguardian.com/football/ng-interactive/2026/sep/01/mens-transfer-window-summer-2026-all-deals-from-europes-top-five-leagues</x:v>
      </x:c>
    </x:row>
    <x:row r="416" ht="25" customHeight="1">
      <x:c r="A416" s="69" t="str">
        <x:v>summer-S26-1289</x:v>
      </x:c>
      <x:c r="B416" s="69" t="str">
        <x:v>Habib Diallo</x:v>
      </x:c>
      <x:c r="C416" s="69" t="str">
        <x:v>Le Mans</x:v>
      </x:c>
      <x:c r="D416" s="69" t="str">
        <x:v>Metz</x:v>
      </x:c>
      <x:c r="E416" s="76" t="d">
        <x:v>2026-09-01T00:00:00.000Z</x:v>
      </x:c>
      <x:c r="F416" s="69" t="str">
        <x:v>summer</x:v>
      </x:c>
      <x:c r="G416" s="69" t="str">
        <x:v>Forward — striker role unverified</x:v>
      </x:c>
      <x:c r="H416" s="78"/>
      <x:c r="I416" s="69" t="str">
        <x:v>GBP</x:v>
      </x:c>
      <x:c r="J416" s="80"/>
      <x:c r="K416" s="82"/>
      <x:c r="L416" s="69" t="str">
        <x:v>Evidence needed</x:v>
      </x:c>
      <x:c r="M416" s="69" t="str">
        <x:v>Undisclosed fee: cannot assess fee versus worth.</x:v>
      </x:c>
      <x:c r="N416" s="69" t="str">
        <x:v>Not assessed</x:v>
      </x:c>
      <x:c r="O416" s="69" t="str">
        <x:v>Broad Forward label only; not a certified striker cohort. No comparable production supplied for this deal.</x:v>
      </x:c>
      <x:c r="P416" s="69" t="str">
        <x:v>https://www.theguardian.com/football/ng-interactive/2026/sep/01/mens-transfer-window-summer-2026-all-deals-from-europes-top-five-leagues</x:v>
      </x:c>
    </x:row>
    <x:row r="417" ht="25" customHeight="1">
      <x:c r="A417" s="75" t="str">
        <x:v>summer-S26-1295</x:v>
      </x:c>
      <x:c r="B417" s="75" t="str">
        <x:v>Caleb Ekuban</x:v>
      </x:c>
      <x:c r="C417" s="75" t="str">
        <x:v>Verona</x:v>
      </x:c>
      <x:c r="D417" s="75" t="str">
        <x:v>Genoa</x:v>
      </x:c>
      <x:c r="E417" s="77" t="d">
        <x:v>2026-09-01T00:00:00.000Z</x:v>
      </x:c>
      <x:c r="F417" s="75" t="str">
        <x:v>summer</x:v>
      </x:c>
      <x:c r="G417" s="75" t="str">
        <x:v>Forward — striker role unverified</x:v>
      </x:c>
      <x:c r="H417" s="79"/>
      <x:c r="I417" s="75" t="str">
        <x:v>GBP</x:v>
      </x:c>
      <x:c r="J417" s="81"/>
      <x:c r="K417" s="83"/>
      <x:c r="L417" s="75" t="str">
        <x:v>Evidence needed</x:v>
      </x:c>
      <x:c r="M417" s="75" t="str">
        <x:v>Free base fee excludes wages and other costs; role and production evidence needed.</x:v>
      </x:c>
      <x:c r="N417" s="75" t="str">
        <x:v>Not assessed</x:v>
      </x:c>
      <x:c r="O417" s="75" t="str">
        <x:v>Broad Forward label only; not a certified striker cohort. No comparable production supplied for this deal.</x:v>
      </x:c>
      <x:c r="P417" s="75" t="str">
        <x:v>https://www.theguardian.com/football/ng-interactive/2026/sep/01/mens-transfer-window-summer-2026-all-deals-from-europes-top-five-leagues</x:v>
      </x:c>
    </x:row>
    <x:row r="418" ht="25" customHeight="1">
      <x:c r="A418" s="69" t="str">
        <x:v>summer-S26-1300</x:v>
      </x:c>
      <x:c r="B418" s="69" t="str">
        <x:v>Cameron Archer</x:v>
      </x:c>
      <x:c r="C418" s="69" t="str">
        <x:v>Auxerre</x:v>
      </x:c>
      <x:c r="D418" s="69" t="str">
        <x:v>Southampton</x:v>
      </x:c>
      <x:c r="E418" s="76" t="d">
        <x:v>2026-09-01T00:00:00.000Z</x:v>
      </x:c>
      <x:c r="F418" s="69" t="str">
        <x:v>summer</x:v>
      </x:c>
      <x:c r="G418" s="69" t="str">
        <x:v>Forward — striker role unverified</x:v>
      </x:c>
      <x:c r="H418" s="78"/>
      <x:c r="I418" s="69" t="str">
        <x:v>GBP</x:v>
      </x:c>
      <x:c r="J418" s="80"/>
      <x:c r="K418" s="82"/>
      <x:c r="L418" s="69" t="str">
        <x:v>Evidence needed</x:v>
      </x:c>
      <x:c r="M418" s="69" t="str">
        <x:v>Loan/swap terms and buyer-specific production evidence needed.</x:v>
      </x:c>
      <x:c r="N418" s="69" t="str">
        <x:v>Not assessed</x:v>
      </x:c>
      <x:c r="O418" s="69" t="str">
        <x:v>Broad Forward label only; not a certified striker cohort. No comparable production supplied for this deal.</x:v>
      </x:c>
      <x:c r="P418" s="69" t="str">
        <x:v>https://www.theguardian.com/football/ng-interactive/2026/sep/01/mens-transfer-window-summer-2026-all-deals-from-europes-top-five-leagues</x:v>
      </x:c>
    </x:row>
    <x:row r="419" ht="25" customHeight="1">
      <x:c r="A419" s="75" t="str">
        <x:v>summer-S26-1310</x:v>
      </x:c>
      <x:c r="B419" s="75" t="str">
        <x:v>David Obou</x:v>
      </x:c>
      <x:c r="C419" s="75" t="str">
        <x:v>Örgryte</x:v>
      </x:c>
      <x:c r="D419" s="75" t="str">
        <x:v>Crystal Palace</x:v>
      </x:c>
      <x:c r="E419" s="77" t="d">
        <x:v>2026-08-31T00:00:00.000Z</x:v>
      </x:c>
      <x:c r="F419" s="75" t="str">
        <x:v>summer</x:v>
      </x:c>
      <x:c r="G419" s="75" t="str">
        <x:v>Forward — striker role unverified</x:v>
      </x:c>
      <x:c r="H419" s="79"/>
      <x:c r="I419" s="75" t="str">
        <x:v>GBP</x:v>
      </x:c>
      <x:c r="J419" s="81"/>
      <x:c r="K419" s="83"/>
      <x:c r="L419" s="75" t="str">
        <x:v>Evidence needed</x:v>
      </x:c>
      <x:c r="M419" s="75" t="str">
        <x:v>Free base fee excludes wages and other costs; role and production evidence needed.</x:v>
      </x:c>
      <x:c r="N419" s="75" t="str">
        <x:v>Not assessed</x:v>
      </x:c>
      <x:c r="O419" s="75" t="str">
        <x:v>Broad Forward label only; not a certified striker cohort. No comparable production supplied for this deal.</x:v>
      </x:c>
      <x:c r="P419" s="75" t="str">
        <x:v>https://www.theguardian.com/football/ng-interactive/2026/sep/01/mens-transfer-window-summer-2026-all-deals-from-europes-top-five-leagues</x:v>
      </x:c>
    </x:row>
    <x:row r="420" ht="25" customHeight="1">
      <x:c r="A420" s="69" t="str">
        <x:v>summer-S26-1311</x:v>
      </x:c>
      <x:c r="B420" s="69" t="str">
        <x:v>Kennedy Okpala</x:v>
      </x:c>
      <x:c r="C420" s="69" t="str">
        <x:v>Dynamo Dresden</x:v>
      </x:c>
      <x:c r="D420" s="69" t="str">
        <x:v>Paderborn</x:v>
      </x:c>
      <x:c r="E420" s="76" t="d">
        <x:v>2026-09-01T00:00:00.000Z</x:v>
      </x:c>
      <x:c r="F420" s="69" t="str">
        <x:v>summer</x:v>
      </x:c>
      <x:c r="G420" s="69" t="str">
        <x:v>Forward — striker role unverified</x:v>
      </x:c>
      <x:c r="H420" s="78"/>
      <x:c r="I420" s="69" t="str">
        <x:v>GBP</x:v>
      </x:c>
      <x:c r="J420" s="80"/>
      <x:c r="K420" s="82"/>
      <x:c r="L420" s="69" t="str">
        <x:v>Evidence needed</x:v>
      </x:c>
      <x:c r="M420" s="69" t="str">
        <x:v>Loan/swap terms and buyer-specific production evidence needed.</x:v>
      </x:c>
      <x:c r="N420" s="69" t="str">
        <x:v>Not assessed</x:v>
      </x:c>
      <x:c r="O420" s="69" t="str">
        <x:v>Broad Forward label only; not a certified striker cohort. No comparable production supplied for this deal.</x:v>
      </x:c>
      <x:c r="P420" s="69" t="str">
        <x:v>https://www.theguardian.com/football/ng-interactive/2026/sep/01/mens-transfer-window-summer-2026-all-deals-from-europes-top-five-leagues</x:v>
      </x:c>
    </x:row>
    <x:row r="421" ht="25" customHeight="1">
      <x:c r="A421" s="75" t="str">
        <x:v>summer-S26-1314</x:v>
      </x:c>
      <x:c r="B421" s="75" t="str">
        <x:v>Jonathan Rowe</x:v>
      </x:c>
      <x:c r="C421" s="75" t="str">
        <x:v>Atalanta</x:v>
      </x:c>
      <x:c r="D421" s="75" t="str">
        <x:v>Bologna</x:v>
      </x:c>
      <x:c r="E421" s="77" t="d">
        <x:v>2026-09-01T00:00:00.000Z</x:v>
      </x:c>
      <x:c r="F421" s="75" t="str">
        <x:v>summer</x:v>
      </x:c>
      <x:c r="G421" s="75" t="str">
        <x:v>Forward — striker role unverified</x:v>
      </x:c>
      <x:c r="H421" s="79"/>
      <x:c r="I421" s="75" t="str">
        <x:v>GBP</x:v>
      </x:c>
      <x:c r="J421" s="81"/>
      <x:c r="K421" s="83"/>
      <x:c r="L421" s="75" t="str">
        <x:v>Evidence needed</x:v>
      </x:c>
      <x:c r="M421" s="75" t="str">
        <x:v>Loan/swap terms and buyer-specific production evidence needed.</x:v>
      </x:c>
      <x:c r="N421" s="75" t="str">
        <x:v>Not assessed</x:v>
      </x:c>
      <x:c r="O421" s="75" t="str">
        <x:v>Broad Forward label only; not a certified striker cohort. No comparable production supplied for this deal.</x:v>
      </x:c>
      <x:c r="P421" s="75" t="str">
        <x:v>https://www.theguardian.com/football/ng-interactive/2026/sep/01/mens-transfer-window-summer-2026-all-deals-from-europes-top-five-leagues</x:v>
      </x:c>
    </x:row>
    <x:row r="422" ht="25" customHeight="1">
      <x:c r="A422" s="69" t="str">
        <x:v>summer-S26-1317</x:v>
      </x:c>
      <x:c r="B422" s="69" t="str">
        <x:v>Theo Bair</x:v>
      </x:c>
      <x:c r="C422" s="69" t="str">
        <x:v>Bolton</x:v>
      </x:c>
      <x:c r="D422" s="69" t="str">
        <x:v>Auxerre</x:v>
      </x:c>
      <x:c r="E422" s="76" t="d">
        <x:v>2026-09-01T00:00:00.000Z</x:v>
      </x:c>
      <x:c r="F422" s="69" t="str">
        <x:v>summer</x:v>
      </x:c>
      <x:c r="G422" s="69" t="str">
        <x:v>Forward — striker role unverified</x:v>
      </x:c>
      <x:c r="H422" s="78"/>
      <x:c r="I422" s="69" t="str">
        <x:v>GBP</x:v>
      </x:c>
      <x:c r="J422" s="80"/>
      <x:c r="K422" s="82"/>
      <x:c r="L422" s="69" t="str">
        <x:v>Evidence needed</x:v>
      </x:c>
      <x:c r="M422" s="69" t="str">
        <x:v>Loan/swap terms and buyer-specific production evidence needed.</x:v>
      </x:c>
      <x:c r="N422" s="69" t="str">
        <x:v>Not assessed</x:v>
      </x:c>
      <x:c r="O422" s="69" t="str">
        <x:v>Broad Forward label only; not a certified striker cohort. No comparable production supplied for this deal.</x:v>
      </x:c>
      <x:c r="P422" s="69" t="str">
        <x:v>https://www.theguardian.com/football/ng-interactive/2026/sep/01/mens-transfer-window-summer-2026-all-deals-from-europes-top-five-leagues</x:v>
      </x:c>
    </x:row>
    <x:row r="423" ht="25" customHeight="1">
      <x:c r="A423" s="75" t="str">
        <x:v>summer-S26-1320</x:v>
      </x:c>
      <x:c r="B423" s="75" t="str">
        <x:v>Santiago Gimenez</x:v>
      </x:c>
      <x:c r="C423" s="75" t="str">
        <x:v>Porto</x:v>
      </x:c>
      <x:c r="D423" s="75" t="str">
        <x:v>Milan</x:v>
      </x:c>
      <x:c r="E423" s="77" t="d">
        <x:v>2026-08-31T00:00:00.000Z</x:v>
      </x:c>
      <x:c r="F423" s="75" t="str">
        <x:v>summer</x:v>
      </x:c>
      <x:c r="G423" s="75" t="str">
        <x:v>Forward — striker role unverified</x:v>
      </x:c>
      <x:c r="H423" s="79"/>
      <x:c r="I423" s="75" t="str">
        <x:v>GBP</x:v>
      </x:c>
      <x:c r="J423" s="81"/>
      <x:c r="K423" s="83"/>
      <x:c r="L423" s="75" t="str">
        <x:v>Evidence needed</x:v>
      </x:c>
      <x:c r="M423" s="75" t="str">
        <x:v>Loan/swap terms and buyer-specific production evidence needed.</x:v>
      </x:c>
      <x:c r="N423" s="75" t="str">
        <x:v>Not assessed</x:v>
      </x:c>
      <x:c r="O423" s="75" t="str">
        <x:v>Broad Forward label only; not a certified striker cohort. No comparable production supplied for this deal.</x:v>
      </x:c>
      <x:c r="P423" s="75" t="str">
        <x:v>https://www.theguardian.com/football/ng-interactive/2026/sep/01/mens-transfer-window-summer-2026-all-deals-from-europes-top-five-leagues</x:v>
      </x:c>
    </x:row>
    <x:row r="424" ht="25" customHeight="1">
      <x:c r="A424" s="69" t="str">
        <x:v>summer-S26-1321</x:v>
      </x:c>
      <x:c r="B424" s="69" t="str">
        <x:v>Jay Enem</x:v>
      </x:c>
      <x:c r="C424" s="69" t="str">
        <x:v>Bologna</x:v>
      </x:c>
      <x:c r="D424" s="69" t="str">
        <x:v>Red Star Belgrade</x:v>
      </x:c>
      <x:c r="E424" s="76" t="d">
        <x:v>2026-09-01T00:00:00.000Z</x:v>
      </x:c>
      <x:c r="F424" s="69" t="str">
        <x:v>summer</x:v>
      </x:c>
      <x:c r="G424" s="69" t="str">
        <x:v>Forward — striker role unverified</x:v>
      </x:c>
      <x:c r="H424" s="78" t="n">
        <x:v>5150000</x:v>
      </x:c>
      <x:c r="I424" s="69" t="str">
        <x:v>GBP</x:v>
      </x:c>
      <x:c r="J424" s="80"/>
      <x:c r="K424" s="82"/>
      <x:c r="L424" s="69" t="str">
        <x:v>Evidence needed</x:v>
      </x:c>
      <x:c r="M424" s="69" t="str">
        <x:v>Reported fee available; verify striker role, production, age, availability and transfer before assigning a score.</x:v>
      </x:c>
      <x:c r="N424" s="69" t="str">
        <x:v>Not assessed</x:v>
      </x:c>
      <x:c r="O424" s="69" t="str">
        <x:v>Broad Forward label only; not a certified striker cohort. No comparable production supplied for this deal.</x:v>
      </x:c>
      <x:c r="P424" s="69" t="str">
        <x:v>https://www.theguardian.com/football/ng-interactive/2026/sep/01/mens-transfer-window-summer-2026-all-deals-from-europes-top-five-leagues</x:v>
      </x:c>
    </x:row>
    <x:row r="425" ht="25" customHeight="1">
      <x:c r="A425" s="75" t="str">
        <x:v>summer-S26-1323</x:v>
      </x:c>
      <x:c r="B425" s="75" t="str">
        <x:v>Beto</x:v>
      </x:c>
      <x:c r="C425" s="75" t="str">
        <x:v>Fiorentina</x:v>
      </x:c>
      <x:c r="D425" s="75" t="str">
        <x:v>Everton</x:v>
      </x:c>
      <x:c r="E425" s="77" t="d">
        <x:v>2026-09-01T00:00:00.000Z</x:v>
      </x:c>
      <x:c r="F425" s="75" t="str">
        <x:v>summer</x:v>
      </x:c>
      <x:c r="G425" s="75" t="str">
        <x:v>Forward — striker role unverified</x:v>
      </x:c>
      <x:c r="H425" s="79" t="n">
        <x:v>15440000</x:v>
      </x:c>
      <x:c r="I425" s="75" t="str">
        <x:v>GBP</x:v>
      </x:c>
      <x:c r="J425" s="81"/>
      <x:c r="K425" s="83"/>
      <x:c r="L425" s="75" t="str">
        <x:v>Evidence needed</x:v>
      </x:c>
      <x:c r="M425" s="75" t="str">
        <x:v>Reported fee available; verify striker role, production, age, availability and transfer before assigning a score.</x:v>
      </x:c>
      <x:c r="N425" s="75" t="str">
        <x:v>Not assessed</x:v>
      </x:c>
      <x:c r="O425" s="75" t="str">
        <x:v>Broad Forward label only; not a certified striker cohort. No comparable production supplied for this deal.</x:v>
      </x:c>
      <x:c r="P425" s="75" t="str">
        <x:v>https://www.theguardian.com/football/ng-interactive/2026/sep/01/mens-transfer-window-summer-2026-all-deals-from-europes-top-five-leagues</x:v>
      </x:c>
    </x:row>
    <x:row r="426" ht="25" customHeight="1">
      <x:c r="A426" s="69" t="str">
        <x:v>summer-S26-1328</x:v>
      </x:c>
      <x:c r="B426" s="69" t="str">
        <x:v>Nick Woltemade</x:v>
      </x:c>
      <x:c r="C426" s="69" t="str">
        <x:v>Juventus</x:v>
      </x:c>
      <x:c r="D426" s="69" t="str">
        <x:v>Newcastle United</x:v>
      </x:c>
      <x:c r="E426" s="76" t="d">
        <x:v>2026-09-01T00:00:00.000Z</x:v>
      </x:c>
      <x:c r="F426" s="69" t="str">
        <x:v>summer</x:v>
      </x:c>
      <x:c r="G426" s="69" t="str">
        <x:v>Forward — striker role unverified</x:v>
      </x:c>
      <x:c r="H426" s="78"/>
      <x:c r="I426" s="69" t="str">
        <x:v>GBP</x:v>
      </x:c>
      <x:c r="J426" s="80"/>
      <x:c r="K426" s="82"/>
      <x:c r="L426" s="69" t="str">
        <x:v>Evidence needed</x:v>
      </x:c>
      <x:c r="M426" s="69" t="str">
        <x:v>Loan/swap terms and buyer-specific production evidence needed.</x:v>
      </x:c>
      <x:c r="N426" s="69" t="str">
        <x:v>Not assessed</x:v>
      </x:c>
      <x:c r="O426" s="69" t="str">
        <x:v>Broad Forward label only; not a certified striker cohort. No comparable production supplied for this deal.</x:v>
      </x:c>
      <x:c r="P426" s="69" t="str">
        <x:v>https://www.theguardian.com/football/ng-interactive/2026/sep/01/mens-transfer-window-summer-2026-all-deals-from-europes-top-five-leagues</x:v>
      </x:c>
    </x:row>
    <x:row r="427" ht="25" customHeight="1">
      <x:c r="A427" s="75" t="str">
        <x:v>summer-S26-1329</x:v>
      </x:c>
      <x:c r="B427" s="75" t="str">
        <x:v>Deivid Washington</x:v>
      </x:c>
      <x:c r="C427" s="75" t="str">
        <x:v>Strasbourg</x:v>
      </x:c>
      <x:c r="D427" s="75" t="str">
        <x:v>Chelsea</x:v>
      </x:c>
      <x:c r="E427" s="77" t="d">
        <x:v>2026-09-01T00:00:00.000Z</x:v>
      </x:c>
      <x:c r="F427" s="75" t="str">
        <x:v>summer</x:v>
      </x:c>
      <x:c r="G427" s="75" t="str">
        <x:v>Forward — striker role unverified</x:v>
      </x:c>
      <x:c r="H427" s="79" t="n">
        <x:v>6900000</x:v>
      </x:c>
      <x:c r="I427" s="75" t="str">
        <x:v>GBP</x:v>
      </x:c>
      <x:c r="J427" s="81"/>
      <x:c r="K427" s="83"/>
      <x:c r="L427" s="75" t="str">
        <x:v>Evidence needed</x:v>
      </x:c>
      <x:c r="M427" s="75" t="str">
        <x:v>Reported fee available; verify striker role, production, age, availability and transfer before assigning a score.</x:v>
      </x:c>
      <x:c r="N427" s="75" t="str">
        <x:v>Not assessed</x:v>
      </x:c>
      <x:c r="O427" s="75" t="str">
        <x:v>Broad Forward label only; not a certified striker cohort. No comparable production supplied for this deal.</x:v>
      </x:c>
      <x:c r="P427" s="75" t="str">
        <x:v>https://www.theguardian.com/football/ng-interactive/2026/sep/01/mens-transfer-window-summer-2026-all-deals-from-europes-top-five-leagues</x:v>
      </x:c>
    </x:row>
    <x:row r="428" ht="25" customHeight="1">
      <x:c r="A428" s="69" t="str">
        <x:v>summer-S26-1332</x:v>
      </x:c>
      <x:c r="B428" s="69" t="str">
        <x:v>Moise Kean</x:v>
      </x:c>
      <x:c r="C428" s="69" t="str">
        <x:v>Como 1907</x:v>
      </x:c>
      <x:c r="D428" s="69" t="str">
        <x:v>Fiorentina</x:v>
      </x:c>
      <x:c r="E428" s="76" t="d">
        <x:v>2026-09-01T00:00:00.000Z</x:v>
      </x:c>
      <x:c r="F428" s="69" t="str">
        <x:v>summer</x:v>
      </x:c>
      <x:c r="G428" s="69" t="str">
        <x:v>Forward — striker role unverified</x:v>
      </x:c>
      <x:c r="H428" s="78"/>
      <x:c r="I428" s="69" t="str">
        <x:v>GBP</x:v>
      </x:c>
      <x:c r="J428" s="80"/>
      <x:c r="K428" s="82"/>
      <x:c r="L428" s="69" t="str">
        <x:v>Evidence needed</x:v>
      </x:c>
      <x:c r="M428" s="69" t="str">
        <x:v>Loan/swap terms and buyer-specific production evidence needed.</x:v>
      </x:c>
      <x:c r="N428" s="69" t="str">
        <x:v>Not assessed</x:v>
      </x:c>
      <x:c r="O428" s="69" t="str">
        <x:v>Broad Forward label only; not a certified striker cohort. No comparable production supplied for this deal.</x:v>
      </x:c>
      <x:c r="P428" s="69" t="str">
        <x:v>https://www.theguardian.com/football/ng-interactive/2026/sep/01/mens-transfer-window-summer-2026-all-deals-from-europes-top-five-leagues</x:v>
      </x:c>
    </x:row>
    <x:row r="429" ht="25" customHeight="1">
      <x:c r="A429" s="75" t="str">
        <x:v>summer-S26-1333</x:v>
      </x:c>
      <x:c r="B429" s="75" t="str">
        <x:v>Albert Gudmundsson</x:v>
      </x:c>
      <x:c r="C429" s="75" t="str">
        <x:v>Lazio</x:v>
      </x:c>
      <x:c r="D429" s="75" t="str">
        <x:v>Fiorentina</x:v>
      </x:c>
      <x:c r="E429" s="77" t="d">
        <x:v>2026-09-01T00:00:00.000Z</x:v>
      </x:c>
      <x:c r="F429" s="75" t="str">
        <x:v>summer</x:v>
      </x:c>
      <x:c r="G429" s="75" t="str">
        <x:v>Forward — striker role unverified</x:v>
      </x:c>
      <x:c r="H429" s="79"/>
      <x:c r="I429" s="75" t="str">
        <x:v>GBP</x:v>
      </x:c>
      <x:c r="J429" s="81"/>
      <x:c r="K429" s="83"/>
      <x:c r="L429" s="75" t="str">
        <x:v>Evidence needed</x:v>
      </x:c>
      <x:c r="M429" s="75" t="str">
        <x:v>Loan/swap terms and buyer-specific production evidence needed.</x:v>
      </x:c>
      <x:c r="N429" s="75" t="str">
        <x:v>Not assessed</x:v>
      </x:c>
      <x:c r="O429" s="75" t="str">
        <x:v>Broad Forward label only; not a certified striker cohort. No comparable production supplied for this deal.</x:v>
      </x:c>
      <x:c r="P429" s="75" t="str">
        <x:v>https://www.theguardian.com/football/ng-interactive/2026/sep/01/mens-transfer-window-summer-2026-all-deals-from-europes-top-five-leagues</x:v>
      </x:c>
    </x:row>
    <x:row r="430" ht="25" customHeight="1">
      <x:c r="A430" s="69" t="str">
        <x:v>summer-S26-1335</x:v>
      </x:c>
      <x:c r="B430" s="69" t="str">
        <x:v>Iván Azón</x:v>
      </x:c>
      <x:c r="C430" s="69" t="str">
        <x:v>Getafe</x:v>
      </x:c>
      <x:c r="D430" s="69" t="str">
        <x:v>Como 1907</x:v>
      </x:c>
      <x:c r="E430" s="76" t="d">
        <x:v>2026-09-01T00:00:00.000Z</x:v>
      </x:c>
      <x:c r="F430" s="69" t="str">
        <x:v>summer</x:v>
      </x:c>
      <x:c r="G430" s="69" t="str">
        <x:v>Forward — striker role unverified</x:v>
      </x:c>
      <x:c r="H430" s="78"/>
      <x:c r="I430" s="69" t="str">
        <x:v>GBP</x:v>
      </x:c>
      <x:c r="J430" s="80"/>
      <x:c r="K430" s="82"/>
      <x:c r="L430" s="69" t="str">
        <x:v>Evidence needed</x:v>
      </x:c>
      <x:c r="M430" s="69" t="str">
        <x:v>Loan/swap terms and buyer-specific production evidence needed.</x:v>
      </x:c>
      <x:c r="N430" s="69" t="str">
        <x:v>Not assessed</x:v>
      </x:c>
      <x:c r="O430" s="69" t="str">
        <x:v>Broad Forward label only; not a certified striker cohort. No comparable production supplied for this deal.</x:v>
      </x:c>
      <x:c r="P430" s="69" t="str">
        <x:v>https://www.theguardian.com/football/ng-interactive/2026/sep/01/mens-transfer-window-summer-2026-all-deals-from-europes-top-five-leagues</x:v>
      </x:c>
    </x:row>
    <x:row r="431" ht="25" customHeight="1">
      <x:c r="A431" s="75" t="str">
        <x:v>summer-S26-1344</x:v>
      </x:c>
      <x:c r="B431" s="75" t="str">
        <x:v>Jonathan David</x:v>
      </x:c>
      <x:c r="C431" s="75" t="str">
        <x:v>Atlético Madrid</x:v>
      </x:c>
      <x:c r="D431" s="75" t="str">
        <x:v>Juventus</x:v>
      </x:c>
      <x:c r="E431" s="77" t="d">
        <x:v>2026-09-01T00:00:00.000Z</x:v>
      </x:c>
      <x:c r="F431" s="75" t="str">
        <x:v>summer</x:v>
      </x:c>
      <x:c r="G431" s="75" t="str">
        <x:v>Forward — striker role unverified</x:v>
      </x:c>
      <x:c r="H431" s="79"/>
      <x:c r="I431" s="75" t="str">
        <x:v>GBP</x:v>
      </x:c>
      <x:c r="J431" s="81"/>
      <x:c r="K431" s="83"/>
      <x:c r="L431" s="75" t="str">
        <x:v>Evidence needed</x:v>
      </x:c>
      <x:c r="M431" s="75" t="str">
        <x:v>Loan/swap terms and buyer-specific production evidence needed.</x:v>
      </x:c>
      <x:c r="N431" s="75" t="str">
        <x:v>Not assessed</x:v>
      </x:c>
      <x:c r="O431" s="75" t="str">
        <x:v>Broad Forward label only; not a certified striker cohort. No comparable production supplied for this deal.</x:v>
      </x:c>
      <x:c r="P431" s="75" t="str">
        <x:v>https://www.theguardian.com/football/ng-interactive/2026/sep/01/mens-transfer-window-summer-2026-all-deals-from-europes-top-five-leagues</x:v>
      </x:c>
    </x:row>
    <x:row r="432" ht="25" customHeight="1">
      <x:c r="A432" s="69" t="str">
        <x:v>summer-S26-1351</x:v>
      </x:c>
      <x:c r="B432" s="69" t="str">
        <x:v>Lucas Stassin</x:v>
      </x:c>
      <x:c r="C432" s="69" t="str">
        <x:v>Sevilla</x:v>
      </x:c>
      <x:c r="D432" s="69" t="str">
        <x:v>Saint-Etienne</x:v>
      </x:c>
      <x:c r="E432" s="76" t="d">
        <x:v>2026-09-01T00:00:00.000Z</x:v>
      </x:c>
      <x:c r="F432" s="69" t="str">
        <x:v>summer</x:v>
      </x:c>
      <x:c r="G432" s="69" t="str">
        <x:v>Forward — striker role unverified</x:v>
      </x:c>
      <x:c r="H432" s="78"/>
      <x:c r="I432" s="69" t="str">
        <x:v>GBP</x:v>
      </x:c>
      <x:c r="J432" s="80"/>
      <x:c r="K432" s="82"/>
      <x:c r="L432" s="69" t="str">
        <x:v>Evidence needed</x:v>
      </x:c>
      <x:c r="M432" s="69" t="str">
        <x:v>Loan/swap terms and buyer-specific production evidence needed.</x:v>
      </x:c>
      <x:c r="N432" s="69" t="str">
        <x:v>Not assessed</x:v>
      </x:c>
      <x:c r="O432" s="69" t="str">
        <x:v>Broad Forward label only; not a certified striker cohort. No comparable production supplied for this deal.</x:v>
      </x:c>
      <x:c r="P432" s="69" t="str">
        <x:v>https://www.theguardian.com/football/ng-interactive/2026/sep/01/mens-transfer-window-summer-2026-all-deals-from-europes-top-five-leagues</x:v>
      </x:c>
    </x:row>
    <x:row r="433" ht="25" customHeight="1">
      <x:c r="A433" s="75" t="str">
        <x:v>summer-S26-1354</x:v>
      </x:c>
      <x:c r="B433" s="75" t="str">
        <x:v>Boulaye Dia</x:v>
      </x:c>
      <x:c r="C433" s="75" t="str">
        <x:v>Rennes</x:v>
      </x:c>
      <x:c r="D433" s="75" t="str">
        <x:v>Lazio</x:v>
      </x:c>
      <x:c r="E433" s="77" t="d">
        <x:v>2026-09-01T00:00:00.000Z</x:v>
      </x:c>
      <x:c r="F433" s="75" t="str">
        <x:v>summer</x:v>
      </x:c>
      <x:c r="G433" s="75" t="str">
        <x:v>Forward — striker role unverified</x:v>
      </x:c>
      <x:c r="H433" s="79"/>
      <x:c r="I433" s="75" t="str">
        <x:v>GBP</x:v>
      </x:c>
      <x:c r="J433" s="81"/>
      <x:c r="K433" s="83"/>
      <x:c r="L433" s="75" t="str">
        <x:v>Evidence needed</x:v>
      </x:c>
      <x:c r="M433" s="75" t="str">
        <x:v>Loan/swap terms and buyer-specific production evidence needed.</x:v>
      </x:c>
      <x:c r="N433" s="75" t="str">
        <x:v>Not assessed</x:v>
      </x:c>
      <x:c r="O433" s="75" t="str">
        <x:v>Broad Forward label only; not a certified striker cohort. No comparable production supplied for this deal.</x:v>
      </x:c>
      <x:c r="P433" s="75" t="str">
        <x:v>https://www.theguardian.com/football/ng-interactive/2026/sep/01/mens-transfer-window-summer-2026-all-deals-from-europes-top-five-leagues</x:v>
      </x:c>
    </x:row>
    <x:row r="434" ht="25" customHeight="1">
      <x:c r="A434" s="69" t="str">
        <x:v>summer-S26-1361</x:v>
      </x:c>
      <x:c r="B434" s="69" t="str">
        <x:v>Dujuan Richards</x:v>
      </x:c>
      <x:c r="C434" s="69" t="str">
        <x:v>Wimbledon</x:v>
      </x:c>
      <x:c r="D434" s="69" t="str">
        <x:v>Chelsea</x:v>
      </x:c>
      <x:c r="E434" s="76" t="d">
        <x:v>2026-09-01T00:00:00.000Z</x:v>
      </x:c>
      <x:c r="F434" s="69" t="str">
        <x:v>summer</x:v>
      </x:c>
      <x:c r="G434" s="69" t="str">
        <x:v>Forward — striker role unverified</x:v>
      </x:c>
      <x:c r="H434" s="78"/>
      <x:c r="I434" s="69" t="str">
        <x:v>GBP</x:v>
      </x:c>
      <x:c r="J434" s="80"/>
      <x:c r="K434" s="82"/>
      <x:c r="L434" s="69" t="str">
        <x:v>Evidence needed</x:v>
      </x:c>
      <x:c r="M434" s="69" t="str">
        <x:v>Loan/swap terms and buyer-specific production evidence needed.</x:v>
      </x:c>
      <x:c r="N434" s="69" t="str">
        <x:v>Not assessed</x:v>
      </x:c>
      <x:c r="O434" s="69" t="str">
        <x:v>Broad Forward label only; not a certified striker cohort. No comparable production supplied for this deal.</x:v>
      </x:c>
      <x:c r="P434" s="69" t="str">
        <x:v>https://www.theguardian.com/football/ng-interactive/2026/sep/01/mens-transfer-window-summer-2026-all-deals-from-europes-top-five-leagues</x:v>
      </x:c>
    </x:row>
    <x:row r="435" ht="25" customHeight="1">
      <x:c r="A435" s="75" t="str">
        <x:v>summer-S26-1365</x:v>
      </x:c>
      <x:c r="B435" s="75" t="str">
        <x:v>Hwang Hee-chan</x:v>
      </x:c>
      <x:c r="C435" s="75" t="str">
        <x:v>Schalke 04</x:v>
      </x:c>
      <x:c r="D435" s="75" t="str">
        <x:v>Wolverhampton Wanderers</x:v>
      </x:c>
      <x:c r="E435" s="77" t="d">
        <x:v>2026-09-01T00:00:00.000Z</x:v>
      </x:c>
      <x:c r="F435" s="75" t="str">
        <x:v>summer</x:v>
      </x:c>
      <x:c r="G435" s="75" t="str">
        <x:v>Forward — striker role unverified</x:v>
      </x:c>
      <x:c r="H435" s="79"/>
      <x:c r="I435" s="75" t="str">
        <x:v>GBP</x:v>
      </x:c>
      <x:c r="J435" s="81"/>
      <x:c r="K435" s="83"/>
      <x:c r="L435" s="75" t="str">
        <x:v>Evidence needed</x:v>
      </x:c>
      <x:c r="M435" s="75" t="str">
        <x:v>Loan/swap terms and buyer-specific production evidence needed.</x:v>
      </x:c>
      <x:c r="N435" s="75" t="str">
        <x:v>Not assessed</x:v>
      </x:c>
      <x:c r="O435" s="75" t="str">
        <x:v>Broad Forward label only; not a certified striker cohort. No comparable production supplied for this deal.</x:v>
      </x:c>
      <x:c r="P435" s="75" t="str">
        <x:v>https://www.theguardian.com/football/ng-interactive/2026/sep/01/mens-transfer-window-summer-2026-all-deals-from-europes-top-five-leagues</x:v>
      </x:c>
    </x:row>
    <x:row r="436" ht="25" customHeight="1">
      <x:c r="A436" s="69" t="str">
        <x:v>summer-S26-1372</x:v>
      </x:c>
      <x:c r="B436" s="69" t="str">
        <x:v>Ibrahima Baldé</x:v>
      </x:c>
      <x:c r="C436" s="69" t="str">
        <x:v>Lorient</x:v>
      </x:c>
      <x:c r="D436" s="69" t="str">
        <x:v>Rodez</x:v>
      </x:c>
      <x:c r="E436" s="76" t="d">
        <x:v>2026-09-01T00:00:00.000Z</x:v>
      </x:c>
      <x:c r="F436" s="69" t="str">
        <x:v>summer</x:v>
      </x:c>
      <x:c r="G436" s="69" t="str">
        <x:v>Forward — striker role unverified</x:v>
      </x:c>
      <x:c r="H436" s="78"/>
      <x:c r="I436" s="69" t="str">
        <x:v>GBP</x:v>
      </x:c>
      <x:c r="J436" s="80"/>
      <x:c r="K436" s="82"/>
      <x:c r="L436" s="69" t="str">
        <x:v>Evidence needed</x:v>
      </x:c>
      <x:c r="M436" s="69" t="str">
        <x:v>Loan/swap terms and buyer-specific production evidence needed.</x:v>
      </x:c>
      <x:c r="N436" s="69" t="str">
        <x:v>Not assessed</x:v>
      </x:c>
      <x:c r="O436" s="69" t="str">
        <x:v>Broad Forward label only; not a certified striker cohort. No comparable production supplied for this deal.</x:v>
      </x:c>
      <x:c r="P436" s="69" t="str">
        <x:v>https://www.theguardian.com/football/ng-interactive/2026/sep/01/mens-transfer-window-summer-2026-all-deals-from-europes-top-five-leagues</x:v>
      </x:c>
    </x:row>
    <x:row r="437" ht="25" customHeight="1">
      <x:c r="A437" s="75" t="str">
        <x:v>summer-S26-1378</x:v>
      </x:c>
      <x:c r="B437" s="75" t="str">
        <x:v>Mark O'Mahony</x:v>
      </x:c>
      <x:c r="C437" s="75" t="str">
        <x:v>Burton Albion</x:v>
      </x:c>
      <x:c r="D437" s="75" t="str">
        <x:v>Brighton</x:v>
      </x:c>
      <x:c r="E437" s="77" t="d">
        <x:v>2026-09-01T00:00:00.000Z</x:v>
      </x:c>
      <x:c r="F437" s="75" t="str">
        <x:v>summer</x:v>
      </x:c>
      <x:c r="G437" s="75" t="str">
        <x:v>Forward — striker role unverified</x:v>
      </x:c>
      <x:c r="H437" s="79"/>
      <x:c r="I437" s="75" t="str">
        <x:v>GBP</x:v>
      </x:c>
      <x:c r="J437" s="81"/>
      <x:c r="K437" s="83"/>
      <x:c r="L437" s="75" t="str">
        <x:v>Evidence needed</x:v>
      </x:c>
      <x:c r="M437" s="75" t="str">
        <x:v>Loan/swap terms and buyer-specific production evidence needed.</x:v>
      </x:c>
      <x:c r="N437" s="75" t="str">
        <x:v>Not assessed</x:v>
      </x:c>
      <x:c r="O437" s="75" t="str">
        <x:v>Broad Forward label only; not a certified striker cohort. No comparable production supplied for this deal.</x:v>
      </x:c>
      <x:c r="P437" s="75" t="str">
        <x:v>https://www.theguardian.com/football/ng-interactive/2026/sep/01/mens-transfer-window-summer-2026-all-deals-from-europes-top-five-leagues</x:v>
      </x:c>
    </x:row>
    <x:row r="438" ht="25" customHeight="1">
      <x:c r="A438" s="69" t="str">
        <x:v>summer-S26-1380</x:v>
      </x:c>
      <x:c r="B438" s="69" t="str">
        <x:v>Ndjicoura Bomba</x:v>
      </x:c>
      <x:c r="C438" s="69" t="str">
        <x:v>Bayer Leverkusen</x:v>
      </x:c>
      <x:c r="D438" s="69" t="str">
        <x:v>CS Bamako</x:v>
      </x:c>
      <x:c r="E438" s="76" t="d">
        <x:v>2026-04-17T00:00:00.000Z</x:v>
      </x:c>
      <x:c r="F438" s="69" t="str">
        <x:v>summer</x:v>
      </x:c>
      <x:c r="G438" s="69" t="str">
        <x:v>Forward — striker role unverified</x:v>
      </x:c>
      <x:c r="H438" s="78"/>
      <x:c r="I438" s="69" t="str">
        <x:v>GBP</x:v>
      </x:c>
      <x:c r="J438" s="80"/>
      <x:c r="K438" s="82"/>
      <x:c r="L438" s="69" t="str">
        <x:v>Evidence needed</x:v>
      </x:c>
      <x:c r="M438" s="69" t="str">
        <x:v>Undisclosed fee: cannot assess fee versus worth.</x:v>
      </x:c>
      <x:c r="N438" s="69" t="str">
        <x:v>Not assessed</x:v>
      </x:c>
      <x:c r="O438" s="69" t="str">
        <x:v>Broad Forward label only; not a certified striker cohort. No comparable production supplied for this deal.</x:v>
      </x:c>
      <x:c r="P438" s="69" t="str">
        <x:v>https://www.theguardian.com/football/ng-interactive/2026/sep/01/mens-transfer-window-summer-2026-all-deals-from-europes-top-five-leagues</x:v>
      </x:c>
    </x:row>
    <x:row r="439" ht="25" customHeight="1">
      <x:c r="A439" s="75" t="str">
        <x:v>summer-S26-1386</x:v>
      </x:c>
      <x:c r="B439" s="75" t="str">
        <x:v>Toni Fernández</x:v>
      </x:c>
      <x:c r="C439" s="75" t="str">
        <x:v>Venezia</x:v>
      </x:c>
      <x:c r="D439" s="75" t="str">
        <x:v>Barcelona</x:v>
      </x:c>
      <x:c r="E439" s="77" t="d">
        <x:v>2026-09-01T00:00:00.000Z</x:v>
      </x:c>
      <x:c r="F439" s="75" t="str">
        <x:v>summer</x:v>
      </x:c>
      <x:c r="G439" s="75" t="str">
        <x:v>Forward — striker role unverified</x:v>
      </x:c>
      <x:c r="H439" s="79"/>
      <x:c r="I439" s="75" t="str">
        <x:v>GBP</x:v>
      </x:c>
      <x:c r="J439" s="81"/>
      <x:c r="K439" s="83"/>
      <x:c r="L439" s="75" t="str">
        <x:v>Evidence needed</x:v>
      </x:c>
      <x:c r="M439" s="75" t="str">
        <x:v>Loan/swap terms and buyer-specific production evidence needed.</x:v>
      </x:c>
      <x:c r="N439" s="75" t="str">
        <x:v>Not assessed</x:v>
      </x:c>
      <x:c r="O439" s="75" t="str">
        <x:v>Broad Forward label only; not a certified striker cohort. No comparable production supplied for this deal.</x:v>
      </x:c>
      <x:c r="P439" s="75" t="str">
        <x:v>https://www.theguardian.com/football/ng-interactive/2026/sep/01/mens-transfer-window-summer-2026-all-deals-from-europes-top-five-leagues</x:v>
      </x:c>
    </x:row>
    <x:row r="440" ht="25" customHeight="1">
      <x:c r="A440" s="69" t="str">
        <x:v>summer-S26-1399</x:v>
      </x:c>
      <x:c r="B440" s="69" t="str">
        <x:v>Petar Ratkov</x:v>
      </x:c>
      <x:c r="C440" s="69" t="str">
        <x:v>Levante</x:v>
      </x:c>
      <x:c r="D440" s="69" t="str">
        <x:v>Lazio</x:v>
      </x:c>
      <x:c r="E440" s="76" t="d">
        <x:v>2026-09-01T00:00:00.000Z</x:v>
      </x:c>
      <x:c r="F440" s="69" t="str">
        <x:v>summer</x:v>
      </x:c>
      <x:c r="G440" s="69" t="str">
        <x:v>Forward — striker role unverified</x:v>
      </x:c>
      <x:c r="H440" s="78"/>
      <x:c r="I440" s="69" t="str">
        <x:v>GBP</x:v>
      </x:c>
      <x:c r="J440" s="80"/>
      <x:c r="K440" s="82"/>
      <x:c r="L440" s="69" t="str">
        <x:v>Evidence needed</x:v>
      </x:c>
      <x:c r="M440" s="69" t="str">
        <x:v>Loan/swap terms and buyer-specific production evidence needed.</x:v>
      </x:c>
      <x:c r="N440" s="69" t="str">
        <x:v>Not assessed</x:v>
      </x:c>
      <x:c r="O440" s="69" t="str">
        <x:v>Broad Forward label only; not a certified striker cohort. No comparable production supplied for this deal.</x:v>
      </x:c>
      <x:c r="P440" s="69" t="str">
        <x:v>https://www.theguardian.com/football/ng-interactive/2026/sep/01/mens-transfer-window-summer-2026-all-deals-from-europes-top-five-leagues</x:v>
      </x:c>
    </x:row>
    <x:row r="441" ht="25" customHeight="1">
      <x:c r="A441" s="75" t="str">
        <x:v>summer-S26-1413</x:v>
      </x:c>
      <x:c r="B441" s="75" t="str">
        <x:v>Zian Flemming</x:v>
      </x:c>
      <x:c r="C441" s="75" t="str">
        <x:v>Ipswich Town</x:v>
      </x:c>
      <x:c r="D441" s="75" t="str">
        <x:v>Burnley</x:v>
      </x:c>
      <x:c r="E441" s="77" t="d">
        <x:v>2026-09-01T00:00:00.000Z</x:v>
      </x:c>
      <x:c r="F441" s="75" t="str">
        <x:v>summer</x:v>
      </x:c>
      <x:c r="G441" s="75" t="str">
        <x:v>Forward — striker role unverified</x:v>
      </x:c>
      <x:c r="H441" s="79" t="n">
        <x:v>20000000</x:v>
      </x:c>
      <x:c r="I441" s="75" t="str">
        <x:v>GBP</x:v>
      </x:c>
      <x:c r="J441" s="81"/>
      <x:c r="K441" s="83"/>
      <x:c r="L441" s="75" t="str">
        <x:v>Evidence needed</x:v>
      </x:c>
      <x:c r="M441" s="75" t="str">
        <x:v>Reported fee available; verify striker role, production, age, availability and transfer before assigning a score.</x:v>
      </x:c>
      <x:c r="N441" s="75" t="str">
        <x:v>Not assessed</x:v>
      </x:c>
      <x:c r="O441" s="75" t="str">
        <x:v>Broad Forward label only; not a certified striker cohort. No comparable production supplied for this deal.</x:v>
      </x:c>
      <x:c r="P441" s="75" t="str">
        <x:v>https://www.theguardian.com/football/ng-interactive/2026/sep/01/mens-transfer-window-summer-2026-all-deals-from-europes-top-five-leagues</x:v>
      </x:c>
    </x:row>
    <x:row r="442" ht="25" customHeight="1">
      <x:c r="A442" s="69" t="str">
        <x:v>summer-S26-1416</x:v>
      </x:c>
      <x:c r="B442" s="69" t="str">
        <x:v>Robinio Vaz</x:v>
      </x:c>
      <x:c r="C442" s="69" t="str">
        <x:v>Hull City</x:v>
      </x:c>
      <x:c r="D442" s="69" t="str">
        <x:v>Roma</x:v>
      </x:c>
      <x:c r="E442" s="76" t="d">
        <x:v>2026-09-01T00:00:00.000Z</x:v>
      </x:c>
      <x:c r="F442" s="69" t="str">
        <x:v>summer</x:v>
      </x:c>
      <x:c r="G442" s="69" t="str">
        <x:v>Forward — striker role unverified</x:v>
      </x:c>
      <x:c r="H442" s="78"/>
      <x:c r="I442" s="69" t="str">
        <x:v>GBP</x:v>
      </x:c>
      <x:c r="J442" s="80"/>
      <x:c r="K442" s="82"/>
      <x:c r="L442" s="69" t="str">
        <x:v>Evidence needed</x:v>
      </x:c>
      <x:c r="M442" s="69" t="str">
        <x:v>Loan/swap terms and buyer-specific production evidence needed.</x:v>
      </x:c>
      <x:c r="N442" s="69" t="str">
        <x:v>Not assessed</x:v>
      </x:c>
      <x:c r="O442" s="69" t="str">
        <x:v>Broad Forward label only; not a certified striker cohort. No comparable production supplied for this deal.</x:v>
      </x:c>
      <x:c r="P442" s="69" t="str">
        <x:v>https://www.theguardian.com/football/ng-interactive/2026/sep/01/mens-transfer-window-summer-2026-all-deals-from-europes-top-five-leagues</x:v>
      </x:c>
    </x:row>
    <x:row r="443" ht="25" customHeight="1">
      <x:c r="A443" s="75" t="str">
        <x:v>summer-S26-1434</x:v>
      </x:c>
      <x:c r="B443" s="75" t="str">
        <x:v>Jean-Mattéo Bahoya</x:v>
      </x:c>
      <x:c r="C443" s="75" t="str">
        <x:v>Leeds United</x:v>
      </x:c>
      <x:c r="D443" s="75" t="str">
        <x:v>Eintracht Frankfurt</x:v>
      </x:c>
      <x:c r="E443" s="77" t="d">
        <x:v>2026-09-02T00:00:00.000Z</x:v>
      </x:c>
      <x:c r="F443" s="75" t="str">
        <x:v>summer</x:v>
      </x:c>
      <x:c r="G443" s="75" t="str">
        <x:v>Forward — striker role unverified</x:v>
      </x:c>
      <x:c r="H443" s="79"/>
      <x:c r="I443" s="75" t="str">
        <x:v>GBP</x:v>
      </x:c>
      <x:c r="J443" s="81"/>
      <x:c r="K443" s="83"/>
      <x:c r="L443" s="75" t="str">
        <x:v>Evidence needed</x:v>
      </x:c>
      <x:c r="M443" s="75" t="str">
        <x:v>Loan/swap terms and buyer-specific production evidence needed.</x:v>
      </x:c>
      <x:c r="N443" s="75" t="str">
        <x:v>Not assessed</x:v>
      </x:c>
      <x:c r="O443" s="75" t="str">
        <x:v>Broad Forward label only; not a certified striker cohort. No comparable production supplied for this deal.</x:v>
      </x:c>
      <x:c r="P443" s="75" t="str">
        <x:v>https://www.theguardian.com/football/ng-interactive/2026/sep/01/mens-transfer-window-summer-2026-all-deals-from-europes-top-five-leagues</x:v>
      </x:c>
    </x:row>
    <x:row r="444" ht="25" customHeight="1">
      <x:c r="A444" s="69" t="str">
        <x:v>summer-S26-1442</x:v>
      </x:c>
      <x:c r="B444" s="69" t="str">
        <x:v>Kingstone Mutandwa</x:v>
      </x:c>
      <x:c r="C444" s="69" t="str">
        <x:v>Servette</x:v>
      </x:c>
      <x:c r="D444" s="69" t="str">
        <x:v>Cagliari</x:v>
      </x:c>
      <x:c r="E444" s="76" t="d">
        <x:v>2026-09-02T00:00:00.000Z</x:v>
      </x:c>
      <x:c r="F444" s="69" t="str">
        <x:v>summer</x:v>
      </x:c>
      <x:c r="G444" s="69" t="str">
        <x:v>Forward — striker role unverified</x:v>
      </x:c>
      <x:c r="H444" s="78"/>
      <x:c r="I444" s="69" t="str">
        <x:v>GBP</x:v>
      </x:c>
      <x:c r="J444" s="80"/>
      <x:c r="K444" s="82"/>
      <x:c r="L444" s="69" t="str">
        <x:v>Evidence needed</x:v>
      </x:c>
      <x:c r="M444" s="69" t="str">
        <x:v>Loan/swap terms and buyer-specific production evidence needed.</x:v>
      </x:c>
      <x:c r="N444" s="69" t="str">
        <x:v>Not assessed</x:v>
      </x:c>
      <x:c r="O444" s="69" t="str">
        <x:v>Broad Forward label only; not a certified striker cohort. No comparable production supplied for this deal.</x:v>
      </x:c>
      <x:c r="P444" s="69" t="str">
        <x:v>https://www.theguardian.com/football/ng-interactive/2026/sep/01/mens-transfer-window-summer-2026-all-deals-from-europes-top-five-leagues</x:v>
      </x:c>
    </x:row>
    <x:row r="445" ht="25" customHeight="1">
      <x:c r="A445" s="75" t="str">
        <x:v>summer-S26-1461</x:v>
      </x:c>
      <x:c r="B445" s="75" t="str">
        <x:v>Mounaïm El Idrissy</x:v>
      </x:c>
      <x:c r="C445" s="75" t="str">
        <x:v>Raja Casablanca</x:v>
      </x:c>
      <x:c r="D445" s="75" t="str">
        <x:v>Troyes</x:v>
      </x:c>
      <x:c r="E445" s="77" t="d">
        <x:v>2026-09-02T00:00:00.000Z</x:v>
      </x:c>
      <x:c r="F445" s="75" t="str">
        <x:v>summer</x:v>
      </x:c>
      <x:c r="G445" s="75" t="str">
        <x:v>Forward — striker role unverified</x:v>
      </x:c>
      <x:c r="H445" s="79"/>
      <x:c r="I445" s="75" t="str">
        <x:v>GBP</x:v>
      </x:c>
      <x:c r="J445" s="81"/>
      <x:c r="K445" s="83"/>
      <x:c r="L445" s="75" t="str">
        <x:v>Evidence needed</x:v>
      </x:c>
      <x:c r="M445" s="75" t="str">
        <x:v>Undisclosed fee: cannot assess fee versus worth.</x:v>
      </x:c>
      <x:c r="N445" s="75" t="str">
        <x:v>Not assessed</x:v>
      </x:c>
      <x:c r="O445" s="75" t="str">
        <x:v>Broad Forward label only; not a certified striker cohort. No comparable production supplied for this deal.</x:v>
      </x:c>
      <x:c r="P445" s="75" t="str">
        <x:v>https://www.theguardian.com/football/ng-interactive/2026/sep/01/mens-transfer-window-summer-2026-all-deals-from-europes-top-five-leagues</x:v>
      </x:c>
    </x:row>
    <x:row r="446" ht="25" customHeight="1">
      <x:c r="A446" s="69" t="str">
        <x:v>summer-S26-1463</x:v>
      </x:c>
      <x:c r="B446" s="69" t="str">
        <x:v>Chido Obi</x:v>
      </x:c>
      <x:c r="C446" s="69" t="str">
        <x:v>Willem II</x:v>
      </x:c>
      <x:c r="D446" s="69" t="str">
        <x:v>Manchester United</x:v>
      </x:c>
      <x:c r="E446" s="76" t="d">
        <x:v>2026-09-02T00:00:00.000Z</x:v>
      </x:c>
      <x:c r="F446" s="69" t="str">
        <x:v>summer</x:v>
      </x:c>
      <x:c r="G446" s="69" t="str">
        <x:v>Forward — striker role unverified</x:v>
      </x:c>
      <x:c r="H446" s="78"/>
      <x:c r="I446" s="69" t="str">
        <x:v>GBP</x:v>
      </x:c>
      <x:c r="J446" s="80"/>
      <x:c r="K446" s="82"/>
      <x:c r="L446" s="69" t="str">
        <x:v>Evidence needed</x:v>
      </x:c>
      <x:c r="M446" s="69" t="str">
        <x:v>Loan/swap terms and buyer-specific production evidence needed.</x:v>
      </x:c>
      <x:c r="N446" s="69" t="str">
        <x:v>Not assessed</x:v>
      </x:c>
      <x:c r="O446" s="69" t="str">
        <x:v>Broad Forward label only; not a certified striker cohort. No comparable production supplied for this deal.</x:v>
      </x:c>
      <x:c r="P446" s="69" t="str">
        <x:v>https://www.theguardian.com/football/ng-interactive/2026/sep/01/mens-transfer-window-summer-2026-all-deals-from-europes-top-five-leagues</x:v>
      </x:c>
    </x:row>
    <x:row r="447" ht="25" customHeight="1">
      <x:c r="A447" s="75" t="str">
        <x:v>summer-S26-1465</x:v>
      </x:c>
      <x:c r="B447" s="75" t="str">
        <x:v>Tomas Cvancara</x:v>
      </x:c>
      <x:c r="C447" s="75" t="str">
        <x:v>Hradec Kralove</x:v>
      </x:c>
      <x:c r="D447" s="75" t="str">
        <x:v>Borussia Mönchengladbach</x:v>
      </x:c>
      <x:c r="E447" s="77" t="d">
        <x:v>2026-09-03T00:00:00.000Z</x:v>
      </x:c>
      <x:c r="F447" s="75" t="str">
        <x:v>summer</x:v>
      </x:c>
      <x:c r="G447" s="75" t="str">
        <x:v>Forward — striker role unverified</x:v>
      </x:c>
      <x:c r="H447" s="79"/>
      <x:c r="I447" s="75" t="str">
        <x:v>GBP</x:v>
      </x:c>
      <x:c r="J447" s="81"/>
      <x:c r="K447" s="83"/>
      <x:c r="L447" s="75" t="str">
        <x:v>Evidence needed</x:v>
      </x:c>
      <x:c r="M447" s="75" t="str">
        <x:v>Loan/swap terms and buyer-specific production evidence needed.</x:v>
      </x:c>
      <x:c r="N447" s="75" t="str">
        <x:v>Not assessed</x:v>
      </x:c>
      <x:c r="O447" s="75" t="str">
        <x:v>Broad Forward label only; not a certified striker cohort. No comparable production supplied for this deal.</x:v>
      </x:c>
      <x:c r="P447" s="75" t="str">
        <x:v>https://www.theguardian.com/football/ng-interactive/2026/sep/01/mens-transfer-window-summer-2026-all-deals-from-europes-top-five-leagues</x:v>
      </x:c>
    </x:row>
    <x:row r="448" ht="25" customHeight="1">
      <x:c r="A448" s="69" t="str">
        <x:v>summer-S26-1480</x:v>
      </x:c>
      <x:c r="B448" s="69" t="str">
        <x:v>Matheus França</x:v>
      </x:c>
      <x:c r="C448" s="69" t="str">
        <x:v>Alverca</x:v>
      </x:c>
      <x:c r="D448" s="69" t="str">
        <x:v>Crystal Palace</x:v>
      </x:c>
      <x:c r="E448" s="76" t="d">
        <x:v>2026-09-04T00:00:00.000Z</x:v>
      </x:c>
      <x:c r="F448" s="69" t="str">
        <x:v>summer</x:v>
      </x:c>
      <x:c r="G448" s="69" t="str">
        <x:v>Forward — striker role unverified</x:v>
      </x:c>
      <x:c r="H448" s="78"/>
      <x:c r="I448" s="69" t="str">
        <x:v>GBP</x:v>
      </x:c>
      <x:c r="J448" s="80"/>
      <x:c r="K448" s="82"/>
      <x:c r="L448" s="69" t="str">
        <x:v>Evidence needed</x:v>
      </x:c>
      <x:c r="M448" s="69" t="str">
        <x:v>Loan/swap terms and buyer-specific production evidence needed.</x:v>
      </x:c>
      <x:c r="N448" s="69" t="str">
        <x:v>Not assessed</x:v>
      </x:c>
      <x:c r="O448" s="69" t="str">
        <x:v>Broad Forward label only; not a certified striker cohort. No comparable production supplied for this deal.</x:v>
      </x:c>
      <x:c r="P448" s="69" t="str">
        <x:v>https://www.theguardian.com/football/ng-interactive/2026/sep/01/mens-transfer-window-summer-2026-all-deals-from-europes-top-five-leagues</x:v>
      </x:c>
    </x:row>
    <x:row r="449" ht="25" customHeight="1">
      <x:c r="A449" s="75" t="str">
        <x:v>summer-S26-1489</x:v>
      </x:c>
      <x:c r="B449" s="75" t="str">
        <x:v>Giovani Versini</x:v>
      </x:c>
      <x:c r="C449" s="75" t="str">
        <x:v>Brest</x:v>
      </x:c>
      <x:c r="D449" s="75" t="str">
        <x:v>Pau</x:v>
      </x:c>
      <x:c r="E449" s="77" t="d">
        <x:v>2026-09-03T00:00:00.000Z</x:v>
      </x:c>
      <x:c r="F449" s="75" t="str">
        <x:v>summer</x:v>
      </x:c>
      <x:c r="G449" s="75" t="str">
        <x:v>Forward — striker role unverified</x:v>
      </x:c>
      <x:c r="H449" s="79" t="n">
        <x:v>1700000</x:v>
      </x:c>
      <x:c r="I449" s="75" t="str">
        <x:v>GBP</x:v>
      </x:c>
      <x:c r="J449" s="81"/>
      <x:c r="K449" s="83"/>
      <x:c r="L449" s="75" t="str">
        <x:v>Evidence needed</x:v>
      </x:c>
      <x:c r="M449" s="75" t="str">
        <x:v>Reported fee available; verify striker role, production, age, availability and transfer before assigning a score.</x:v>
      </x:c>
      <x:c r="N449" s="75" t="str">
        <x:v>Not assessed</x:v>
      </x:c>
      <x:c r="O449" s="75" t="str">
        <x:v>Broad Forward label only; not a certified striker cohort. No comparable production supplied for this deal.</x:v>
      </x:c>
      <x:c r="P449" s="75" t="str">
        <x:v>https://www.theguardian.com/football/ng-interactive/2026/sep/01/mens-transfer-window-summer-2026-all-deals-from-europes-top-five-leagues</x:v>
      </x:c>
    </x:row>
    <x:row r="450" ht="25" customHeight="1">
      <x:c r="A450" s="69" t="str">
        <x:v>summer-S26-1492</x:v>
      </x:c>
      <x:c r="B450" s="69" t="str">
        <x:v>Casper Tengstedt</x:v>
      </x:c>
      <x:c r="C450" s="69" t="str">
        <x:v>Toulouse</x:v>
      </x:c>
      <x:c r="D450" s="69" t="str">
        <x:v>Feyenoord</x:v>
      </x:c>
      <x:c r="E450" s="76" t="d">
        <x:v>2026-09-01T00:00:00.000Z</x:v>
      </x:c>
      <x:c r="F450" s="69" t="str">
        <x:v>summer</x:v>
      </x:c>
      <x:c r="G450" s="69" t="str">
        <x:v>Forward — striker role unverified</x:v>
      </x:c>
      <x:c r="H450" s="78" t="n">
        <x:v>3400000</x:v>
      </x:c>
      <x:c r="I450" s="69" t="str">
        <x:v>GBP</x:v>
      </x:c>
      <x:c r="J450" s="80"/>
      <x:c r="K450" s="82"/>
      <x:c r="L450" s="69" t="str">
        <x:v>Evidence needed</x:v>
      </x:c>
      <x:c r="M450" s="69" t="str">
        <x:v>Reported fee available; verify striker role, production, age, availability and transfer before assigning a score.</x:v>
      </x:c>
      <x:c r="N450" s="69" t="str">
        <x:v>Not assessed</x:v>
      </x:c>
      <x:c r="O450" s="69" t="str">
        <x:v>Broad Forward label only; not a certified striker cohort. No comparable production supplied for this deal.</x:v>
      </x:c>
      <x:c r="P450" s="69" t="str">
        <x:v>https://www.theguardian.com/football/ng-interactive/2026/sep/01/mens-transfer-window-summer-2026-all-deals-from-europes-top-five-leagues</x:v>
      </x:c>
    </x:row>
    <x:row r="451" ht="25" customHeight="1">
      <x:c r="A451" s="75" t="str">
        <x:v>summer-S26-1507</x:v>
      </x:c>
      <x:c r="B451" s="75" t="str">
        <x:v>Sean Neave</x:v>
      </x:c>
      <x:c r="C451" s="75" t="str">
        <x:v>Wolverhampton Wanderers</x:v>
      </x:c>
      <x:c r="D451" s="75" t="str">
        <x:v>Newcastle United</x:v>
      </x:c>
      <x:c r="E451" s="77" t="d">
        <x:v>2026-09-02T00:00:00.000Z</x:v>
      </x:c>
      <x:c r="F451" s="75" t="str">
        <x:v>summer</x:v>
      </x:c>
      <x:c r="G451" s="75" t="str">
        <x:v>Forward — striker role unverified</x:v>
      </x:c>
      <x:c r="H451" s="79"/>
      <x:c r="I451" s="75" t="str">
        <x:v>GBP</x:v>
      </x:c>
      <x:c r="J451" s="81"/>
      <x:c r="K451" s="83"/>
      <x:c r="L451" s="75" t="str">
        <x:v>Evidence needed</x:v>
      </x:c>
      <x:c r="M451" s="75" t="str">
        <x:v>Loan/swap terms and buyer-specific production evidence needed.</x:v>
      </x:c>
      <x:c r="N451" s="75" t="str">
        <x:v>Not assessed</x:v>
      </x:c>
      <x:c r="O451" s="75" t="str">
        <x:v>Broad Forward label only; not a certified striker cohort. No comparable production supplied for this deal.</x:v>
      </x:c>
      <x:c r="P451" s="75" t="str">
        <x:v>https://www.theguardian.com/football/ng-interactive/2026/sep/01/mens-transfer-window-summer-2026-all-deals-from-europes-top-five-leagues</x:v>
      </x:c>
    </x:row>
    <x:row r="452" ht="25" customHeight="1">
      <x:c r="A452" s="69" t="str">
        <x:v>summer-S26-0492</x:v>
      </x:c>
      <x:c r="B452" s="69" t="str">
        <x:v>Morgan Rogers</x:v>
      </x:c>
      <x:c r="C452" s="69" t="str">
        <x:v>Chelsea</x:v>
      </x:c>
      <x:c r="D452" s="69" t="str">
        <x:v>Aston Villa</x:v>
      </x:c>
      <x:c r="E452" s="76" t="d">
        <x:v>2026-07-21T00:00:00.000Z</x:v>
      </x:c>
      <x:c r="F452" s="69" t="str">
        <x:v>summer</x:v>
      </x:c>
      <x:c r="G452" s="69" t="str">
        <x:v>Forward — striker role unverified</x:v>
      </x:c>
      <x:c r="H452" s="78" t="n">
        <x:v>117000000</x:v>
      </x:c>
      <x:c r="I452" s="69" t="str">
        <x:v>GBP</x:v>
      </x:c>
      <x:c r="J452" s="80"/>
      <x:c r="K452" s="82"/>
      <x:c r="L452" s="69" t="str">
        <x:v>Evidence needed</x:v>
      </x:c>
      <x:c r="M452" s="69" t="str">
        <x:v>Reported fee available; verify striker role, production, age, availability and transfer before assigning a score.</x:v>
      </x:c>
      <x:c r="N452" s="69" t="str">
        <x:v>Not assessed</x:v>
      </x:c>
      <x:c r="O452" s="69" t="str">
        <x:v>Broad Forward label only; not a certified striker cohort. No comparable production supplied for this deal.</x:v>
      </x:c>
      <x:c r="P452" s="69" t="str">
        <x:v>https://www.theguardian.com/football/ng-interactive/2026/sep/01/mens-transfer-window-summer-2026-all-deals-from-europes-top-five-leagues</x:v>
      </x:c>
    </x:row>
    <x:row r="453" ht="25" customHeight="1">
      <x:c r="A453" s="75" t="str">
        <x:v>summer-S26-1230</x:v>
      </x:c>
      <x:c r="B453" s="75" t="str">
        <x:v>Bradley Barcola</x:v>
      </x:c>
      <x:c r="C453" s="75" t="str">
        <x:v>Liverpool</x:v>
      </x:c>
      <x:c r="D453" s="75" t="str">
        <x:v>Paris Saint-Germain</x:v>
      </x:c>
      <x:c r="E453" s="77" t="d">
        <x:v>2026-08-31T00:00:00.000Z</x:v>
      </x:c>
      <x:c r="F453" s="75" t="str">
        <x:v>summer</x:v>
      </x:c>
      <x:c r="G453" s="75" t="str">
        <x:v>Forward — striker role unverified</x:v>
      </x:c>
      <x:c r="H453" s="79" t="n">
        <x:v>123000000</x:v>
      </x:c>
      <x:c r="I453" s="75" t="str">
        <x:v>GBP</x:v>
      </x:c>
      <x:c r="J453" s="81"/>
      <x:c r="K453" s="83"/>
      <x:c r="L453" s="75" t="str">
        <x:v>Evidence needed</x:v>
      </x:c>
      <x:c r="M453" s="75" t="str">
        <x:v>Reported fee available; verify striker role, production, age, availability and transfer before assigning a score.</x:v>
      </x:c>
      <x:c r="N453" s="75" t="str">
        <x:v>Not assessed</x:v>
      </x:c>
      <x:c r="O453" s="75" t="str">
        <x:v>Broad Forward label only; not a certified striker cohort. No comparable production supplied for this deal.</x:v>
      </x:c>
      <x:c r="P453" s="75" t="str">
        <x:v>https://www.theguardian.com/football/ng-interactive/2026/sep/01/mens-transfer-window-summer-2026-all-deals-from-europes-top-five-leagues</x:v>
      </x:c>
    </x:row>
    <x:row r="454" ht="25" customHeight="1">
      <x:c r="A454" s="69" t="str">
        <x:v>summer-S26-1254</x:v>
      </x:c>
      <x:c r="B454" s="69" t="str">
        <x:v>Ibrahim Mbaye</x:v>
      </x:c>
      <x:c r="C454" s="69" t="str">
        <x:v>Aston Villa</x:v>
      </x:c>
      <x:c r="D454" s="69" t="str">
        <x:v>Paris Saint-Germain</x:v>
      </x:c>
      <x:c r="E454" s="76" t="d">
        <x:v>2026-09-01T00:00:00.000Z</x:v>
      </x:c>
      <x:c r="F454" s="69" t="str">
        <x:v>summer</x:v>
      </x:c>
      <x:c r="G454" s="69" t="str">
        <x:v>Forward — striker role unverified</x:v>
      </x:c>
      <x:c r="H454" s="78" t="n">
        <x:v>47000000</x:v>
      </x:c>
      <x:c r="I454" s="69" t="str">
        <x:v>GBP</x:v>
      </x:c>
      <x:c r="J454" s="80"/>
      <x:c r="K454" s="82"/>
      <x:c r="L454" s="69" t="str">
        <x:v>Evidence needed</x:v>
      </x:c>
      <x:c r="M454" s="69" t="str">
        <x:v>Reported fee available; verify striker role, production, age, availability and transfer before assigning a score.</x:v>
      </x:c>
      <x:c r="N454" s="69" t="str">
        <x:v>Not assessed</x:v>
      </x:c>
      <x:c r="O454" s="69" t="str">
        <x:v>Broad Forward label only; not a certified striker cohort. No comparable production supplied for this deal.</x:v>
      </x:c>
      <x:c r="P454" s="69" t="str">
        <x:v>https://www.theguardian.com/football/ng-interactive/2026/sep/01/mens-transfer-window-summer-2026-all-deals-from-europes-top-five-leagues</x:v>
      </x:c>
    </x:row>
    <x:row r="455" ht="25" customHeight="1">
      <x:c r="A455" s="75" t="str">
        <x:v>historical-2</x:v>
      </x:c>
      <x:c r="B455" s="75" t="str">
        <x:v>Ousmane Dembélé</x:v>
      </x:c>
      <x:c r="C455" s="75" t="str">
        <x:v>Barcelona</x:v>
      </x:c>
      <x:c r="D455" s="75" t="str">
        <x:v>Dortmund</x:v>
      </x:c>
      <x:c r="E455" s="77" t="d">
        <x:v>2017-08-25T00:00:00.000Z</x:v>
      </x:c>
      <x:c r="F455" s="75" t="str">
        <x:v>historical</x:v>
      </x:c>
      <x:c r="G455" s="75" t="str">
        <x:v>Winger</x:v>
      </x:c>
      <x:c r="H455" s="79" t="n">
        <x:v>148000000</x:v>
      </x:c>
      <x:c r="I455" s="75" t="str">
        <x:v>EUR</x:v>
      </x:c>
      <x:c r="J455" s="81" t="n">
        <x:v>20</x:v>
      </x:c>
      <x:c r="K455" s="83" t="n">
        <x:v>6.4</x:v>
      </x:c>
      <x:c r="L455" s="75" t="str">
        <x:v>Assistant draft</x:v>
      </x:c>
      <x:c r="M455" s="75" t="str">
        <x:v>My retrospective assessment: exceptional talent and youth, but a huge fee and availability concerns weaken the value of this separate Barcelona deal.</x:v>
      </x:c>
      <x:c r="N455" s="75" t="str">
        <x:v>Low</x:v>
      </x:c>
      <x:c r="O455" s="75" t="str">
        <x:v>Editorial draft; comparable production, availability and source ages not fully verified. No weighted components fabricated.</x:v>
      </x:c>
      <x:c r="P455" s="75" t="str">
        <x:v>https://github.com/CopiousHighlights/football-transfer-market-analysis</x:v>
      </x:c>
    </x:row>
    <x:row r="456" ht="25" customHeight="1">
      <x:c r="A456" s="69" t="str">
        <x:v>historical-11</x:v>
      </x:c>
      <x:c r="B456" s="69" t="str">
        <x:v>Bradley Barcola</x:v>
      </x:c>
      <x:c r="C456" s="69" t="str">
        <x:v>Liverpool</x:v>
      </x:c>
      <x:c r="D456" s="69" t="str">
        <x:v>PSG</x:v>
      </x:c>
      <x:c r="E456" s="76" t="d">
        <x:v>2026-08-31T00:00:00.000Z</x:v>
      </x:c>
      <x:c r="F456" s="69" t="str">
        <x:v>historical</x:v>
      </x:c>
      <x:c r="G456" s="69" t="str">
        <x:v>Winger</x:v>
      </x:c>
      <x:c r="H456" s="78" t="n">
        <x:v>125000000</x:v>
      </x:c>
      <x:c r="I456" s="69" t="str">
        <x:v>EUR</x:v>
      </x:c>
      <x:c r="J456" s="80" t="n">
        <x:v>24</x:v>
      </x:c>
      <x:c r="K456" s="82"/>
      <x:c r="L456" s="69" t="str">
        <x:v>Evidence needed</x:v>
      </x:c>
      <x:c r="M456" s="69" t="str">
        <x:v>Recent workbook transfer: buyer-specific production and independent transfer verification are needed before scoring. The original fee is retained, not certified.</x:v>
      </x:c>
      <x:c r="N456" s="69" t="str">
        <x:v>Not assessed</x:v>
      </x:c>
      <x:c r="O456" s="69" t="str">
        <x:v>Transfer and buyer-specific production verification needed.</x:v>
      </x:c>
      <x:c r="P456" s="69" t="str">
        <x:v>https://github.com/CopiousHighlights/football-transfer-market-analysis</x:v>
      </x:c>
    </x:row>
    <x:row r="457" ht="25" customHeight="1">
      <x:c r="A457" s="75" t="str">
        <x:v>historical-12</x:v>
      </x:c>
      <x:c r="B457" s="75" t="str">
        <x:v>Yan Diomande</x:v>
      </x:c>
      <x:c r="C457" s="75" t="str">
        <x:v>Real Madrid</x:v>
      </x:c>
      <x:c r="D457" s="75" t="str">
        <x:v>RB Leipzig</x:v>
      </x:c>
      <x:c r="E457" s="77" t="d">
        <x:v>2026-08-10T00:00:00.000Z</x:v>
      </x:c>
      <x:c r="F457" s="75" t="str">
        <x:v>historical</x:v>
      </x:c>
      <x:c r="G457" s="75" t="str">
        <x:v>Winger</x:v>
      </x:c>
      <x:c r="H457" s="79" t="n">
        <x:v>124000000</x:v>
      </x:c>
      <x:c r="I457" s="75" t="str">
        <x:v>EUR</x:v>
      </x:c>
      <x:c r="J457" s="81" t="n">
        <x:v>20</x:v>
      </x:c>
      <x:c r="K457" s="83"/>
      <x:c r="L457" s="75" t="str">
        <x:v>Evidence needed</x:v>
      </x:c>
      <x:c r="M457" s="75" t="str">
        <x:v>Recent workbook transfer: buyer-specific production and independent transfer verification are needed before scoring. The original fee is retained, not certified.</x:v>
      </x:c>
      <x:c r="N457" s="75" t="str">
        <x:v>Not assessed</x:v>
      </x:c>
      <x:c r="O457" s="75" t="str">
        <x:v>Transfer and buyer-specific production verification needed.</x:v>
      </x:c>
      <x:c r="P457" s="75" t="str">
        <x:v>https://github.com/CopiousHighlights/football-transfer-market-analysis</x:v>
      </x:c>
    </x:row>
    <x:row r="458" ht="25" customHeight="1">
      <x:c r="A458" s="69" t="str">
        <x:v>historical-15</x:v>
      </x:c>
      <x:c r="B458" s="69" t="str">
        <x:v>Jack Grealish</x:v>
      </x:c>
      <x:c r="C458" s="69" t="str">
        <x:v>Man City</x:v>
      </x:c>
      <x:c r="D458" s="69" t="str">
        <x:v>Aston Villa</x:v>
      </x:c>
      <x:c r="E458" s="76" t="d">
        <x:v>2021-08-05T00:00:00.000Z</x:v>
      </x:c>
      <x:c r="F458" s="69" t="str">
        <x:v>historical</x:v>
      </x:c>
      <x:c r="G458" s="69" t="str">
        <x:v>Winger</x:v>
      </x:c>
      <x:c r="H458" s="78" t="n">
        <x:v>117500000</x:v>
      </x:c>
      <x:c r="I458" s="69" t="str">
        <x:v>EUR</x:v>
      </x:c>
      <x:c r="J458" s="80" t="n">
        <x:v>26</x:v>
      </x:c>
      <x:c r="K458" s="82" t="n">
        <x:v>6.5</x:v>
      </x:c>
      <x:c r="L458" s="69" t="str">
        <x:v>Assistant draft</x:v>
      </x:c>
      <x:c r="M458" s="69" t="str">
        <x:v>My assessment: useful possession play and team fit, but the exceptionally high fee required a stronger individual attacking return.</x:v>
      </x:c>
      <x:c r="N458" s="69" t="str">
        <x:v>Low</x:v>
      </x:c>
      <x:c r="O458" s="69" t="str">
        <x:v>Editorial draft; comparable production, availability and source ages not fully verified. No weighted components fabricated.</x:v>
      </x:c>
      <x:c r="P458" s="69" t="str">
        <x:v>https://github.com/CopiousHighlights/football-transfer-market-analysis</x:v>
      </x:c>
    </x:row>
    <x:row r="459" ht="25" customHeight="1">
      <x:c r="A459" s="75" t="str">
        <x:v>historical-27</x:v>
      </x:c>
      <x:c r="B459" s="75" t="str">
        <x:v>Antony</x:v>
      </x:c>
      <x:c r="C459" s="75" t="str">
        <x:v>Man Utd</x:v>
      </x:c>
      <x:c r="D459" s="75" t="str">
        <x:v>Ajax</x:v>
      </x:c>
      <x:c r="E459" s="77" t="d">
        <x:v>2022-08-30T00:00:00.000Z</x:v>
      </x:c>
      <x:c r="F459" s="75" t="str">
        <x:v>historical</x:v>
      </x:c>
      <x:c r="G459" s="75" t="str">
        <x:v>Winger</x:v>
      </x:c>
      <x:c r="H459" s="79" t="n">
        <x:v>95000000</x:v>
      </x:c>
      <x:c r="I459" s="75" t="str">
        <x:v>EUR</x:v>
      </x:c>
      <x:c r="J459" s="81" t="n">
        <x:v>22</x:v>
      </x:c>
      <x:c r="K459" s="83" t="n">
        <x:v>2.2</x:v>
      </x:c>
      <x:c r="L459" s="75" t="str">
        <x:v>Assistant draft</x:v>
      </x:c>
      <x:c r="M459" s="75" t="str">
        <x:v>Accepted assistant draft: the high fee demanded much more production and consistent impact. Youth did not compensate for the weak return.</x:v>
      </x:c>
      <x:c r="N459" s="75" t="str">
        <x:v>Low</x:v>
      </x:c>
      <x:c r="O459" s="75" t="str">
        <x:v>Editorial draft; comparable production, availability and source ages not fully verified. No weighted components fabricated.</x:v>
      </x:c>
      <x:c r="P459" s="75" t="str">
        <x:v>https://github.com/CopiousHighlights/football-transfer-market-analysis</x:v>
      </x:c>
    </x:row>
    <x:row r="460" ht="25" customHeight="1">
      <x:c r="A460" s="69" t="str">
        <x:v>historical-38</x:v>
      </x:c>
      <x:c r="B460" s="69" t="str">
        <x:v>Jadon Sancho</x:v>
      </x:c>
      <x:c r="C460" s="69" t="str">
        <x:v>Man Utd</x:v>
      </x:c>
      <x:c r="D460" s="69" t="str">
        <x:v>Dortmund</x:v>
      </x:c>
      <x:c r="E460" s="76" t="d">
        <x:v>2021-07-23T00:00:00.000Z</x:v>
      </x:c>
      <x:c r="F460" s="69" t="str">
        <x:v>historical</x:v>
      </x:c>
      <x:c r="G460" s="69" t="str">
        <x:v>Winger</x:v>
      </x:c>
      <x:c r="H460" s="78" t="n">
        <x:v>85000000</x:v>
      </x:c>
      <x:c r="I460" s="69" t="str">
        <x:v>EUR</x:v>
      </x:c>
      <x:c r="J460" s="80" t="n">
        <x:v>21</x:v>
      </x:c>
      <x:c r="K460" s="82" t="n">
        <x:v>2.4</x:v>
      </x:c>
      <x:c r="L460" s="69" t="str">
        <x:v>Your rating</x:v>
      </x:c>
      <x:c r="M460" s="69" t="str">
        <x:v>Owner assessment: very poor return relative to a high fee.</x:v>
      </x:c>
      <x:c r="N460" s="69" t="str">
        <x:v>Low</x:v>
      </x:c>
      <x:c r="O460" s="69" t="str">
        <x:v>Owner editorial assessment; production claims and injury concerns are attributed opinions.</x:v>
      </x:c>
      <x:c r="P460" s="69" t="str">
        <x:v>https://github.com/CopiousHighlights/football-transfer-market-analysis</x:v>
      </x:c>
    </x:row>
    <x:row r="461" ht="25" customHeight="1">
      <x:c r="A461" s="75" t="str">
        <x:v>historical-46</x:v>
      </x:c>
      <x:c r="B461" s="75" t="str">
        <x:v>Nicolas Pépé</x:v>
      </x:c>
      <x:c r="C461" s="75" t="str">
        <x:v>Arsenal</x:v>
      </x:c>
      <x:c r="D461" s="75" t="str">
        <x:v>Lille</x:v>
      </x:c>
      <x:c r="E461" s="77" t="d">
        <x:v>2019-08-01T00:00:00.000Z</x:v>
      </x:c>
      <x:c r="F461" s="75" t="str">
        <x:v>historical</x:v>
      </x:c>
      <x:c r="G461" s="75" t="str">
        <x:v>Winger</x:v>
      </x:c>
      <x:c r="H461" s="79" t="n">
        <x:v>80000000</x:v>
      </x:c>
      <x:c r="I461" s="75" t="str">
        <x:v>EUR</x:v>
      </x:c>
      <x:c r="J461" s="81" t="n">
        <x:v>24</x:v>
      </x:c>
      <x:c r="K461" s="83" t="n">
        <x:v>3.5</x:v>
      </x:c>
      <x:c r="L461" s="75" t="str">
        <x:v>Assistant draft</x:v>
      </x:c>
      <x:c r="M461" s="75" t="str">
        <x:v>My retrospective assessment: the large fee was not matched by a convincing sustained return. Some attacking contribution prevents an even lower score.</x:v>
      </x:c>
      <x:c r="N461" s="75" t="str">
        <x:v>Low</x:v>
      </x:c>
      <x:c r="O461" s="75" t="str">
        <x:v>Editorial draft; comparable production, availability and source ages not fully verified. No weighted components fabricated.</x:v>
      </x:c>
      <x:c r="P461" s="75" t="str">
        <x:v>https://github.com/CopiousHighlights/football-transfer-market-analysis</x:v>
      </x:c>
    </x:row>
    <x:row r="462" ht="25" customHeight="1">
      <x:c r="A462" s="69" t="str">
        <x:v>historical-48</x:v>
      </x:c>
      <x:c r="B462" s="69" t="str">
        <x:v>Anthony Gordon</x:v>
      </x:c>
      <x:c r="C462" s="69" t="str">
        <x:v>Barcelona</x:v>
      </x:c>
      <x:c r="D462" s="69" t="str">
        <x:v>Newcastle</x:v>
      </x:c>
      <x:c r="E462" s="76" t="d">
        <x:v>2026-07-01T00:00:00.000Z</x:v>
      </x:c>
      <x:c r="F462" s="69" t="str">
        <x:v>historical</x:v>
      </x:c>
      <x:c r="G462" s="69" t="str">
        <x:v>Winger</x:v>
      </x:c>
      <x:c r="H462" s="78" t="n">
        <x:v>80000000</x:v>
      </x:c>
      <x:c r="I462" s="69" t="str">
        <x:v>EUR</x:v>
      </x:c>
      <x:c r="J462" s="80" t="n">
        <x:v>25</x:v>
      </x:c>
      <x:c r="K462" s="82"/>
      <x:c r="L462" s="69" t="str">
        <x:v>Evidence needed</x:v>
      </x:c>
      <x:c r="M462" s="69" t="str">
        <x:v>Recent workbook transfer: buyer-specific production and independent transfer verification are needed before scoring. The original fee is retained, not certified.</x:v>
      </x:c>
      <x:c r="N462" s="69" t="str">
        <x:v>Not assessed</x:v>
      </x:c>
      <x:c r="O462" s="69" t="str">
        <x:v>Transfer and buyer-specific production verification needed.</x:v>
      </x:c>
      <x:c r="P462" s="69" t="str">
        <x:v>https://github.com/CopiousHighlights/football-transfer-market-analysis</x:v>
      </x:c>
    </x:row>
    <x:row r="463" ht="25" customHeight="1">
      <x:c r="A463" s="75" t="str">
        <x:v>historical-50</x:v>
      </x:c>
      <x:c r="B463" s="75" t="str">
        <x:v>Khvicha Kvaratskhelia</x:v>
      </x:c>
      <x:c r="C463" s="75" t="str">
        <x:v>PSG</x:v>
      </x:c>
      <x:c r="D463" s="75" t="str">
        <x:v>Napoli</x:v>
      </x:c>
      <x:c r="E463" s="77" t="d">
        <x:v>2025-01-17T00:00:00.000Z</x:v>
      </x:c>
      <x:c r="F463" s="75" t="str">
        <x:v>historical</x:v>
      </x:c>
      <x:c r="G463" s="75" t="str">
        <x:v>Winger</x:v>
      </x:c>
      <x:c r="H463" s="79" t="n">
        <x:v>80000000</x:v>
      </x:c>
      <x:c r="I463" s="75" t="str">
        <x:v>EUR</x:v>
      </x:c>
      <x:c r="J463" s="81" t="n">
        <x:v>24</x:v>
      </x:c>
      <x:c r="K463" s="83" t="n">
        <x:v>8.6</x:v>
      </x:c>
      <x:c r="L463" s="75" t="str">
        <x:v>Your rating</x:v>
      </x:c>
      <x:c r="M463" s="75" t="str">
        <x:v>Owner assessment: quality, age and potential support value; high price and league-production concerns reduce it. Owner prefers his Champions League performances.</x:v>
      </x:c>
      <x:c r="N463" s="75" t="str">
        <x:v>Low</x:v>
      </x:c>
      <x:c r="O463" s="75" t="str">
        <x:v>Owner editorial assessment; production claims and injury concerns are attributed opinions.</x:v>
      </x:c>
      <x:c r="P463" s="75" t="str">
        <x:v>https://github.com/CopiousHighlights/football-transfer-market-analysis</x:v>
      </x:c>
    </x:row>
    <x:row r="464" ht="25" customHeight="1">
      <x:c r="A464" s="69" t="str">
        <x:v>historical-61</x:v>
      </x:c>
      <x:c r="B464" s="69" t="str">
        <x:v>Bryan Mbeumo</x:v>
      </x:c>
      <x:c r="C464" s="69" t="str">
        <x:v>Man Utd</x:v>
      </x:c>
      <x:c r="D464" s="69" t="str">
        <x:v>Brentford</x:v>
      </x:c>
      <x:c r="E464" s="76" t="d">
        <x:v>2025-07-21T00:00:00.000Z</x:v>
      </x:c>
      <x:c r="F464" s="69" t="str">
        <x:v>historical</x:v>
      </x:c>
      <x:c r="G464" s="69" t="str">
        <x:v>Winger</x:v>
      </x:c>
      <x:c r="H464" s="78" t="n">
        <x:v>75000000</x:v>
      </x:c>
      <x:c r="I464" s="69" t="str">
        <x:v>EUR</x:v>
      </x:c>
      <x:c r="J464" s="80" t="n">
        <x:v>26</x:v>
      </x:c>
      <x:c r="K464" s="82" t="n">
        <x:v>8.5</x:v>
      </x:c>
      <x:c r="L464" s="69" t="str">
        <x:v>Assistant draft</x:v>
      </x:c>
      <x:c r="M464" s="69" t="str">
        <x:v>My draft assessment: scoring, creation and a useful age profile support the investment, with the substantial price preventing an elite value score.</x:v>
      </x:c>
      <x:c r="N464" s="69" t="str">
        <x:v>Low</x:v>
      </x:c>
      <x:c r="O464" s="69" t="str">
        <x:v>Editorial draft; comparable production, availability and source ages not fully verified. No weighted components fabricated.</x:v>
      </x:c>
      <x:c r="P464" s="69" t="str">
        <x:v>https://github.com/CopiousHighlights/football-transfer-market-analysis</x:v>
      </x:c>
    </x:row>
    <x:row r="465" ht="25" customHeight="1">
      <x:c r="A465" s="75" t="str">
        <x:v>historical-63</x:v>
      </x:c>
      <x:c r="B465" s="75" t="str">
        <x:v>Ángel Di María</x:v>
      </x:c>
      <x:c r="C465" s="75" t="str">
        <x:v>Man Utd</x:v>
      </x:c>
      <x:c r="D465" s="75" t="str">
        <x:v>Real Madrid</x:v>
      </x:c>
      <x:c r="E465" s="77" t="d">
        <x:v>2014-08-26T00:00:00.000Z</x:v>
      </x:c>
      <x:c r="F465" s="75" t="str">
        <x:v>historical</x:v>
      </x:c>
      <x:c r="G465" s="75" t="str">
        <x:v>Winger</x:v>
      </x:c>
      <x:c r="H465" s="79" t="n">
        <x:v>75000000</x:v>
      </x:c>
      <x:c r="I465" s="75" t="str">
        <x:v>EUR</x:v>
      </x:c>
      <x:c r="J465" s="81" t="n">
        <x:v>26</x:v>
      </x:c>
      <x:c r="K465" s="83" t="n">
        <x:v>4.7</x:v>
      </x:c>
      <x:c r="L465" s="75" t="str">
        <x:v>Assistant draft</x:v>
      </x:c>
      <x:c r="M465" s="75" t="str">
        <x:v>My retrospective assessment: established quality, but a high fee and short, unsuccessful fit weakened the return for United.</x:v>
      </x:c>
      <x:c r="N465" s="75" t="str">
        <x:v>Low</x:v>
      </x:c>
      <x:c r="O465" s="75" t="str">
        <x:v>Editorial draft; comparable production, availability and source ages not fully verified. No weighted components fabricated.</x:v>
      </x:c>
      <x:c r="P465" s="75" t="str">
        <x:v>https://github.com/CopiousHighlights/football-transfer-market-analysis</x:v>
      </x:c>
    </x:row>
    <x:row r="466" ht="25" customHeight="1">
      <x:c r="A466" s="69" t="str">
        <x:v>historical-66</x:v>
      </x:c>
      <x:c r="B466" s="69" t="str">
        <x:v>Iliman Ndiaye</x:v>
      </x:c>
      <x:c r="C466" s="69" t="str">
        <x:v>Man City</x:v>
      </x:c>
      <x:c r="D466" s="69" t="str">
        <x:v>Everton</x:v>
      </x:c>
      <x:c r="E466" s="76" t="d">
        <x:v>2026-09-01T00:00:00.000Z</x:v>
      </x:c>
      <x:c r="F466" s="69" t="str">
        <x:v>historical</x:v>
      </x:c>
      <x:c r="G466" s="69" t="str">
        <x:v>Winger</x:v>
      </x:c>
      <x:c r="H466" s="78" t="n">
        <x:v>75000000</x:v>
      </x:c>
      <x:c r="I466" s="69" t="str">
        <x:v>EUR</x:v>
      </x:c>
      <x:c r="J466" s="80" t="n">
        <x:v>26</x:v>
      </x:c>
      <x:c r="K466" s="82"/>
      <x:c r="L466" s="69" t="str">
        <x:v>Evidence needed</x:v>
      </x:c>
      <x:c r="M466" s="69" t="str">
        <x:v>Recent workbook transfer: buyer-specific production and independent transfer verification are needed before scoring. The original fee is retained, not certified.</x:v>
      </x:c>
      <x:c r="N466" s="69" t="str">
        <x:v>Not assessed</x:v>
      </x:c>
      <x:c r="O466" s="69" t="str">
        <x:v>Transfer and buyer-specific production verification needed.</x:v>
      </x:c>
      <x:c r="P466" s="69" t="str">
        <x:v>https://github.com/CopiousHighlights/football-transfer-market-analysis</x:v>
      </x:c>
    </x:row>
    <x:row r="467" ht="25" customHeight="1">
      <x:c r="A467" s="75" t="str">
        <x:v>historical-70</x:v>
      </x:c>
      <x:c r="B467" s="75" t="str">
        <x:v>Antoine Semenyo</x:v>
      </x:c>
      <x:c r="C467" s="75" t="str">
        <x:v>Man City</x:v>
      </x:c>
      <x:c r="D467" s="75" t="str">
        <x:v>Bournemouth</x:v>
      </x:c>
      <x:c r="E467" s="77" t="d">
        <x:v>2026-01-09T00:00:00.000Z</x:v>
      </x:c>
      <x:c r="F467" s="75" t="str">
        <x:v>historical</x:v>
      </x:c>
      <x:c r="G467" s="75" t="str">
        <x:v>Winger</x:v>
      </x:c>
      <x:c r="H467" s="79" t="n">
        <x:v>72000000</x:v>
      </x:c>
      <x:c r="I467" s="75" t="str">
        <x:v>EUR</x:v>
      </x:c>
      <x:c r="J467" s="81" t="n">
        <x:v>26</x:v>
      </x:c>
      <x:c r="K467" s="83" t="n">
        <x:v>8.5</x:v>
      </x:c>
      <x:c r="L467" s="75" t="str">
        <x:v>Assistant draft</x:v>
      </x:c>
      <x:c r="M467" s="75" t="str">
        <x:v>My draft assessment: a strong attacking profile and fit support value, but the sizeable fee and shorter observation period keep the score cautious.</x:v>
      </x:c>
      <x:c r="N467" s="75" t="str">
        <x:v>Low</x:v>
      </x:c>
      <x:c r="O467" s="75" t="str">
        <x:v>Editorial draft; comparable production, availability and source ages not fully verified. No weighted components fabricated.</x:v>
      </x:c>
      <x:c r="P467" s="75" t="str">
        <x:v>https://www.mancity.com/news/mens/antoine-semenyo-first-day-gallery-63903647</x:v>
      </x:c>
    </x:row>
    <x:row r="468" ht="25" customHeight="1">
      <x:c r="A468" s="69" t="str">
        <x:v>historical-75</x:v>
      </x:c>
      <x:c r="B468" s="69" t="str">
        <x:v>Luis Díaz</x:v>
      </x:c>
      <x:c r="C468" s="69" t="str">
        <x:v>Bayern Munich</x:v>
      </x:c>
      <x:c r="D468" s="69" t="str">
        <x:v>Liverpool</x:v>
      </x:c>
      <x:c r="E468" s="76" t="d">
        <x:v>2025-07-30T00:00:00.000Z</x:v>
      </x:c>
      <x:c r="F468" s="69" t="str">
        <x:v>historical</x:v>
      </x:c>
      <x:c r="G468" s="69" t="str">
        <x:v>Winger</x:v>
      </x:c>
      <x:c r="H468" s="78" t="n">
        <x:v>70000000</x:v>
      </x:c>
      <x:c r="I468" s="69" t="str">
        <x:v>EUR</x:v>
      </x:c>
      <x:c r="J468" s="80" t="n">
        <x:v>28</x:v>
      </x:c>
      <x:c r="K468" s="82" t="n">
        <x:v>8.8</x:v>
      </x:c>
      <x:c r="L468" s="69" t="str">
        <x:v>Your rating</x:v>
      </x:c>
      <x:c r="M468" s="69" t="str">
        <x:v>Owner assessment: good production and solid price, but older at signing and below the Olise/Raphinha production benchmark.</x:v>
      </x:c>
      <x:c r="N468" s="69" t="str">
        <x:v>Low</x:v>
      </x:c>
      <x:c r="O468" s="69" t="str">
        <x:v>Owner editorial assessment; production claims and injury concerns are attributed opinions.</x:v>
      </x:c>
      <x:c r="P468" s="69" t="str">
        <x:v>https://github.com/CopiousHighlights/football-transfer-market-analysis</x:v>
      </x:c>
    </x:row>
    <x:row r="469" ht="25" customHeight="1">
      <x:c r="A469" s="75" t="str">
        <x:v>historical-77</x:v>
      </x:c>
      <x:c r="B469" s="75" t="str">
        <x:v>Mykhaylo Mudryk</x:v>
      </x:c>
      <x:c r="C469" s="75" t="str">
        <x:v>Chelsea</x:v>
      </x:c>
      <x:c r="D469" s="75" t="str">
        <x:v>Shakhtar D.</x:v>
      </x:c>
      <x:c r="E469" s="77" t="d">
        <x:v>2023-01-15T00:00:00.000Z</x:v>
      </x:c>
      <x:c r="F469" s="75" t="str">
        <x:v>historical</x:v>
      </x:c>
      <x:c r="G469" s="75" t="str">
        <x:v>Winger</x:v>
      </x:c>
      <x:c r="H469" s="79" t="n">
        <x:v>70000000</x:v>
      </x:c>
      <x:c r="I469" s="75" t="str">
        <x:v>EUR</x:v>
      </x:c>
      <x:c r="J469" s="81" t="n">
        <x:v>22</x:v>
      </x:c>
      <x:c r="K469" s="83" t="n">
        <x:v>2.8</x:v>
      </x:c>
      <x:c r="L469" s="75" t="str">
        <x:v>Assistant draft</x:v>
      </x:c>
      <x:c r="M469" s="75" t="str">
        <x:v>My retrospective assessment: youth and potential offered upside, but the high investment has not been supported by a convincing sustained attacking return.</x:v>
      </x:c>
      <x:c r="N469" s="75" t="str">
        <x:v>Low</x:v>
      </x:c>
      <x:c r="O469" s="75" t="str">
        <x:v>Editorial draft; comparable production, availability and source ages not fully verified. No weighted components fabricated.</x:v>
      </x:c>
      <x:c r="P469" s="75" t="str">
        <x:v>https://github.com/CopiousHighlights/football-transfer-market-analysis</x:v>
      </x:c>
    </x:row>
    <x:row r="470" ht="25" customHeight="1">
      <x:c r="A470" s="69" t="str">
        <x:v>historical-81</x:v>
      </x:c>
      <x:c r="B470" s="69" t="str">
        <x:v>Riyad Mahrez</x:v>
      </x:c>
      <x:c r="C470" s="69" t="str">
        <x:v>Man City</x:v>
      </x:c>
      <x:c r="D470" s="69" t="str">
        <x:v>Leicester</x:v>
      </x:c>
      <x:c r="E470" s="76" t="d">
        <x:v>2018-07-10T00:00:00.000Z</x:v>
      </x:c>
      <x:c r="F470" s="69" t="str">
        <x:v>historical</x:v>
      </x:c>
      <x:c r="G470" s="69" t="str">
        <x:v>Winger</x:v>
      </x:c>
      <x:c r="H470" s="78" t="n">
        <x:v>67800000</x:v>
      </x:c>
      <x:c r="I470" s="69" t="str">
        <x:v>EUR</x:v>
      </x:c>
      <x:c r="J470" s="80" t="n">
        <x:v>27</x:v>
      </x:c>
      <x:c r="K470" s="82" t="n">
        <x:v>9.3</x:v>
      </x:c>
      <x:c r="L470" s="69" t="str">
        <x:v>Assistant draft</x:v>
      </x:c>
      <x:c r="M470" s="69" t="str">
        <x:v>Strong sustained scoring and creation support my outstanding-value assessment. City reports 78 goals and 59 assists in 236 appearances.</x:v>
      </x:c>
      <x:c r="N470" s="69" t="str">
        <x:v>Low</x:v>
      </x:c>
      <x:c r="O470" s="69" t="str">
        <x:v>Editorial draft; comparable production, availability and source ages not fully verified. No weighted components fabricated.</x:v>
      </x:c>
      <x:c r="P470" s="69" t="str">
        <x:v>https://www.mancity.com/news/mens/riyad-mahrez-joins-al-ahli-manchester-city-63826097</x:v>
      </x:c>
    </x:row>
    <x:row r="471" ht="25" customHeight="1">
      <x:c r="A471" s="75" t="str">
        <x:v>historical-95</x:v>
      </x:c>
      <x:c r="B471" s="75" t="str">
        <x:v>Christian Pulisic</x:v>
      </x:c>
      <x:c r="C471" s="75" t="str">
        <x:v>Chelsea</x:v>
      </x:c>
      <x:c r="D471" s="75" t="str">
        <x:v>Dortmund</x:v>
      </x:c>
      <x:c r="E471" s="77" t="d">
        <x:v>2019-01-02T00:00:00.000Z</x:v>
      </x:c>
      <x:c r="F471" s="75" t="str">
        <x:v>historical</x:v>
      </x:c>
      <x:c r="G471" s="75" t="str">
        <x:v>Winger</x:v>
      </x:c>
      <x:c r="H471" s="79" t="n">
        <x:v>64000000</x:v>
      </x:c>
      <x:c r="I471" s="75" t="str">
        <x:v>EUR</x:v>
      </x:c>
      <x:c r="J471" s="81" t="n">
        <x:v>21</x:v>
      </x:c>
      <x:c r="K471" s="83" t="n">
        <x:v>7</x:v>
      </x:c>
      <x:c r="L471" s="75" t="str">
        <x:v>Assistant draft</x:v>
      </x:c>
      <x:c r="M471" s="75" t="str">
        <x:v>My retrospective assessment: quality and useful attacking spells support some value, but the sizeable fee and inconsistent availability limit the score.</x:v>
      </x:c>
      <x:c r="N471" s="75" t="str">
        <x:v>Low</x:v>
      </x:c>
      <x:c r="O471" s="75" t="str">
        <x:v>Editorial draft; comparable production, availability and source ages not fully verified. No weighted components fabricated.</x:v>
      </x:c>
      <x:c r="P471" s="75" t="str">
        <x:v>https://github.com/CopiousHighlights/football-transfer-market-analysis</x:v>
      </x:c>
    </x:row>
    <x:row r="472" ht="25" customHeight="1">
      <x:c r="A472" s="69" t="str">
        <x:v>historical-96</x:v>
      </x:c>
      <x:c r="B472" s="69" t="str">
        <x:v>Mohammed Kudus</x:v>
      </x:c>
      <x:c r="C472" s="69" t="str">
        <x:v>Tottenham</x:v>
      </x:c>
      <x:c r="D472" s="69" t="str">
        <x:v>West Ham</x:v>
      </x:c>
      <x:c r="E472" s="76" t="d">
        <x:v>2025-07-10T00:00:00.000Z</x:v>
      </x:c>
      <x:c r="F472" s="69" t="str">
        <x:v>historical</x:v>
      </x:c>
      <x:c r="G472" s="69" t="str">
        <x:v>Winger</x:v>
      </x:c>
      <x:c r="H472" s="78" t="n">
        <x:v>63800000</x:v>
      </x:c>
      <x:c r="I472" s="69" t="str">
        <x:v>EUR</x:v>
      </x:c>
      <x:c r="J472" s="80" t="n">
        <x:v>25</x:v>
      </x:c>
      <x:c r="K472" s="82" t="n">
        <x:v>7.7</x:v>
      </x:c>
      <x:c r="L472" s="69" t="str">
        <x:v>Assistant draft</x:v>
      </x:c>
      <x:c r="M472" s="69" t="str">
        <x:v>My draft assessment: attacking versatility and development potential help, but the fee requires a more convincing sustained buyer-specific return.</x:v>
      </x:c>
      <x:c r="N472" s="69" t="str">
        <x:v>Low</x:v>
      </x:c>
      <x:c r="O472" s="69" t="str">
        <x:v>Editorial draft; comparable production, availability and source ages not fully verified. No weighted components fabricated.</x:v>
      </x:c>
      <x:c r="P472" s="69" t="str">
        <x:v>https://github.com/CopiousHighlights/football-transfer-market-analysis</x:v>
      </x:c>
    </x:row>
    <x:row r="473" ht="25" customHeight="1">
      <x:c r="A473" s="75" t="str">
        <x:v>historical-99</x:v>
      </x:c>
      <x:c r="B473" s="75" t="str">
        <x:v>Raheem Sterling</x:v>
      </x:c>
      <x:c r="C473" s="75" t="str">
        <x:v>Man City</x:v>
      </x:c>
      <x:c r="D473" s="75" t="str">
        <x:v>Liverpool</x:v>
      </x:c>
      <x:c r="E473" s="77" t="d">
        <x:v>2015-07-14T00:00:00.000Z</x:v>
      </x:c>
      <x:c r="F473" s="75" t="str">
        <x:v>historical</x:v>
      </x:c>
      <x:c r="G473" s="75" t="str">
        <x:v>Winger</x:v>
      </x:c>
      <x:c r="H473" s="79" t="n">
        <x:v>63700000</x:v>
      </x:c>
      <x:c r="I473" s="75" t="str">
        <x:v>EUR</x:v>
      </x:c>
      <x:c r="J473" s="81" t="n">
        <x:v>21</x:v>
      </x:c>
      <x:c r="K473" s="83" t="n">
        <x:v>9.2</x:v>
      </x:c>
      <x:c r="L473" s="75" t="str">
        <x:v>Assistant draft</x:v>
      </x:c>
      <x:c r="M473" s="75" t="str">
        <x:v>Strong sustained production supports my assessment. City reports 131 goals in 339 appearances, with a long useful spell following a young-age signing.</x:v>
      </x:c>
      <x:c r="N473" s="75" t="str">
        <x:v>Low</x:v>
      </x:c>
      <x:c r="O473" s="75" t="str">
        <x:v>Editorial draft; comparable production, availability and source ages not fully verified. No weighted components fabricated.</x:v>
      </x:c>
      <x:c r="P473" s="75" t="str">
        <x:v>https://www.mancity.com/news/mens/raheem-sterling-leaves-manchester-city-63793235</x:v>
      </x:c>
    </x:row>
    <x:row r="474" ht="25" customHeight="1">
      <x:c r="A474" s="69" t="str">
        <x:v>historical-103</x:v>
      </x:c>
      <x:c r="B474" s="69" t="str">
        <x:v>Ángel Di María</x:v>
      </x:c>
      <x:c r="C474" s="69" t="str">
        <x:v>PSG</x:v>
      </x:c>
      <x:c r="D474" s="69" t="str">
        <x:v>Man Utd</x:v>
      </x:c>
      <x:c r="E474" s="76" t="d">
        <x:v>2015-08-06T00:00:00.000Z</x:v>
      </x:c>
      <x:c r="F474" s="69" t="str">
        <x:v>historical</x:v>
      </x:c>
      <x:c r="G474" s="69" t="str">
        <x:v>Winger</x:v>
      </x:c>
      <x:c r="H474" s="78" t="n">
        <x:v>63000000</x:v>
      </x:c>
      <x:c r="I474" s="69" t="str">
        <x:v>EUR</x:v>
      </x:c>
      <x:c r="J474" s="80" t="n">
        <x:v>27</x:v>
      </x:c>
      <x:c r="K474" s="82" t="n">
        <x:v>9.3</x:v>
      </x:c>
      <x:c r="L474" s="69" t="str">
        <x:v>Assistant draft</x:v>
      </x:c>
      <x:c r="M474" s="69" t="str">
        <x:v>Strong creation and sustained output support my assessment. PSG reports 92 goals and 111 assists in 295 appearances across seven seasons.</x:v>
      </x:c>
      <x:c r="N474" s="69" t="str">
        <x:v>Low</x:v>
      </x:c>
      <x:c r="O474" s="69" t="str">
        <x:v>Editorial draft; comparable production, availability and source ages not fully verified. No weighted components fabricated.</x:v>
      </x:c>
      <x:c r="P474" s="69" t="str">
        <x:v>https://en.psg.fr/teams/first-team/content/di-marias-seven-historic-seasons-2021-2022-di-maria-tribute</x:v>
      </x:c>
    </x:row>
    <x:row r="475" ht="25" customHeight="1">
      <x:c r="A475" s="75" t="str">
        <x:v>historical-110</x:v>
      </x:c>
      <x:c r="B475" s="75" t="str">
        <x:v>Anthony Elanga</x:v>
      </x:c>
      <x:c r="C475" s="75" t="str">
        <x:v>Newcastle</x:v>
      </x:c>
      <x:c r="D475" s="75" t="str">
        <x:v>Nott'm Forest</x:v>
      </x:c>
      <x:c r="E475" s="77" t="d">
        <x:v>2025-07-11T00:00:00.000Z</x:v>
      </x:c>
      <x:c r="F475" s="75" t="str">
        <x:v>historical</x:v>
      </x:c>
      <x:c r="G475" s="75" t="str">
        <x:v>Winger</x:v>
      </x:c>
      <x:c r="H475" s="79" t="n">
        <x:v>61400000</x:v>
      </x:c>
      <x:c r="I475" s="75" t="str">
        <x:v>EUR</x:v>
      </x:c>
      <x:c r="J475" s="81" t="n">
        <x:v>23</x:v>
      </x:c>
      <x:c r="K475" s="83" t="n">
        <x:v>7.4</x:v>
      </x:c>
      <x:c r="L475" s="75" t="str">
        <x:v>Assistant draft</x:v>
      </x:c>
      <x:c r="M475" s="75" t="str">
        <x:v>My draft assessment: age, pace and upside support value, but the significant fee requires stronger evidence of a sustained attacking return.</x:v>
      </x:c>
      <x:c r="N475" s="75" t="str">
        <x:v>Low</x:v>
      </x:c>
      <x:c r="O475" s="75" t="str">
        <x:v>Editorial draft; comparable production, availability and source ages not fully verified. No weighted components fabricated.</x:v>
      </x:c>
      <x:c r="P475" s="75" t="str">
        <x:v>https://github.com/CopiousHighlights/football-transfer-market-analysis</x:v>
      </x:c>
    </x:row>
    <x:row r="476" ht="25" customHeight="1">
      <x:c r="A476" s="69" t="str">
        <x:v>historical-114</x:v>
      </x:c>
      <x:c r="B476" s="69" t="str">
        <x:v>Moussa Diaby</x:v>
      </x:c>
      <x:c r="C476" s="69" t="str">
        <x:v>Al-Ittihad</x:v>
      </x:c>
      <x:c r="D476" s="69" t="str">
        <x:v>Aston Villa</x:v>
      </x:c>
      <x:c r="E476" s="76" t="d">
        <x:v>2024-07-24T00:00:00.000Z</x:v>
      </x:c>
      <x:c r="F476" s="69" t="str">
        <x:v>historical</x:v>
      </x:c>
      <x:c r="G476" s="69" t="str">
        <x:v>Winger</x:v>
      </x:c>
      <x:c r="H476" s="78" t="n">
        <x:v>60000000</x:v>
      </x:c>
      <x:c r="I476" s="69" t="str">
        <x:v>EUR</x:v>
      </x:c>
      <x:c r="J476" s="80" t="n">
        <x:v>25</x:v>
      </x:c>
      <x:c r="K476" s="82" t="n">
        <x:v>7.4</x:v>
      </x:c>
      <x:c r="L476" s="69" t="str">
        <x:v>Assistant draft</x:v>
      </x:c>
      <x:c r="M476" s="69" t="str">
        <x:v>My cautious draft: quality and a useful age profile help, but the fee and competition context limit the value case. Buyer-specific output needs review.</x:v>
      </x:c>
      <x:c r="N476" s="69" t="str">
        <x:v>Low</x:v>
      </x:c>
      <x:c r="O476" s="69" t="str">
        <x:v>Editorial draft; comparable production, availability and source ages not fully verified. No weighted components fabricated.</x:v>
      </x:c>
      <x:c r="P476" s="69" t="str">
        <x:v>https://github.com/CopiousHighlights/football-transfer-market-analysis</x:v>
      </x:c>
    </x:row>
    <x:row r="477" ht="25" customHeight="1">
      <x:c r="A477" s="75" t="str">
        <x:v>historical-118</x:v>
      </x:c>
      <x:c r="B477" s="75" t="str">
        <x:v>Malcom</x:v>
      </x:c>
      <x:c r="C477" s="75" t="str">
        <x:v>Al-Hilal</x:v>
      </x:c>
      <x:c r="D477" s="75" t="str">
        <x:v>Zenit S-Pb</x:v>
      </x:c>
      <x:c r="E477" s="77" t="d">
        <x:v>2023-07-26T00:00:00.000Z</x:v>
      </x:c>
      <x:c r="F477" s="75" t="str">
        <x:v>historical</x:v>
      </x:c>
      <x:c r="G477" s="75" t="str">
        <x:v>Winger</x:v>
      </x:c>
      <x:c r="H477" s="79" t="n">
        <x:v>60000000</x:v>
      </x:c>
      <x:c r="I477" s="75" t="str">
        <x:v>EUR</x:v>
      </x:c>
      <x:c r="J477" s="81" t="n">
        <x:v>26</x:v>
      </x:c>
      <x:c r="K477" s="83" t="n">
        <x:v>7.6</x:v>
      </x:c>
      <x:c r="L477" s="75" t="str">
        <x:v>Assistant draft</x:v>
      </x:c>
      <x:c r="M477" s="75" t="str">
        <x:v>My cautious draft: established attacking ability offers value, but a substantial fee and competition adjustment prevent a higher score.</x:v>
      </x:c>
      <x:c r="N477" s="75" t="str">
        <x:v>Low</x:v>
      </x:c>
      <x:c r="O477" s="75" t="str">
        <x:v>Editorial draft; comparable production, availability and source ages not fully verified. No weighted components fabricated.</x:v>
      </x:c>
      <x:c r="P477" s="75" t="str">
        <x:v>https://github.com/CopiousHighlights/football-transfer-market-analysis</x:v>
      </x:c>
    </x:row>
    <x:row r="478" ht="25" customHeight="1">
      <x:c r="A478" s="69" t="str">
        <x:v>historical-124</x:v>
      </x:c>
      <x:c r="B478" s="69" t="str">
        <x:v>Jérémy Doku</x:v>
      </x:c>
      <x:c r="C478" s="69" t="str">
        <x:v>Man City</x:v>
      </x:c>
      <x:c r="D478" s="69" t="str">
        <x:v>Stade Rennais</x:v>
      </x:c>
      <x:c r="E478" s="76" t="d">
        <x:v>2023-08-24T00:00:00.000Z</x:v>
      </x:c>
      <x:c r="F478" s="69" t="str">
        <x:v>historical</x:v>
      </x:c>
      <x:c r="G478" s="69" t="str">
        <x:v>Winger</x:v>
      </x:c>
      <x:c r="H478" s="78" t="n">
        <x:v>60000000</x:v>
      </x:c>
      <x:c r="I478" s="69" t="str">
        <x:v>EUR</x:v>
      </x:c>
      <x:c r="J478" s="80" t="n">
        <x:v>21</x:v>
      </x:c>
      <x:c r="K478" s="82" t="n">
        <x:v>9.1</x:v>
      </x:c>
      <x:c r="L478" s="69" t="str">
        <x:v>Your rating</x:v>
      </x:c>
      <x:c r="M478" s="69" t="str">
        <x:v>Owner assessment: potential, age, price, solid production and scheme fit.</x:v>
      </x:c>
      <x:c r="N478" s="69" t="str">
        <x:v>Low</x:v>
      </x:c>
      <x:c r="O478" s="69" t="str">
        <x:v>Owner editorial assessment; production claims and injury concerns are attributed opinions.</x:v>
      </x:c>
      <x:c r="P478" s="69" t="str">
        <x:v>https://github.com/CopiousHighlights/football-transfer-market-analysis</x:v>
      </x:c>
    </x:row>
    <x:row r="479" ht="25" customHeight="1">
      <x:c r="A479" s="75" t="str">
        <x:v>historical-125</x:v>
      </x:c>
      <x:c r="B479" s="75" t="str">
        <x:v>Pedro Neto</x:v>
      </x:c>
      <x:c r="C479" s="75" t="str">
        <x:v>Chelsea</x:v>
      </x:c>
      <x:c r="D479" s="75" t="str">
        <x:v>Wolves</x:v>
      </x:c>
      <x:c r="E479" s="77" t="d">
        <x:v>2024-08-11T00:00:00.000Z</x:v>
      </x:c>
      <x:c r="F479" s="75" t="str">
        <x:v>historical</x:v>
      </x:c>
      <x:c r="G479" s="75" t="str">
        <x:v>Winger</x:v>
      </x:c>
      <x:c r="H479" s="79" t="n">
        <x:v>60000000</x:v>
      </x:c>
      <x:c r="I479" s="75" t="str">
        <x:v>EUR</x:v>
      </x:c>
      <x:c r="J479" s="81" t="n">
        <x:v>24</x:v>
      </x:c>
      <x:c r="K479" s="83" t="n">
        <x:v>8.3</x:v>
      </x:c>
      <x:c r="L479" s="75" t="str">
        <x:v>Assistant draft</x:v>
      </x:c>
      <x:c r="M479" s="75" t="str">
        <x:v>My assessment: creation, ball progression and age support the deal. Availability concerns and the substantial fee reduce the value score.</x:v>
      </x:c>
      <x:c r="N479" s="75" t="str">
        <x:v>Low</x:v>
      </x:c>
      <x:c r="O479" s="75" t="str">
        <x:v>Editorial draft; comparable production, availability and source ages not fully verified. No weighted components fabricated.</x:v>
      </x:c>
      <x:c r="P479" s="75" t="str">
        <x:v>https://github.com/CopiousHighlights/football-transfer-market-analysis</x:v>
      </x:c>
    </x:row>
    <x:row r="480" ht="25" customHeight="1">
      <x:c r="A480" s="69" t="str">
        <x:v>historical-132</x:v>
      </x:c>
      <x:c r="B480" s="69" t="str">
        <x:v>Raphinha</x:v>
      </x:c>
      <x:c r="C480" s="69" t="str">
        <x:v>Barcelona</x:v>
      </x:c>
      <x:c r="D480" s="69" t="str">
        <x:v>Leeds</x:v>
      </x:c>
      <x:c r="E480" s="76" t="d">
        <x:v>2022-07-13T00:00:00.000Z</x:v>
      </x:c>
      <x:c r="F480" s="69" t="str">
        <x:v>historical</x:v>
      </x:c>
      <x:c r="G480" s="69" t="str">
        <x:v>Winger</x:v>
      </x:c>
      <x:c r="H480" s="78" t="n">
        <x:v>58000000</x:v>
      </x:c>
      <x:c r="I480" s="69" t="str">
        <x:v>EUR</x:v>
      </x:c>
      <x:c r="J480" s="80" t="n">
        <x:v>26</x:v>
      </x:c>
      <x:c r="K480" s="82" t="n">
        <x:v>9.7</x:v>
      </x:c>
      <x:c r="L480" s="69" t="str">
        <x:v>Your rating</x:v>
      </x:c>
      <x:c r="M480" s="69" t="str">
        <x:v>Owner assessment: high production, low cost and good age.</x:v>
      </x:c>
      <x:c r="N480" s="69" t="str">
        <x:v>Low</x:v>
      </x:c>
      <x:c r="O480" s="69" t="str">
        <x:v>Owner editorial assessment; production claims and injury concerns are attributed opinions.</x:v>
      </x:c>
      <x:c r="P480" s="69" t="str">
        <x:v>https://github.com/CopiousHighlights/football-transfer-market-analysis</x:v>
      </x:c>
    </x:row>
    <x:row r="481" ht="25" customHeight="1">
      <x:c r="A481" s="75" t="str">
        <x:v>historical-137</x:v>
      </x:c>
      <x:c r="B481" s="75" t="str">
        <x:v>Raheem Sterling</x:v>
      </x:c>
      <x:c r="C481" s="75" t="str">
        <x:v>Chelsea</x:v>
      </x:c>
      <x:c r="D481" s="75" t="str">
        <x:v>Man City</x:v>
      </x:c>
      <x:c r="E481" s="77" t="d">
        <x:v>2022-07-13T00:00:00.000Z</x:v>
      </x:c>
      <x:c r="F481" s="75" t="str">
        <x:v>historical</x:v>
      </x:c>
      <x:c r="G481" s="75" t="str">
        <x:v>Winger</x:v>
      </x:c>
      <x:c r="H481" s="79" t="n">
        <x:v>56200000</x:v>
      </x:c>
      <x:c r="I481" s="75" t="str">
        <x:v>EUR</x:v>
      </x:c>
      <x:c r="J481" s="81" t="n">
        <x:v>28</x:v>
      </x:c>
      <x:c r="K481" s="83" t="n">
        <x:v>5.6</x:v>
      </x:c>
      <x:c r="L481" s="75" t="str">
        <x:v>Assistant draft</x:v>
      </x:c>
      <x:c r="M481" s="75" t="str">
        <x:v>My retrospective assessment: the Chelsea deal offered less useful runway and a weaker return than the separate City purchase, despite a significant fee.</x:v>
      </x:c>
      <x:c r="N481" s="75" t="str">
        <x:v>Low</x:v>
      </x:c>
      <x:c r="O481" s="75" t="str">
        <x:v>Editorial draft; comparable production, availability and source ages not fully verified. No weighted components fabricated.</x:v>
      </x:c>
      <x:c r="P481" s="75" t="str">
        <x:v>https://github.com/CopiousHighlights/football-transfer-market-analysis</x:v>
      </x:c>
    </x:row>
    <x:row r="482" ht="25" customHeight="1">
      <x:c r="A482" s="69" t="str">
        <x:v>historical-138</x:v>
      </x:c>
      <x:c r="B482" s="69" t="str">
        <x:v>Noni Madueke</x:v>
      </x:c>
      <x:c r="C482" s="69" t="str">
        <x:v>Arsenal</x:v>
      </x:c>
      <x:c r="D482" s="69" t="str">
        <x:v>Chelsea</x:v>
      </x:c>
      <x:c r="E482" s="76" t="d">
        <x:v>2025-07-18T00:00:00.000Z</x:v>
      </x:c>
      <x:c r="F482" s="69" t="str">
        <x:v>historical</x:v>
      </x:c>
      <x:c r="G482" s="69" t="str">
        <x:v>Winger</x:v>
      </x:c>
      <x:c r="H482" s="78" t="n">
        <x:v>56000000</x:v>
      </x:c>
      <x:c r="I482" s="69" t="str">
        <x:v>EUR</x:v>
      </x:c>
      <x:c r="J482" s="80" t="n">
        <x:v>23</x:v>
      </x:c>
      <x:c r="K482" s="82" t="n">
        <x:v>7.5</x:v>
      </x:c>
      <x:c r="L482" s="69" t="str">
        <x:v>Assistant draft</x:v>
      </x:c>
      <x:c r="M482" s="69" t="str">
        <x:v>My draft assessment: age and potential help, but the fee buys upside as well as demonstrated output. Buyer-specific production requires further review.</x:v>
      </x:c>
      <x:c r="N482" s="69" t="str">
        <x:v>Low</x:v>
      </x:c>
      <x:c r="O482" s="69" t="str">
        <x:v>Editorial draft; comparable production, availability and source ages not fully verified. No weighted components fabricated.</x:v>
      </x:c>
      <x:c r="P482" s="69" t="str">
        <x:v>https://github.com/CopiousHighlights/football-transfer-market-analysis</x:v>
      </x:c>
    </x:row>
    <x:row r="483" ht="25" customHeight="1">
      <x:c r="A483" s="75" t="str">
        <x:v>historical-139</x:v>
      </x:c>
      <x:c r="B483" s="75" t="str">
        <x:v>Jamie Gittens</x:v>
      </x:c>
      <x:c r="C483" s="75" t="str">
        <x:v>Chelsea</x:v>
      </x:c>
      <x:c r="D483" s="75" t="str">
        <x:v>Dortmund</x:v>
      </x:c>
      <x:c r="E483" s="77" t="d">
        <x:v>2025-07-05T00:00:00.000Z</x:v>
      </x:c>
      <x:c r="F483" s="75" t="str">
        <x:v>historical</x:v>
      </x:c>
      <x:c r="G483" s="75" t="str">
        <x:v>Winger</x:v>
      </x:c>
      <x:c r="H483" s="79" t="n">
        <x:v>56000000</x:v>
      </x:c>
      <x:c r="I483" s="75" t="str">
        <x:v>EUR</x:v>
      </x:c>
      <x:c r="J483" s="81" t="n">
        <x:v>21</x:v>
      </x:c>
      <x:c r="K483" s="83" t="n">
        <x:v>7</x:v>
      </x:c>
      <x:c r="L483" s="75" t="str">
        <x:v>Assistant draft</x:v>
      </x:c>
      <x:c r="M483" s="75" t="str">
        <x:v>My cautious draft: youth and development potential support some value, but a substantial price raises the required future return.</x:v>
      </x:c>
      <x:c r="N483" s="75" t="str">
        <x:v>Low</x:v>
      </x:c>
      <x:c r="O483" s="75" t="str">
        <x:v>Editorial draft; comparable production, availability and source ages not fully verified. No weighted components fabricated.</x:v>
      </x:c>
      <x:c r="P483" s="75" t="str">
        <x:v>https://github.com/CopiousHighlights/football-transfer-market-analysis</x:v>
      </x:c>
    </x:row>
    <x:row r="484" ht="25" customHeight="1">
      <x:c r="A484" s="69" t="str">
        <x:v>historical-140</x:v>
      </x:c>
      <x:c r="B484" s="69" t="str">
        <x:v>Hulk</x:v>
      </x:c>
      <x:c r="C484" s="69" t="str">
        <x:v>SH SIPG</x:v>
      </x:c>
      <x:c r="D484" s="69" t="str">
        <x:v>Zenit S-Pb</x:v>
      </x:c>
      <x:c r="E484" s="76" t="d">
        <x:v>2016-07-01T00:00:00.000Z</x:v>
      </x:c>
      <x:c r="F484" s="69" t="str">
        <x:v>historical</x:v>
      </x:c>
      <x:c r="G484" s="69" t="str">
        <x:v>Winger</x:v>
      </x:c>
      <x:c r="H484" s="78" t="n">
        <x:v>56000000</x:v>
      </x:c>
      <x:c r="I484" s="69" t="str">
        <x:v>EUR</x:v>
      </x:c>
      <x:c r="J484" s="80" t="n">
        <x:v>30</x:v>
      </x:c>
      <x:c r="K484" s="82" t="n">
        <x:v>8.6</x:v>
      </x:c>
      <x:c r="L484" s="69" t="str">
        <x:v>Assistant draft</x:v>
      </x:c>
      <x:c r="M484" s="69" t="str">
        <x:v>My retrospective assessment: strong attacking ability supports a good return, tempered by age at signing and competition context.</x:v>
      </x:c>
      <x:c r="N484" s="69" t="str">
        <x:v>Low</x:v>
      </x:c>
      <x:c r="O484" s="69" t="str">
        <x:v>Editorial draft; comparable production, availability and source ages not fully verified. No weighted components fabricated.</x:v>
      </x:c>
      <x:c r="P484" s="69" t="str">
        <x:v>https://github.com/CopiousHighlights/football-transfer-market-analysis</x:v>
      </x:c>
    </x:row>
    <x:row r="485" ht="25" customHeight="1">
      <x:c r="A485" s="75" t="str">
        <x:v>historical-142</x:v>
      </x:c>
      <x:c r="B485" s="75" t="str">
        <x:v>Moussa Diaby</x:v>
      </x:c>
      <x:c r="C485" s="75" t="str">
        <x:v>Aston Villa</x:v>
      </x:c>
      <x:c r="D485" s="75" t="str">
        <x:v>Leverkusen</x:v>
      </x:c>
      <x:c r="E485" s="77" t="d">
        <x:v>2023-07-22T00:00:00.000Z</x:v>
      </x:c>
      <x:c r="F485" s="75" t="str">
        <x:v>historical</x:v>
      </x:c>
      <x:c r="G485" s="75" t="str">
        <x:v>Winger</x:v>
      </x:c>
      <x:c r="H485" s="79" t="n">
        <x:v>55000000</x:v>
      </x:c>
      <x:c r="I485" s="75" t="str">
        <x:v>EUR</x:v>
      </x:c>
      <x:c r="J485" s="81" t="n">
        <x:v>24</x:v>
      </x:c>
      <x:c r="K485" s="83" t="n">
        <x:v>7.3</x:v>
      </x:c>
      <x:c r="L485" s="75" t="str">
        <x:v>Assistant draft</x:v>
      </x:c>
      <x:c r="M485" s="75" t="str">
        <x:v>My retrospective assessment: useful attacking contribution, but a sizeable fee and short stay limit the playing-value case. Verified resale figures would refine it.</x:v>
      </x:c>
      <x:c r="N485" s="75" t="str">
        <x:v>Low</x:v>
      </x:c>
      <x:c r="O485" s="75" t="str">
        <x:v>Editorial draft; comparable production, availability and source ages not fully verified. No weighted components fabricated.</x:v>
      </x:c>
      <x:c r="P485" s="75" t="str">
        <x:v>https://github.com/CopiousHighlights/football-transfer-market-analysis</x:v>
      </x:c>
    </x:row>
    <x:row r="486" ht="25" customHeight="1">
      <x:c r="A486" s="69" t="str">
        <x:v>historical-143</x:v>
      </x:c>
      <x:c r="B486" s="69" t="str">
        <x:v>Brennan Johnson</x:v>
      </x:c>
      <x:c r="C486" s="69" t="str">
        <x:v>Tottenham</x:v>
      </x:c>
      <x:c r="D486" s="69" t="str">
        <x:v>Nott'm Forest</x:v>
      </x:c>
      <x:c r="E486" s="76" t="d">
        <x:v>2023-09-01T00:00:00.000Z</x:v>
      </x:c>
      <x:c r="F486" s="69" t="str">
        <x:v>historical</x:v>
      </x:c>
      <x:c r="G486" s="69" t="str">
        <x:v>Winger</x:v>
      </x:c>
      <x:c r="H486" s="78" t="n">
        <x:v>55000000</x:v>
      </x:c>
      <x:c r="I486" s="69" t="str">
        <x:v>EUR</x:v>
      </x:c>
      <x:c r="J486" s="80" t="n">
        <x:v>22</x:v>
      </x:c>
      <x:c r="K486" s="82" t="n">
        <x:v>8.3</x:v>
      </x:c>
      <x:c r="L486" s="69" t="str">
        <x:v>Assistant draft</x:v>
      </x:c>
      <x:c r="M486" s="69" t="str">
        <x:v>My assessment: scoring contribution and useful age support value, though the relatively high fee keeps him below the outstanding-value benchmarks.</x:v>
      </x:c>
      <x:c r="N486" s="69" t="str">
        <x:v>Low</x:v>
      </x:c>
      <x:c r="O486" s="69" t="str">
        <x:v>Editorial draft; comparable production, availability and source ages not fully verified. No weighted components fabricated.</x:v>
      </x:c>
      <x:c r="P486" s="69" t="str">
        <x:v>https://github.com/CopiousHighlights/football-transfer-market-analysis</x:v>
      </x:c>
    </x:row>
    <x:row r="487" ht="25" customHeight="1">
      <x:c r="A487" s="75" t="str">
        <x:v>historical-144</x:v>
      </x:c>
      <x:c r="B487" s="75" t="str">
        <x:v>Ibrahim Mbaye</x:v>
      </x:c>
      <x:c r="C487" s="75" t="str">
        <x:v>Aston Villa</x:v>
      </x:c>
      <x:c r="D487" s="75" t="str">
        <x:v>PSG</x:v>
      </x:c>
      <x:c r="E487" s="77" t="d">
        <x:v>2026-09-01T00:00:00.000Z</x:v>
      </x:c>
      <x:c r="F487" s="75" t="str">
        <x:v>historical</x:v>
      </x:c>
      <x:c r="G487" s="75" t="str">
        <x:v>Winger</x:v>
      </x:c>
      <x:c r="H487" s="79" t="n">
        <x:v>55000000</x:v>
      </x:c>
      <x:c r="I487" s="75" t="str">
        <x:v>EUR</x:v>
      </x:c>
      <x:c r="J487" s="81" t="n">
        <x:v>18</x:v>
      </x:c>
      <x:c r="K487" s="83"/>
      <x:c r="L487" s="75" t="str">
        <x:v>Evidence needed</x:v>
      </x:c>
      <x:c r="M487" s="75" t="str">
        <x:v>Recent workbook transfer: buyer-specific production and independent transfer verification are needed before scoring. The original fee is retained, not certified.</x:v>
      </x:c>
      <x:c r="N487" s="75" t="str">
        <x:v>Not assessed</x:v>
      </x:c>
      <x:c r="O487" s="75" t="str">
        <x:v>Transfer and buyer-specific production verification needed.</x:v>
      </x:c>
      <x:c r="P487" s="75" t="str">
        <x:v>https://github.com/CopiousHighlights/football-transfer-market-analysis</x:v>
      </x:c>
    </x:row>
    <x:row r="488" ht="25" customHeight="1">
      <x:c r="A488" s="69" t="str">
        <x:v>historical-152</x:v>
      </x:c>
      <x:c r="B488" s="69" t="str">
        <x:v>Michael Olise</x:v>
      </x:c>
      <x:c r="C488" s="69" t="str">
        <x:v>Bayern Munich</x:v>
      </x:c>
      <x:c r="D488" s="69" t="str">
        <x:v>Crystal Palace</x:v>
      </x:c>
      <x:c r="E488" s="76" t="d">
        <x:v>2024-07-07T00:00:00.000Z</x:v>
      </x:c>
      <x:c r="F488" s="69" t="str">
        <x:v>historical</x:v>
      </x:c>
      <x:c r="G488" s="69" t="str">
        <x:v>Winger</x:v>
      </x:c>
      <x:c r="H488" s="78" t="n">
        <x:v>53000000</x:v>
      </x:c>
      <x:c r="I488" s="69" t="str">
        <x:v>EUR</x:v>
      </x:c>
      <x:c r="J488" s="80" t="n">
        <x:v>23</x:v>
      </x:c>
      <x:c r="K488" s="82" t="n">
        <x:v>9.8</x:v>
      </x:c>
      <x:c r="L488" s="69" t="str">
        <x:v>Your rating</x:v>
      </x:c>
      <x:c r="M488" s="69" t="str">
        <x:v>Owner assessment: high production, low cost and good age.</x:v>
      </x:c>
      <x:c r="N488" s="69" t="str">
        <x:v>Low</x:v>
      </x:c>
      <x:c r="O488" s="69" t="str">
        <x:v>Owner editorial assessment; production claims and injury concerns are attributed opinions.</x:v>
      </x:c>
      <x:c r="P488" s="69" t="str">
        <x:v>https://github.com/CopiousHighlights/football-transfer-market-analysis</x:v>
      </x:c>
    </x:row>
    <x:row r="489" ht="25" customHeight="1">
      <x:c r="A489" s="75" t="str">
        <x:v>historical-160</x:v>
      </x:c>
      <x:c r="B489" s="75" t="str">
        <x:v>Leroy Sané</x:v>
      </x:c>
      <x:c r="C489" s="75" t="str">
        <x:v>Man City</x:v>
      </x:c>
      <x:c r="D489" s="75" t="str">
        <x:v>FC Schalke 04</x:v>
      </x:c>
      <x:c r="E489" s="77" t="d">
        <x:v>2016-08-02T00:00:00.000Z</x:v>
      </x:c>
      <x:c r="F489" s="75" t="str">
        <x:v>historical</x:v>
      </x:c>
      <x:c r="G489" s="75" t="str">
        <x:v>Winger</x:v>
      </x:c>
      <x:c r="H489" s="79" t="n">
        <x:v>52000000</x:v>
      </x:c>
      <x:c r="I489" s="75" t="str">
        <x:v>EUR</x:v>
      </x:c>
      <x:c r="J489" s="81" t="n">
        <x:v>20</x:v>
      </x:c>
      <x:c r="K489" s="83" t="n">
        <x:v>9.1</x:v>
      </x:c>
      <x:c r="L489" s="75" t="str">
        <x:v>Assistant draft</x:v>
      </x:c>
      <x:c r="M489" s="75" t="str">
        <x:v>My retrospective assessment: young at signing with strong attacking contribution and development upside, making the price attractive relative to our benchmarks.</x:v>
      </x:c>
      <x:c r="N489" s="75" t="str">
        <x:v>Low</x:v>
      </x:c>
      <x:c r="O489" s="75" t="str">
        <x:v>Editorial draft; comparable production, availability and source ages not fully verified. No weighted components fabricated.</x:v>
      </x:c>
      <x:c r="P489" s="75" t="str">
        <x:v>https://github.com/CopiousHighlights/football-transfer-market-analysis</x:v>
      </x:c>
    </x:row>
    <x:row r="490" ht="25" customHeight="1">
      <x:c r="A490" s="69" t="str">
        <x:v>historical-164</x:v>
      </x:c>
      <x:c r="B490" s="69" t="str">
        <x:v>Geovany Quenda</x:v>
      </x:c>
      <x:c r="C490" s="69" t="str">
        <x:v>Chelsea</x:v>
      </x:c>
      <x:c r="D490" s="69" t="str">
        <x:v>Sporting</x:v>
      </x:c>
      <x:c r="E490" s="76" t="d">
        <x:v>2026-07-01T00:00:00.000Z</x:v>
      </x:c>
      <x:c r="F490" s="69" t="str">
        <x:v>historical</x:v>
      </x:c>
      <x:c r="G490" s="69" t="str">
        <x:v>Winger</x:v>
      </x:c>
      <x:c r="H490" s="78" t="n">
        <x:v>50700000</x:v>
      </x:c>
      <x:c r="I490" s="69" t="str">
        <x:v>EUR</x:v>
      </x:c>
      <x:c r="J490" s="80" t="n">
        <x:v>19</x:v>
      </x:c>
      <x:c r="K490" s="82" t="n">
        <x:v>7.8</x:v>
      </x:c>
      <x:c r="L490" s="69" t="str">
        <x:v>Assistant draft</x:v>
      </x:c>
      <x:c r="M490" s="69" t="str">
        <x:v>My early draft: youth and potential support the investment. A short observation period and limited buyer-specific evidence prevent a higher score.</x:v>
      </x:c>
      <x:c r="N490" s="69" t="str">
        <x:v>Low</x:v>
      </x:c>
      <x:c r="O490" s="69" t="str">
        <x:v>Editorial draft; comparable production, availability and source ages not fully verified. No weighted components fabricated.</x:v>
      </x:c>
      <x:c r="P490" s="69" t="str">
        <x:v>https://www.chelseafc.com/en/news/article/geovany-quenda-joins-chelsea</x:v>
      </x:c>
    </x:row>
    <x:row r="491" ht="25" customHeight="1">
      <x:c r="A491" s="75" t="str">
        <x:v>historical-168</x:v>
      </x:c>
      <x:c r="B491" s="75" t="str">
        <x:v>Désiré Doué</x:v>
      </x:c>
      <x:c r="C491" s="75" t="str">
        <x:v>PSG</x:v>
      </x:c>
      <x:c r="D491" s="75" t="str">
        <x:v>Stade Rennais</x:v>
      </x:c>
      <x:c r="E491" s="77" t="d">
        <x:v>2024-08-17T00:00:00.000Z</x:v>
      </x:c>
      <x:c r="F491" s="75" t="str">
        <x:v>historical</x:v>
      </x:c>
      <x:c r="G491" s="75" t="str">
        <x:v>Winger</x:v>
      </x:c>
      <x:c r="H491" s="79" t="n">
        <x:v>50000000</x:v>
      </x:c>
      <x:c r="I491" s="75" t="str">
        <x:v>EUR</x:v>
      </x:c>
      <x:c r="J491" s="81" t="n">
        <x:v>19</x:v>
      </x:c>
      <x:c r="K491" s="83" t="n">
        <x:v>9.5</x:v>
      </x:c>
      <x:c r="L491" s="75" t="str">
        <x:v>Assistant draft</x:v>
      </x:c>
      <x:c r="M491" s="75" t="str">
        <x:v>My assessment: youth, development upside and major attacking impact support outstanding value. PSG confirms two goals and an assist in the 2025 Champions League final.</x:v>
      </x:c>
      <x:c r="N491" s="75" t="str">
        <x:v>Low</x:v>
      </x:c>
      <x:c r="O491" s="75" t="str">
        <x:v>Editorial draft; comparable production, availability and source ages not fully verified. No weighted components fabricated.</x:v>
      </x:c>
      <x:c r="P491" s="75" t="str">
        <x:v>https://www.psg.fr/en/players/desire-doue</x:v>
      </x:c>
    </x:row>
    <x:row r="492" ht="25" customHeight="1">
      <x:c r="A492" s="69" t="str">
        <x:v>historical-170</x:v>
      </x:c>
      <x:c r="B492" s="69" t="str">
        <x:v>Galeno</x:v>
      </x:c>
      <x:c r="C492" s="69" t="str">
        <x:v>Al-Ahli</x:v>
      </x:c>
      <x:c r="D492" s="69" t="str">
        <x:v>Porto</x:v>
      </x:c>
      <x:c r="E492" s="76" t="d">
        <x:v>2025-01-31T00:00:00.000Z</x:v>
      </x:c>
      <x:c r="F492" s="69" t="str">
        <x:v>historical</x:v>
      </x:c>
      <x:c r="G492" s="69" t="str">
        <x:v>Winger</x:v>
      </x:c>
      <x:c r="H492" s="78" t="n">
        <x:v>50000000</x:v>
      </x:c>
      <x:c r="I492" s="69" t="str">
        <x:v>EUR</x:v>
      </x:c>
      <x:c r="J492" s="80" t="n">
        <x:v>28</x:v>
      </x:c>
      <x:c r="K492" s="82" t="n">
        <x:v>7.5</x:v>
      </x:c>
      <x:c r="L492" s="69" t="str">
        <x:v>Assistant draft</x:v>
      </x:c>
      <x:c r="M492" s="69" t="str">
        <x:v>My cautious draft: attacking ability supports some value, but the price and competition context limit the comparison with elite-league deals.</x:v>
      </x:c>
      <x:c r="N492" s="69" t="str">
        <x:v>Low</x:v>
      </x:c>
      <x:c r="O492" s="69" t="str">
        <x:v>Editorial draft; comparable production, availability and source ages not fully verified. No weighted components fabricated.</x:v>
      </x:c>
      <x:c r="P492" s="69" t="str">
        <x:v>https://github.com/CopiousHighlights/football-transfer-market-analysis</x:v>
      </x:c>
    </x:row>
    <x:row r="493" ht="25" customHeight="1">
      <x:c r="A493" s="75" t="str">
        <x:v>historical-178</x:v>
      </x:c>
      <x:c r="B493" s="75" t="str">
        <x:v>Ousmane Dembélé</x:v>
      </x:c>
      <x:c r="C493" s="75" t="str">
        <x:v>PSG</x:v>
      </x:c>
      <x:c r="D493" s="75" t="str">
        <x:v>Barcelona</x:v>
      </x:c>
      <x:c r="E493" s="77" t="d">
        <x:v>2023-08-12T00:00:00.000Z</x:v>
      </x:c>
      <x:c r="F493" s="75" t="str">
        <x:v>historical</x:v>
      </x:c>
      <x:c r="G493" s="75" t="str">
        <x:v>Winger</x:v>
      </x:c>
      <x:c r="H493" s="79" t="n">
        <x:v>50000000</x:v>
      </x:c>
      <x:c r="I493" s="75" t="str">
        <x:v>EUR</x:v>
      </x:c>
      <x:c r="J493" s="81" t="n">
        <x:v>26</x:v>
      </x:c>
      <x:c r="K493" s="83" t="n">
        <x:v>9.3</x:v>
      </x:c>
      <x:c r="L493" s="75" t="str">
        <x:v>Your rating</x:v>
      </x:c>
      <x:c r="M493" s="75" t="str">
        <x:v>Owner assessment: great production and price, offset by age and injury concerns. Ballon d’Or cited by owner as supporting context, not a separate scoring factor.</x:v>
      </x:c>
      <x:c r="N493" s="75" t="str">
        <x:v>Low</x:v>
      </x:c>
      <x:c r="O493" s="75" t="str">
        <x:v>Owner editorial assessment; production claims and injury concerns are attributed opinions.</x:v>
      </x:c>
      <x:c r="P493" s="75" t="str">
        <x:v>https://github.com/CopiousHighlights/football-transfer-market-analysis</x:v>
      </x:c>
    </x:row>
    <x:row r="494" ht="25" customHeight="1">
      <x:c r="A494" s="69" t="str">
        <x:v>historical-182</x:v>
      </x:c>
      <x:c r="B494" s="69" t="str">
        <x:v>Hirving Lozano</x:v>
      </x:c>
      <x:c r="C494" s="69" t="str">
        <x:v>Napoli</x:v>
      </x:c>
      <x:c r="D494" s="69" t="str">
        <x:v>PSV</x:v>
      </x:c>
      <x:c r="E494" s="76" t="d">
        <x:v>2019-08-23T00:00:00.000Z</x:v>
      </x:c>
      <x:c r="F494" s="69" t="str">
        <x:v>historical</x:v>
      </x:c>
      <x:c r="G494" s="69" t="str">
        <x:v>Winger</x:v>
      </x:c>
      <x:c r="H494" s="78" t="n">
        <x:v>50000000</x:v>
      </x:c>
      <x:c r="I494" s="69" t="str">
        <x:v>EUR</x:v>
      </x:c>
      <x:c r="J494" s="80" t="n">
        <x:v>24</x:v>
      </x:c>
      <x:c r="K494" s="82" t="n">
        <x:v>7.3</x:v>
      </x:c>
      <x:c r="L494" s="69" t="str">
        <x:v>Assistant draft</x:v>
      </x:c>
      <x:c r="M494" s="69" t="str">
        <x:v>My retrospective assessment: useful contribution and age at signing help, but the price required a stronger sustained individual attacking return.</x:v>
      </x:c>
      <x:c r="N494" s="69" t="str">
        <x:v>Low</x:v>
      </x:c>
      <x:c r="O494" s="69" t="str">
        <x:v>Editorial draft; comparable production, availability and source ages not fully verified. No weighted components fabricated.</x:v>
      </x:c>
      <x:c r="P494" s="69" t="str">
        <x:v>https://github.com/CopiousHighlights/football-transfer-market-analysis</x:v>
      </x:c>
    </x:row>
    <x:row r="495" ht="25" customHeight="1">
      <x:c r="A495" s="75" t="str">
        <x:v>historical-184</x:v>
      </x:c>
      <x:c r="B495" s="75" t="str">
        <x:v>Rafael Leão</x:v>
      </x:c>
      <x:c r="C495" s="75" t="str">
        <x:v>AC Milan</x:v>
      </x:c>
      <x:c r="D495" s="75" t="str">
        <x:v>Lille</x:v>
      </x:c>
      <x:c r="E495" s="77" t="d">
        <x:v>2019-08-01T00:00:00.000Z</x:v>
      </x:c>
      <x:c r="F495" s="75" t="str">
        <x:v>historical</x:v>
      </x:c>
      <x:c r="G495" s="75" t="str">
        <x:v>Winger</x:v>
      </x:c>
      <x:c r="H495" s="79" t="n">
        <x:v>49500000</x:v>
      </x:c>
      <x:c r="I495" s="75" t="str">
        <x:v>EUR</x:v>
      </x:c>
      <x:c r="J495" s="81" t="n">
        <x:v>20</x:v>
      </x:c>
      <x:c r="K495" s="83" t="n">
        <x:v>9.1</x:v>
      </x:c>
      <x:c r="L495" s="75" t="str">
        <x:v>Assistant draft</x:v>
      </x:c>
      <x:c r="M495" s="75" t="str">
        <x:v>My assessment: youth at signing, attacking quality and useful seasons support a strong production-to-price return.</x:v>
      </x:c>
      <x:c r="N495" s="75" t="str">
        <x:v>Low</x:v>
      </x:c>
      <x:c r="O495" s="75" t="str">
        <x:v>Editorial draft; comparable production, availability and source ages not fully verified. No weighted components fabricated.</x:v>
      </x:c>
      <x:c r="P495" s="75" t="str">
        <x:v>https://github.com/CopiousHighlights/football-transfer-market-analysis</x:v>
      </x:c>
    </x:row>
    <x:row r="496" ht="25" customHeight="1">
      <x:c r="A496" s="69" t="str">
        <x:v>historical-187</x:v>
      </x:c>
      <x:c r="B496" s="69" t="str">
        <x:v>Luis Díaz</x:v>
      </x:c>
      <x:c r="C496" s="69" t="str">
        <x:v>Liverpool</x:v>
      </x:c>
      <x:c r="D496" s="69" t="str">
        <x:v>Porto</x:v>
      </x:c>
      <x:c r="E496" s="76" t="d">
        <x:v>2022-01-30T00:00:00.000Z</x:v>
      </x:c>
      <x:c r="F496" s="69" t="str">
        <x:v>historical</x:v>
      </x:c>
      <x:c r="G496" s="69" t="str">
        <x:v>Winger</x:v>
      </x:c>
      <x:c r="H496" s="78" t="n">
        <x:v>49000000</x:v>
      </x:c>
      <x:c r="I496" s="69" t="str">
        <x:v>EUR</x:v>
      </x:c>
      <x:c r="J496" s="80" t="n">
        <x:v>25</x:v>
      </x:c>
      <x:c r="K496" s="82" t="n">
        <x:v>9.4</x:v>
      </x:c>
      <x:c r="L496" s="69" t="str">
        <x:v>Your rating</x:v>
      </x:c>
      <x:c r="M496" s="69" t="str">
        <x:v>Owner assessment: great contribution for Liverpool and resale profit. Profit belongs to fee-versus-worth context.</x:v>
      </x:c>
      <x:c r="N496" s="69" t="str">
        <x:v>Low</x:v>
      </x:c>
      <x:c r="O496" s="69" t="str">
        <x:v>Owner editorial assessment; production claims and injury concerns are attributed opinions.</x:v>
      </x:c>
      <x:c r="P496" s="69" t="str">
        <x:v>https://github.com/CopiousHighlights/football-transfer-market-analysis</x:v>
      </x:c>
    </x:row>
    <x:row r="497" ht="25" customHeight="1">
      <x:c r="A497" s="75" t="str">
        <x:v>historical-188</x:v>
      </x:c>
      <x:c r="B497" s="75" t="str">
        <x:v>Leroy Sané</x:v>
      </x:c>
      <x:c r="C497" s="75" t="str">
        <x:v>Bayern Munich</x:v>
      </x:c>
      <x:c r="D497" s="75" t="str">
        <x:v>Man City</x:v>
      </x:c>
      <x:c r="E497" s="77" t="d">
        <x:v>2020-07-15T00:00:00.000Z</x:v>
      </x:c>
      <x:c r="F497" s="75" t="str">
        <x:v>historical</x:v>
      </x:c>
      <x:c r="G497" s="75" t="str">
        <x:v>Winger</x:v>
      </x:c>
      <x:c r="H497" s="79" t="n">
        <x:v>49000000</x:v>
      </x:c>
      <x:c r="I497" s="75" t="str">
        <x:v>EUR</x:v>
      </x:c>
      <x:c r="J497" s="81" t="n">
        <x:v>24</x:v>
      </x:c>
      <x:c r="K497" s="83" t="n">
        <x:v>8.4</x:v>
      </x:c>
      <x:c r="L497" s="75" t="str">
        <x:v>Assistant draft</x:v>
      </x:c>
      <x:c r="M497" s="75" t="str">
        <x:v>My assessment: useful attacking contribution at a reasonable price, with availability and consistency limiting the value score.</x:v>
      </x:c>
      <x:c r="N497" s="75" t="str">
        <x:v>Low</x:v>
      </x:c>
      <x:c r="O497" s="75" t="str">
        <x:v>Editorial draft; comparable production, availability and source ages not fully verified. No weighted components fabricated.</x:v>
      </x:c>
      <x:c r="P497" s="75" t="str">
        <x:v>https://github.com/CopiousHighlights/football-transfer-market-analysis</x:v>
      </x:c>
    </x:row>
    <x:row r="498" ht="25" customHeight="1">
      <x:c r="A498" s="69" t="str">
        <x:v>historical-198</x:v>
      </x:c>
      <x:c r="B498" s="69" t="str">
        <x:v>Alejandro Garnacho</x:v>
      </x:c>
      <x:c r="C498" s="69" t="str">
        <x:v>Chelsea</x:v>
      </x:c>
      <x:c r="D498" s="69" t="str">
        <x:v>Man Utd</x:v>
      </x:c>
      <x:c r="E498" s="76" t="d">
        <x:v>2025-08-30T00:00:00.000Z</x:v>
      </x:c>
      <x:c r="F498" s="69" t="str">
        <x:v>historical</x:v>
      </x:c>
      <x:c r="G498" s="69" t="str">
        <x:v>Winger</x:v>
      </x:c>
      <x:c r="H498" s="78" t="n">
        <x:v>46200000</x:v>
      </x:c>
      <x:c r="I498" s="69" t="str">
        <x:v>EUR</x:v>
      </x:c>
      <x:c r="J498" s="80" t="n">
        <x:v>21</x:v>
      </x:c>
      <x:c r="K498" s="82" t="n">
        <x:v>7.1</x:v>
      </x:c>
      <x:c r="L498" s="69" t="str">
        <x:v>Assistant draft</x:v>
      </x:c>
      <x:c r="M498" s="69" t="str">
        <x:v>My cautious draft: age and upside help, but the substantial fee still needs a more convincing sustained attacking return.</x:v>
      </x:c>
      <x:c r="N498" s="69" t="str">
        <x:v>Low</x:v>
      </x:c>
      <x:c r="O498" s="69" t="str">
        <x:v>Editorial draft; comparable production, availability and source ages not fully verified. No weighted components fabricated.</x:v>
      </x:c>
      <x:c r="P498" s="69" t="str">
        <x:v>https://github.com/CopiousHighlights/football-transfer-market-analysis</x:v>
      </x:c>
    </x:row>
    <x:row r="499" ht="25" customHeight="1">
      <x:c r="A499" s="75" t="str">
        <x:v>historical-199</x:v>
      </x:c>
      <x:c r="B499" s="75" t="str">
        <x:v>Anthony Gordon</x:v>
      </x:c>
      <x:c r="C499" s="75" t="str">
        <x:v>Newcastle</x:v>
      </x:c>
      <x:c r="D499" s="75" t="str">
        <x:v>Everton</x:v>
      </x:c>
      <x:c r="E499" s="77" t="d">
        <x:v>2023-01-29T00:00:00.000Z</x:v>
      </x:c>
      <x:c r="F499" s="75" t="str">
        <x:v>historical</x:v>
      </x:c>
      <x:c r="G499" s="75" t="str">
        <x:v>Winger</x:v>
      </x:c>
      <x:c r="H499" s="79" t="n">
        <x:v>45600000</x:v>
      </x:c>
      <x:c r="I499" s="75" t="str">
        <x:v>EUR</x:v>
      </x:c>
      <x:c r="J499" s="81" t="n">
        <x:v>22</x:v>
      </x:c>
      <x:c r="K499" s="83" t="n">
        <x:v>8.5</x:v>
      </x:c>
      <x:c r="L499" s="75" t="str">
        <x:v>Assistant draft</x:v>
      </x:c>
      <x:c r="M499" s="75" t="str">
        <x:v>My assessment: young-age investment, development and attacking contribution support strong value at this separate Newcastle price.</x:v>
      </x:c>
      <x:c r="N499" s="75" t="str">
        <x:v>Low</x:v>
      </x:c>
      <x:c r="O499" s="75" t="str">
        <x:v>Editorial draft; comparable production, availability and source ages not fully verified. No weighted components fabricated.</x:v>
      </x:c>
      <x:c r="P499" s="75" t="str">
        <x:v>https://github.com/CopiousHighlights/football-transfer-market-analysis</x:v>
      </x:c>
    </x:row>
    <x:row r="500" ht="25" customHeight="1">
      <x:c r="A500" s="69" t="str">
        <x:v>summer-S26-0002</x:v>
      </x:c>
      <x:c r="B500" s="69" t="str">
        <x:v>Anass Zaroury</x:v>
      </x:c>
      <x:c r="C500" s="69" t="str">
        <x:v>Panathinaikos</x:v>
      </x:c>
      <x:c r="D500" s="69" t="str">
        <x:v>Lens</x:v>
      </x:c>
      <x:c r="E500" s="76" t="d">
        <x:v>2026-05-22T00:00:00.000Z</x:v>
      </x:c>
      <x:c r="F500" s="69" t="str">
        <x:v>summer</x:v>
      </x:c>
      <x:c r="G500" s="69" t="str">
        <x:v>Winger — source label</x:v>
      </x:c>
      <x:c r="H500" s="78" t="n">
        <x:v>2600000</x:v>
      </x:c>
      <x:c r="I500" s="69" t="str">
        <x:v>GBP</x:v>
      </x:c>
      <x:c r="J500" s="80"/>
      <x:c r="K500" s="82"/>
      <x:c r="L500" s="69" t="str">
        <x:v>Evidence needed</x:v>
      </x:c>
      <x:c r="M500" s="69" t="str">
        <x:v>Comparable buyer-specific scoring, creation, progression and availability evidence needed.</x:v>
      </x:c>
      <x:c r="N500" s="69" t="str">
        <x:v>Not assessed</x:v>
      </x:c>
      <x:c r="O500" s="69" t="str">
        <x:v>Source position and transfer quote only; production and age not validated for this specific deal.</x:v>
      </x:c>
      <x:c r="P500" s="69" t="str">
        <x:v>https://www.theguardian.com/football/ng-interactive/2026/sep/01/mens-transfer-window-summer-2026-all-deals-from-europes-top-five-leagues</x:v>
      </x:c>
    </x:row>
    <x:row r="501" ht="25" customHeight="1">
      <x:c r="A501" s="75" t="str">
        <x:v>summer-S26-0006</x:v>
      </x:c>
      <x:c r="B501" s="75" t="str">
        <x:v>Leon Ayinde</x:v>
      </x:c>
      <x:c r="C501" s="75" t="str">
        <x:v>Doncaster</x:v>
      </x:c>
      <x:c r="D501" s="75" t="str">
        <x:v>Ipswich Town</x:v>
      </x:c>
      <x:c r="E501" s="77" t="d">
        <x:v>2026-05-20T00:00:00.000Z</x:v>
      </x:c>
      <x:c r="F501" s="75" t="str">
        <x:v>summer</x:v>
      </x:c>
      <x:c r="G501" s="75" t="str">
        <x:v>Winger — source label</x:v>
      </x:c>
      <x:c r="H501" s="79"/>
      <x:c r="I501" s="75" t="str">
        <x:v>GBP</x:v>
      </x:c>
      <x:c r="J501" s="81"/>
      <x:c r="K501" s="83"/>
      <x:c r="L501" s="75" t="str">
        <x:v>Evidence needed</x:v>
      </x:c>
      <x:c r="M501" s="75" t="str">
        <x:v>Comparable buyer-specific scoring, creation, progression and availability evidence needed. Transfer fee is undisclosed.</x:v>
      </x:c>
      <x:c r="N501" s="75" t="str">
        <x:v>Not assessed</x:v>
      </x:c>
      <x:c r="O501" s="75" t="str">
        <x:v>Source position and transfer quote only; production and age not validated for this specific deal.</x:v>
      </x:c>
      <x:c r="P501" s="75" t="str">
        <x:v>https://www.theguardian.com/football/ng-interactive/2026/sep/01/mens-transfer-window-summer-2026-all-deals-from-europes-top-five-leagues</x:v>
      </x:c>
    </x:row>
    <x:row r="502" ht="25" customHeight="1">
      <x:c r="A502" s="69" t="str">
        <x:v>summer-S26-0013</x:v>
      </x:c>
      <x:c r="B502" s="69" t="str">
        <x:v>Luis Sinisterra</x:v>
      </x:c>
      <x:c r="C502" s="69" t="str">
        <x:v>Cruzeiro</x:v>
      </x:c>
      <x:c r="D502" s="69" t="str">
        <x:v>Bournemouth</x:v>
      </x:c>
      <x:c r="E502" s="76" t="d">
        <x:v>2026-04-30T00:00:00.000Z</x:v>
      </x:c>
      <x:c r="F502" s="69" t="str">
        <x:v>summer</x:v>
      </x:c>
      <x:c r="G502" s="69" t="str">
        <x:v>Winger — source label</x:v>
      </x:c>
      <x:c r="H502" s="78" t="n">
        <x:v>5200000</x:v>
      </x:c>
      <x:c r="I502" s="69" t="str">
        <x:v>GBP</x:v>
      </x:c>
      <x:c r="J502" s="80"/>
      <x:c r="K502" s="82"/>
      <x:c r="L502" s="69" t="str">
        <x:v>Evidence needed</x:v>
      </x:c>
      <x:c r="M502" s="69" t="str">
        <x:v>Comparable buyer-specific scoring, creation, progression and availability evidence needed.</x:v>
      </x:c>
      <x:c r="N502" s="69" t="str">
        <x:v>Not assessed</x:v>
      </x:c>
      <x:c r="O502" s="69" t="str">
        <x:v>Source position and transfer quote only; production and age not validated for this specific deal.</x:v>
      </x:c>
      <x:c r="P502" s="69" t="str">
        <x:v>https://www.theguardian.com/football/ng-interactive/2026/sep/01/mens-transfer-window-summer-2026-all-deals-from-europes-top-five-leagues</x:v>
      </x:c>
    </x:row>
    <x:row r="503" ht="25" customHeight="1">
      <x:c r="A503" s="75" t="str">
        <x:v>summer-S26-0017</x:v>
      </x:c>
      <x:c r="B503" s="75" t="str">
        <x:v>Jakub Kaminski</x:v>
      </x:c>
      <x:c r="C503" s="75" t="str">
        <x:v>Cologne</x:v>
      </x:c>
      <x:c r="D503" s="75" t="str">
        <x:v>Wolfsburg</x:v>
      </x:c>
      <x:c r="E503" s="77" t="d">
        <x:v>2026-06-03T00:00:00.000Z</x:v>
      </x:c>
      <x:c r="F503" s="75" t="str">
        <x:v>summer</x:v>
      </x:c>
      <x:c r="G503" s="75" t="str">
        <x:v>Winger — source label</x:v>
      </x:c>
      <x:c r="H503" s="79" t="n">
        <x:v>4800000</x:v>
      </x:c>
      <x:c r="I503" s="75" t="str">
        <x:v>GBP</x:v>
      </x:c>
      <x:c r="J503" s="81"/>
      <x:c r="K503" s="83"/>
      <x:c r="L503" s="75" t="str">
        <x:v>Evidence needed</x:v>
      </x:c>
      <x:c r="M503" s="75" t="str">
        <x:v>Comparable buyer-specific scoring, creation, progression and availability evidence needed.</x:v>
      </x:c>
      <x:c r="N503" s="75" t="str">
        <x:v>Not assessed</x:v>
      </x:c>
      <x:c r="O503" s="75" t="str">
        <x:v>Source position and transfer quote only; production and age not validated for this specific deal.</x:v>
      </x:c>
      <x:c r="P503" s="75" t="str">
        <x:v>https://www.theguardian.com/football/ng-interactive/2026/sep/01/mens-transfer-window-summer-2026-all-deals-from-europes-top-five-leagues</x:v>
      </x:c>
    </x:row>
    <x:row r="504" ht="25" customHeight="1">
      <x:c r="A504" s="69" t="str">
        <x:v>summer-S26-0018</x:v>
      </x:c>
      <x:c r="B504" s="69" t="str">
        <x:v>Patrick Wimmer</x:v>
      </x:c>
      <x:c r="C504" s="69" t="str">
        <x:v>Hoffenheim</x:v>
      </x:c>
      <x:c r="D504" s="69" t="str">
        <x:v>Wolfsburg</x:v>
      </x:c>
      <x:c r="E504" s="76" t="d">
        <x:v>2026-06-03T00:00:00.000Z</x:v>
      </x:c>
      <x:c r="F504" s="69" t="str">
        <x:v>summer</x:v>
      </x:c>
      <x:c r="G504" s="69" t="str">
        <x:v>Winger — source label</x:v>
      </x:c>
      <x:c r="H504" s="78" t="n">
        <x:v>8700000</x:v>
      </x:c>
      <x:c r="I504" s="69" t="str">
        <x:v>GBP</x:v>
      </x:c>
      <x:c r="J504" s="80"/>
      <x:c r="K504" s="82"/>
      <x:c r="L504" s="69" t="str">
        <x:v>Evidence needed</x:v>
      </x:c>
      <x:c r="M504" s="69" t="str">
        <x:v>Comparable buyer-specific scoring, creation, progression and availability evidence needed.</x:v>
      </x:c>
      <x:c r="N504" s="69" t="str">
        <x:v>Not assessed</x:v>
      </x:c>
      <x:c r="O504" s="69" t="str">
        <x:v>Source position and transfer quote only; production and age not validated for this specific deal.</x:v>
      </x:c>
      <x:c r="P504" s="69" t="str">
        <x:v>https://www.theguardian.com/football/ng-interactive/2026/sep/01/mens-transfer-window-summer-2026-all-deals-from-europes-top-five-leagues</x:v>
      </x:c>
    </x:row>
    <x:row r="505" ht="25" customHeight="1">
      <x:c r="A505" s="75" t="str">
        <x:v>summer-S26-0024</x:v>
      </x:c>
      <x:c r="B505" s="75" t="str">
        <x:v>Alisson Santos</x:v>
      </x:c>
      <x:c r="C505" s="75" t="str">
        <x:v>Napoli</x:v>
      </x:c>
      <x:c r="D505" s="75" t="str">
        <x:v>Sporting</x:v>
      </x:c>
      <x:c r="E505" s="77" t="d">
        <x:v>2026-06-05T00:00:00.000Z</x:v>
      </x:c>
      <x:c r="F505" s="75" t="str">
        <x:v>summer</x:v>
      </x:c>
      <x:c r="G505" s="75" t="str">
        <x:v>Winger — source label</x:v>
      </x:c>
      <x:c r="H505" s="79" t="n">
        <x:v>13000000</x:v>
      </x:c>
      <x:c r="I505" s="75" t="str">
        <x:v>GBP</x:v>
      </x:c>
      <x:c r="J505" s="81"/>
      <x:c r="K505" s="83"/>
      <x:c r="L505" s="75" t="str">
        <x:v>Evidence needed</x:v>
      </x:c>
      <x:c r="M505" s="75" t="str">
        <x:v>Comparable buyer-specific scoring, creation, progression and availability evidence needed.</x:v>
      </x:c>
      <x:c r="N505" s="75" t="str">
        <x:v>Not assessed</x:v>
      </x:c>
      <x:c r="O505" s="75" t="str">
        <x:v>Source position and transfer quote only; production and age not validated for this specific deal.</x:v>
      </x:c>
      <x:c r="P505" s="75" t="str">
        <x:v>https://www.theguardian.com/football/ng-interactive/2026/sep/01/mens-transfer-window-summer-2026-all-deals-from-europes-top-five-leagues</x:v>
      </x:c>
    </x:row>
    <x:row r="506" ht="25" customHeight="1">
      <x:c r="A506" s="69" t="str">
        <x:v>summer-S26-0030</x:v>
      </x:c>
      <x:c r="B506" s="69" t="str">
        <x:v>Zadok Yohanna</x:v>
      </x:c>
      <x:c r="C506" s="69" t="str">
        <x:v>Brighton</x:v>
      </x:c>
      <x:c r="D506" s="69" t="str">
        <x:v>AIK</x:v>
      </x:c>
      <x:c r="E506" s="76" t="d">
        <x:v>2026-06-06T00:00:00.000Z</x:v>
      </x:c>
      <x:c r="F506" s="69" t="str">
        <x:v>summer</x:v>
      </x:c>
      <x:c r="G506" s="69" t="str">
        <x:v>Winger — source label</x:v>
      </x:c>
      <x:c r="H506" s="78" t="n">
        <x:v>21500000</x:v>
      </x:c>
      <x:c r="I506" s="69" t="str">
        <x:v>GBP</x:v>
      </x:c>
      <x:c r="J506" s="80"/>
      <x:c r="K506" s="82"/>
      <x:c r="L506" s="69" t="str">
        <x:v>Evidence needed</x:v>
      </x:c>
      <x:c r="M506" s="69" t="str">
        <x:v>Comparable buyer-specific scoring, creation, progression and availability evidence needed.</x:v>
      </x:c>
      <x:c r="N506" s="69" t="str">
        <x:v>Not assessed</x:v>
      </x:c>
      <x:c r="O506" s="69" t="str">
        <x:v>Source position and transfer quote only; production and age not validated for this specific deal.</x:v>
      </x:c>
      <x:c r="P506" s="69" t="str">
        <x:v>https://www.theguardian.com/football/ng-interactive/2026/sep/01/mens-transfer-window-summer-2026-all-deals-from-europes-top-five-leagues</x:v>
      </x:c>
    </x:row>
    <x:row r="507" ht="25" customHeight="1">
      <x:c r="A507" s="75" t="str">
        <x:v>summer-S26-0037</x:v>
      </x:c>
      <x:c r="B507" s="75" t="str">
        <x:v>Kerim Alajbegovic</x:v>
      </x:c>
      <x:c r="C507" s="75" t="str">
        <x:v>Bayer Leverkusen</x:v>
      </x:c>
      <x:c r="D507" s="75" t="str">
        <x:v>Red Bull Salzburg</x:v>
      </x:c>
      <x:c r="E507" s="77" t="d">
        <x:v>2026-06-01T00:00:00.000Z</x:v>
      </x:c>
      <x:c r="F507" s="75" t="str">
        <x:v>summer</x:v>
      </x:c>
      <x:c r="G507" s="75" t="str">
        <x:v>Winger — source label</x:v>
      </x:c>
      <x:c r="H507" s="79" t="n">
        <x:v>6900000</x:v>
      </x:c>
      <x:c r="I507" s="75" t="str">
        <x:v>GBP</x:v>
      </x:c>
      <x:c r="J507" s="81"/>
      <x:c r="K507" s="83"/>
      <x:c r="L507" s="75" t="str">
        <x:v>Evidence needed</x:v>
      </x:c>
      <x:c r="M507" s="75" t="str">
        <x:v>Comparable buyer-specific scoring, creation, progression and availability evidence needed.</x:v>
      </x:c>
      <x:c r="N507" s="75" t="str">
        <x:v>Not assessed</x:v>
      </x:c>
      <x:c r="O507" s="75" t="str">
        <x:v>Source position and transfer quote only; production and age not validated for this specific deal.</x:v>
      </x:c>
      <x:c r="P507" s="75" t="str">
        <x:v>https://www.theguardian.com/football/ng-interactive/2026/sep/01/mens-transfer-window-summer-2026-all-deals-from-europes-top-five-leagues</x:v>
      </x:c>
    </x:row>
    <x:row r="508" ht="25" customHeight="1">
      <x:c r="A508" s="69" t="str">
        <x:v>summer-S26-0069</x:v>
      </x:c>
      <x:c r="B508" s="69" t="str">
        <x:v>Noah Weisshaupt</x:v>
      </x:c>
      <x:c r="C508" s="69" t="str">
        <x:v>Darmstadt</x:v>
      </x:c>
      <x:c r="D508" s="69" t="str">
        <x:v>Freiburg</x:v>
      </x:c>
      <x:c r="E508" s="76" t="d">
        <x:v>2026-06-15T00:00:00.000Z</x:v>
      </x:c>
      <x:c r="F508" s="69" t="str">
        <x:v>summer</x:v>
      </x:c>
      <x:c r="G508" s="69" t="str">
        <x:v>Winger — source label</x:v>
      </x:c>
      <x:c r="H508" s="78"/>
      <x:c r="I508" s="69" t="str">
        <x:v>GBP</x:v>
      </x:c>
      <x:c r="J508" s="80"/>
      <x:c r="K508" s="82"/>
      <x:c r="L508" s="69" t="str">
        <x:v>Evidence needed</x:v>
      </x:c>
      <x:c r="M508" s="69" t="str">
        <x:v>Comparable buyer-specific scoring, creation, progression and availability evidence needed. Transfer fee is undisclosed.</x:v>
      </x:c>
      <x:c r="N508" s="69" t="str">
        <x:v>Not assessed</x:v>
      </x:c>
      <x:c r="O508" s="69" t="str">
        <x:v>Source position and transfer quote only; production and age not validated for this specific deal.</x:v>
      </x:c>
      <x:c r="P508" s="69" t="str">
        <x:v>https://www.theguardian.com/football/ng-interactive/2026/sep/01/mens-transfer-window-summer-2026-all-deals-from-europes-top-five-leagues</x:v>
      </x:c>
    </x:row>
    <x:row r="509" ht="25" customHeight="1">
      <x:c r="A509" s="75" t="str">
        <x:v>summer-S26-0072</x:v>
      </x:c>
      <x:c r="B509" s="75" t="str">
        <x:v>Kaïl Boudache</x:v>
      </x:c>
      <x:c r="C509" s="75" t="str">
        <x:v>Lyon</x:v>
      </x:c>
      <x:c r="D509" s="75" t="str">
        <x:v>Nice</x:v>
      </x:c>
      <x:c r="E509" s="77" t="d">
        <x:v>2026-06-15T00:00:00.000Z</x:v>
      </x:c>
      <x:c r="F509" s="75" t="str">
        <x:v>summer</x:v>
      </x:c>
      <x:c r="G509" s="75" t="str">
        <x:v>Winger — source label</x:v>
      </x:c>
      <x:c r="H509" s="79"/>
      <x:c r="I509" s="75" t="str">
        <x:v>GBP</x:v>
      </x:c>
      <x:c r="J509" s="81"/>
      <x:c r="K509" s="83"/>
      <x:c r="L509" s="75" t="str">
        <x:v>Evidence needed</x:v>
      </x:c>
      <x:c r="M509" s="75" t="str">
        <x:v>Comparable buyer-specific scoring, creation, progression and availability evidence needed. Free base fee does not represent wages or other costs.</x:v>
      </x:c>
      <x:c r="N509" s="75" t="str">
        <x:v>Not assessed</x:v>
      </x:c>
      <x:c r="O509" s="75" t="str">
        <x:v>Source position and transfer quote only; production and age not validated for this specific deal.</x:v>
      </x:c>
      <x:c r="P509" s="75" t="str">
        <x:v>https://www.theguardian.com/football/ng-interactive/2026/sep/01/mens-transfer-window-summer-2026-all-deals-from-europes-top-five-leagues</x:v>
      </x:c>
    </x:row>
    <x:row r="510" ht="25" customHeight="1">
      <x:c r="A510" s="69" t="str">
        <x:v>summer-S26-0073</x:v>
      </x:c>
      <x:c r="B510" s="69" t="str">
        <x:v>Nicolò Zaniolo</x:v>
      </x:c>
      <x:c r="C510" s="69" t="str">
        <x:v>Udinese</x:v>
      </x:c>
      <x:c r="D510" s="69" t="str">
        <x:v>Galatasaray</x:v>
      </x:c>
      <x:c r="E510" s="76" t="d">
        <x:v>2026-06-15T00:00:00.000Z</x:v>
      </x:c>
      <x:c r="F510" s="69" t="str">
        <x:v>summer</x:v>
      </x:c>
      <x:c r="G510" s="69" t="str">
        <x:v>Winger — source label</x:v>
      </x:c>
      <x:c r="H510" s="78" t="n">
        <x:v>4300000</x:v>
      </x:c>
      <x:c r="I510" s="69" t="str">
        <x:v>GBP</x:v>
      </x:c>
      <x:c r="J510" s="80"/>
      <x:c r="K510" s="82"/>
      <x:c r="L510" s="69" t="str">
        <x:v>Evidence needed</x:v>
      </x:c>
      <x:c r="M510" s="69" t="str">
        <x:v>Comparable buyer-specific scoring, creation, progression and availability evidence needed.</x:v>
      </x:c>
      <x:c r="N510" s="69" t="str">
        <x:v>Not assessed</x:v>
      </x:c>
      <x:c r="O510" s="69" t="str">
        <x:v>Source position and transfer quote only; production and age not validated for this specific deal.</x:v>
      </x:c>
      <x:c r="P510" s="69" t="str">
        <x:v>https://www.theguardian.com/football/ng-interactive/2026/sep/01/mens-transfer-window-summer-2026-all-deals-from-europes-top-five-leagues</x:v>
      </x:c>
    </x:row>
    <x:row r="511" ht="25" customHeight="1">
      <x:c r="A511" s="75" t="str">
        <x:v>summer-S26-0076</x:v>
      </x:c>
      <x:c r="B511" s="75" t="str">
        <x:v>Tjas Begic</x:v>
      </x:c>
      <x:c r="C511" s="75" t="str">
        <x:v>Sampdoria</x:v>
      </x:c>
      <x:c r="D511" s="75" t="str">
        <x:v>Parma</x:v>
      </x:c>
      <x:c r="E511" s="77" t="d">
        <x:v>2026-06-16T00:00:00.000Z</x:v>
      </x:c>
      <x:c r="F511" s="75" t="str">
        <x:v>summer</x:v>
      </x:c>
      <x:c r="G511" s="75" t="str">
        <x:v>Winger — source label</x:v>
      </x:c>
      <x:c r="H511" s="79"/>
      <x:c r="I511" s="75" t="str">
        <x:v>GBP</x:v>
      </x:c>
      <x:c r="J511" s="81"/>
      <x:c r="K511" s="83"/>
      <x:c r="L511" s="75" t="str">
        <x:v>Evidence needed</x:v>
      </x:c>
      <x:c r="M511" s="75" t="str">
        <x:v>Comparable buyer-specific scoring, creation, progression and availability evidence needed. Transfer fee is undisclosed.</x:v>
      </x:c>
      <x:c r="N511" s="75" t="str">
        <x:v>Not assessed</x:v>
      </x:c>
      <x:c r="O511" s="75" t="str">
        <x:v>Source position and transfer quote only; production and age not validated for this specific deal.</x:v>
      </x:c>
      <x:c r="P511" s="75" t="str">
        <x:v>https://www.theguardian.com/football/ng-interactive/2026/sep/01/mens-transfer-window-summer-2026-all-deals-from-europes-top-five-leagues</x:v>
      </x:c>
    </x:row>
    <x:row r="512" ht="25" customHeight="1">
      <x:c r="A512" s="69" t="str">
        <x:v>summer-S26-0078</x:v>
      </x:c>
      <x:c r="B512" s="69" t="str">
        <x:v>Issa Soumaré</x:v>
      </x:c>
      <x:c r="C512" s="69" t="str">
        <x:v>Rennes</x:v>
      </x:c>
      <x:c r="D512" s="69" t="str">
        <x:v>Le Havre</x:v>
      </x:c>
      <x:c r="E512" s="76" t="d">
        <x:v>2026-06-16T00:00:00.000Z</x:v>
      </x:c>
      <x:c r="F512" s="69" t="str">
        <x:v>summer</x:v>
      </x:c>
      <x:c r="G512" s="69" t="str">
        <x:v>Winger — source label</x:v>
      </x:c>
      <x:c r="H512" s="78"/>
      <x:c r="I512" s="69" t="str">
        <x:v>GBP</x:v>
      </x:c>
      <x:c r="J512" s="80"/>
      <x:c r="K512" s="82"/>
      <x:c r="L512" s="69" t="str">
        <x:v>Evidence needed</x:v>
      </x:c>
      <x:c r="M512" s="69" t="str">
        <x:v>Comparable buyer-specific scoring, creation, progression and availability evidence needed. Free base fee does not represent wages or other costs.</x:v>
      </x:c>
      <x:c r="N512" s="69" t="str">
        <x:v>Not assessed</x:v>
      </x:c>
      <x:c r="O512" s="69" t="str">
        <x:v>Source position and transfer quote only; production and age not validated for this specific deal.</x:v>
      </x:c>
      <x:c r="P512" s="69" t="str">
        <x:v>https://www.theguardian.com/football/ng-interactive/2026/sep/01/mens-transfer-window-summer-2026-all-deals-from-europes-top-five-leagues</x:v>
      </x:c>
    </x:row>
    <x:row r="513" ht="25" customHeight="1">
      <x:c r="A513" s="75" t="str">
        <x:v>summer-S26-0079</x:v>
      </x:c>
      <x:c r="B513" s="75" t="str">
        <x:v>Isaac Heath</x:v>
      </x:c>
      <x:c r="C513" s="75" t="str">
        <x:v>Cambridge United</x:v>
      </x:c>
      <x:c r="D513" s="75" t="str">
        <x:v>Everton</x:v>
      </x:c>
      <x:c r="E513" s="77" t="d">
        <x:v>2026-06-15T00:00:00.000Z</x:v>
      </x:c>
      <x:c r="F513" s="75" t="str">
        <x:v>summer</x:v>
      </x:c>
      <x:c r="G513" s="75" t="str">
        <x:v>Winger — source label</x:v>
      </x:c>
      <x:c r="H513" s="79"/>
      <x:c r="I513" s="75" t="str">
        <x:v>GBP</x:v>
      </x:c>
      <x:c r="J513" s="81"/>
      <x:c r="K513" s="83"/>
      <x:c r="L513" s="75" t="str">
        <x:v>Evidence needed</x:v>
      </x:c>
      <x:c r="M513" s="75" t="str">
        <x:v>Comparable buyer-specific scoring, creation, progression and availability evidence needed. Transfer fee is undisclosed.</x:v>
      </x:c>
      <x:c r="N513" s="75" t="str">
        <x:v>Not assessed</x:v>
      </x:c>
      <x:c r="O513" s="75" t="str">
        <x:v>Source position and transfer quote only; production and age not validated for this specific deal.</x:v>
      </x:c>
      <x:c r="P513" s="75" t="str">
        <x:v>https://www.theguardian.com/football/ng-interactive/2026/sep/01/mens-transfer-window-summer-2026-all-deals-from-europes-top-five-leagues</x:v>
      </x:c>
    </x:row>
    <x:row r="514" ht="25" customHeight="1">
      <x:c r="A514" s="69" t="str">
        <x:v>summer-S26-0081</x:v>
      </x:c>
      <x:c r="B514" s="69" t="str">
        <x:v>Anthony Bermont</x:v>
      </x:c>
      <x:c r="C514" s="69" t="str">
        <x:v>Angers</x:v>
      </x:c>
      <x:c r="D514" s="69" t="str">
        <x:v>Lens</x:v>
      </x:c>
      <x:c r="E514" s="76" t="d">
        <x:v>2026-06-17T00:00:00.000Z</x:v>
      </x:c>
      <x:c r="F514" s="69" t="str">
        <x:v>summer</x:v>
      </x:c>
      <x:c r="G514" s="69" t="str">
        <x:v>Winger — source label</x:v>
      </x:c>
      <x:c r="H514" s="78"/>
      <x:c r="I514" s="69" t="str">
        <x:v>GBP</x:v>
      </x:c>
      <x:c r="J514" s="80"/>
      <x:c r="K514" s="82"/>
      <x:c r="L514" s="69" t="str">
        <x:v>Evidence needed</x:v>
      </x:c>
      <x:c r="M514" s="69" t="str">
        <x:v>Comparable buyer-specific scoring, creation, progression and availability evidence needed. Loan/swap costs need separate treatment.</x:v>
      </x:c>
      <x:c r="N514" s="69" t="str">
        <x:v>Not assessed</x:v>
      </x:c>
      <x:c r="O514" s="69" t="str">
        <x:v>Source position and transfer quote only; production and age not validated for this specific deal.</x:v>
      </x:c>
      <x:c r="P514" s="69" t="str">
        <x:v>https://www.theguardian.com/football/ng-interactive/2026/sep/01/mens-transfer-window-summer-2026-all-deals-from-europes-top-five-leagues</x:v>
      </x:c>
    </x:row>
    <x:row r="515" ht="25" customHeight="1">
      <x:c r="A515" s="75" t="str">
        <x:v>summer-S26-0093</x:v>
      </x:c>
      <x:c r="B515" s="75" t="str">
        <x:v>Afonso Moreira</x:v>
      </x:c>
      <x:c r="C515" s="75" t="str">
        <x:v>Bayer Leverkusen</x:v>
      </x:c>
      <x:c r="D515" s="75" t="str">
        <x:v>Lyon</x:v>
      </x:c>
      <x:c r="E515" s="77" t="d">
        <x:v>2026-06-18T00:00:00.000Z</x:v>
      </x:c>
      <x:c r="F515" s="75" t="str">
        <x:v>summer</x:v>
      </x:c>
      <x:c r="G515" s="75" t="str">
        <x:v>Winger — source label</x:v>
      </x:c>
      <x:c r="H515" s="79" t="n">
        <x:v>25000000</x:v>
      </x:c>
      <x:c r="I515" s="75" t="str">
        <x:v>GBP</x:v>
      </x:c>
      <x:c r="J515" s="81"/>
      <x:c r="K515" s="83"/>
      <x:c r="L515" s="75" t="str">
        <x:v>Evidence needed</x:v>
      </x:c>
      <x:c r="M515" s="75" t="str">
        <x:v>Comparable buyer-specific scoring, creation, progression and availability evidence needed.</x:v>
      </x:c>
      <x:c r="N515" s="75" t="str">
        <x:v>Not assessed</x:v>
      </x:c>
      <x:c r="O515" s="75" t="str">
        <x:v>Source position and transfer quote only; production and age not validated for this specific deal.</x:v>
      </x:c>
      <x:c r="P515" s="75" t="str">
        <x:v>https://www.theguardian.com/football/ng-interactive/2026/sep/01/mens-transfer-window-summer-2026-all-deals-from-europes-top-five-leagues</x:v>
      </x:c>
    </x:row>
    <x:row r="516" ht="25" customHeight="1">
      <x:c r="A516" s="69" t="str">
        <x:v>summer-S26-0098</x:v>
      </x:c>
      <x:c r="B516" s="69" t="str">
        <x:v>Tommaso Corazza</x:v>
      </x:c>
      <x:c r="C516" s="69" t="str">
        <x:v>Vicenza</x:v>
      </x:c>
      <x:c r="D516" s="69" t="str">
        <x:v>Bologna</x:v>
      </x:c>
      <x:c r="E516" s="76" t="d">
        <x:v>2026-06-18T00:00:00.000Z</x:v>
      </x:c>
      <x:c r="F516" s="69" t="str">
        <x:v>summer</x:v>
      </x:c>
      <x:c r="G516" s="69" t="str">
        <x:v>Winger — source label</x:v>
      </x:c>
      <x:c r="H516" s="78"/>
      <x:c r="I516" s="69" t="str">
        <x:v>GBP</x:v>
      </x:c>
      <x:c r="J516" s="80"/>
      <x:c r="K516" s="82"/>
      <x:c r="L516" s="69" t="str">
        <x:v>Evidence needed</x:v>
      </x:c>
      <x:c r="M516" s="69" t="str">
        <x:v>Comparable buyer-specific scoring, creation, progression and availability evidence needed. Loan/swap costs need separate treatment.</x:v>
      </x:c>
      <x:c r="N516" s="69" t="str">
        <x:v>Not assessed</x:v>
      </x:c>
      <x:c r="O516" s="69" t="str">
        <x:v>Source position and transfer quote only; production and age not validated for this specific deal.</x:v>
      </x:c>
      <x:c r="P516" s="69" t="str">
        <x:v>https://www.theguardian.com/football/ng-interactive/2026/sep/01/mens-transfer-window-summer-2026-all-deals-from-europes-top-five-leagues</x:v>
      </x:c>
    </x:row>
    <x:row r="517" ht="25" customHeight="1">
      <x:c r="A517" s="75" t="str">
        <x:v>summer-S26-0114</x:v>
      </x:c>
      <x:c r="B517" s="75" t="str">
        <x:v>Michael Dacosta</x:v>
      </x:c>
      <x:c r="C517" s="75" t="str">
        <x:v>Moreirense</x:v>
      </x:c>
      <x:c r="D517" s="75" t="str">
        <x:v>Bournemouth</x:v>
      </x:c>
      <x:c r="E517" s="77" t="d">
        <x:v>2026-06-15T00:00:00.000Z</x:v>
      </x:c>
      <x:c r="F517" s="75" t="str">
        <x:v>summer</x:v>
      </x:c>
      <x:c r="G517" s="75" t="str">
        <x:v>Winger — source label</x:v>
      </x:c>
      <x:c r="H517" s="79"/>
      <x:c r="I517" s="75" t="str">
        <x:v>GBP</x:v>
      </x:c>
      <x:c r="J517" s="81"/>
      <x:c r="K517" s="83"/>
      <x:c r="L517" s="75" t="str">
        <x:v>Evidence needed</x:v>
      </x:c>
      <x:c r="M517" s="75" t="str">
        <x:v>Comparable buyer-specific scoring, creation, progression and availability evidence needed. Transfer fee is undisclosed.</x:v>
      </x:c>
      <x:c r="N517" s="75" t="str">
        <x:v>Not assessed</x:v>
      </x:c>
      <x:c r="O517" s="75" t="str">
        <x:v>Source position and transfer quote only; production and age not validated for this specific deal.</x:v>
      </x:c>
      <x:c r="P517" s="75" t="str">
        <x:v>https://www.theguardian.com/football/ng-interactive/2026/sep/01/mens-transfer-window-summer-2026-all-deals-from-europes-top-five-leagues</x:v>
      </x:c>
    </x:row>
    <x:row r="518" ht="25" customHeight="1">
      <x:c r="A518" s="69" t="str">
        <x:v>summer-S26-0135</x:v>
      </x:c>
      <x:c r="B518" s="69" t="str">
        <x:v>Ilyes Hamache</x:v>
      </x:c>
      <x:c r="C518" s="69" t="str">
        <x:v>Cambuur</x:v>
      </x:c>
      <x:c r="D518" s="69" t="str">
        <x:v>Schalke 04</x:v>
      </x:c>
      <x:c r="E518" s="76" t="d">
        <x:v>2026-06-25T00:00:00.000Z</x:v>
      </x:c>
      <x:c r="F518" s="69" t="str">
        <x:v>summer</x:v>
      </x:c>
      <x:c r="G518" s="69" t="str">
        <x:v>Winger — source label</x:v>
      </x:c>
      <x:c r="H518" s="78"/>
      <x:c r="I518" s="69" t="str">
        <x:v>GBP</x:v>
      </x:c>
      <x:c r="J518" s="80"/>
      <x:c r="K518" s="82"/>
      <x:c r="L518" s="69" t="str">
        <x:v>Evidence needed</x:v>
      </x:c>
      <x:c r="M518" s="69" t="str">
        <x:v>Comparable buyer-specific scoring, creation, progression and availability evidence needed. Transfer fee is undisclosed.</x:v>
      </x:c>
      <x:c r="N518" s="69" t="str">
        <x:v>Not assessed</x:v>
      </x:c>
      <x:c r="O518" s="69" t="str">
        <x:v>Source position and transfer quote only; production and age not validated for this specific deal.</x:v>
      </x:c>
      <x:c r="P518" s="69" t="str">
        <x:v>https://www.theguardian.com/football/ng-interactive/2026/sep/01/mens-transfer-window-summer-2026-all-deals-from-europes-top-five-leagues</x:v>
      </x:c>
    </x:row>
    <x:row r="519" ht="25" customHeight="1">
      <x:c r="A519" s="75" t="str">
        <x:v>summer-S26-0143</x:v>
      </x:c>
      <x:c r="B519" s="75" t="str">
        <x:v>Demba Seck</x:v>
      </x:c>
      <x:c r="C519" s="75" t="str">
        <x:v>Partizan Belgrade</x:v>
      </x:c>
      <x:c r="D519" s="75" t="str">
        <x:v>Torino</x:v>
      </x:c>
      <x:c r="E519" s="77" t="d">
        <x:v>2026-06-26T00:00:00.000Z</x:v>
      </x:c>
      <x:c r="F519" s="75" t="str">
        <x:v>summer</x:v>
      </x:c>
      <x:c r="G519" s="75" t="str">
        <x:v>Winger — source label</x:v>
      </x:c>
      <x:c r="H519" s="79"/>
      <x:c r="I519" s="75" t="str">
        <x:v>GBP</x:v>
      </x:c>
      <x:c r="J519" s="81"/>
      <x:c r="K519" s="83"/>
      <x:c r="L519" s="75" t="str">
        <x:v>Evidence needed</x:v>
      </x:c>
      <x:c r="M519" s="75" t="str">
        <x:v>Comparable buyer-specific scoring, creation, progression and availability evidence needed. Transfer fee is undisclosed.</x:v>
      </x:c>
      <x:c r="N519" s="75" t="str">
        <x:v>Not assessed</x:v>
      </x:c>
      <x:c r="O519" s="75" t="str">
        <x:v>Source position and transfer quote only; production and age not validated for this specific deal.</x:v>
      </x:c>
      <x:c r="P519" s="75" t="str">
        <x:v>https://www.theguardian.com/football/ng-interactive/2026/sep/01/mens-transfer-window-summer-2026-all-deals-from-europes-top-five-leagues</x:v>
      </x:c>
    </x:row>
    <x:row r="520" ht="25" customHeight="1">
      <x:c r="A520" s="69" t="str">
        <x:v>summer-S26-0148</x:v>
      </x:c>
      <x:c r="B520" s="69" t="str">
        <x:v>Aiman Dardari</x:v>
      </x:c>
      <x:c r="C520" s="69" t="str">
        <x:v>RW Essen</x:v>
      </x:c>
      <x:c r="D520" s="69" t="str">
        <x:v>Augsburg</x:v>
      </x:c>
      <x:c r="E520" s="76" t="d">
        <x:v>2026-06-27T00:00:00.000Z</x:v>
      </x:c>
      <x:c r="F520" s="69" t="str">
        <x:v>summer</x:v>
      </x:c>
      <x:c r="G520" s="69" t="str">
        <x:v>Winger — source label</x:v>
      </x:c>
      <x:c r="H520" s="78"/>
      <x:c r="I520" s="69" t="str">
        <x:v>GBP</x:v>
      </x:c>
      <x:c r="J520" s="80"/>
      <x:c r="K520" s="82"/>
      <x:c r="L520" s="69" t="str">
        <x:v>Evidence needed</x:v>
      </x:c>
      <x:c r="M520" s="69" t="str">
        <x:v>Comparable buyer-specific scoring, creation, progression and availability evidence needed. Loan/swap costs need separate treatment.</x:v>
      </x:c>
      <x:c r="N520" s="69" t="str">
        <x:v>Not assessed</x:v>
      </x:c>
      <x:c r="O520" s="69" t="str">
        <x:v>Source position and transfer quote only; production and age not validated for this specific deal.</x:v>
      </x:c>
      <x:c r="P520" s="69" t="str">
        <x:v>https://www.theguardian.com/football/ng-interactive/2026/sep/01/mens-transfer-window-summer-2026-all-deals-from-europes-top-five-leagues</x:v>
      </x:c>
    </x:row>
    <x:row r="521" ht="25" customHeight="1">
      <x:c r="A521" s="75" t="str">
        <x:v>summer-S26-0152</x:v>
      </x:c>
      <x:c r="B521" s="75" t="str">
        <x:v>Mathys Detourbet</x:v>
      </x:c>
      <x:c r="C521" s="75" t="str">
        <x:v>Manchester City</x:v>
      </x:c>
      <x:c r="D521" s="75" t="str">
        <x:v>Troyes</x:v>
      </x:c>
      <x:c r="E521" s="77" t="d">
        <x:v>2026-06-27T00:00:00.000Z</x:v>
      </x:c>
      <x:c r="F521" s="75" t="str">
        <x:v>summer</x:v>
      </x:c>
      <x:c r="G521" s="75" t="str">
        <x:v>Winger — source label</x:v>
      </x:c>
      <x:c r="H521" s="79" t="n">
        <x:v>21600000</x:v>
      </x:c>
      <x:c r="I521" s="75" t="str">
        <x:v>GBP</x:v>
      </x:c>
      <x:c r="J521" s="81"/>
      <x:c r="K521" s="83"/>
      <x:c r="L521" s="75" t="str">
        <x:v>Evidence needed</x:v>
      </x:c>
      <x:c r="M521" s="75" t="str">
        <x:v>Comparable buyer-specific scoring, creation, progression and availability evidence needed.</x:v>
      </x:c>
      <x:c r="N521" s="75" t="str">
        <x:v>Not assessed</x:v>
      </x:c>
      <x:c r="O521" s="75" t="str">
        <x:v>Source position and transfer quote only; production and age not validated for this specific deal.</x:v>
      </x:c>
      <x:c r="P521" s="75" t="str">
        <x:v>https://www.theguardian.com/football/ng-interactive/2026/sep/01/mens-transfer-window-summer-2026-all-deals-from-europes-top-five-leagues</x:v>
      </x:c>
    </x:row>
    <x:row r="522" ht="25" customHeight="1">
      <x:c r="A522" s="69" t="str">
        <x:v>summer-S26-0153</x:v>
      </x:c>
      <x:c r="B522" s="69" t="str">
        <x:v>Kornel Lisman</x:v>
      </x:c>
      <x:c r="C522" s="69" t="str">
        <x:v>Venezia</x:v>
      </x:c>
      <x:c r="D522" s="69" t="str">
        <x:v>Lech Poznan</x:v>
      </x:c>
      <x:c r="E522" s="76" t="d">
        <x:v>2026-06-27T00:00:00.000Z</x:v>
      </x:c>
      <x:c r="F522" s="69" t="str">
        <x:v>summer</x:v>
      </x:c>
      <x:c r="G522" s="69" t="str">
        <x:v>Winger — source label</x:v>
      </x:c>
      <x:c r="H522" s="78" t="n">
        <x:v>2200000</x:v>
      </x:c>
      <x:c r="I522" s="69" t="str">
        <x:v>GBP</x:v>
      </x:c>
      <x:c r="J522" s="80"/>
      <x:c r="K522" s="82"/>
      <x:c r="L522" s="69" t="str">
        <x:v>Evidence needed</x:v>
      </x:c>
      <x:c r="M522" s="69" t="str">
        <x:v>Comparable buyer-specific scoring, creation, progression and availability evidence needed.</x:v>
      </x:c>
      <x:c r="N522" s="69" t="str">
        <x:v>Not assessed</x:v>
      </x:c>
      <x:c r="O522" s="69" t="str">
        <x:v>Source position and transfer quote only; production and age not validated for this specific deal.</x:v>
      </x:c>
      <x:c r="P522" s="69" t="str">
        <x:v>https://www.theguardian.com/football/ng-interactive/2026/sep/01/mens-transfer-window-summer-2026-all-deals-from-europes-top-five-leagues</x:v>
      </x:c>
    </x:row>
    <x:row r="523" ht="25" customHeight="1">
      <x:c r="A523" s="75" t="str">
        <x:v>summer-S26-0164</x:v>
      </x:c>
      <x:c r="B523" s="75" t="str">
        <x:v>Ansu Fati</x:v>
      </x:c>
      <x:c r="C523" s="75" t="str">
        <x:v>Monaco</x:v>
      </x:c>
      <x:c r="D523" s="75" t="str">
        <x:v>Barcelona</x:v>
      </x:c>
      <x:c r="E523" s="77" t="d">
        <x:v>2026-06-30T00:00:00.000Z</x:v>
      </x:c>
      <x:c r="F523" s="75" t="str">
        <x:v>summer</x:v>
      </x:c>
      <x:c r="G523" s="75" t="str">
        <x:v>Winger — source label</x:v>
      </x:c>
      <x:c r="H523" s="79" t="n">
        <x:v>9500000</x:v>
      </x:c>
      <x:c r="I523" s="75" t="str">
        <x:v>GBP</x:v>
      </x:c>
      <x:c r="J523" s="81"/>
      <x:c r="K523" s="83"/>
      <x:c r="L523" s="75" t="str">
        <x:v>Evidence needed</x:v>
      </x:c>
      <x:c r="M523" s="75" t="str">
        <x:v>Comparable buyer-specific scoring, creation, progression and availability evidence needed.</x:v>
      </x:c>
      <x:c r="N523" s="75" t="str">
        <x:v>Not assessed</x:v>
      </x:c>
      <x:c r="O523" s="75" t="str">
        <x:v>Source position and transfer quote only; production and age not validated for this specific deal.</x:v>
      </x:c>
      <x:c r="P523" s="75" t="str">
        <x:v>https://www.theguardian.com/football/ng-interactive/2026/sep/01/mens-transfer-window-summer-2026-all-deals-from-europes-top-five-leagues</x:v>
      </x:c>
    </x:row>
    <x:row r="524" ht="25" customHeight="1">
      <x:c r="A524" s="69" t="str">
        <x:v>summer-S26-0167</x:v>
      </x:c>
      <x:c r="B524" s="69" t="str">
        <x:v>Rodrigo Rêgo</x:v>
      </x:c>
      <x:c r="C524" s="69" t="str">
        <x:v>Brighton</x:v>
      </x:c>
      <x:c r="D524" s="69" t="str">
        <x:v>Benfica</x:v>
      </x:c>
      <x:c r="E524" s="76" t="d">
        <x:v>2026-07-01T00:00:00.000Z</x:v>
      </x:c>
      <x:c r="F524" s="69" t="str">
        <x:v>summer</x:v>
      </x:c>
      <x:c r="G524" s="69" t="str">
        <x:v>Winger — source label</x:v>
      </x:c>
      <x:c r="H524" s="78"/>
      <x:c r="I524" s="69" t="str">
        <x:v>GBP</x:v>
      </x:c>
      <x:c r="J524" s="80"/>
      <x:c r="K524" s="82"/>
      <x:c r="L524" s="69" t="str">
        <x:v>Evidence needed</x:v>
      </x:c>
      <x:c r="M524" s="69" t="str">
        <x:v>Comparable buyer-specific scoring, creation, progression and availability evidence needed. Transfer fee is undisclosed.</x:v>
      </x:c>
      <x:c r="N524" s="69" t="str">
        <x:v>Not assessed</x:v>
      </x:c>
      <x:c r="O524" s="69" t="str">
        <x:v>Source position and transfer quote only; production and age not validated for this specific deal.</x:v>
      </x:c>
      <x:c r="P524" s="69" t="str">
        <x:v>https://www.theguardian.com/football/ng-interactive/2026/sep/01/mens-transfer-window-summer-2026-all-deals-from-europes-top-five-leagues</x:v>
      </x:c>
    </x:row>
    <x:row r="525" ht="25" customHeight="1">
      <x:c r="A525" s="75" t="str">
        <x:v>summer-S26-0209</x:v>
      </x:c>
      <x:c r="B525" s="75" t="str">
        <x:v>Diego Bri</x:v>
      </x:c>
      <x:c r="C525" s="75" t="str">
        <x:v>Córdoba</x:v>
      </x:c>
      <x:c r="D525" s="75" t="str">
        <x:v>Atlético Madrid</x:v>
      </x:c>
      <x:c r="E525" s="77" t="d">
        <x:v>2026-07-02T00:00:00.000Z</x:v>
      </x:c>
      <x:c r="F525" s="75" t="str">
        <x:v>summer</x:v>
      </x:c>
      <x:c r="G525" s="75" t="str">
        <x:v>Winger — source label</x:v>
      </x:c>
      <x:c r="H525" s="79"/>
      <x:c r="I525" s="75" t="str">
        <x:v>GBP</x:v>
      </x:c>
      <x:c r="J525" s="81"/>
      <x:c r="K525" s="83"/>
      <x:c r="L525" s="75" t="str">
        <x:v>Evidence needed</x:v>
      </x:c>
      <x:c r="M525" s="75" t="str">
        <x:v>Comparable buyer-specific scoring, creation, progression and availability evidence needed. Transfer fee is undisclosed.</x:v>
      </x:c>
      <x:c r="N525" s="75" t="str">
        <x:v>Not assessed</x:v>
      </x:c>
      <x:c r="O525" s="75" t="str">
        <x:v>Source position and transfer quote only; production and age not validated for this specific deal.</x:v>
      </x:c>
      <x:c r="P525" s="75" t="str">
        <x:v>https://www.theguardian.com/football/ng-interactive/2026/sep/01/mens-transfer-window-summer-2026-all-deals-from-europes-top-five-leagues</x:v>
      </x:c>
    </x:row>
    <x:row r="526" ht="25" customHeight="1">
      <x:c r="A526" s="69" t="str">
        <x:v>summer-S26-0210</x:v>
      </x:c>
      <x:c r="B526" s="69" t="str">
        <x:v>Mathys Detourbet</x:v>
      </x:c>
      <x:c r="C526" s="69" t="str">
        <x:v>Monaco</x:v>
      </x:c>
      <x:c r="D526" s="69" t="str">
        <x:v>Manchester City</x:v>
      </x:c>
      <x:c r="E526" s="76" t="d">
        <x:v>2026-07-02T00:00:00.000Z</x:v>
      </x:c>
      <x:c r="F526" s="69" t="str">
        <x:v>summer</x:v>
      </x:c>
      <x:c r="G526" s="69" t="str">
        <x:v>Winger — source label</x:v>
      </x:c>
      <x:c r="H526" s="78"/>
      <x:c r="I526" s="69" t="str">
        <x:v>GBP</x:v>
      </x:c>
      <x:c r="J526" s="80"/>
      <x:c r="K526" s="82"/>
      <x:c r="L526" s="69" t="str">
        <x:v>Evidence needed</x:v>
      </x:c>
      <x:c r="M526" s="69" t="str">
        <x:v>Comparable buyer-specific scoring, creation, progression and availability evidence needed. Loan/swap costs need separate treatment.</x:v>
      </x:c>
      <x:c r="N526" s="69" t="str">
        <x:v>Not assessed</x:v>
      </x:c>
      <x:c r="O526" s="69" t="str">
        <x:v>Source position and transfer quote only; production and age not validated for this specific deal.</x:v>
      </x:c>
      <x:c r="P526" s="69" t="str">
        <x:v>https://www.theguardian.com/football/ng-interactive/2026/sep/01/mens-transfer-window-summer-2026-all-deals-from-europes-top-five-leagues</x:v>
      </x:c>
    </x:row>
    <x:row r="527" ht="25" customHeight="1">
      <x:c r="A527" s="75" t="str">
        <x:v>summer-S26-0211</x:v>
      </x:c>
      <x:c r="B527" s="75" t="str">
        <x:v>Álex Calatrava</x:v>
      </x:c>
      <x:c r="C527" s="75" t="str">
        <x:v>Espanyol</x:v>
      </x:c>
      <x:c r="D527" s="75" t="str">
        <x:v>Castellón</x:v>
      </x:c>
      <x:c r="E527" s="77" t="d">
        <x:v>2026-07-02T00:00:00.000Z</x:v>
      </x:c>
      <x:c r="F527" s="75" t="str">
        <x:v>summer</x:v>
      </x:c>
      <x:c r="G527" s="75" t="str">
        <x:v>Winger — source label</x:v>
      </x:c>
      <x:c r="H527" s="79" t="n">
        <x:v>4300000</x:v>
      </x:c>
      <x:c r="I527" s="75" t="str">
        <x:v>GBP</x:v>
      </x:c>
      <x:c r="J527" s="81"/>
      <x:c r="K527" s="83"/>
      <x:c r="L527" s="75" t="str">
        <x:v>Evidence needed</x:v>
      </x:c>
      <x:c r="M527" s="75" t="str">
        <x:v>Comparable buyer-specific scoring, creation, progression and availability evidence needed.</x:v>
      </x:c>
      <x:c r="N527" s="75" t="str">
        <x:v>Not assessed</x:v>
      </x:c>
      <x:c r="O527" s="75" t="str">
        <x:v>Source position and transfer quote only; production and age not validated for this specific deal.</x:v>
      </x:c>
      <x:c r="P527" s="75" t="str">
        <x:v>https://www.theguardian.com/football/ng-interactive/2026/sep/01/mens-transfer-window-summer-2026-all-deals-from-europes-top-five-leagues</x:v>
      </x:c>
    </x:row>
    <x:row r="528" ht="25" customHeight="1">
      <x:c r="A528" s="69" t="str">
        <x:v>summer-S26-0218</x:v>
      </x:c>
      <x:c r="B528" s="69" t="str">
        <x:v>Dani Rodríguez</x:v>
      </x:c>
      <x:c r="C528" s="69" t="str">
        <x:v>Dinamo Zagreb</x:v>
      </x:c>
      <x:c r="D528" s="69" t="str">
        <x:v>Barcelona</x:v>
      </x:c>
      <x:c r="E528" s="76" t="d">
        <x:v>2026-07-02T00:00:00.000Z</x:v>
      </x:c>
      <x:c r="F528" s="69" t="str">
        <x:v>summer</x:v>
      </x:c>
      <x:c r="G528" s="69" t="str">
        <x:v>Winger — source label</x:v>
      </x:c>
      <x:c r="H528" s="78"/>
      <x:c r="I528" s="69" t="str">
        <x:v>GBP</x:v>
      </x:c>
      <x:c r="J528" s="80"/>
      <x:c r="K528" s="82"/>
      <x:c r="L528" s="69" t="str">
        <x:v>Evidence needed</x:v>
      </x:c>
      <x:c r="M528" s="69" t="str">
        <x:v>Comparable buyer-specific scoring, creation, progression and availability evidence needed. Free base fee does not represent wages or other costs.</x:v>
      </x:c>
      <x:c r="N528" s="69" t="str">
        <x:v>Not assessed</x:v>
      </x:c>
      <x:c r="O528" s="69" t="str">
        <x:v>Source position and transfer quote only; production and age not validated for this specific deal.</x:v>
      </x:c>
      <x:c r="P528" s="69" t="str">
        <x:v>https://www.theguardian.com/football/ng-interactive/2026/sep/01/mens-transfer-window-summer-2026-all-deals-from-europes-top-five-leagues</x:v>
      </x:c>
    </x:row>
    <x:row r="529" ht="25" customHeight="1">
      <x:c r="A529" s="75" t="str">
        <x:v>summer-S26-0235</x:v>
      </x:c>
      <x:c r="B529" s="75" t="str">
        <x:v>Noah Pesch</x:v>
      </x:c>
      <x:c r="C529" s="75" t="str">
        <x:v>RW Essen</x:v>
      </x:c>
      <x:c r="D529" s="75" t="str">
        <x:v>Borussia Mönchengladbach</x:v>
      </x:c>
      <x:c r="E529" s="77" t="d">
        <x:v>2026-07-03T00:00:00.000Z</x:v>
      </x:c>
      <x:c r="F529" s="75" t="str">
        <x:v>summer</x:v>
      </x:c>
      <x:c r="G529" s="75" t="str">
        <x:v>Winger — source label</x:v>
      </x:c>
      <x:c r="H529" s="79"/>
      <x:c r="I529" s="75" t="str">
        <x:v>GBP</x:v>
      </x:c>
      <x:c r="J529" s="81"/>
      <x:c r="K529" s="83"/>
      <x:c r="L529" s="75" t="str">
        <x:v>Evidence needed</x:v>
      </x:c>
      <x:c r="M529" s="75" t="str">
        <x:v>Comparable buyer-specific scoring, creation, progression and availability evidence needed. Transfer fee is undisclosed.</x:v>
      </x:c>
      <x:c r="N529" s="75" t="str">
        <x:v>Not assessed</x:v>
      </x:c>
      <x:c r="O529" s="75" t="str">
        <x:v>Source position and transfer quote only; production and age not validated for this specific deal.</x:v>
      </x:c>
      <x:c r="P529" s="75" t="str">
        <x:v>https://www.theguardian.com/football/ng-interactive/2026/sep/01/mens-transfer-window-summer-2026-all-deals-from-europes-top-five-leagues</x:v>
      </x:c>
    </x:row>
    <x:row r="530" ht="25" customHeight="1">
      <x:c r="A530" s="69" t="str">
        <x:v>summer-S26-0248</x:v>
      </x:c>
      <x:c r="B530" s="69" t="str">
        <x:v>Federico Chinetti</x:v>
      </x:c>
      <x:c r="C530" s="69" t="str">
        <x:v>Mantova</x:v>
      </x:c>
      <x:c r="D530" s="69" t="str">
        <x:v>Como 1907</x:v>
      </x:c>
      <x:c r="E530" s="76" t="d">
        <x:v>2026-07-04T00:00:00.000Z</x:v>
      </x:c>
      <x:c r="F530" s="69" t="str">
        <x:v>summer</x:v>
      </x:c>
      <x:c r="G530" s="69" t="str">
        <x:v>Winger — source label</x:v>
      </x:c>
      <x:c r="H530" s="78"/>
      <x:c r="I530" s="69" t="str">
        <x:v>GBP</x:v>
      </x:c>
      <x:c r="J530" s="80"/>
      <x:c r="K530" s="82"/>
      <x:c r="L530" s="69" t="str">
        <x:v>Evidence needed</x:v>
      </x:c>
      <x:c r="M530" s="69" t="str">
        <x:v>Comparable buyer-specific scoring, creation, progression and availability evidence needed. Loan/swap costs need separate treatment.</x:v>
      </x:c>
      <x:c r="N530" s="69" t="str">
        <x:v>Not assessed</x:v>
      </x:c>
      <x:c r="O530" s="69" t="str">
        <x:v>Source position and transfer quote only; production and age not validated for this specific deal.</x:v>
      </x:c>
      <x:c r="P530" s="69" t="str">
        <x:v>https://www.theguardian.com/football/ng-interactive/2026/sep/01/mens-transfer-window-summer-2026-all-deals-from-europes-top-five-leagues</x:v>
      </x:c>
    </x:row>
    <x:row r="531" ht="25" customHeight="1">
      <x:c r="A531" s="75" t="str">
        <x:v>summer-S26-0251</x:v>
      </x:c>
      <x:c r="B531" s="75" t="str">
        <x:v>Bazoumana Touré</x:v>
      </x:c>
      <x:c r="C531" s="75" t="str">
        <x:v>Newcastle United</x:v>
      </x:c>
      <x:c r="D531" s="75" t="str">
        <x:v>Hoffenheim</x:v>
      </x:c>
      <x:c r="E531" s="77" t="d">
        <x:v>2026-07-05T00:00:00.000Z</x:v>
      </x:c>
      <x:c r="F531" s="75" t="str">
        <x:v>summer</x:v>
      </x:c>
      <x:c r="G531" s="75" t="str">
        <x:v>Winger — source label</x:v>
      </x:c>
      <x:c r="H531" s="79" t="n">
        <x:v>43000000</x:v>
      </x:c>
      <x:c r="I531" s="75" t="str">
        <x:v>GBP</x:v>
      </x:c>
      <x:c r="J531" s="81"/>
      <x:c r="K531" s="83"/>
      <x:c r="L531" s="75" t="str">
        <x:v>Evidence needed</x:v>
      </x:c>
      <x:c r="M531" s="75" t="str">
        <x:v>Comparable buyer-specific scoring, creation, progression and availability evidence needed.</x:v>
      </x:c>
      <x:c r="N531" s="75" t="str">
        <x:v>Not assessed</x:v>
      </x:c>
      <x:c r="O531" s="75" t="str">
        <x:v>Source position and transfer quote only; production and age not validated for this specific deal.</x:v>
      </x:c>
      <x:c r="P531" s="75" t="str">
        <x:v>https://www.theguardian.com/football/ng-interactive/2026/sep/01/mens-transfer-window-summer-2026-all-deals-from-europes-top-five-leagues</x:v>
      </x:c>
    </x:row>
    <x:row r="532" ht="25" customHeight="1">
      <x:c r="A532" s="69" t="str">
        <x:v>summer-S26-0256</x:v>
      </x:c>
      <x:c r="B532" s="69" t="str">
        <x:v>Tyrique George</x:v>
      </x:c>
      <x:c r="C532" s="69" t="str">
        <x:v>Everton</x:v>
      </x:c>
      <x:c r="D532" s="69" t="str">
        <x:v>Chelsea</x:v>
      </x:c>
      <x:c r="E532" s="76" t="d">
        <x:v>2026-07-06T00:00:00.000Z</x:v>
      </x:c>
      <x:c r="F532" s="69" t="str">
        <x:v>summer</x:v>
      </x:c>
      <x:c r="G532" s="69" t="str">
        <x:v>Winger — source label</x:v>
      </x:c>
      <x:c r="H532" s="78" t="n">
        <x:v>18000000</x:v>
      </x:c>
      <x:c r="I532" s="69" t="str">
        <x:v>GBP</x:v>
      </x:c>
      <x:c r="J532" s="80"/>
      <x:c r="K532" s="82"/>
      <x:c r="L532" s="69" t="str">
        <x:v>Evidence needed</x:v>
      </x:c>
      <x:c r="M532" s="69" t="str">
        <x:v>Comparable buyer-specific scoring, creation, progression and availability evidence needed.</x:v>
      </x:c>
      <x:c r="N532" s="69" t="str">
        <x:v>Not assessed</x:v>
      </x:c>
      <x:c r="O532" s="69" t="str">
        <x:v>Source position and transfer quote only; production and age not validated for this specific deal.</x:v>
      </x:c>
      <x:c r="P532" s="69" t="str">
        <x:v>https://www.theguardian.com/football/ng-interactive/2026/sep/01/mens-transfer-window-summer-2026-all-deals-from-europes-top-five-leagues</x:v>
      </x:c>
    </x:row>
    <x:row r="533" ht="25" customHeight="1">
      <x:c r="A533" s="75" t="str">
        <x:v>summer-S26-0261</x:v>
      </x:c>
      <x:c r="B533" s="75" t="str">
        <x:v>Yoon Do-young</x:v>
      </x:c>
      <x:c r="C533" s="75" t="str">
        <x:v>Magdeburg</x:v>
      </x:c>
      <x:c r="D533" s="75" t="str">
        <x:v>Brighton</x:v>
      </x:c>
      <x:c r="E533" s="77" t="d">
        <x:v>2026-07-05T00:00:00.000Z</x:v>
      </x:c>
      <x:c r="F533" s="75" t="str">
        <x:v>summer</x:v>
      </x:c>
      <x:c r="G533" s="75" t="str">
        <x:v>Winger — source label</x:v>
      </x:c>
      <x:c r="H533" s="79"/>
      <x:c r="I533" s="75" t="str">
        <x:v>GBP</x:v>
      </x:c>
      <x:c r="J533" s="81"/>
      <x:c r="K533" s="83"/>
      <x:c r="L533" s="75" t="str">
        <x:v>Evidence needed</x:v>
      </x:c>
      <x:c r="M533" s="75" t="str">
        <x:v>Comparable buyer-specific scoring, creation, progression and availability evidence needed. Loan/swap costs need separate treatment.</x:v>
      </x:c>
      <x:c r="N533" s="75" t="str">
        <x:v>Not assessed</x:v>
      </x:c>
      <x:c r="O533" s="75" t="str">
        <x:v>Source position and transfer quote only; production and age not validated for this specific deal.</x:v>
      </x:c>
      <x:c r="P533" s="75" t="str">
        <x:v>https://www.theguardian.com/football/ng-interactive/2026/sep/01/mens-transfer-window-summer-2026-all-deals-from-europes-top-five-leagues</x:v>
      </x:c>
    </x:row>
    <x:row r="534" ht="25" customHeight="1">
      <x:c r="A534" s="69" t="str">
        <x:v>summer-S26-0264</x:v>
      </x:c>
      <x:c r="B534" s="69" t="str">
        <x:v>Jaidon Anthony</x:v>
      </x:c>
      <x:c r="C534" s="69" t="str">
        <x:v>Brentford</x:v>
      </x:c>
      <x:c r="D534" s="69" t="str">
        <x:v>Burnley</x:v>
      </x:c>
      <x:c r="E534" s="76" t="d">
        <x:v>2026-07-07T00:00:00.000Z</x:v>
      </x:c>
      <x:c r="F534" s="69" t="str">
        <x:v>summer</x:v>
      </x:c>
      <x:c r="G534" s="69" t="str">
        <x:v>Winger — source label</x:v>
      </x:c>
      <x:c r="H534" s="78" t="n">
        <x:v>15000000</x:v>
      </x:c>
      <x:c r="I534" s="69" t="str">
        <x:v>GBP</x:v>
      </x:c>
      <x:c r="J534" s="80"/>
      <x:c r="K534" s="82"/>
      <x:c r="L534" s="69" t="str">
        <x:v>Evidence needed</x:v>
      </x:c>
      <x:c r="M534" s="69" t="str">
        <x:v>Comparable buyer-specific scoring, creation, progression and availability evidence needed.</x:v>
      </x:c>
      <x:c r="N534" s="69" t="str">
        <x:v>Not assessed</x:v>
      </x:c>
      <x:c r="O534" s="69" t="str">
        <x:v>Source position and transfer quote only; production and age not validated for this specific deal.</x:v>
      </x:c>
      <x:c r="P534" s="69" t="str">
        <x:v>https://www.theguardian.com/football/ng-interactive/2026/sep/01/mens-transfer-window-summer-2026-all-deals-from-europes-top-five-leagues</x:v>
      </x:c>
    </x:row>
    <x:row r="535" ht="25" customHeight="1">
      <x:c r="A535" s="75" t="str">
        <x:v>summer-S26-0266</x:v>
      </x:c>
      <x:c r="B535" s="75" t="str">
        <x:v>Billal Brahimi</x:v>
      </x:c>
      <x:c r="C535" s="75" t="str">
        <x:v>Le Mans</x:v>
      </x:c>
      <x:c r="D535" s="75" t="str">
        <x:v>Santos FC</x:v>
      </x:c>
      <x:c r="E535" s="77" t="d">
        <x:v>2026-07-06T00:00:00.000Z</x:v>
      </x:c>
      <x:c r="F535" s="75" t="str">
        <x:v>summer</x:v>
      </x:c>
      <x:c r="G535" s="75" t="str">
        <x:v>Winger — source label</x:v>
      </x:c>
      <x:c r="H535" s="79"/>
      <x:c r="I535" s="75" t="str">
        <x:v>GBP</x:v>
      </x:c>
      <x:c r="J535" s="81"/>
      <x:c r="K535" s="83"/>
      <x:c r="L535" s="75" t="str">
        <x:v>Evidence needed</x:v>
      </x:c>
      <x:c r="M535" s="75" t="str">
        <x:v>Comparable buyer-specific scoring, creation, progression and availability evidence needed. Free base fee does not represent wages or other costs.</x:v>
      </x:c>
      <x:c r="N535" s="75" t="str">
        <x:v>Not assessed</x:v>
      </x:c>
      <x:c r="O535" s="75" t="str">
        <x:v>Source position and transfer quote only; production and age not validated for this specific deal.</x:v>
      </x:c>
      <x:c r="P535" s="75" t="str">
        <x:v>https://www.theguardian.com/football/ng-interactive/2026/sep/01/mens-transfer-window-summer-2026-all-deals-from-europes-top-five-leagues</x:v>
      </x:c>
    </x:row>
    <x:row r="536" ht="25" customHeight="1">
      <x:c r="A536" s="69" t="str">
        <x:v>summer-S26-0270</x:v>
      </x:c>
      <x:c r="B536" s="69" t="str">
        <x:v>Luis Chacón</x:v>
      </x:c>
      <x:c r="C536" s="69" t="str">
        <x:v>Real Valladolid</x:v>
      </x:c>
      <x:c r="D536" s="69" t="str">
        <x:v>Deportivo La Coruña</x:v>
      </x:c>
      <x:c r="E536" s="76" t="d">
        <x:v>2026-07-07T00:00:00.000Z</x:v>
      </x:c>
      <x:c r="F536" s="69" t="str">
        <x:v>summer</x:v>
      </x:c>
      <x:c r="G536" s="69" t="str">
        <x:v>Winger — source label</x:v>
      </x:c>
      <x:c r="H536" s="78" t="n">
        <x:v>400000</x:v>
      </x:c>
      <x:c r="I536" s="69" t="str">
        <x:v>GBP</x:v>
      </x:c>
      <x:c r="J536" s="80"/>
      <x:c r="K536" s="82"/>
      <x:c r="L536" s="69" t="str">
        <x:v>Evidence needed</x:v>
      </x:c>
      <x:c r="M536" s="69" t="str">
        <x:v>Comparable buyer-specific scoring, creation, progression and availability evidence needed.</x:v>
      </x:c>
      <x:c r="N536" s="69" t="str">
        <x:v>Not assessed</x:v>
      </x:c>
      <x:c r="O536" s="69" t="str">
        <x:v>Source position and transfer quote only; production and age not validated for this specific deal.</x:v>
      </x:c>
      <x:c r="P536" s="69" t="str">
        <x:v>https://www.theguardian.com/football/ng-interactive/2026/sep/01/mens-transfer-window-summer-2026-all-deals-from-europes-top-five-leagues</x:v>
      </x:c>
    </x:row>
    <x:row r="537" ht="25" customHeight="1">
      <x:c r="A537" s="75" t="str">
        <x:v>summer-S26-0279</x:v>
      </x:c>
      <x:c r="B537" s="75" t="str">
        <x:v>Harry Wilson</x:v>
      </x:c>
      <x:c r="C537" s="75" t="str">
        <x:v>Leeds United</x:v>
      </x:c>
      <x:c r="D537" s="75" t="str">
        <x:v>Fulham</x:v>
      </x:c>
      <x:c r="E537" s="77" t="d">
        <x:v>2026-07-08T00:00:00.000Z</x:v>
      </x:c>
      <x:c r="F537" s="75" t="str">
        <x:v>summer</x:v>
      </x:c>
      <x:c r="G537" s="75" t="str">
        <x:v>Winger — source label</x:v>
      </x:c>
      <x:c r="H537" s="79"/>
      <x:c r="I537" s="75" t="str">
        <x:v>GBP</x:v>
      </x:c>
      <x:c r="J537" s="81"/>
      <x:c r="K537" s="83"/>
      <x:c r="L537" s="75" t="str">
        <x:v>Evidence needed</x:v>
      </x:c>
      <x:c r="M537" s="75" t="str">
        <x:v>Comparable buyer-specific scoring, creation, progression and availability evidence needed. Free base fee does not represent wages or other costs.</x:v>
      </x:c>
      <x:c r="N537" s="75" t="str">
        <x:v>Not assessed</x:v>
      </x:c>
      <x:c r="O537" s="75" t="str">
        <x:v>Source position and transfer quote only; production and age not validated for this specific deal.</x:v>
      </x:c>
      <x:c r="P537" s="75" t="str">
        <x:v>https://www.theguardian.com/football/ng-interactive/2026/sep/01/mens-transfer-window-summer-2026-all-deals-from-europes-top-five-leagues</x:v>
      </x:c>
    </x:row>
    <x:row r="538" ht="25" customHeight="1">
      <x:c r="A538" s="69" t="str">
        <x:v>summer-S26-0285</x:v>
      </x:c>
      <x:c r="B538" s="69" t="str">
        <x:v>Marco Ladisa</x:v>
      </x:c>
      <x:c r="C538" s="69" t="str">
        <x:v>Trento</x:v>
      </x:c>
      <x:c r="D538" s="69" t="str">
        <x:v>Venezia</x:v>
      </x:c>
      <x:c r="E538" s="76" t="d">
        <x:v>2026-07-08T00:00:00.000Z</x:v>
      </x:c>
      <x:c r="F538" s="69" t="str">
        <x:v>summer</x:v>
      </x:c>
      <x:c r="G538" s="69" t="str">
        <x:v>Winger — source label</x:v>
      </x:c>
      <x:c r="H538" s="78"/>
      <x:c r="I538" s="69" t="str">
        <x:v>GBP</x:v>
      </x:c>
      <x:c r="J538" s="80"/>
      <x:c r="K538" s="82"/>
      <x:c r="L538" s="69" t="str">
        <x:v>Evidence needed</x:v>
      </x:c>
      <x:c r="M538" s="69" t="str">
        <x:v>Comparable buyer-specific scoring, creation, progression and availability evidence needed. Loan/swap costs need separate treatment.</x:v>
      </x:c>
      <x:c r="N538" s="69" t="str">
        <x:v>Not assessed</x:v>
      </x:c>
      <x:c r="O538" s="69" t="str">
        <x:v>Source position and transfer quote only; production and age not validated for this specific deal.</x:v>
      </x:c>
      <x:c r="P538" s="69" t="str">
        <x:v>https://www.theguardian.com/football/ng-interactive/2026/sep/01/mens-transfer-window-summer-2026-all-deals-from-europes-top-five-leagues</x:v>
      </x:c>
    </x:row>
    <x:row r="539" ht="25" customHeight="1">
      <x:c r="A539" s="75" t="str">
        <x:v>summer-S26-0286</x:v>
      </x:c>
      <x:c r="B539" s="75" t="str">
        <x:v>Basar Onal</x:v>
      </x:c>
      <x:c r="C539" s="75" t="str">
        <x:v>Lille</x:v>
      </x:c>
      <x:c r="D539" s="75" t="str">
        <x:v>NEC Nijmegen</x:v>
      </x:c>
      <x:c r="E539" s="77" t="d">
        <x:v>2026-07-08T00:00:00.000Z</x:v>
      </x:c>
      <x:c r="F539" s="75" t="str">
        <x:v>summer</x:v>
      </x:c>
      <x:c r="G539" s="75" t="str">
        <x:v>Winger — source label</x:v>
      </x:c>
      <x:c r="H539" s="79" t="n">
        <x:v>8100000</x:v>
      </x:c>
      <x:c r="I539" s="75" t="str">
        <x:v>GBP</x:v>
      </x:c>
      <x:c r="J539" s="81"/>
      <x:c r="K539" s="83"/>
      <x:c r="L539" s="75" t="str">
        <x:v>Evidence needed</x:v>
      </x:c>
      <x:c r="M539" s="75" t="str">
        <x:v>Comparable buyer-specific scoring, creation, progression and availability evidence needed.</x:v>
      </x:c>
      <x:c r="N539" s="75" t="str">
        <x:v>Not assessed</x:v>
      </x:c>
      <x:c r="O539" s="75" t="str">
        <x:v>Source position and transfer quote only; production and age not validated for this specific deal.</x:v>
      </x:c>
      <x:c r="P539" s="75" t="str">
        <x:v>https://www.theguardian.com/football/ng-interactive/2026/sep/01/mens-transfer-window-summer-2026-all-deals-from-europes-top-five-leagues</x:v>
      </x:c>
    </x:row>
    <x:row r="540" ht="25" customHeight="1">
      <x:c r="A540" s="69" t="str">
        <x:v>summer-S26-0290</x:v>
      </x:c>
      <x:c r="B540" s="69" t="str">
        <x:v>Jakub Kaminski</x:v>
      </x:c>
      <x:c r="C540" s="69" t="str">
        <x:v>Benfica</x:v>
      </x:c>
      <x:c r="D540" s="69" t="str">
        <x:v>Cologne</x:v>
      </x:c>
      <x:c r="E540" s="76" t="d">
        <x:v>2026-07-07T00:00:00.000Z</x:v>
      </x:c>
      <x:c r="F540" s="69" t="str">
        <x:v>summer</x:v>
      </x:c>
      <x:c r="G540" s="69" t="str">
        <x:v>Winger — source label</x:v>
      </x:c>
      <x:c r="H540" s="78" t="n">
        <x:v>17000000</x:v>
      </x:c>
      <x:c r="I540" s="69" t="str">
        <x:v>GBP</x:v>
      </x:c>
      <x:c r="J540" s="80"/>
      <x:c r="K540" s="82"/>
      <x:c r="L540" s="69" t="str">
        <x:v>Evidence needed</x:v>
      </x:c>
      <x:c r="M540" s="69" t="str">
        <x:v>Comparable buyer-specific scoring, creation, progression and availability evidence needed.</x:v>
      </x:c>
      <x:c r="N540" s="69" t="str">
        <x:v>Not assessed</x:v>
      </x:c>
      <x:c r="O540" s="69" t="str">
        <x:v>Source position and transfer quote only; production and age not validated for this specific deal.</x:v>
      </x:c>
      <x:c r="P540" s="69" t="str">
        <x:v>https://www.theguardian.com/football/ng-interactive/2026/sep/01/mens-transfer-window-summer-2026-all-deals-from-europes-top-five-leagues</x:v>
      </x:c>
    </x:row>
    <x:row r="541" ht="25" customHeight="1">
      <x:c r="A541" s="75" t="str">
        <x:v>summer-S26-0292</x:v>
      </x:c>
      <x:c r="B541" s="75" t="str">
        <x:v>Louie Barry</x:v>
      </x:c>
      <x:c r="C541" s="75" t="str">
        <x:v>Sheffield Wednesday</x:v>
      </x:c>
      <x:c r="D541" s="75" t="str">
        <x:v>Aston Villa</x:v>
      </x:c>
      <x:c r="E541" s="77" t="d">
        <x:v>2026-07-09T00:00:00.000Z</x:v>
      </x:c>
      <x:c r="F541" s="75" t="str">
        <x:v>summer</x:v>
      </x:c>
      <x:c r="G541" s="75" t="str">
        <x:v>Winger — source label</x:v>
      </x:c>
      <x:c r="H541" s="79"/>
      <x:c r="I541" s="75" t="str">
        <x:v>GBP</x:v>
      </x:c>
      <x:c r="J541" s="81"/>
      <x:c r="K541" s="83"/>
      <x:c r="L541" s="75" t="str">
        <x:v>Evidence needed</x:v>
      </x:c>
      <x:c r="M541" s="75" t="str">
        <x:v>Comparable buyer-specific scoring, creation, progression and availability evidence needed. Transfer fee is undisclosed.</x:v>
      </x:c>
      <x:c r="N541" s="75" t="str">
        <x:v>Not assessed</x:v>
      </x:c>
      <x:c r="O541" s="75" t="str">
        <x:v>Source position and transfer quote only; production and age not validated for this specific deal.</x:v>
      </x:c>
      <x:c r="P541" s="75" t="str">
        <x:v>https://www.theguardian.com/football/ng-interactive/2026/sep/01/mens-transfer-window-summer-2026-all-deals-from-europes-top-five-leagues</x:v>
      </x:c>
    </x:row>
    <x:row r="542" ht="25" customHeight="1">
      <x:c r="A542" s="69" t="str">
        <x:v>summer-S26-0308</x:v>
      </x:c>
      <x:c r="B542" s="69" t="str">
        <x:v>Cole Campbell</x:v>
      </x:c>
      <x:c r="C542" s="69" t="str">
        <x:v>Elversberg</x:v>
      </x:c>
      <x:c r="D542" s="69" t="str">
        <x:v>Borussia Dortmund</x:v>
      </x:c>
      <x:c r="E542" s="76" t="d">
        <x:v>2026-07-09T00:00:00.000Z</x:v>
      </x:c>
      <x:c r="F542" s="69" t="str">
        <x:v>summer</x:v>
      </x:c>
      <x:c r="G542" s="69" t="str">
        <x:v>Winger — source label</x:v>
      </x:c>
      <x:c r="H542" s="78" t="n">
        <x:v>5100000</x:v>
      </x:c>
      <x:c r="I542" s="69" t="str">
        <x:v>GBP</x:v>
      </x:c>
      <x:c r="J542" s="80"/>
      <x:c r="K542" s="82"/>
      <x:c r="L542" s="69" t="str">
        <x:v>Evidence needed</x:v>
      </x:c>
      <x:c r="M542" s="69" t="str">
        <x:v>Comparable buyer-specific scoring, creation, progression and availability evidence needed.</x:v>
      </x:c>
      <x:c r="N542" s="69" t="str">
        <x:v>Not assessed</x:v>
      </x:c>
      <x:c r="O542" s="69" t="str">
        <x:v>Source position and transfer quote only; production and age not validated for this specific deal.</x:v>
      </x:c>
      <x:c r="P542" s="69" t="str">
        <x:v>https://www.theguardian.com/football/ng-interactive/2026/sep/01/mens-transfer-window-summer-2026-all-deals-from-europes-top-five-leagues</x:v>
      </x:c>
    </x:row>
    <x:row r="543" ht="25" customHeight="1">
      <x:c r="A543" s="75" t="str">
        <x:v>summer-S26-0330</x:v>
      </x:c>
      <x:c r="B543" s="75" t="str">
        <x:v>Jeremy Monga</x:v>
      </x:c>
      <x:c r="C543" s="75" t="str">
        <x:v>Manchester City</x:v>
      </x:c>
      <x:c r="D543" s="75" t="str">
        <x:v>Leicester City</x:v>
      </x:c>
      <x:c r="E543" s="77" t="d">
        <x:v>2026-07-11T00:00:00.000Z</x:v>
      </x:c>
      <x:c r="F543" s="75" t="str">
        <x:v>summer</x:v>
      </x:c>
      <x:c r="G543" s="75" t="str">
        <x:v>Winger — source label</x:v>
      </x:c>
      <x:c r="H543" s="79" t="n">
        <x:v>12500000</x:v>
      </x:c>
      <x:c r="I543" s="75" t="str">
        <x:v>GBP</x:v>
      </x:c>
      <x:c r="J543" s="81"/>
      <x:c r="K543" s="83"/>
      <x:c r="L543" s="75" t="str">
        <x:v>Evidence needed</x:v>
      </x:c>
      <x:c r="M543" s="75" t="str">
        <x:v>Comparable buyer-specific scoring, creation, progression and availability evidence needed.</x:v>
      </x:c>
      <x:c r="N543" s="75" t="str">
        <x:v>Not assessed</x:v>
      </x:c>
      <x:c r="O543" s="75" t="str">
        <x:v>Source position and transfer quote only; production and age not validated for this specific deal.</x:v>
      </x:c>
      <x:c r="P543" s="75" t="str">
        <x:v>https://www.theguardian.com/football/ng-interactive/2026/sep/01/mens-transfer-window-summer-2026-all-deals-from-europes-top-five-leagues</x:v>
      </x:c>
    </x:row>
    <x:row r="544" ht="25" customHeight="1">
      <x:c r="A544" s="69" t="str">
        <x:v>summer-S26-0335</x:v>
      </x:c>
      <x:c r="B544" s="69" t="str">
        <x:v>Loum Tchaouna</x:v>
      </x:c>
      <x:c r="C544" s="69" t="str">
        <x:v>Coventry City</x:v>
      </x:c>
      <x:c r="D544" s="69" t="str">
        <x:v>Burnley</x:v>
      </x:c>
      <x:c r="E544" s="76" t="d">
        <x:v>2026-07-11T00:00:00.000Z</x:v>
      </x:c>
      <x:c r="F544" s="69" t="str">
        <x:v>summer</x:v>
      </x:c>
      <x:c r="G544" s="69" t="str">
        <x:v>Winger — source label</x:v>
      </x:c>
      <x:c r="H544" s="78" t="n">
        <x:v>20000000</x:v>
      </x:c>
      <x:c r="I544" s="69" t="str">
        <x:v>GBP</x:v>
      </x:c>
      <x:c r="J544" s="80"/>
      <x:c r="K544" s="82"/>
      <x:c r="L544" s="69" t="str">
        <x:v>Evidence needed</x:v>
      </x:c>
      <x:c r="M544" s="69" t="str">
        <x:v>Comparable buyer-specific scoring, creation, progression and availability evidence needed.</x:v>
      </x:c>
      <x:c r="N544" s="69" t="str">
        <x:v>Not assessed</x:v>
      </x:c>
      <x:c r="O544" s="69" t="str">
        <x:v>Source position and transfer quote only; production and age not validated for this specific deal.</x:v>
      </x:c>
      <x:c r="P544" s="69" t="str">
        <x:v>https://www.theguardian.com/football/ng-interactive/2026/sep/01/mens-transfer-window-summer-2026-all-deals-from-europes-top-five-leagues</x:v>
      </x:c>
    </x:row>
    <x:row r="545" ht="25" customHeight="1">
      <x:c r="A545" s="75" t="str">
        <x:v>summer-S26-0337</x:v>
      </x:c>
      <x:c r="B545" s="75" t="str">
        <x:v>Peter Federico</x:v>
      </x:c>
      <x:c r="C545" s="75" t="str">
        <x:v>Gornik Zabrze</x:v>
      </x:c>
      <x:c r="D545" s="75" t="str">
        <x:v>Getafe</x:v>
      </x:c>
      <x:c r="E545" s="77" t="d">
        <x:v>2026-07-11T00:00:00.000Z</x:v>
      </x:c>
      <x:c r="F545" s="75" t="str">
        <x:v>summer</x:v>
      </x:c>
      <x:c r="G545" s="75" t="str">
        <x:v>Winger — source label</x:v>
      </x:c>
      <x:c r="H545" s="79"/>
      <x:c r="I545" s="75" t="str">
        <x:v>GBP</x:v>
      </x:c>
      <x:c r="J545" s="81"/>
      <x:c r="K545" s="83"/>
      <x:c r="L545" s="75" t="str">
        <x:v>Evidence needed</x:v>
      </x:c>
      <x:c r="M545" s="75" t="str">
        <x:v>Comparable buyer-specific scoring, creation, progression and availability evidence needed. Transfer fee is undisclosed.</x:v>
      </x:c>
      <x:c r="N545" s="75" t="str">
        <x:v>Not assessed</x:v>
      </x:c>
      <x:c r="O545" s="75" t="str">
        <x:v>Source position and transfer quote only; production and age not validated for this specific deal.</x:v>
      </x:c>
      <x:c r="P545" s="75" t="str">
        <x:v>https://www.theguardian.com/football/ng-interactive/2026/sep/01/mens-transfer-window-summer-2026-all-deals-from-europes-top-five-leagues</x:v>
      </x:c>
    </x:row>
    <x:row r="546" ht="25" customHeight="1">
      <x:c r="A546" s="69" t="str">
        <x:v>summer-S26-0339</x:v>
      </x:c>
      <x:c r="B546" s="69" t="str">
        <x:v>Yusuf Akhamrich</x:v>
      </x:c>
      <x:c r="C546" s="69" t="str">
        <x:v>Leyton Orient</x:v>
      </x:c>
      <x:c r="D546" s="69" t="str">
        <x:v>Tottenham Hotspur</x:v>
      </x:c>
      <x:c r="E546" s="76" t="d">
        <x:v>2026-07-11T00:00:00.000Z</x:v>
      </x:c>
      <x:c r="F546" s="69" t="str">
        <x:v>summer</x:v>
      </x:c>
      <x:c r="G546" s="69" t="str">
        <x:v>Winger — source label</x:v>
      </x:c>
      <x:c r="H546" s="78"/>
      <x:c r="I546" s="69" t="str">
        <x:v>GBP</x:v>
      </x:c>
      <x:c r="J546" s="80"/>
      <x:c r="K546" s="82"/>
      <x:c r="L546" s="69" t="str">
        <x:v>Evidence needed</x:v>
      </x:c>
      <x:c r="M546" s="69" t="str">
        <x:v>Comparable buyer-specific scoring, creation, progression and availability evidence needed. Loan/swap costs need separate treatment.</x:v>
      </x:c>
      <x:c r="N546" s="69" t="str">
        <x:v>Not assessed</x:v>
      </x:c>
      <x:c r="O546" s="69" t="str">
        <x:v>Source position and transfer quote only; production and age not validated for this specific deal.</x:v>
      </x:c>
      <x:c r="P546" s="69" t="str">
        <x:v>https://www.theguardian.com/football/ng-interactive/2026/sep/01/mens-transfer-window-summer-2026-all-deals-from-europes-top-five-leagues</x:v>
      </x:c>
    </x:row>
    <x:row r="547" ht="25" customHeight="1">
      <x:c r="A547" s="75" t="str">
        <x:v>summer-S26-0342</x:v>
      </x:c>
      <x:c r="B547" s="75" t="str">
        <x:v>Jesse Derry</x:v>
      </x:c>
      <x:c r="C547" s="75" t="str">
        <x:v>Sporting</x:v>
      </x:c>
      <x:c r="D547" s="75" t="str">
        <x:v>Chelsea</x:v>
      </x:c>
      <x:c r="E547" s="77" t="d">
        <x:v>2026-07-11T00:00:00.000Z</x:v>
      </x:c>
      <x:c r="F547" s="75" t="str">
        <x:v>summer</x:v>
      </x:c>
      <x:c r="G547" s="75" t="str">
        <x:v>Winger — source label</x:v>
      </x:c>
      <x:c r="H547" s="79"/>
      <x:c r="I547" s="75" t="str">
        <x:v>GBP</x:v>
      </x:c>
      <x:c r="J547" s="81"/>
      <x:c r="K547" s="83"/>
      <x:c r="L547" s="75" t="str">
        <x:v>Evidence needed</x:v>
      </x:c>
      <x:c r="M547" s="75" t="str">
        <x:v>Comparable buyer-specific scoring, creation, progression and availability evidence needed. Loan/swap costs need separate treatment.</x:v>
      </x:c>
      <x:c r="N547" s="75" t="str">
        <x:v>Not assessed</x:v>
      </x:c>
      <x:c r="O547" s="75" t="str">
        <x:v>Source position and transfer quote only; production and age not validated for this specific deal.</x:v>
      </x:c>
      <x:c r="P547" s="75" t="str">
        <x:v>https://www.theguardian.com/football/ng-interactive/2026/sep/01/mens-transfer-window-summer-2026-all-deals-from-europes-top-five-leagues</x:v>
      </x:c>
    </x:row>
    <x:row r="548" ht="25" customHeight="1">
      <x:c r="A548" s="69" t="str">
        <x:v>summer-S26-0344</x:v>
      </x:c>
      <x:c r="B548" s="69" t="str">
        <x:v>Paulo Azzi</x:v>
      </x:c>
      <x:c r="C548" s="69" t="str">
        <x:v>Modena</x:v>
      </x:c>
      <x:c r="D548" s="69" t="str">
        <x:v>Monza</x:v>
      </x:c>
      <x:c r="E548" s="76" t="d">
        <x:v>2026-07-11T00:00:00.000Z</x:v>
      </x:c>
      <x:c r="F548" s="69" t="str">
        <x:v>summer</x:v>
      </x:c>
      <x:c r="G548" s="69" t="str">
        <x:v>Winger — source label</x:v>
      </x:c>
      <x:c r="H548" s="78"/>
      <x:c r="I548" s="69" t="str">
        <x:v>GBP</x:v>
      </x:c>
      <x:c r="J548" s="80"/>
      <x:c r="K548" s="82"/>
      <x:c r="L548" s="69" t="str">
        <x:v>Evidence needed</x:v>
      </x:c>
      <x:c r="M548" s="69" t="str">
        <x:v>Comparable buyer-specific scoring, creation, progression and availability evidence needed. Transfer fee is undisclosed.</x:v>
      </x:c>
      <x:c r="N548" s="69" t="str">
        <x:v>Not assessed</x:v>
      </x:c>
      <x:c r="O548" s="69" t="str">
        <x:v>Source position and transfer quote only; production and age not validated for this specific deal.</x:v>
      </x:c>
      <x:c r="P548" s="69" t="str">
        <x:v>https://www.theguardian.com/football/ng-interactive/2026/sep/01/mens-transfer-window-summer-2026-all-deals-from-europes-top-five-leagues</x:v>
      </x:c>
    </x:row>
    <x:row r="549" ht="25" customHeight="1">
      <x:c r="A549" s="75" t="str">
        <x:v>summer-S26-0352</x:v>
      </x:c>
      <x:c r="B549" s="75" t="str">
        <x:v>Lluc Castell</x:v>
      </x:c>
      <x:c r="C549" s="75" t="str">
        <x:v>Burnley</x:v>
      </x:c>
      <x:c r="D549" s="75" t="str">
        <x:v>Espanyol</x:v>
      </x:c>
      <x:c r="E549" s="77" t="d">
        <x:v>2026-07-12T00:00:00.000Z</x:v>
      </x:c>
      <x:c r="F549" s="75" t="str">
        <x:v>summer</x:v>
      </x:c>
      <x:c r="G549" s="75" t="str">
        <x:v>Winger — source label</x:v>
      </x:c>
      <x:c r="H549" s="79"/>
      <x:c r="I549" s="75" t="str">
        <x:v>GBP</x:v>
      </x:c>
      <x:c r="J549" s="81"/>
      <x:c r="K549" s="83"/>
      <x:c r="L549" s="75" t="str">
        <x:v>Evidence needed</x:v>
      </x:c>
      <x:c r="M549" s="75" t="str">
        <x:v>Comparable buyer-specific scoring, creation, progression and availability evidence needed. Transfer fee is undisclosed.</x:v>
      </x:c>
      <x:c r="N549" s="75" t="str">
        <x:v>Not assessed</x:v>
      </x:c>
      <x:c r="O549" s="75" t="str">
        <x:v>Source position and transfer quote only; production and age not validated for this specific deal.</x:v>
      </x:c>
      <x:c r="P549" s="75" t="str">
        <x:v>https://www.theguardian.com/football/ng-interactive/2026/sep/01/mens-transfer-window-summer-2026-all-deals-from-europes-top-five-leagues</x:v>
      </x:c>
    </x:row>
    <x:row r="550" ht="25" customHeight="1">
      <x:c r="A550" s="69" t="str">
        <x:v>summer-S26-0361</x:v>
      </x:c>
      <x:c r="B550" s="69" t="str">
        <x:v>Allan Saint-Maximin</x:v>
      </x:c>
      <x:c r="C550" s="69" t="str">
        <x:v>Charlotte FC</x:v>
      </x:c>
      <x:c r="D550" s="69" t="str">
        <x:v>Lens</x:v>
      </x:c>
      <x:c r="E550" s="76" t="d">
        <x:v>2026-07-13T00:00:00.000Z</x:v>
      </x:c>
      <x:c r="F550" s="69" t="str">
        <x:v>summer</x:v>
      </x:c>
      <x:c r="G550" s="69" t="str">
        <x:v>Winger — source label</x:v>
      </x:c>
      <x:c r="H550" s="78"/>
      <x:c r="I550" s="69" t="str">
        <x:v>GBP</x:v>
      </x:c>
      <x:c r="J550" s="80"/>
      <x:c r="K550" s="82"/>
      <x:c r="L550" s="69" t="str">
        <x:v>Evidence needed</x:v>
      </x:c>
      <x:c r="M550" s="69" t="str">
        <x:v>Comparable buyer-specific scoring, creation, progression and availability evidence needed. Free base fee does not represent wages or other costs.</x:v>
      </x:c>
      <x:c r="N550" s="69" t="str">
        <x:v>Not assessed</x:v>
      </x:c>
      <x:c r="O550" s="69" t="str">
        <x:v>Source position and transfer quote only; production and age not validated for this specific deal.</x:v>
      </x:c>
      <x:c r="P550" s="69" t="str">
        <x:v>https://www.theguardian.com/football/ng-interactive/2026/sep/01/mens-transfer-window-summer-2026-all-deals-from-europes-top-five-leagues</x:v>
      </x:c>
    </x:row>
    <x:row r="551" ht="25" customHeight="1">
      <x:c r="A551" s="75" t="str">
        <x:v>summer-S26-0365</x:v>
      </x:c>
      <x:c r="B551" s="75" t="str">
        <x:v>Thorgan Hazard</x:v>
      </x:c>
      <x:c r="C551" s="75" t="str">
        <x:v>Lens</x:v>
      </x:c>
      <x:c r="D551" s="75" t="str">
        <x:v>Anderlecht</x:v>
      </x:c>
      <x:c r="E551" s="77" t="d">
        <x:v>2026-07-13T00:00:00.000Z</x:v>
      </x:c>
      <x:c r="F551" s="75" t="str">
        <x:v>summer</x:v>
      </x:c>
      <x:c r="G551" s="75" t="str">
        <x:v>Winger — source label</x:v>
      </x:c>
      <x:c r="H551" s="79"/>
      <x:c r="I551" s="75" t="str">
        <x:v>GBP</x:v>
      </x:c>
      <x:c r="J551" s="81"/>
      <x:c r="K551" s="83"/>
      <x:c r="L551" s="75" t="str">
        <x:v>Evidence needed</x:v>
      </x:c>
      <x:c r="M551" s="75" t="str">
        <x:v>Comparable buyer-specific scoring, creation, progression and availability evidence needed. Free base fee does not represent wages or other costs.</x:v>
      </x:c>
      <x:c r="N551" s="75" t="str">
        <x:v>Not assessed</x:v>
      </x:c>
      <x:c r="O551" s="75" t="str">
        <x:v>Source position and transfer quote only; production and age not validated for this specific deal.</x:v>
      </x:c>
      <x:c r="P551" s="75" t="str">
        <x:v>https://www.theguardian.com/football/ng-interactive/2026/sep/01/mens-transfer-window-summer-2026-all-deals-from-europes-top-five-leagues</x:v>
      </x:c>
    </x:row>
    <x:row r="552" ht="25" customHeight="1">
      <x:c r="A552" s="69" t="str">
        <x:v>summer-S26-0367</x:v>
      </x:c>
      <x:c r="B552" s="69" t="str">
        <x:v>Alessandro Cardinali</x:v>
      </x:c>
      <x:c r="C552" s="69" t="str">
        <x:v>Spezia</x:v>
      </x:c>
      <x:c r="D552" s="69" t="str">
        <x:v>Parma</x:v>
      </x:c>
      <x:c r="E552" s="76" t="d">
        <x:v>2026-07-13T00:00:00.000Z</x:v>
      </x:c>
      <x:c r="F552" s="69" t="str">
        <x:v>summer</x:v>
      </x:c>
      <x:c r="G552" s="69" t="str">
        <x:v>Winger — source label</x:v>
      </x:c>
      <x:c r="H552" s="78"/>
      <x:c r="I552" s="69" t="str">
        <x:v>GBP</x:v>
      </x:c>
      <x:c r="J552" s="80"/>
      <x:c r="K552" s="82"/>
      <x:c r="L552" s="69" t="str">
        <x:v>Evidence needed</x:v>
      </x:c>
      <x:c r="M552" s="69" t="str">
        <x:v>Comparable buyer-specific scoring, creation, progression and availability evidence needed. Loan/swap costs need separate treatment.</x:v>
      </x:c>
      <x:c r="N552" s="69" t="str">
        <x:v>Not assessed</x:v>
      </x:c>
      <x:c r="O552" s="69" t="str">
        <x:v>Source position and transfer quote only; production and age not validated for this specific deal.</x:v>
      </x:c>
      <x:c r="P552" s="69" t="str">
        <x:v>https://www.theguardian.com/football/ng-interactive/2026/sep/01/mens-transfer-window-summer-2026-all-deals-from-europes-top-five-leagues</x:v>
      </x:c>
    </x:row>
    <x:row r="553" ht="25" customHeight="1">
      <x:c r="A553" s="75" t="str">
        <x:v>summer-S26-0375</x:v>
      </x:c>
      <x:c r="B553" s="75" t="str">
        <x:v>Antonio Cordero</x:v>
      </x:c>
      <x:c r="C553" s="75" t="str">
        <x:v>Cádiz</x:v>
      </x:c>
      <x:c r="D553" s="75" t="str">
        <x:v>Newcastle United</x:v>
      </x:c>
      <x:c r="E553" s="77" t="d">
        <x:v>2026-07-12T00:00:00.000Z</x:v>
      </x:c>
      <x:c r="F553" s="75" t="str">
        <x:v>summer</x:v>
      </x:c>
      <x:c r="G553" s="75" t="str">
        <x:v>Winger — source label</x:v>
      </x:c>
      <x:c r="H553" s="79"/>
      <x:c r="I553" s="75" t="str">
        <x:v>GBP</x:v>
      </x:c>
      <x:c r="J553" s="81"/>
      <x:c r="K553" s="83"/>
      <x:c r="L553" s="75" t="str">
        <x:v>Evidence needed</x:v>
      </x:c>
      <x:c r="M553" s="75" t="str">
        <x:v>Comparable buyer-specific scoring, creation, progression and availability evidence needed. Loan/swap costs need separate treatment.</x:v>
      </x:c>
      <x:c r="N553" s="75" t="str">
        <x:v>Not assessed</x:v>
      </x:c>
      <x:c r="O553" s="75" t="str">
        <x:v>Source position and transfer quote only; production and age not validated for this specific deal.</x:v>
      </x:c>
      <x:c r="P553" s="75" t="str">
        <x:v>https://www.theguardian.com/football/ng-interactive/2026/sep/01/mens-transfer-window-summer-2026-all-deals-from-europes-top-five-leagues</x:v>
      </x:c>
    </x:row>
    <x:row r="554" ht="25" customHeight="1">
      <x:c r="A554" s="69" t="str">
        <x:v>summer-S26-0394</x:v>
      </x:c>
      <x:c r="B554" s="69" t="str">
        <x:v>Michal Skoras</x:v>
      </x:c>
      <x:c r="C554" s="69" t="str">
        <x:v>Lens</x:v>
      </x:c>
      <x:c r="D554" s="69" t="str">
        <x:v>KAA Gent</x:v>
      </x:c>
      <x:c r="E554" s="76" t="d">
        <x:v>2026-07-14T00:00:00.000Z</x:v>
      </x:c>
      <x:c r="F554" s="69" t="str">
        <x:v>summer</x:v>
      </x:c>
      <x:c r="G554" s="69" t="str">
        <x:v>Winger — source label</x:v>
      </x:c>
      <x:c r="H554" s="78" t="n">
        <x:v>5100000</x:v>
      </x:c>
      <x:c r="I554" s="69" t="str">
        <x:v>GBP</x:v>
      </x:c>
      <x:c r="J554" s="80"/>
      <x:c r="K554" s="82"/>
      <x:c r="L554" s="69" t="str">
        <x:v>Evidence needed</x:v>
      </x:c>
      <x:c r="M554" s="69" t="str">
        <x:v>Comparable buyer-specific scoring, creation, progression and availability evidence needed.</x:v>
      </x:c>
      <x:c r="N554" s="69" t="str">
        <x:v>Not assessed</x:v>
      </x:c>
      <x:c r="O554" s="69" t="str">
        <x:v>Source position and transfer quote only; production and age not validated for this specific deal.</x:v>
      </x:c>
      <x:c r="P554" s="69" t="str">
        <x:v>https://www.theguardian.com/football/ng-interactive/2026/sep/01/mens-transfer-window-summer-2026-all-deals-from-europes-top-five-leagues</x:v>
      </x:c>
    </x:row>
    <x:row r="555" ht="25" customHeight="1">
      <x:c r="A555" s="75" t="str">
        <x:v>summer-S26-0410</x:v>
      </x:c>
      <x:c r="B555" s="75" t="str">
        <x:v>Ben Bobzien</x:v>
      </x:c>
      <x:c r="C555" s="75" t="str">
        <x:v>Dynamo Dresden</x:v>
      </x:c>
      <x:c r="D555" s="75" t="str">
        <x:v>Mainz 05</x:v>
      </x:c>
      <x:c r="E555" s="77" t="d">
        <x:v>2026-07-16T00:00:00.000Z</x:v>
      </x:c>
      <x:c r="F555" s="75" t="str">
        <x:v>summer</x:v>
      </x:c>
      <x:c r="G555" s="75" t="str">
        <x:v>Winger — source label</x:v>
      </x:c>
      <x:c r="H555" s="79" t="n">
        <x:v>900000</x:v>
      </x:c>
      <x:c r="I555" s="75" t="str">
        <x:v>GBP</x:v>
      </x:c>
      <x:c r="J555" s="81"/>
      <x:c r="K555" s="83"/>
      <x:c r="L555" s="75" t="str">
        <x:v>Evidence needed</x:v>
      </x:c>
      <x:c r="M555" s="75" t="str">
        <x:v>Comparable buyer-specific scoring, creation, progression and availability evidence needed.</x:v>
      </x:c>
      <x:c r="N555" s="75" t="str">
        <x:v>Not assessed</x:v>
      </x:c>
      <x:c r="O555" s="75" t="str">
        <x:v>Source position and transfer quote only; production and age not validated for this specific deal.</x:v>
      </x:c>
      <x:c r="P555" s="75" t="str">
        <x:v>https://www.theguardian.com/football/ng-interactive/2026/sep/01/mens-transfer-window-summer-2026-all-deals-from-europes-top-five-leagues</x:v>
      </x:c>
    </x:row>
    <x:row r="556" ht="25" customHeight="1">
      <x:c r="A556" s="69" t="str">
        <x:v>summer-S26-0414</x:v>
      </x:c>
      <x:c r="B556" s="69" t="str">
        <x:v>Elias Saad</x:v>
      </x:c>
      <x:c r="C556" s="69" t="str">
        <x:v>Nashville SC</x:v>
      </x:c>
      <x:c r="D556" s="69" t="str">
        <x:v>Augsburg</x:v>
      </x:c>
      <x:c r="E556" s="76" t="d">
        <x:v>2026-07-16T00:00:00.000Z</x:v>
      </x:c>
      <x:c r="F556" s="69" t="str">
        <x:v>summer</x:v>
      </x:c>
      <x:c r="G556" s="69" t="str">
        <x:v>Winger — source label</x:v>
      </x:c>
      <x:c r="H556" s="78"/>
      <x:c r="I556" s="69" t="str">
        <x:v>GBP</x:v>
      </x:c>
      <x:c r="J556" s="80"/>
      <x:c r="K556" s="82"/>
      <x:c r="L556" s="69" t="str">
        <x:v>Evidence needed</x:v>
      </x:c>
      <x:c r="M556" s="69" t="str">
        <x:v>Comparable buyer-specific scoring, creation, progression and availability evidence needed. Loan/swap costs need separate treatment.</x:v>
      </x:c>
      <x:c r="N556" s="69" t="str">
        <x:v>Not assessed</x:v>
      </x:c>
      <x:c r="O556" s="69" t="str">
        <x:v>Source position and transfer quote only; production and age not validated for this specific deal.</x:v>
      </x:c>
      <x:c r="P556" s="69" t="str">
        <x:v>https://www.theguardian.com/football/ng-interactive/2026/sep/01/mens-transfer-window-summer-2026-all-deals-from-europes-top-five-leagues</x:v>
      </x:c>
    </x:row>
    <x:row r="557" ht="25" customHeight="1">
      <x:c r="A557" s="75" t="str">
        <x:v>summer-S26-0429</x:v>
      </x:c>
      <x:c r="B557" s="75" t="str">
        <x:v>Hamed Traoré</x:v>
      </x:c>
      <x:c r="C557" s="75" t="str">
        <x:v>Genoa</x:v>
      </x:c>
      <x:c r="D557" s="75" t="str">
        <x:v>Marseille</x:v>
      </x:c>
      <x:c r="E557" s="77" t="d">
        <x:v>2026-07-17T00:00:00.000Z</x:v>
      </x:c>
      <x:c r="F557" s="75" t="str">
        <x:v>summer</x:v>
      </x:c>
      <x:c r="G557" s="75" t="str">
        <x:v>Winger — source label</x:v>
      </x:c>
      <x:c r="H557" s="79"/>
      <x:c r="I557" s="75" t="str">
        <x:v>GBP</x:v>
      </x:c>
      <x:c r="J557" s="81"/>
      <x:c r="K557" s="83"/>
      <x:c r="L557" s="75" t="str">
        <x:v>Evidence needed</x:v>
      </x:c>
      <x:c r="M557" s="75" t="str">
        <x:v>Comparable buyer-specific scoring, creation, progression and availability evidence needed. Loan/swap costs need separate treatment.</x:v>
      </x:c>
      <x:c r="N557" s="75" t="str">
        <x:v>Not assessed</x:v>
      </x:c>
      <x:c r="O557" s="75" t="str">
        <x:v>Source position and transfer quote only; production and age not validated for this specific deal.</x:v>
      </x:c>
      <x:c r="P557" s="75" t="str">
        <x:v>https://www.theguardian.com/football/ng-interactive/2026/sep/01/mens-transfer-window-summer-2026-all-deals-from-europes-top-five-leagues</x:v>
      </x:c>
    </x:row>
    <x:row r="558" ht="25" customHeight="1">
      <x:c r="A558" s="69" t="str">
        <x:v>summer-S26-0432</x:v>
      </x:c>
      <x:c r="B558" s="69" t="str">
        <x:v>Pablo Pagis</x:v>
      </x:c>
      <x:c r="C558" s="69" t="str">
        <x:v>Paris FC</x:v>
      </x:c>
      <x:c r="D558" s="69" t="str">
        <x:v>Lorient</x:v>
      </x:c>
      <x:c r="E558" s="76" t="d">
        <x:v>2026-07-17T00:00:00.000Z</x:v>
      </x:c>
      <x:c r="F558" s="69" t="str">
        <x:v>summer</x:v>
      </x:c>
      <x:c r="G558" s="69" t="str">
        <x:v>Winger — source label</x:v>
      </x:c>
      <x:c r="H558" s="78" t="n">
        <x:v>12800000</x:v>
      </x:c>
      <x:c r="I558" s="69" t="str">
        <x:v>GBP</x:v>
      </x:c>
      <x:c r="J558" s="80"/>
      <x:c r="K558" s="82"/>
      <x:c r="L558" s="69" t="str">
        <x:v>Evidence needed</x:v>
      </x:c>
      <x:c r="M558" s="69" t="str">
        <x:v>Comparable buyer-specific scoring, creation, progression and availability evidence needed.</x:v>
      </x:c>
      <x:c r="N558" s="69" t="str">
        <x:v>Not assessed</x:v>
      </x:c>
      <x:c r="O558" s="69" t="str">
        <x:v>Source position and transfer quote only; production and age not validated for this specific deal.</x:v>
      </x:c>
      <x:c r="P558" s="69" t="str">
        <x:v>https://www.theguardian.com/football/ng-interactive/2026/sep/01/mens-transfer-window-summer-2026-all-deals-from-europes-top-five-leagues</x:v>
      </x:c>
    </x:row>
    <x:row r="559" ht="25" customHeight="1">
      <x:c r="A559" s="75" t="str">
        <x:v>summer-S26-0434</x:v>
      </x:c>
      <x:c r="B559" s="75" t="str">
        <x:v>Danny Anisjko</x:v>
      </x:c>
      <x:c r="C559" s="75" t="str">
        <x:v>Chesterfield</x:v>
      </x:c>
      <x:c r="D559" s="75" t="str">
        <x:v>Nottingham Forest</x:v>
      </x:c>
      <x:c r="E559" s="77" t="d">
        <x:v>2026-07-17T00:00:00.000Z</x:v>
      </x:c>
      <x:c r="F559" s="75" t="str">
        <x:v>summer</x:v>
      </x:c>
      <x:c r="G559" s="75" t="str">
        <x:v>Winger — source label</x:v>
      </x:c>
      <x:c r="H559" s="79"/>
      <x:c r="I559" s="75" t="str">
        <x:v>GBP</x:v>
      </x:c>
      <x:c r="J559" s="81"/>
      <x:c r="K559" s="83"/>
      <x:c r="L559" s="75" t="str">
        <x:v>Evidence needed</x:v>
      </x:c>
      <x:c r="M559" s="75" t="str">
        <x:v>Comparable buyer-specific scoring, creation, progression and availability evidence needed. Free base fee does not represent wages or other costs.</x:v>
      </x:c>
      <x:c r="N559" s="75" t="str">
        <x:v>Not assessed</x:v>
      </x:c>
      <x:c r="O559" s="75" t="str">
        <x:v>Source position and transfer quote only; production and age not validated for this specific deal.</x:v>
      </x:c>
      <x:c r="P559" s="75" t="str">
        <x:v>https://www.theguardian.com/football/ng-interactive/2026/sep/01/mens-transfer-window-summer-2026-all-deals-from-europes-top-five-leagues</x:v>
      </x:c>
    </x:row>
    <x:row r="560" ht="25" customHeight="1">
      <x:c r="A560" s="69" t="str">
        <x:v>summer-S26-0447</x:v>
      </x:c>
      <x:c r="B560" s="69" t="str">
        <x:v>Kyliane Dong</x:v>
      </x:c>
      <x:c r="C560" s="69" t="str">
        <x:v>Bolton</x:v>
      </x:c>
      <x:c r="D560" s="69" t="str">
        <x:v>Augsburg</x:v>
      </x:c>
      <x:c r="E560" s="76" t="d">
        <x:v>2026-07-07T00:00:00.000Z</x:v>
      </x:c>
      <x:c r="F560" s="69" t="str">
        <x:v>summer</x:v>
      </x:c>
      <x:c r="G560" s="69" t="str">
        <x:v>Winger — source label</x:v>
      </x:c>
      <x:c r="H560" s="78"/>
      <x:c r="I560" s="69" t="str">
        <x:v>GBP</x:v>
      </x:c>
      <x:c r="J560" s="80"/>
      <x:c r="K560" s="82"/>
      <x:c r="L560" s="69" t="str">
        <x:v>Evidence needed</x:v>
      </x:c>
      <x:c r="M560" s="69" t="str">
        <x:v>Comparable buyer-specific scoring, creation, progression and availability evidence needed. Loan/swap costs need separate treatment.</x:v>
      </x:c>
      <x:c r="N560" s="69" t="str">
        <x:v>Not assessed</x:v>
      </x:c>
      <x:c r="O560" s="69" t="str">
        <x:v>Source position and transfer quote only; production and age not validated for this specific deal.</x:v>
      </x:c>
      <x:c r="P560" s="69" t="str">
        <x:v>https://www.theguardian.com/football/ng-interactive/2026/sep/01/mens-transfer-window-summer-2026-all-deals-from-europes-top-five-leagues</x:v>
      </x:c>
    </x:row>
    <x:row r="561" ht="25" customHeight="1">
      <x:c r="A561" s="75" t="str">
        <x:v>summer-S26-0461</x:v>
      </x:c>
      <x:c r="B561" s="75" t="str">
        <x:v>Mathieu Cafaro</x:v>
      </x:c>
      <x:c r="C561" s="75" t="str">
        <x:v>Nantes</x:v>
      </x:c>
      <x:c r="D561" s="75" t="str">
        <x:v>Paris FC</x:v>
      </x:c>
      <x:c r="E561" s="77" t="d">
        <x:v>2026-07-18T00:00:00.000Z</x:v>
      </x:c>
      <x:c r="F561" s="75" t="str">
        <x:v>summer</x:v>
      </x:c>
      <x:c r="G561" s="75" t="str">
        <x:v>Winger — source label</x:v>
      </x:c>
      <x:c r="H561" s="79"/>
      <x:c r="I561" s="75" t="str">
        <x:v>GBP</x:v>
      </x:c>
      <x:c r="J561" s="81"/>
      <x:c r="K561" s="83"/>
      <x:c r="L561" s="75" t="str">
        <x:v>Evidence needed</x:v>
      </x:c>
      <x:c r="M561" s="75" t="str">
        <x:v>Comparable buyer-specific scoring, creation, progression and availability evidence needed. Transfer fee is undisclosed.</x:v>
      </x:c>
      <x:c r="N561" s="75" t="str">
        <x:v>Not assessed</x:v>
      </x:c>
      <x:c r="O561" s="75" t="str">
        <x:v>Source position and transfer quote only; production and age not validated for this specific deal.</x:v>
      </x:c>
      <x:c r="P561" s="75" t="str">
        <x:v>https://www.theguardian.com/football/ng-interactive/2026/sep/01/mens-transfer-window-summer-2026-all-deals-from-europes-top-five-leagues</x:v>
      </x:c>
    </x:row>
    <x:row r="562" ht="25" customHeight="1">
      <x:c r="A562" s="69" t="str">
        <x:v>summer-S26-0462</x:v>
      </x:c>
      <x:c r="B562" s="69" t="str">
        <x:v>Juan Cruz</x:v>
      </x:c>
      <x:c r="C562" s="69" t="str">
        <x:v>Málaga</x:v>
      </x:c>
      <x:c r="D562" s="69" t="str">
        <x:v>Leganés</x:v>
      </x:c>
      <x:c r="E562" s="76" t="d">
        <x:v>2026-07-19T00:00:00.000Z</x:v>
      </x:c>
      <x:c r="F562" s="69" t="str">
        <x:v>summer</x:v>
      </x:c>
      <x:c r="G562" s="69" t="str">
        <x:v>Winger — source label</x:v>
      </x:c>
      <x:c r="H562" s="78"/>
      <x:c r="I562" s="69" t="str">
        <x:v>GBP</x:v>
      </x:c>
      <x:c r="J562" s="80"/>
      <x:c r="K562" s="82"/>
      <x:c r="L562" s="69" t="str">
        <x:v>Evidence needed</x:v>
      </x:c>
      <x:c r="M562" s="69" t="str">
        <x:v>Comparable buyer-specific scoring, creation, progression and availability evidence needed. Loan/swap costs need separate treatment.</x:v>
      </x:c>
      <x:c r="N562" s="69" t="str">
        <x:v>Not assessed</x:v>
      </x:c>
      <x:c r="O562" s="69" t="str">
        <x:v>Source position and transfer quote only; production and age not validated for this specific deal.</x:v>
      </x:c>
      <x:c r="P562" s="69" t="str">
        <x:v>https://www.theguardian.com/football/ng-interactive/2026/sep/01/mens-transfer-window-summer-2026-all-deals-from-europes-top-five-leagues</x:v>
      </x:c>
    </x:row>
    <x:row r="563" ht="25" customHeight="1">
      <x:c r="A563" s="75" t="str">
        <x:v>summer-S26-0481</x:v>
      </x:c>
      <x:c r="B563" s="75" t="str">
        <x:v>Jeremy Agbonifo</x:v>
      </x:c>
      <x:c r="C563" s="75" t="str">
        <x:v>Jagiellonia</x:v>
      </x:c>
      <x:c r="D563" s="75" t="str">
        <x:v>Lens</x:v>
      </x:c>
      <x:c r="E563" s="77" t="d">
        <x:v>2026-07-21T00:00:00.000Z</x:v>
      </x:c>
      <x:c r="F563" s="75" t="str">
        <x:v>summer</x:v>
      </x:c>
      <x:c r="G563" s="75" t="str">
        <x:v>Winger — source label</x:v>
      </x:c>
      <x:c r="H563" s="79"/>
      <x:c r="I563" s="75" t="str">
        <x:v>GBP</x:v>
      </x:c>
      <x:c r="J563" s="81"/>
      <x:c r="K563" s="83"/>
      <x:c r="L563" s="75" t="str">
        <x:v>Evidence needed</x:v>
      </x:c>
      <x:c r="M563" s="75" t="str">
        <x:v>Comparable buyer-specific scoring, creation, progression and availability evidence needed. Loan/swap costs need separate treatment.</x:v>
      </x:c>
      <x:c r="N563" s="75" t="str">
        <x:v>Not assessed</x:v>
      </x:c>
      <x:c r="O563" s="75" t="str">
        <x:v>Source position and transfer quote only; production and age not validated for this specific deal.</x:v>
      </x:c>
      <x:c r="P563" s="75" t="str">
        <x:v>https://www.theguardian.com/football/ng-interactive/2026/sep/01/mens-transfer-window-summer-2026-all-deals-from-europes-top-five-leagues</x:v>
      </x:c>
    </x:row>
    <x:row r="564" ht="25" customHeight="1">
      <x:c r="A564" s="69" t="str">
        <x:v>summer-S26-0482</x:v>
      </x:c>
      <x:c r="B564" s="69" t="str">
        <x:v>Abdul Fatawu</x:v>
      </x:c>
      <x:c r="C564" s="69" t="str">
        <x:v>Ipswich Town</x:v>
      </x:c>
      <x:c r="D564" s="69" t="str">
        <x:v>Leicester City</x:v>
      </x:c>
      <x:c r="E564" s="76" t="d">
        <x:v>2026-07-21T00:00:00.000Z</x:v>
      </x:c>
      <x:c r="F564" s="69" t="str">
        <x:v>summer</x:v>
      </x:c>
      <x:c r="G564" s="69" t="str">
        <x:v>Winger — source label</x:v>
      </x:c>
      <x:c r="H564" s="78" t="n">
        <x:v>20000000</x:v>
      </x:c>
      <x:c r="I564" s="69" t="str">
        <x:v>GBP</x:v>
      </x:c>
      <x:c r="J564" s="80"/>
      <x:c r="K564" s="82"/>
      <x:c r="L564" s="69" t="str">
        <x:v>Evidence needed</x:v>
      </x:c>
      <x:c r="M564" s="69" t="str">
        <x:v>Comparable buyer-specific scoring, creation, progression and availability evidence needed.</x:v>
      </x:c>
      <x:c r="N564" s="69" t="str">
        <x:v>Not assessed</x:v>
      </x:c>
      <x:c r="O564" s="69" t="str">
        <x:v>Source position and transfer quote only; production and age not validated for this specific deal.</x:v>
      </x:c>
      <x:c r="P564" s="69" t="str">
        <x:v>https://www.theguardian.com/football/ng-interactive/2026/sep/01/mens-transfer-window-summer-2026-all-deals-from-europes-top-five-leagues</x:v>
      </x:c>
    </x:row>
    <x:row r="565" ht="25" customHeight="1">
      <x:c r="A565" s="75" t="str">
        <x:v>summer-S26-0486</x:v>
      </x:c>
      <x:c r="B565" s="75" t="str">
        <x:v>Diego Gómez</x:v>
      </x:c>
      <x:c r="C565" s="75" t="str">
        <x:v>Huesca</x:v>
      </x:c>
      <x:c r="D565" s="75" t="str">
        <x:v>Deportivo La Coruña</x:v>
      </x:c>
      <x:c r="E565" s="77" t="d">
        <x:v>2026-07-20T00:00:00.000Z</x:v>
      </x:c>
      <x:c r="F565" s="75" t="str">
        <x:v>summer</x:v>
      </x:c>
      <x:c r="G565" s="75" t="str">
        <x:v>Winger — source label</x:v>
      </x:c>
      <x:c r="H565" s="79"/>
      <x:c r="I565" s="75" t="str">
        <x:v>GBP</x:v>
      </x:c>
      <x:c r="J565" s="81"/>
      <x:c r="K565" s="83"/>
      <x:c r="L565" s="75" t="str">
        <x:v>Evidence needed</x:v>
      </x:c>
      <x:c r="M565" s="75" t="str">
        <x:v>Comparable buyer-specific scoring, creation, progression and availability evidence needed. Loan/swap costs need separate treatment.</x:v>
      </x:c>
      <x:c r="N565" s="75" t="str">
        <x:v>Not assessed</x:v>
      </x:c>
      <x:c r="O565" s="75" t="str">
        <x:v>Source position and transfer quote only; production and age not validated for this specific deal.</x:v>
      </x:c>
      <x:c r="P565" s="75" t="str">
        <x:v>https://www.theguardian.com/football/ng-interactive/2026/sep/01/mens-transfer-window-summer-2026-all-deals-from-europes-top-five-leagues</x:v>
      </x:c>
    </x:row>
    <x:row r="566" ht="25" customHeight="1">
      <x:c r="A566" s="69" t="str">
        <x:v>summer-S26-0496</x:v>
      </x:c>
      <x:c r="B566" s="69" t="str">
        <x:v>Coba da Costa</x:v>
      </x:c>
      <x:c r="C566" s="69" t="str">
        <x:v>Al-Kholood</x:v>
      </x:c>
      <x:c r="D566" s="69" t="str">
        <x:v>Getafe</x:v>
      </x:c>
      <x:c r="E566" s="76" t="d">
        <x:v>2026-07-09T00:00:00.000Z</x:v>
      </x:c>
      <x:c r="F566" s="69" t="str">
        <x:v>summer</x:v>
      </x:c>
      <x:c r="G566" s="69" t="str">
        <x:v>Winger — source label</x:v>
      </x:c>
      <x:c r="H566" s="78" t="n">
        <x:v>1700000</x:v>
      </x:c>
      <x:c r="I566" s="69" t="str">
        <x:v>GBP</x:v>
      </x:c>
      <x:c r="J566" s="80"/>
      <x:c r="K566" s="82"/>
      <x:c r="L566" s="69" t="str">
        <x:v>Evidence needed</x:v>
      </x:c>
      <x:c r="M566" s="69" t="str">
        <x:v>Comparable buyer-specific scoring, creation, progression and availability evidence needed.</x:v>
      </x:c>
      <x:c r="N566" s="69" t="str">
        <x:v>Not assessed</x:v>
      </x:c>
      <x:c r="O566" s="69" t="str">
        <x:v>Source position and transfer quote only; production and age not validated for this specific deal.</x:v>
      </x:c>
      <x:c r="P566" s="69" t="str">
        <x:v>https://www.theguardian.com/football/ng-interactive/2026/sep/01/mens-transfer-window-summer-2026-all-deals-from-europes-top-five-leagues</x:v>
      </x:c>
    </x:row>
    <x:row r="567" ht="25" customHeight="1">
      <x:c r="A567" s="75" t="str">
        <x:v>summer-S26-0515</x:v>
      </x:c>
      <x:c r="B567" s="75" t="str">
        <x:v>Marco Delle Monache</x:v>
      </x:c>
      <x:c r="C567" s="75" t="str">
        <x:v>Pineto</x:v>
      </x:c>
      <x:c r="D567" s="75" t="str">
        <x:v>Lecce</x:v>
      </x:c>
      <x:c r="E567" s="77" t="d">
        <x:v>2026-07-21T00:00:00.000Z</x:v>
      </x:c>
      <x:c r="F567" s="75" t="str">
        <x:v>summer</x:v>
      </x:c>
      <x:c r="G567" s="75" t="str">
        <x:v>Winger — source label</x:v>
      </x:c>
      <x:c r="H567" s="79"/>
      <x:c r="I567" s="75" t="str">
        <x:v>GBP</x:v>
      </x:c>
      <x:c r="J567" s="81"/>
      <x:c r="K567" s="83"/>
      <x:c r="L567" s="75" t="str">
        <x:v>Evidence needed</x:v>
      </x:c>
      <x:c r="M567" s="75" t="str">
        <x:v>Comparable buyer-specific scoring, creation, progression and availability evidence needed. Loan/swap costs need separate treatment.</x:v>
      </x:c>
      <x:c r="N567" s="75" t="str">
        <x:v>Not assessed</x:v>
      </x:c>
      <x:c r="O567" s="75" t="str">
        <x:v>Source position and transfer quote only; production and age not validated for this specific deal.</x:v>
      </x:c>
      <x:c r="P567" s="75" t="str">
        <x:v>https://www.theguardian.com/football/ng-interactive/2026/sep/01/mens-transfer-window-summer-2026-all-deals-from-europes-top-five-leagues</x:v>
      </x:c>
    </x:row>
    <x:row r="568" ht="25" customHeight="1">
      <x:c r="A568" s="69" t="str">
        <x:v>summer-S26-0529</x:v>
      </x:c>
      <x:c r="B568" s="69" t="str">
        <x:v>Karim Adeyemi</x:v>
      </x:c>
      <x:c r="C568" s="69" t="str">
        <x:v>Barcelona</x:v>
      </x:c>
      <x:c r="D568" s="69" t="str">
        <x:v>Borussia Dortmund</x:v>
      </x:c>
      <x:c r="E568" s="76" t="d">
        <x:v>2026-07-23T00:00:00.000Z</x:v>
      </x:c>
      <x:c r="F568" s="69" t="str">
        <x:v>summer</x:v>
      </x:c>
      <x:c r="G568" s="69" t="str">
        <x:v>Winger — source label</x:v>
      </x:c>
      <x:c r="H568" s="78" t="n">
        <x:v>18800000</x:v>
      </x:c>
      <x:c r="I568" s="69" t="str">
        <x:v>GBP</x:v>
      </x:c>
      <x:c r="J568" s="80"/>
      <x:c r="K568" s="82"/>
      <x:c r="L568" s="69" t="str">
        <x:v>Evidence needed</x:v>
      </x:c>
      <x:c r="M568" s="69" t="str">
        <x:v>Comparable buyer-specific scoring, creation, progression and availability evidence needed.</x:v>
      </x:c>
      <x:c r="N568" s="69" t="str">
        <x:v>Not assessed</x:v>
      </x:c>
      <x:c r="O568" s="69" t="str">
        <x:v>Source position and transfer quote only; production and age not validated for this specific deal.</x:v>
      </x:c>
      <x:c r="P568" s="69" t="str">
        <x:v>https://www.theguardian.com/football/ng-interactive/2026/sep/01/mens-transfer-window-summer-2026-all-deals-from-europes-top-five-leagues</x:v>
      </x:c>
    </x:row>
    <x:row r="569" ht="25" customHeight="1">
      <x:c r="A569" s="75" t="str">
        <x:v>summer-S26-0533</x:v>
      </x:c>
      <x:c r="B569" s="75" t="str">
        <x:v>Christos Tzolis</x:v>
      </x:c>
      <x:c r="C569" s="75" t="str">
        <x:v>Arsenal</x:v>
      </x:c>
      <x:c r="D569" s="75" t="str">
        <x:v>Club Brugge</x:v>
      </x:c>
      <x:c r="E569" s="77" t="d">
        <x:v>2026-07-23T00:00:00.000Z</x:v>
      </x:c>
      <x:c r="F569" s="75" t="str">
        <x:v>summer</x:v>
      </x:c>
      <x:c r="G569" s="75" t="str">
        <x:v>Winger — source label</x:v>
      </x:c>
      <x:c r="H569" s="79" t="n">
        <x:v>34000000</x:v>
      </x:c>
      <x:c r="I569" s="75" t="str">
        <x:v>GBP</x:v>
      </x:c>
      <x:c r="J569" s="81"/>
      <x:c r="K569" s="83"/>
      <x:c r="L569" s="75" t="str">
        <x:v>Evidence needed</x:v>
      </x:c>
      <x:c r="M569" s="75" t="str">
        <x:v>Comparable buyer-specific scoring, creation, progression and availability evidence needed.</x:v>
      </x:c>
      <x:c r="N569" s="75" t="str">
        <x:v>Not assessed</x:v>
      </x:c>
      <x:c r="O569" s="75" t="str">
        <x:v>Source position and transfer quote only; production and age not validated for this specific deal.</x:v>
      </x:c>
      <x:c r="P569" s="75" t="str">
        <x:v>https://www.theguardian.com/football/ng-interactive/2026/sep/01/mens-transfer-window-summer-2026-all-deals-from-europes-top-five-leagues</x:v>
      </x:c>
    </x:row>
    <x:row r="570" ht="25" customHeight="1">
      <x:c r="A570" s="69" t="str">
        <x:v>summer-S26-0535</x:v>
      </x:c>
      <x:c r="B570" s="69" t="str">
        <x:v>Alejandro Garnacho</x:v>
      </x:c>
      <x:c r="C570" s="69" t="str">
        <x:v>Aston Villa</x:v>
      </x:c>
      <x:c r="D570" s="69" t="str">
        <x:v>Chelsea</x:v>
      </x:c>
      <x:c r="E570" s="76" t="d">
        <x:v>2026-07-23T00:00:00.000Z</x:v>
      </x:c>
      <x:c r="F570" s="69" t="str">
        <x:v>summer</x:v>
      </x:c>
      <x:c r="G570" s="69" t="str">
        <x:v>Winger — source label</x:v>
      </x:c>
      <x:c r="H570" s="78"/>
      <x:c r="I570" s="69" t="str">
        <x:v>GBP</x:v>
      </x:c>
      <x:c r="J570" s="80"/>
      <x:c r="K570" s="82"/>
      <x:c r="L570" s="69" t="str">
        <x:v>Evidence needed</x:v>
      </x:c>
      <x:c r="M570" s="69" t="str">
        <x:v>Comparable buyer-specific scoring, creation, progression and availability evidence needed. Loan/swap costs need separate treatment.</x:v>
      </x:c>
      <x:c r="N570" s="69" t="str">
        <x:v>Not assessed</x:v>
      </x:c>
      <x:c r="O570" s="69" t="str">
        <x:v>Source position and transfer quote only; production and age not validated for this specific deal.</x:v>
      </x:c>
      <x:c r="P570" s="69" t="str">
        <x:v>https://www.theguardian.com/football/ng-interactive/2026/sep/01/mens-transfer-window-summer-2026-all-deals-from-europes-top-five-leagues</x:v>
      </x:c>
    </x:row>
    <x:row r="571" ht="25" customHeight="1">
      <x:c r="A571" s="75" t="str">
        <x:v>summer-S26-0541</x:v>
      </x:c>
      <x:c r="B571" s="75" t="str">
        <x:v>Kadan Young</x:v>
      </x:c>
      <x:c r="C571" s="75" t="str">
        <x:v>Annecy</x:v>
      </x:c>
      <x:c r="D571" s="75" t="str">
        <x:v>Aston Villa</x:v>
      </x:c>
      <x:c r="E571" s="77" t="d">
        <x:v>2026-07-08T00:00:00.000Z</x:v>
      </x:c>
      <x:c r="F571" s="75" t="str">
        <x:v>summer</x:v>
      </x:c>
      <x:c r="G571" s="75" t="str">
        <x:v>Winger — source label</x:v>
      </x:c>
      <x:c r="H571" s="79"/>
      <x:c r="I571" s="75" t="str">
        <x:v>GBP</x:v>
      </x:c>
      <x:c r="J571" s="81"/>
      <x:c r="K571" s="83"/>
      <x:c r="L571" s="75" t="str">
        <x:v>Evidence needed</x:v>
      </x:c>
      <x:c r="M571" s="75" t="str">
        <x:v>Comparable buyer-specific scoring, creation, progression and availability evidence needed. Loan/swap costs need separate treatment.</x:v>
      </x:c>
      <x:c r="N571" s="75" t="str">
        <x:v>Not assessed</x:v>
      </x:c>
      <x:c r="O571" s="75" t="str">
        <x:v>Source position and transfer quote only; production and age not validated for this specific deal.</x:v>
      </x:c>
      <x:c r="P571" s="75" t="str">
        <x:v>https://www.theguardian.com/football/ng-interactive/2026/sep/01/mens-transfer-window-summer-2026-all-deals-from-europes-top-five-leagues</x:v>
      </x:c>
    </x:row>
    <x:row r="572" ht="25" customHeight="1">
      <x:c r="A572" s="69" t="str">
        <x:v>summer-S26-0545</x:v>
      </x:c>
      <x:c r="B572" s="69" t="str">
        <x:v>Michael Olakigbe</x:v>
      </x:c>
      <x:c r="C572" s="69" t="str">
        <x:v>WSG Tirol</x:v>
      </x:c>
      <x:c r="D572" s="69" t="str">
        <x:v>Brentford</x:v>
      </x:c>
      <x:c r="E572" s="76" t="d">
        <x:v>2026-06-30T00:00:00.000Z</x:v>
      </x:c>
      <x:c r="F572" s="69" t="str">
        <x:v>summer</x:v>
      </x:c>
      <x:c r="G572" s="69" t="str">
        <x:v>Winger — source label</x:v>
      </x:c>
      <x:c r="H572" s="78"/>
      <x:c r="I572" s="69" t="str">
        <x:v>GBP</x:v>
      </x:c>
      <x:c r="J572" s="80"/>
      <x:c r="K572" s="82"/>
      <x:c r="L572" s="69" t="str">
        <x:v>Evidence needed</x:v>
      </x:c>
      <x:c r="M572" s="69" t="str">
        <x:v>Comparable buyer-specific scoring, creation, progression and availability evidence needed. Loan/swap costs need separate treatment.</x:v>
      </x:c>
      <x:c r="N572" s="69" t="str">
        <x:v>Not assessed</x:v>
      </x:c>
      <x:c r="O572" s="69" t="str">
        <x:v>Source position and transfer quote only; production and age not validated for this specific deal.</x:v>
      </x:c>
      <x:c r="P572" s="69" t="str">
        <x:v>https://www.theguardian.com/football/ng-interactive/2026/sep/01/mens-transfer-window-summer-2026-all-deals-from-europes-top-five-leagues</x:v>
      </x:c>
    </x:row>
    <x:row r="573" ht="25" customHeight="1">
      <x:c r="A573" s="75" t="str">
        <x:v>summer-S26-0548</x:v>
      </x:c>
      <x:c r="B573" s="75" t="str">
        <x:v>Jeremy Sarmiento</x:v>
      </x:c>
      <x:c r="C573" s="75" t="str">
        <x:v>Middlesbrough</x:v>
      </x:c>
      <x:c r="D573" s="75" t="str">
        <x:v>Brighton</x:v>
      </x:c>
      <x:c r="E573" s="77" t="d">
        <x:v>2026-06-25T00:00:00.000Z</x:v>
      </x:c>
      <x:c r="F573" s="75" t="str">
        <x:v>summer</x:v>
      </x:c>
      <x:c r="G573" s="75" t="str">
        <x:v>Winger — source label</x:v>
      </x:c>
      <x:c r="H573" s="79" t="n">
        <x:v>3400000</x:v>
      </x:c>
      <x:c r="I573" s="75" t="str">
        <x:v>GBP</x:v>
      </x:c>
      <x:c r="J573" s="81"/>
      <x:c r="K573" s="83"/>
      <x:c r="L573" s="75" t="str">
        <x:v>Evidence needed</x:v>
      </x:c>
      <x:c r="M573" s="75" t="str">
        <x:v>Comparable buyer-specific scoring, creation, progression and availability evidence needed.</x:v>
      </x:c>
      <x:c r="N573" s="75" t="str">
        <x:v>Not assessed</x:v>
      </x:c>
      <x:c r="O573" s="75" t="str">
        <x:v>Source position and transfer quote only; production and age not validated for this specific deal.</x:v>
      </x:c>
      <x:c r="P573" s="75" t="str">
        <x:v>https://www.theguardian.com/football/ng-interactive/2026/sep/01/mens-transfer-window-summer-2026-all-deals-from-europes-top-five-leagues</x:v>
      </x:c>
    </x:row>
    <x:row r="574" ht="25" customHeight="1">
      <x:c r="A574" s="69" t="str">
        <x:v>summer-S26-0551</x:v>
      </x:c>
      <x:c r="B574" s="69" t="str">
        <x:v>Chris Atherton</x:v>
      </x:c>
      <x:c r="C574" s="69" t="str">
        <x:v>Ipswich Town</x:v>
      </x:c>
      <x:c r="D574" s="69" t="str">
        <x:v>Chelsea</x:v>
      </x:c>
      <x:c r="E574" s="76" t="d">
        <x:v>2026-07-17T00:00:00.000Z</x:v>
      </x:c>
      <x:c r="F574" s="69" t="str">
        <x:v>summer</x:v>
      </x:c>
      <x:c r="G574" s="69" t="str">
        <x:v>Winger — source label</x:v>
      </x:c>
      <x:c r="H574" s="78"/>
      <x:c r="I574" s="69" t="str">
        <x:v>GBP</x:v>
      </x:c>
      <x:c r="J574" s="80"/>
      <x:c r="K574" s="82"/>
      <x:c r="L574" s="69" t="str">
        <x:v>Evidence needed</x:v>
      </x:c>
      <x:c r="M574" s="69" t="str">
        <x:v>Comparable buyer-specific scoring, creation, progression and availability evidence needed. Transfer fee is undisclosed.</x:v>
      </x:c>
      <x:c r="N574" s="69" t="str">
        <x:v>Not assessed</x:v>
      </x:c>
      <x:c r="O574" s="69" t="str">
        <x:v>Source position and transfer quote only; production and age not validated for this specific deal.</x:v>
      </x:c>
      <x:c r="P574" s="69" t="str">
        <x:v>https://www.theguardian.com/football/ng-interactive/2026/sep/01/mens-transfer-window-summer-2026-all-deals-from-europes-top-five-leagues</x:v>
      </x:c>
    </x:row>
    <x:row r="575" ht="25" customHeight="1">
      <x:c r="A575" s="75" t="str">
        <x:v>summer-S26-0557</x:v>
      </x:c>
      <x:c r="B575" s="75" t="str">
        <x:v>Antoniu Roca</x:v>
      </x:c>
      <x:c r="C575" s="75" t="str">
        <x:v>Mallorca</x:v>
      </x:c>
      <x:c r="D575" s="75" t="str">
        <x:v>Espanyol</x:v>
      </x:c>
      <x:c r="E575" s="77" t="d">
        <x:v>2026-07-24T00:00:00.000Z</x:v>
      </x:c>
      <x:c r="F575" s="75" t="str">
        <x:v>summer</x:v>
      </x:c>
      <x:c r="G575" s="75" t="str">
        <x:v>Winger — source label</x:v>
      </x:c>
      <x:c r="H575" s="79"/>
      <x:c r="I575" s="75" t="str">
        <x:v>GBP</x:v>
      </x:c>
      <x:c r="J575" s="81"/>
      <x:c r="K575" s="83"/>
      <x:c r="L575" s="75" t="str">
        <x:v>Evidence needed</x:v>
      </x:c>
      <x:c r="M575" s="75" t="str">
        <x:v>Comparable buyer-specific scoring, creation, progression and availability evidence needed. Loan/swap costs need separate treatment.</x:v>
      </x:c>
      <x:c r="N575" s="75" t="str">
        <x:v>Not assessed</x:v>
      </x:c>
      <x:c r="O575" s="75" t="str">
        <x:v>Source position and transfer quote only; production and age not validated for this specific deal.</x:v>
      </x:c>
      <x:c r="P575" s="75" t="str">
        <x:v>https://www.theguardian.com/football/ng-interactive/2026/sep/01/mens-transfer-window-summer-2026-all-deals-from-europes-top-five-leagues</x:v>
      </x:c>
    </x:row>
    <x:row r="576" ht="25" customHeight="1">
      <x:c r="A576" s="69" t="str">
        <x:v>summer-S26-0563</x:v>
      </x:c>
      <x:c r="B576" s="69" t="str">
        <x:v>Alessio Zerbin</x:v>
      </x:c>
      <x:c r="C576" s="69" t="str">
        <x:v>Frosinone</x:v>
      </x:c>
      <x:c r="D576" s="69" t="str">
        <x:v>Napoli</x:v>
      </x:c>
      <x:c r="E576" s="76" t="d">
        <x:v>2026-07-24T00:00:00.000Z</x:v>
      </x:c>
      <x:c r="F576" s="69" t="str">
        <x:v>summer</x:v>
      </x:c>
      <x:c r="G576" s="69" t="str">
        <x:v>Winger — source label</x:v>
      </x:c>
      <x:c r="H576" s="78" t="n">
        <x:v>4200000</x:v>
      </x:c>
      <x:c r="I576" s="69" t="str">
        <x:v>GBP</x:v>
      </x:c>
      <x:c r="J576" s="80"/>
      <x:c r="K576" s="82"/>
      <x:c r="L576" s="69" t="str">
        <x:v>Evidence needed</x:v>
      </x:c>
      <x:c r="M576" s="69" t="str">
        <x:v>Comparable buyer-specific scoring, creation, progression and availability evidence needed.</x:v>
      </x:c>
      <x:c r="N576" s="69" t="str">
        <x:v>Not assessed</x:v>
      </x:c>
      <x:c r="O576" s="69" t="str">
        <x:v>Source position and transfer quote only; production and age not validated for this specific deal.</x:v>
      </x:c>
      <x:c r="P576" s="69" t="str">
        <x:v>https://www.theguardian.com/football/ng-interactive/2026/sep/01/mens-transfer-window-summer-2026-all-deals-from-europes-top-five-leagues</x:v>
      </x:c>
    </x:row>
    <x:row r="577" ht="25" customHeight="1">
      <x:c r="A577" s="75" t="str">
        <x:v>summer-S26-0571</x:v>
      </x:c>
      <x:c r="B577" s="75" t="str">
        <x:v>Yeray Cabanzón</x:v>
      </x:c>
      <x:c r="C577" s="75" t="str">
        <x:v>Real Valladolid</x:v>
      </x:c>
      <x:c r="D577" s="75" t="str">
        <x:v>Racing Santander</x:v>
      </x:c>
      <x:c r="E577" s="77" t="d">
        <x:v>2026-07-24T00:00:00.000Z</x:v>
      </x:c>
      <x:c r="F577" s="75" t="str">
        <x:v>summer</x:v>
      </x:c>
      <x:c r="G577" s="75" t="str">
        <x:v>Winger — source label</x:v>
      </x:c>
      <x:c r="H577" s="79"/>
      <x:c r="I577" s="75" t="str">
        <x:v>GBP</x:v>
      </x:c>
      <x:c r="J577" s="81"/>
      <x:c r="K577" s="83"/>
      <x:c r="L577" s="75" t="str">
        <x:v>Evidence needed</x:v>
      </x:c>
      <x:c r="M577" s="75" t="str">
        <x:v>Comparable buyer-specific scoring, creation, progression and availability evidence needed. Transfer fee is undisclosed.</x:v>
      </x:c>
      <x:c r="N577" s="75" t="str">
        <x:v>Not assessed</x:v>
      </x:c>
      <x:c r="O577" s="75" t="str">
        <x:v>Source position and transfer quote only; production and age not validated for this specific deal.</x:v>
      </x:c>
      <x:c r="P577" s="75" t="str">
        <x:v>https://www.theguardian.com/football/ng-interactive/2026/sep/01/mens-transfer-window-summer-2026-all-deals-from-europes-top-five-leagues</x:v>
      </x:c>
    </x:row>
    <x:row r="578" ht="25" customHeight="1">
      <x:c r="A578" s="69" t="str">
        <x:v>summer-S26-0590</x:v>
      </x:c>
      <x:c r="B578" s="69" t="str">
        <x:v>Franco Cervi</x:v>
      </x:c>
      <x:c r="C578" s="69" t="str">
        <x:v>Rosario Central</x:v>
      </x:c>
      <x:c r="D578" s="69" t="str">
        <x:v>Celta Vigo</x:v>
      </x:c>
      <x:c r="E578" s="76" t="d">
        <x:v>2026-06-17T00:00:00.000Z</x:v>
      </x:c>
      <x:c r="F578" s="69" t="str">
        <x:v>summer</x:v>
      </x:c>
      <x:c r="G578" s="69" t="str">
        <x:v>Winger — source label</x:v>
      </x:c>
      <x:c r="H578" s="78"/>
      <x:c r="I578" s="69" t="str">
        <x:v>GBP</x:v>
      </x:c>
      <x:c r="J578" s="80"/>
      <x:c r="K578" s="82"/>
      <x:c r="L578" s="69" t="str">
        <x:v>Evidence needed</x:v>
      </x:c>
      <x:c r="M578" s="69" t="str">
        <x:v>Comparable buyer-specific scoring, creation, progression and availability evidence needed. Free base fee does not represent wages or other costs.</x:v>
      </x:c>
      <x:c r="N578" s="69" t="str">
        <x:v>Not assessed</x:v>
      </x:c>
      <x:c r="O578" s="69" t="str">
        <x:v>Source position and transfer quote only; production and age not validated for this specific deal.</x:v>
      </x:c>
      <x:c r="P578" s="69" t="str">
        <x:v>https://www.theguardian.com/football/ng-interactive/2026/sep/01/mens-transfer-window-summer-2026-all-deals-from-europes-top-five-leagues</x:v>
      </x:c>
    </x:row>
    <x:row r="579" ht="25" customHeight="1">
      <x:c r="A579" s="75" t="str">
        <x:v>summer-S26-0600</x:v>
      </x:c>
      <x:c r="B579" s="75" t="str">
        <x:v>Jack Harrison</x:v>
      </x:c>
      <x:c r="C579" s="75" t="str">
        <x:v>New England Revolution</x:v>
      </x:c>
      <x:c r="D579" s="75" t="str">
        <x:v>Leeds United</x:v>
      </x:c>
      <x:c r="E579" s="77" t="d">
        <x:v>2026-07-26T00:00:00.000Z</x:v>
      </x:c>
      <x:c r="F579" s="75" t="str">
        <x:v>summer</x:v>
      </x:c>
      <x:c r="G579" s="75" t="str">
        <x:v>Winger — source label</x:v>
      </x:c>
      <x:c r="H579" s="79"/>
      <x:c r="I579" s="75" t="str">
        <x:v>GBP</x:v>
      </x:c>
      <x:c r="J579" s="81"/>
      <x:c r="K579" s="83"/>
      <x:c r="L579" s="75" t="str">
        <x:v>Evidence needed</x:v>
      </x:c>
      <x:c r="M579" s="75" t="str">
        <x:v>Comparable buyer-specific scoring, creation, progression and availability evidence needed. Transfer fee is undisclosed.</x:v>
      </x:c>
      <x:c r="N579" s="75" t="str">
        <x:v>Not assessed</x:v>
      </x:c>
      <x:c r="O579" s="75" t="str">
        <x:v>Source position and transfer quote only; production and age not validated for this specific deal.</x:v>
      </x:c>
      <x:c r="P579" s="75" t="str">
        <x:v>https://www.theguardian.com/football/ng-interactive/2026/sep/01/mens-transfer-window-summer-2026-all-deals-from-europes-top-five-leagues</x:v>
      </x:c>
    </x:row>
    <x:row r="580" ht="25" customHeight="1">
      <x:c r="A580" s="69" t="str">
        <x:v>summer-S26-0607</x:v>
      </x:c>
      <x:c r="B580" s="69" t="str">
        <x:v>Jonathan Dubasin</x:v>
      </x:c>
      <x:c r="C580" s="69" t="str">
        <x:v>Osasuna</x:v>
      </x:c>
      <x:c r="D580" s="69" t="str">
        <x:v>Sporting Gijón</x:v>
      </x:c>
      <x:c r="E580" s="76" t="d">
        <x:v>2026-07-27T00:00:00.000Z</x:v>
      </x:c>
      <x:c r="F580" s="69" t="str">
        <x:v>summer</x:v>
      </x:c>
      <x:c r="G580" s="69" t="str">
        <x:v>Winger — source label</x:v>
      </x:c>
      <x:c r="H580" s="78" t="n">
        <x:v>3400000</x:v>
      </x:c>
      <x:c r="I580" s="69" t="str">
        <x:v>GBP</x:v>
      </x:c>
      <x:c r="J580" s="80"/>
      <x:c r="K580" s="82"/>
      <x:c r="L580" s="69" t="str">
        <x:v>Evidence needed</x:v>
      </x:c>
      <x:c r="M580" s="69" t="str">
        <x:v>Comparable buyer-specific scoring, creation, progression and availability evidence needed.</x:v>
      </x:c>
      <x:c r="N580" s="69" t="str">
        <x:v>Not assessed</x:v>
      </x:c>
      <x:c r="O580" s="69" t="str">
        <x:v>Source position and transfer quote only; production and age not validated for this specific deal.</x:v>
      </x:c>
      <x:c r="P580" s="69" t="str">
        <x:v>https://www.theguardian.com/football/ng-interactive/2026/sep/01/mens-transfer-window-summer-2026-all-deals-from-europes-top-five-leagues</x:v>
      </x:c>
    </x:row>
    <x:row r="581" ht="25" customHeight="1">
      <x:c r="A581" s="75" t="str">
        <x:v>summer-S26-0609</x:v>
      </x:c>
      <x:c r="B581" s="75" t="str">
        <x:v>Miguel Rodríguez</x:v>
      </x:c>
      <x:c r="C581" s="75" t="str">
        <x:v>Alavés</x:v>
      </x:c>
      <x:c r="D581" s="75" t="str">
        <x:v>FC Utrecht</x:v>
      </x:c>
      <x:c r="E581" s="77" t="d">
        <x:v>2026-07-27T00:00:00.000Z</x:v>
      </x:c>
      <x:c r="F581" s="75" t="str">
        <x:v>summer</x:v>
      </x:c>
      <x:c r="G581" s="75" t="str">
        <x:v>Winger — source label</x:v>
      </x:c>
      <x:c r="H581" s="79" t="n">
        <x:v>2100000</x:v>
      </x:c>
      <x:c r="I581" s="75" t="str">
        <x:v>GBP</x:v>
      </x:c>
      <x:c r="J581" s="81"/>
      <x:c r="K581" s="83"/>
      <x:c r="L581" s="75" t="str">
        <x:v>Evidence needed</x:v>
      </x:c>
      <x:c r="M581" s="75" t="str">
        <x:v>Comparable buyer-specific scoring, creation, progression and availability evidence needed.</x:v>
      </x:c>
      <x:c r="N581" s="75" t="str">
        <x:v>Not assessed</x:v>
      </x:c>
      <x:c r="O581" s="75" t="str">
        <x:v>Source position and transfer quote only; production and age not validated for this specific deal.</x:v>
      </x:c>
      <x:c r="P581" s="75" t="str">
        <x:v>https://www.theguardian.com/football/ng-interactive/2026/sep/01/mens-transfer-window-summer-2026-all-deals-from-europes-top-five-leagues</x:v>
      </x:c>
    </x:row>
    <x:row r="582" ht="25" customHeight="1">
      <x:c r="A582" s="69" t="str">
        <x:v>summer-S26-0615</x:v>
      </x:c>
      <x:c r="B582" s="69" t="str">
        <x:v>Óscar Perea</x:v>
      </x:c>
      <x:c r="C582" s="69" t="str">
        <x:v>Club América</x:v>
      </x:c>
      <x:c r="D582" s="69" t="str">
        <x:v>Strasbourg</x:v>
      </x:c>
      <x:c r="E582" s="76" t="d">
        <x:v>2026-07-28T00:00:00.000Z</x:v>
      </x:c>
      <x:c r="F582" s="69" t="str">
        <x:v>summer</x:v>
      </x:c>
      <x:c r="G582" s="69" t="str">
        <x:v>Winger — source label</x:v>
      </x:c>
      <x:c r="H582" s="78"/>
      <x:c r="I582" s="69" t="str">
        <x:v>GBP</x:v>
      </x:c>
      <x:c r="J582" s="80"/>
      <x:c r="K582" s="82"/>
      <x:c r="L582" s="69" t="str">
        <x:v>Evidence needed</x:v>
      </x:c>
      <x:c r="M582" s="69" t="str">
        <x:v>Comparable buyer-specific scoring, creation, progression and availability evidence needed. Transfer fee is undisclosed.</x:v>
      </x:c>
      <x:c r="N582" s="69" t="str">
        <x:v>Not assessed</x:v>
      </x:c>
      <x:c r="O582" s="69" t="str">
        <x:v>Source position and transfer quote only; production and age not validated for this specific deal.</x:v>
      </x:c>
      <x:c r="P582" s="69" t="str">
        <x:v>https://www.theguardian.com/football/ng-interactive/2026/sep/01/mens-transfer-window-summer-2026-all-deals-from-europes-top-five-leagues</x:v>
      </x:c>
    </x:row>
    <x:row r="583" ht="25" customHeight="1">
      <x:c r="A583" s="75" t="str">
        <x:v>summer-S26-0625</x:v>
      </x:c>
      <x:c r="B583" s="75" t="str">
        <x:v>Ander Yoldi</x:v>
      </x:c>
      <x:c r="C583" s="75" t="str">
        <x:v>Ibiza</x:v>
      </x:c>
      <x:c r="D583" s="75" t="str">
        <x:v>Osasuna</x:v>
      </x:c>
      <x:c r="E583" s="77" t="d">
        <x:v>2026-07-02T00:00:00.000Z</x:v>
      </x:c>
      <x:c r="F583" s="75" t="str">
        <x:v>summer</x:v>
      </x:c>
      <x:c r="G583" s="75" t="str">
        <x:v>Winger — source label</x:v>
      </x:c>
      <x:c r="H583" s="79"/>
      <x:c r="I583" s="75" t="str">
        <x:v>GBP</x:v>
      </x:c>
      <x:c r="J583" s="81"/>
      <x:c r="K583" s="83"/>
      <x:c r="L583" s="75" t="str">
        <x:v>Evidence needed</x:v>
      </x:c>
      <x:c r="M583" s="75" t="str">
        <x:v>Comparable buyer-specific scoring, creation, progression and availability evidence needed. Free base fee does not represent wages or other costs.</x:v>
      </x:c>
      <x:c r="N583" s="75" t="str">
        <x:v>Not assessed</x:v>
      </x:c>
      <x:c r="O583" s="75" t="str">
        <x:v>Source position and transfer quote only; production and age not validated for this specific deal.</x:v>
      </x:c>
      <x:c r="P583" s="75" t="str">
        <x:v>https://www.theguardian.com/football/ng-interactive/2026/sep/01/mens-transfer-window-summer-2026-all-deals-from-europes-top-five-leagues</x:v>
      </x:c>
    </x:row>
    <x:row r="584" ht="25" customHeight="1">
      <x:c r="A584" s="69" t="str">
        <x:v>summer-S26-0641</x:v>
      </x:c>
      <x:c r="B584" s="69" t="str">
        <x:v>Luca Koleosho</x:v>
      </x:c>
      <x:c r="C584" s="69" t="str">
        <x:v>Paris FC</x:v>
      </x:c>
      <x:c r="D584" s="69" t="str">
        <x:v>Burnley</x:v>
      </x:c>
      <x:c r="E584" s="76" t="d">
        <x:v>2026-07-29T00:00:00.000Z</x:v>
      </x:c>
      <x:c r="F584" s="69" t="str">
        <x:v>summer</x:v>
      </x:c>
      <x:c r="G584" s="69" t="str">
        <x:v>Winger — source label</x:v>
      </x:c>
      <x:c r="H584" s="78"/>
      <x:c r="I584" s="69" t="str">
        <x:v>GBP</x:v>
      </x:c>
      <x:c r="J584" s="80"/>
      <x:c r="K584" s="82"/>
      <x:c r="L584" s="69" t="str">
        <x:v>Evidence needed</x:v>
      </x:c>
      <x:c r="M584" s="69" t="str">
        <x:v>Comparable buyer-specific scoring, creation, progression and availability evidence needed. Transfer fee is undisclosed.</x:v>
      </x:c>
      <x:c r="N584" s="69" t="str">
        <x:v>Not assessed</x:v>
      </x:c>
      <x:c r="O584" s="69" t="str">
        <x:v>Source position and transfer quote only; production and age not validated for this specific deal.</x:v>
      </x:c>
      <x:c r="P584" s="69" t="str">
        <x:v>https://www.theguardian.com/football/ng-interactive/2026/sep/01/mens-transfer-window-summer-2026-all-deals-from-europes-top-five-leagues</x:v>
      </x:c>
    </x:row>
    <x:row r="585" ht="25" customHeight="1">
      <x:c r="A585" s="75" t="str">
        <x:v>summer-S26-0651</x:v>
      </x:c>
      <x:c r="B585" s="75" t="str">
        <x:v>Endika Buján</x:v>
      </x:c>
      <x:c r="C585" s="75" t="str">
        <x:v>Racing Ferrol</x:v>
      </x:c>
      <x:c r="D585" s="75" t="str">
        <x:v>Athletic Club</x:v>
      </x:c>
      <x:c r="E585" s="77" t="d">
        <x:v>2026-07-20T00:00:00.000Z</x:v>
      </x:c>
      <x:c r="F585" s="75" t="str">
        <x:v>summer</x:v>
      </x:c>
      <x:c r="G585" s="75" t="str">
        <x:v>Winger — source label</x:v>
      </x:c>
      <x:c r="H585" s="79"/>
      <x:c r="I585" s="75" t="str">
        <x:v>GBP</x:v>
      </x:c>
      <x:c r="J585" s="81"/>
      <x:c r="K585" s="83"/>
      <x:c r="L585" s="75" t="str">
        <x:v>Evidence needed</x:v>
      </x:c>
      <x:c r="M585" s="75" t="str">
        <x:v>Comparable buyer-specific scoring, creation, progression and availability evidence needed. Free base fee does not represent wages or other costs.</x:v>
      </x:c>
      <x:c r="N585" s="75" t="str">
        <x:v>Not assessed</x:v>
      </x:c>
      <x:c r="O585" s="75" t="str">
        <x:v>Source position and transfer quote only; production and age not validated for this specific deal.</x:v>
      </x:c>
      <x:c r="P585" s="75" t="str">
        <x:v>https://www.theguardian.com/football/ng-interactive/2026/sep/01/mens-transfer-window-summer-2026-all-deals-from-europes-top-five-leagues</x:v>
      </x:c>
    </x:row>
    <x:row r="586" ht="25" customHeight="1">
      <x:c r="A586" s="69" t="str">
        <x:v>summer-S26-0658</x:v>
      </x:c>
      <x:c r="B586" s="69" t="str">
        <x:v>Joel Ndala</x:v>
      </x:c>
      <x:c r="C586" s="69" t="str">
        <x:v>Cercle Brugge</x:v>
      </x:c>
      <x:c r="D586" s="69" t="str">
        <x:v>Manchester City</x:v>
      </x:c>
      <x:c r="E586" s="76" t="d">
        <x:v>2026-07-29T00:00:00.000Z</x:v>
      </x:c>
      <x:c r="F586" s="69" t="str">
        <x:v>summer</x:v>
      </x:c>
      <x:c r="G586" s="69" t="str">
        <x:v>Winger — source label</x:v>
      </x:c>
      <x:c r="H586" s="78"/>
      <x:c r="I586" s="69" t="str">
        <x:v>GBP</x:v>
      </x:c>
      <x:c r="J586" s="80"/>
      <x:c r="K586" s="82"/>
      <x:c r="L586" s="69" t="str">
        <x:v>Evidence needed</x:v>
      </x:c>
      <x:c r="M586" s="69" t="str">
        <x:v>Comparable buyer-specific scoring, creation, progression and availability evidence needed. Transfer fee is undisclosed.</x:v>
      </x:c>
      <x:c r="N586" s="69" t="str">
        <x:v>Not assessed</x:v>
      </x:c>
      <x:c r="O586" s="69" t="str">
        <x:v>Source position and transfer quote only; production and age not validated for this specific deal.</x:v>
      </x:c>
      <x:c r="P586" s="69" t="str">
        <x:v>https://www.theguardian.com/football/ng-interactive/2026/sep/01/mens-transfer-window-summer-2026-all-deals-from-europes-top-five-leagues</x:v>
      </x:c>
    </x:row>
    <x:row r="587" ht="25" customHeight="1">
      <x:c r="A587" s="75" t="str">
        <x:v>summer-S26-0660</x:v>
      </x:c>
      <x:c r="B587" s="75" t="str">
        <x:v>Martín Pedroarena</x:v>
      </x:c>
      <x:c r="C587" s="75" t="str">
        <x:v>Arenas Getxo</x:v>
      </x:c>
      <x:c r="D587" s="75" t="str">
        <x:v>Osasuna</x:v>
      </x:c>
      <x:c r="E587" s="77" t="d">
        <x:v>2026-06-26T00:00:00.000Z</x:v>
      </x:c>
      <x:c r="F587" s="75" t="str">
        <x:v>summer</x:v>
      </x:c>
      <x:c r="G587" s="75" t="str">
        <x:v>Winger — source label</x:v>
      </x:c>
      <x:c r="H587" s="79"/>
      <x:c r="I587" s="75" t="str">
        <x:v>GBP</x:v>
      </x:c>
      <x:c r="J587" s="81"/>
      <x:c r="K587" s="83"/>
      <x:c r="L587" s="75" t="str">
        <x:v>Evidence needed</x:v>
      </x:c>
      <x:c r="M587" s="75" t="str">
        <x:v>Comparable buyer-specific scoring, creation, progression and availability evidence needed. Free base fee does not represent wages or other costs.</x:v>
      </x:c>
      <x:c r="N587" s="75" t="str">
        <x:v>Not assessed</x:v>
      </x:c>
      <x:c r="O587" s="75" t="str">
        <x:v>Source position and transfer quote only; production and age not validated for this specific deal.</x:v>
      </x:c>
      <x:c r="P587" s="75" t="str">
        <x:v>https://www.theguardian.com/football/ng-interactive/2026/sep/01/mens-transfer-window-summer-2026-all-deals-from-europes-top-five-leagues</x:v>
      </x:c>
    </x:row>
    <x:row r="588" ht="25" customHeight="1">
      <x:c r="A588" s="69" t="str">
        <x:v>summer-S26-0664</x:v>
      </x:c>
      <x:c r="B588" s="69" t="str">
        <x:v>Leo Sauer</x:v>
      </x:c>
      <x:c r="C588" s="69" t="str">
        <x:v>Stuttgart</x:v>
      </x:c>
      <x:c r="D588" s="69" t="str">
        <x:v>Feyenoord</x:v>
      </x:c>
      <x:c r="E588" s="76" t="d">
        <x:v>2026-07-29T00:00:00.000Z</x:v>
      </x:c>
      <x:c r="F588" s="69" t="str">
        <x:v>summer</x:v>
      </x:c>
      <x:c r="G588" s="69" t="str">
        <x:v>Winger — source label</x:v>
      </x:c>
      <x:c r="H588" s="78" t="n">
        <x:v>12800000</x:v>
      </x:c>
      <x:c r="I588" s="69" t="str">
        <x:v>GBP</x:v>
      </x:c>
      <x:c r="J588" s="80"/>
      <x:c r="K588" s="82"/>
      <x:c r="L588" s="69" t="str">
        <x:v>Evidence needed</x:v>
      </x:c>
      <x:c r="M588" s="69" t="str">
        <x:v>Comparable buyer-specific scoring, creation, progression and availability evidence needed.</x:v>
      </x:c>
      <x:c r="N588" s="69" t="str">
        <x:v>Not assessed</x:v>
      </x:c>
      <x:c r="O588" s="69" t="str">
        <x:v>Source position and transfer quote only; production and age not validated for this specific deal.</x:v>
      </x:c>
      <x:c r="P588" s="69" t="str">
        <x:v>https://www.theguardian.com/football/ng-interactive/2026/sep/01/mens-transfer-window-summer-2026-all-deals-from-europes-top-five-leagues</x:v>
      </x:c>
    </x:row>
    <x:row r="589" ht="25" customHeight="1">
      <x:c r="A589" s="75" t="str">
        <x:v>summer-S26-0697</x:v>
      </x:c>
      <x:c r="B589" s="75" t="str">
        <x:v>Ousmane Diallo</x:v>
      </x:c>
      <x:c r="C589" s="75" t="str">
        <x:v>Parma</x:v>
      </x:c>
      <x:c r="D589" s="75" t="str">
        <x:v>Borussia Dortmund</x:v>
      </x:c>
      <x:c r="E589" s="77" t="d">
        <x:v>2026-07-31T00:00:00.000Z</x:v>
      </x:c>
      <x:c r="F589" s="75" t="str">
        <x:v>summer</x:v>
      </x:c>
      <x:c r="G589" s="75" t="str">
        <x:v>Winger — source label</x:v>
      </x:c>
      <x:c r="H589" s="79" t="n">
        <x:v>1280000</x:v>
      </x:c>
      <x:c r="I589" s="75" t="str">
        <x:v>GBP</x:v>
      </x:c>
      <x:c r="J589" s="81"/>
      <x:c r="K589" s="83"/>
      <x:c r="L589" s="75" t="str">
        <x:v>Evidence needed</x:v>
      </x:c>
      <x:c r="M589" s="75" t="str">
        <x:v>Comparable buyer-specific scoring, creation, progression and availability evidence needed.</x:v>
      </x:c>
      <x:c r="N589" s="75" t="str">
        <x:v>Not assessed</x:v>
      </x:c>
      <x:c r="O589" s="75" t="str">
        <x:v>Source position and transfer quote only; production and age not validated for this specific deal.</x:v>
      </x:c>
      <x:c r="P589" s="75" t="str">
        <x:v>https://www.theguardian.com/football/ng-interactive/2026/sep/01/mens-transfer-window-summer-2026-all-deals-from-europes-top-five-leagues</x:v>
      </x:c>
    </x:row>
    <x:row r="590" ht="25" customHeight="1">
      <x:c r="A590" s="69" t="str">
        <x:v>summer-S26-0702</x:v>
      </x:c>
      <x:c r="B590" s="69" t="str">
        <x:v>Emanuele Rao</x:v>
      </x:c>
      <x:c r="C590" s="69" t="str">
        <x:v>Pisa</x:v>
      </x:c>
      <x:c r="D590" s="69" t="str">
        <x:v>Napoli</x:v>
      </x:c>
      <x:c r="E590" s="76" t="d">
        <x:v>2026-07-31T00:00:00.000Z</x:v>
      </x:c>
      <x:c r="F590" s="69" t="str">
        <x:v>summer</x:v>
      </x:c>
      <x:c r="G590" s="69" t="str">
        <x:v>Winger — source label</x:v>
      </x:c>
      <x:c r="H590" s="78"/>
      <x:c r="I590" s="69" t="str">
        <x:v>GBP</x:v>
      </x:c>
      <x:c r="J590" s="80"/>
      <x:c r="K590" s="82"/>
      <x:c r="L590" s="69" t="str">
        <x:v>Evidence needed</x:v>
      </x:c>
      <x:c r="M590" s="69" t="str">
        <x:v>Comparable buyer-specific scoring, creation, progression and availability evidence needed. Loan/swap costs need separate treatment.</x:v>
      </x:c>
      <x:c r="N590" s="69" t="str">
        <x:v>Not assessed</x:v>
      </x:c>
      <x:c r="O590" s="69" t="str">
        <x:v>Source position and transfer quote only; production and age not validated for this specific deal.</x:v>
      </x:c>
      <x:c r="P590" s="69" t="str">
        <x:v>https://www.theguardian.com/football/ng-interactive/2026/sep/01/mens-transfer-window-summer-2026-all-deals-from-europes-top-five-leagues</x:v>
      </x:c>
    </x:row>
    <x:row r="591" ht="25" customHeight="1">
      <x:c r="A591" s="75" t="str">
        <x:v>summer-S26-0712</x:v>
      </x:c>
      <x:c r="B591" s="75" t="str">
        <x:v>Tommy Watson</x:v>
      </x:c>
      <x:c r="C591" s="75" t="str">
        <x:v>Leicester City</x:v>
      </x:c>
      <x:c r="D591" s="75" t="str">
        <x:v>Brighton</x:v>
      </x:c>
      <x:c r="E591" s="77" t="d">
        <x:v>2026-08-01T00:00:00.000Z</x:v>
      </x:c>
      <x:c r="F591" s="75" t="str">
        <x:v>summer</x:v>
      </x:c>
      <x:c r="G591" s="75" t="str">
        <x:v>Winger — source label</x:v>
      </x:c>
      <x:c r="H591" s="79"/>
      <x:c r="I591" s="75" t="str">
        <x:v>GBP</x:v>
      </x:c>
      <x:c r="J591" s="81"/>
      <x:c r="K591" s="83"/>
      <x:c r="L591" s="75" t="str">
        <x:v>Evidence needed</x:v>
      </x:c>
      <x:c r="M591" s="75" t="str">
        <x:v>Comparable buyer-specific scoring, creation, progression and availability evidence needed. Loan/swap costs need separate treatment.</x:v>
      </x:c>
      <x:c r="N591" s="75" t="str">
        <x:v>Not assessed</x:v>
      </x:c>
      <x:c r="O591" s="75" t="str">
        <x:v>Source position and transfer quote only; production and age not validated for this specific deal.</x:v>
      </x:c>
      <x:c r="P591" s="75" t="str">
        <x:v>https://www.theguardian.com/football/ng-interactive/2026/sep/01/mens-transfer-window-summer-2026-all-deals-from-europes-top-five-leagues</x:v>
      </x:c>
    </x:row>
    <x:row r="592" ht="25" customHeight="1">
      <x:c r="A592" s="69" t="str">
        <x:v>summer-S26-0715</x:v>
      </x:c>
      <x:c r="B592" s="69" t="str">
        <x:v>Nordan Mukiele</x:v>
      </x:c>
      <x:c r="C592" s="69" t="str">
        <x:v>Montpellier</x:v>
      </x:c>
      <x:c r="D592" s="69" t="str">
        <x:v>Rennes</x:v>
      </x:c>
      <x:c r="E592" s="76" t="d">
        <x:v>2026-08-01T00:00:00.000Z</x:v>
      </x:c>
      <x:c r="F592" s="69" t="str">
        <x:v>summer</x:v>
      </x:c>
      <x:c r="G592" s="69" t="str">
        <x:v>Winger — source label</x:v>
      </x:c>
      <x:c r="H592" s="78"/>
      <x:c r="I592" s="69" t="str">
        <x:v>GBP</x:v>
      </x:c>
      <x:c r="J592" s="80"/>
      <x:c r="K592" s="82"/>
      <x:c r="L592" s="69" t="str">
        <x:v>Evidence needed</x:v>
      </x:c>
      <x:c r="M592" s="69" t="str">
        <x:v>Comparable buyer-specific scoring, creation, progression and availability evidence needed. Loan/swap costs need separate treatment.</x:v>
      </x:c>
      <x:c r="N592" s="69" t="str">
        <x:v>Not assessed</x:v>
      </x:c>
      <x:c r="O592" s="69" t="str">
        <x:v>Source position and transfer quote only; production and age not validated for this specific deal.</x:v>
      </x:c>
      <x:c r="P592" s="69" t="str">
        <x:v>https://www.theguardian.com/football/ng-interactive/2026/sep/01/mens-transfer-window-summer-2026-all-deals-from-europes-top-five-leagues</x:v>
      </x:c>
    </x:row>
    <x:row r="593" ht="25" customHeight="1">
      <x:c r="A593" s="75" t="str">
        <x:v>summer-S26-0721</x:v>
      </x:c>
      <x:c r="B593" s="75" t="str">
        <x:v>Kerim Alajbegovic</x:v>
      </x:c>
      <x:c r="C593" s="75" t="str">
        <x:v>Juventus</x:v>
      </x:c>
      <x:c r="D593" s="75" t="str">
        <x:v>Bayer Leverkusen</x:v>
      </x:c>
      <x:c r="E593" s="77" t="d">
        <x:v>2026-08-02T00:00:00.000Z</x:v>
      </x:c>
      <x:c r="F593" s="75" t="str">
        <x:v>summer</x:v>
      </x:c>
      <x:c r="G593" s="75" t="str">
        <x:v>Winger — source label</x:v>
      </x:c>
      <x:c r="H593" s="79" t="n">
        <x:v>25650000</x:v>
      </x:c>
      <x:c r="I593" s="75" t="str">
        <x:v>GBP</x:v>
      </x:c>
      <x:c r="J593" s="81"/>
      <x:c r="K593" s="83"/>
      <x:c r="L593" s="75" t="str">
        <x:v>Evidence needed</x:v>
      </x:c>
      <x:c r="M593" s="75" t="str">
        <x:v>Comparable buyer-specific scoring, creation, progression and availability evidence needed.</x:v>
      </x:c>
      <x:c r="N593" s="75" t="str">
        <x:v>Not assessed</x:v>
      </x:c>
      <x:c r="O593" s="75" t="str">
        <x:v>Source position and transfer quote only; production and age not validated for this specific deal.</x:v>
      </x:c>
      <x:c r="P593" s="75" t="str">
        <x:v>https://www.theguardian.com/football/ng-interactive/2026/sep/01/mens-transfer-window-summer-2026-all-deals-from-europes-top-five-leagues</x:v>
      </x:c>
    </x:row>
    <x:row r="594" ht="25" customHeight="1">
      <x:c r="A594" s="69" t="str">
        <x:v>summer-S26-0725</x:v>
      </x:c>
      <x:c r="B594" s="69" t="str">
        <x:v>Adam Daghim</x:v>
      </x:c>
      <x:c r="C594" s="69" t="str">
        <x:v>Hoffenheim</x:v>
      </x:c>
      <x:c r="D594" s="69" t="str">
        <x:v>Red Bull Salzburg</x:v>
      </x:c>
      <x:c r="E594" s="76" t="d">
        <x:v>2026-08-02T00:00:00.000Z</x:v>
      </x:c>
      <x:c r="F594" s="69" t="str">
        <x:v>summer</x:v>
      </x:c>
      <x:c r="G594" s="69" t="str">
        <x:v>Winger — source label</x:v>
      </x:c>
      <x:c r="H594" s="78" t="n">
        <x:v>11130000</x:v>
      </x:c>
      <x:c r="I594" s="69" t="str">
        <x:v>GBP</x:v>
      </x:c>
      <x:c r="J594" s="80"/>
      <x:c r="K594" s="82"/>
      <x:c r="L594" s="69" t="str">
        <x:v>Evidence needed</x:v>
      </x:c>
      <x:c r="M594" s="69" t="str">
        <x:v>Comparable buyer-specific scoring, creation, progression and availability evidence needed.</x:v>
      </x:c>
      <x:c r="N594" s="69" t="str">
        <x:v>Not assessed</x:v>
      </x:c>
      <x:c r="O594" s="69" t="str">
        <x:v>Source position and transfer quote only; production and age not validated for this specific deal.</x:v>
      </x:c>
      <x:c r="P594" s="69" t="str">
        <x:v>https://www.theguardian.com/football/ng-interactive/2026/sep/01/mens-transfer-window-summer-2026-all-deals-from-europes-top-five-leagues</x:v>
      </x:c>
    </x:row>
    <x:row r="595" ht="25" customHeight="1">
      <x:c r="A595" s="75" t="str">
        <x:v>summer-S26-0726</x:v>
      </x:c>
      <x:c r="B595" s="75" t="str">
        <x:v>Souleymane Faye</x:v>
      </x:c>
      <x:c r="C595" s="75" t="str">
        <x:v>Lorient</x:v>
      </x:c>
      <x:c r="D595" s="75" t="str">
        <x:v>Sporting</x:v>
      </x:c>
      <x:c r="E595" s="77" t="d">
        <x:v>2026-08-02T00:00:00.000Z</x:v>
      </x:c>
      <x:c r="F595" s="75" t="str">
        <x:v>summer</x:v>
      </x:c>
      <x:c r="G595" s="75" t="str">
        <x:v>Winger — source label</x:v>
      </x:c>
      <x:c r="H595" s="79"/>
      <x:c r="I595" s="75" t="str">
        <x:v>GBP</x:v>
      </x:c>
      <x:c r="J595" s="81"/>
      <x:c r="K595" s="83"/>
      <x:c r="L595" s="75" t="str">
        <x:v>Evidence needed</x:v>
      </x:c>
      <x:c r="M595" s="75" t="str">
        <x:v>Comparable buyer-specific scoring, creation, progression and availability evidence needed. Loan/swap costs need separate treatment.</x:v>
      </x:c>
      <x:c r="N595" s="75" t="str">
        <x:v>Not assessed</x:v>
      </x:c>
      <x:c r="O595" s="75" t="str">
        <x:v>Source position and transfer quote only; production and age not validated for this specific deal.</x:v>
      </x:c>
      <x:c r="P595" s="75" t="str">
        <x:v>https://www.theguardian.com/football/ng-interactive/2026/sep/01/mens-transfer-window-summer-2026-all-deals-from-europes-top-five-leagues</x:v>
      </x:c>
    </x:row>
    <x:row r="596" ht="25" customHeight="1">
      <x:c r="A596" s="69" t="str">
        <x:v>summer-S26-0750</x:v>
      </x:c>
      <x:c r="B596" s="69" t="str">
        <x:v>Tom Louchet</x:v>
      </x:c>
      <x:c r="C596" s="69" t="str">
        <x:v>PAOK</x:v>
      </x:c>
      <x:c r="D596" s="69" t="str">
        <x:v>Nice</x:v>
      </x:c>
      <x:c r="E596" s="76" t="d">
        <x:v>2026-08-03T00:00:00.000Z</x:v>
      </x:c>
      <x:c r="F596" s="69" t="str">
        <x:v>summer</x:v>
      </x:c>
      <x:c r="G596" s="69" t="str">
        <x:v>Winger — source label</x:v>
      </x:c>
      <x:c r="H596" s="78" t="n">
        <x:v>1700000</x:v>
      </x:c>
      <x:c r="I596" s="69" t="str">
        <x:v>GBP</x:v>
      </x:c>
      <x:c r="J596" s="80"/>
      <x:c r="K596" s="82"/>
      <x:c r="L596" s="69" t="str">
        <x:v>Evidence needed</x:v>
      </x:c>
      <x:c r="M596" s="69" t="str">
        <x:v>Comparable buyer-specific scoring, creation, progression and availability evidence needed.</x:v>
      </x:c>
      <x:c r="N596" s="69" t="str">
        <x:v>Not assessed</x:v>
      </x:c>
      <x:c r="O596" s="69" t="str">
        <x:v>Source position and transfer quote only; production and age not validated for this specific deal.</x:v>
      </x:c>
      <x:c r="P596" s="69" t="str">
        <x:v>https://www.theguardian.com/football/ng-interactive/2026/sep/01/mens-transfer-window-summer-2026-all-deals-from-europes-top-five-leagues</x:v>
      </x:c>
    </x:row>
    <x:row r="597" ht="25" customHeight="1">
      <x:c r="A597" s="75" t="str">
        <x:v>summer-S26-0754</x:v>
      </x:c>
      <x:c r="B597" s="75" t="str">
        <x:v>Khalil Ayari</x:v>
      </x:c>
      <x:c r="C597" s="75" t="str">
        <x:v>Dunkerque</x:v>
      </x:c>
      <x:c r="D597" s="75" t="str">
        <x:v>Paris Saint-Germain</x:v>
      </x:c>
      <x:c r="E597" s="77" t="d">
        <x:v>2026-08-04T00:00:00.000Z</x:v>
      </x:c>
      <x:c r="F597" s="75" t="str">
        <x:v>summer</x:v>
      </x:c>
      <x:c r="G597" s="75" t="str">
        <x:v>Winger — source label</x:v>
      </x:c>
      <x:c r="H597" s="79"/>
      <x:c r="I597" s="75" t="str">
        <x:v>GBP</x:v>
      </x:c>
      <x:c r="J597" s="81"/>
      <x:c r="K597" s="83"/>
      <x:c r="L597" s="75" t="str">
        <x:v>Evidence needed</x:v>
      </x:c>
      <x:c r="M597" s="75" t="str">
        <x:v>Comparable buyer-specific scoring, creation, progression and availability evidence needed. Loan/swap costs need separate treatment.</x:v>
      </x:c>
      <x:c r="N597" s="75" t="str">
        <x:v>Not assessed</x:v>
      </x:c>
      <x:c r="O597" s="75" t="str">
        <x:v>Source position and transfer quote only; production and age not validated for this specific deal.</x:v>
      </x:c>
      <x:c r="P597" s="75" t="str">
        <x:v>https://www.theguardian.com/football/ng-interactive/2026/sep/01/mens-transfer-window-summer-2026-all-deals-from-europes-top-five-leagues</x:v>
      </x:c>
    </x:row>
    <x:row r="598" ht="25" customHeight="1">
      <x:c r="A598" s="69" t="str">
        <x:v>summer-S26-0757</x:v>
      </x:c>
      <x:c r="B598" s="69" t="str">
        <x:v>Alimami Gory</x:v>
      </x:c>
      <x:c r="C598" s="69" t="str">
        <x:v>Abha Club</x:v>
      </x:c>
      <x:c r="D598" s="69" t="str">
        <x:v>Paris FC</x:v>
      </x:c>
      <x:c r="E598" s="76" t="d">
        <x:v>2026-08-04T00:00:00.000Z</x:v>
      </x:c>
      <x:c r="F598" s="69" t="str">
        <x:v>summer</x:v>
      </x:c>
      <x:c r="G598" s="69" t="str">
        <x:v>Winger — source label</x:v>
      </x:c>
      <x:c r="H598" s="78"/>
      <x:c r="I598" s="69" t="str">
        <x:v>GBP</x:v>
      </x:c>
      <x:c r="J598" s="80"/>
      <x:c r="K598" s="82"/>
      <x:c r="L598" s="69" t="str">
        <x:v>Evidence needed</x:v>
      </x:c>
      <x:c r="M598" s="69" t="str">
        <x:v>Comparable buyer-specific scoring, creation, progression and availability evidence needed. Transfer fee is undisclosed.</x:v>
      </x:c>
      <x:c r="N598" s="69" t="str">
        <x:v>Not assessed</x:v>
      </x:c>
      <x:c r="O598" s="69" t="str">
        <x:v>Source position and transfer quote only; production and age not validated for this specific deal.</x:v>
      </x:c>
      <x:c r="P598" s="69" t="str">
        <x:v>https://www.theguardian.com/football/ng-interactive/2026/sep/01/mens-transfer-window-summer-2026-all-deals-from-europes-top-five-leagues</x:v>
      </x:c>
    </x:row>
    <x:row r="599" ht="25" customHeight="1">
      <x:c r="A599" s="75" t="str">
        <x:v>summer-S26-0759</x:v>
      </x:c>
      <x:c r="B599" s="75" t="str">
        <x:v>Gauthier Hein</x:v>
      </x:c>
      <x:c r="C599" s="75" t="str">
        <x:v>Nice</x:v>
      </x:c>
      <x:c r="D599" s="75" t="str">
        <x:v>Metz</x:v>
      </x:c>
      <x:c r="E599" s="77" t="d">
        <x:v>2026-08-04T00:00:00.000Z</x:v>
      </x:c>
      <x:c r="F599" s="75" t="str">
        <x:v>summer</x:v>
      </x:c>
      <x:c r="G599" s="75" t="str">
        <x:v>Winger — source label</x:v>
      </x:c>
      <x:c r="H599" s="79" t="n">
        <x:v>1500000</x:v>
      </x:c>
      <x:c r="I599" s="75" t="str">
        <x:v>GBP</x:v>
      </x:c>
      <x:c r="J599" s="81"/>
      <x:c r="K599" s="83"/>
      <x:c r="L599" s="75" t="str">
        <x:v>Evidence needed</x:v>
      </x:c>
      <x:c r="M599" s="75" t="str">
        <x:v>Comparable buyer-specific scoring, creation, progression and availability evidence needed.</x:v>
      </x:c>
      <x:c r="N599" s="75" t="str">
        <x:v>Not assessed</x:v>
      </x:c>
      <x:c r="O599" s="75" t="str">
        <x:v>Source position and transfer quote only; production and age not validated for this specific deal.</x:v>
      </x:c>
      <x:c r="P599" s="75" t="str">
        <x:v>https://www.theguardian.com/football/ng-interactive/2026/sep/01/mens-transfer-window-summer-2026-all-deals-from-europes-top-five-leagues</x:v>
      </x:c>
    </x:row>
    <x:row r="600" ht="25" customHeight="1">
      <x:c r="A600" s="69" t="str">
        <x:v>summer-S26-0760</x:v>
      </x:c>
      <x:c r="B600" s="69" t="str">
        <x:v>Vlad Silva</x:v>
      </x:c>
      <x:c r="C600" s="69" t="str">
        <x:v>Celta Vigo</x:v>
      </x:c>
      <x:c r="D600" s="69" t="str">
        <x:v>Paços de Ferreira</x:v>
      </x:c>
      <x:c r="E600" s="76" t="d">
        <x:v>2026-08-04T00:00:00.000Z</x:v>
      </x:c>
      <x:c r="F600" s="69" t="str">
        <x:v>summer</x:v>
      </x:c>
      <x:c r="G600" s="69" t="str">
        <x:v>Winger — source label</x:v>
      </x:c>
      <x:c r="H600" s="78"/>
      <x:c r="I600" s="69" t="str">
        <x:v>GBP</x:v>
      </x:c>
      <x:c r="J600" s="80"/>
      <x:c r="K600" s="82"/>
      <x:c r="L600" s="69" t="str">
        <x:v>Evidence needed</x:v>
      </x:c>
      <x:c r="M600" s="69" t="str">
        <x:v>Comparable buyer-specific scoring, creation, progression and availability evidence needed. Loan/swap costs need separate treatment.</x:v>
      </x:c>
      <x:c r="N600" s="69" t="str">
        <x:v>Not assessed</x:v>
      </x:c>
      <x:c r="O600" s="69" t="str">
        <x:v>Source position and transfer quote only; production and age not validated for this specific deal.</x:v>
      </x:c>
      <x:c r="P600" s="69" t="str">
        <x:v>https://www.theguardian.com/football/ng-interactive/2026/sep/01/mens-transfer-window-summer-2026-all-deals-from-europes-top-five-leagues</x:v>
      </x:c>
    </x:row>
    <x:row r="601" ht="25" customHeight="1">
      <x:c r="A601" s="75" t="str">
        <x:v>summer-S26-0783</x:v>
      </x:c>
      <x:c r="B601" s="75" t="str">
        <x:v>Wes Burns</x:v>
      </x:c>
      <x:c r="C601" s="75" t="str">
        <x:v>Leicester City</x:v>
      </x:c>
      <x:c r="D601" s="75" t="str">
        <x:v>Ipswich Town</x:v>
      </x:c>
      <x:c r="E601" s="77" t="d">
        <x:v>2026-08-06T00:00:00.000Z</x:v>
      </x:c>
      <x:c r="F601" s="75" t="str">
        <x:v>summer</x:v>
      </x:c>
      <x:c r="G601" s="75" t="str">
        <x:v>Winger — source label</x:v>
      </x:c>
      <x:c r="H601" s="79" t="n">
        <x:v>100000</x:v>
      </x:c>
      <x:c r="I601" s="75" t="str">
        <x:v>GBP</x:v>
      </x:c>
      <x:c r="J601" s="81"/>
      <x:c r="K601" s="83"/>
      <x:c r="L601" s="75" t="str">
        <x:v>Evidence needed</x:v>
      </x:c>
      <x:c r="M601" s="75" t="str">
        <x:v>Comparable buyer-specific scoring, creation, progression and availability evidence needed.</x:v>
      </x:c>
      <x:c r="N601" s="75" t="str">
        <x:v>Not assessed</x:v>
      </x:c>
      <x:c r="O601" s="75" t="str">
        <x:v>Source position and transfer quote only; production and age not validated for this specific deal.</x:v>
      </x:c>
      <x:c r="P601" s="75" t="str">
        <x:v>https://www.theguardian.com/football/ng-interactive/2026/sep/01/mens-transfer-window-summer-2026-all-deals-from-europes-top-five-leagues</x:v>
      </x:c>
    </x:row>
    <x:row r="602" ht="25" customHeight="1">
      <x:c r="A602" s="69" t="str">
        <x:v>summer-S26-0795</x:v>
      </x:c>
      <x:c r="B602" s="69" t="str">
        <x:v>Georg Ermolaev</x:v>
      </x:c>
      <x:c r="C602" s="69" t="str">
        <x:v>Alemannia Aachen</x:v>
      </x:c>
      <x:c r="D602" s="69" t="str">
        <x:v>Paderborn</x:v>
      </x:c>
      <x:c r="E602" s="76" t="d">
        <x:v>2026-08-04T00:00:00.000Z</x:v>
      </x:c>
      <x:c r="F602" s="69" t="str">
        <x:v>summer</x:v>
      </x:c>
      <x:c r="G602" s="69" t="str">
        <x:v>Winger — source label</x:v>
      </x:c>
      <x:c r="H602" s="78"/>
      <x:c r="I602" s="69" t="str">
        <x:v>GBP</x:v>
      </x:c>
      <x:c r="J602" s="80"/>
      <x:c r="K602" s="82"/>
      <x:c r="L602" s="69" t="str">
        <x:v>Evidence needed</x:v>
      </x:c>
      <x:c r="M602" s="69" t="str">
        <x:v>Comparable buyer-specific scoring, creation, progression and availability evidence needed. Loan/swap costs need separate treatment.</x:v>
      </x:c>
      <x:c r="N602" s="69" t="str">
        <x:v>Not assessed</x:v>
      </x:c>
      <x:c r="O602" s="69" t="str">
        <x:v>Source position and transfer quote only; production and age not validated for this specific deal.</x:v>
      </x:c>
      <x:c r="P602" s="69" t="str">
        <x:v>https://www.theguardian.com/football/ng-interactive/2026/sep/01/mens-transfer-window-summer-2026-all-deals-from-europes-top-five-leagues</x:v>
      </x:c>
    </x:row>
    <x:row r="603" ht="25" customHeight="1">
      <x:c r="A603" s="75" t="str">
        <x:v>summer-S26-0796</x:v>
      </x:c>
      <x:c r="B603" s="75" t="str">
        <x:v>Jesse Bisiwu</x:v>
      </x:c>
      <x:c r="C603" s="75" t="str">
        <x:v>Barcelona</x:v>
      </x:c>
      <x:c r="D603" s="75" t="str">
        <x:v>Club Brugge</x:v>
      </x:c>
      <x:c r="E603" s="77" t="d">
        <x:v>2026-08-04T00:00:00.000Z</x:v>
      </x:c>
      <x:c r="F603" s="75" t="str">
        <x:v>summer</x:v>
      </x:c>
      <x:c r="G603" s="75" t="str">
        <x:v>Winger — source label</x:v>
      </x:c>
      <x:c r="H603" s="79" t="n">
        <x:v>7300000</x:v>
      </x:c>
      <x:c r="I603" s="75" t="str">
        <x:v>GBP</x:v>
      </x:c>
      <x:c r="J603" s="81"/>
      <x:c r="K603" s="83"/>
      <x:c r="L603" s="75" t="str">
        <x:v>Evidence needed</x:v>
      </x:c>
      <x:c r="M603" s="75" t="str">
        <x:v>Comparable buyer-specific scoring, creation, progression and availability evidence needed.</x:v>
      </x:c>
      <x:c r="N603" s="75" t="str">
        <x:v>Not assessed</x:v>
      </x:c>
      <x:c r="O603" s="75" t="str">
        <x:v>Source position and transfer quote only; production and age not validated for this specific deal.</x:v>
      </x:c>
      <x:c r="P603" s="75" t="str">
        <x:v>https://www.theguardian.com/football/ng-interactive/2026/sep/01/mens-transfer-window-summer-2026-all-deals-from-europes-top-five-leagues</x:v>
      </x:c>
    </x:row>
    <x:row r="604" ht="25" customHeight="1">
      <x:c r="A604" s="69" t="str">
        <x:v>summer-S26-0819</x:v>
      </x:c>
      <x:c r="B604" s="69" t="str">
        <x:v>Tynan Thompson</x:v>
      </x:c>
      <x:c r="C604" s="69" t="str">
        <x:v>Manchester United</x:v>
      </x:c>
      <x:c r="D604" s="69" t="str">
        <x:v>Tottenham Hotspur</x:v>
      </x:c>
      <x:c r="E604" s="76" t="d">
        <x:v>2026-07-20T00:00:00.000Z</x:v>
      </x:c>
      <x:c r="F604" s="69" t="str">
        <x:v>summer</x:v>
      </x:c>
      <x:c r="G604" s="69" t="str">
        <x:v>Winger — source label</x:v>
      </x:c>
      <x:c r="H604" s="78" t="n">
        <x:v>4000000</x:v>
      </x:c>
      <x:c r="I604" s="69" t="str">
        <x:v>GBP</x:v>
      </x:c>
      <x:c r="J604" s="80"/>
      <x:c r="K604" s="82"/>
      <x:c r="L604" s="69" t="str">
        <x:v>Evidence needed</x:v>
      </x:c>
      <x:c r="M604" s="69" t="str">
        <x:v>Comparable buyer-specific scoring, creation, progression and availability evidence needed.</x:v>
      </x:c>
      <x:c r="N604" s="69" t="str">
        <x:v>Not assessed</x:v>
      </x:c>
      <x:c r="O604" s="69" t="str">
        <x:v>Source position and transfer quote only; production and age not validated for this specific deal.</x:v>
      </x:c>
      <x:c r="P604" s="69" t="str">
        <x:v>https://www.theguardian.com/football/ng-interactive/2026/sep/01/mens-transfer-window-summer-2026-all-deals-from-europes-top-five-leagues</x:v>
      </x:c>
    </x:row>
    <x:row r="605" ht="25" customHeight="1">
      <x:c r="A605" s="75" t="str">
        <x:v>summer-S26-0839</x:v>
      </x:c>
      <x:c r="B605" s="75" t="str">
        <x:v>Ichem Ferrah</x:v>
      </x:c>
      <x:c r="C605" s="75" t="str">
        <x:v>Pisa</x:v>
      </x:c>
      <x:c r="D605" s="75" t="str">
        <x:v>Lille</x:v>
      </x:c>
      <x:c r="E605" s="77" t="d">
        <x:v>2026-08-07T00:00:00.000Z</x:v>
      </x:c>
      <x:c r="F605" s="75" t="str">
        <x:v>summer</x:v>
      </x:c>
      <x:c r="G605" s="75" t="str">
        <x:v>Winger — source label</x:v>
      </x:c>
      <x:c r="H605" s="79"/>
      <x:c r="I605" s="75" t="str">
        <x:v>GBP</x:v>
      </x:c>
      <x:c r="J605" s="81"/>
      <x:c r="K605" s="83"/>
      <x:c r="L605" s="75" t="str">
        <x:v>Evidence needed</x:v>
      </x:c>
      <x:c r="M605" s="75" t="str">
        <x:v>Comparable buyer-specific scoring, creation, progression and availability evidence needed. Transfer fee is undisclosed.</x:v>
      </x:c>
      <x:c r="N605" s="75" t="str">
        <x:v>Not assessed</x:v>
      </x:c>
      <x:c r="O605" s="75" t="str">
        <x:v>Source position and transfer quote only; production and age not validated for this specific deal.</x:v>
      </x:c>
      <x:c r="P605" s="75" t="str">
        <x:v>https://www.theguardian.com/football/ng-interactive/2026/sep/01/mens-transfer-window-summer-2026-all-deals-from-europes-top-five-leagues</x:v>
      </x:c>
    </x:row>
    <x:row r="606" ht="25" customHeight="1">
      <x:c r="A606" s="69" t="str">
        <x:v>summer-S26-0850</x:v>
      </x:c>
      <x:c r="B606" s="69" t="str">
        <x:v>Jay Robinson</x:v>
      </x:c>
      <x:c r="C606" s="69" t="str">
        <x:v>Monza</x:v>
      </x:c>
      <x:c r="D606" s="69" t="str">
        <x:v>Southampton</x:v>
      </x:c>
      <x:c r="E606" s="76" t="d">
        <x:v>2026-08-07T00:00:00.000Z</x:v>
      </x:c>
      <x:c r="F606" s="69" t="str">
        <x:v>summer</x:v>
      </x:c>
      <x:c r="G606" s="69" t="str">
        <x:v>Winger — source label</x:v>
      </x:c>
      <x:c r="H606" s="78"/>
      <x:c r="I606" s="69" t="str">
        <x:v>GBP</x:v>
      </x:c>
      <x:c r="J606" s="80"/>
      <x:c r="K606" s="82"/>
      <x:c r="L606" s="69" t="str">
        <x:v>Evidence needed</x:v>
      </x:c>
      <x:c r="M606" s="69" t="str">
        <x:v>Comparable buyer-specific scoring, creation, progression and availability evidence needed. Loan/swap costs need separate treatment.</x:v>
      </x:c>
      <x:c r="N606" s="69" t="str">
        <x:v>Not assessed</x:v>
      </x:c>
      <x:c r="O606" s="69" t="str">
        <x:v>Source position and transfer quote only; production and age not validated for this specific deal.</x:v>
      </x:c>
      <x:c r="P606" s="69" t="str">
        <x:v>https://www.theguardian.com/football/ng-interactive/2026/sep/01/mens-transfer-window-summer-2026-all-deals-from-europes-top-five-leagues</x:v>
      </x:c>
    </x:row>
    <x:row r="607" ht="25" customHeight="1">
      <x:c r="A607" s="75" t="str">
        <x:v>summer-S26-0852</x:v>
      </x:c>
      <x:c r="B607" s="75" t="str">
        <x:v>Noah Nsoki</x:v>
      </x:c>
      <x:c r="C607" s="75" t="str">
        <x:v>Dinamo Zagreb</x:v>
      </x:c>
      <x:c r="D607" s="75" t="str">
        <x:v>Paris Saint-Germain</x:v>
      </x:c>
      <x:c r="E607" s="77" t="d">
        <x:v>2026-08-08T00:00:00.000Z</x:v>
      </x:c>
      <x:c r="F607" s="75" t="str">
        <x:v>summer</x:v>
      </x:c>
      <x:c r="G607" s="75" t="str">
        <x:v>Winger — source label</x:v>
      </x:c>
      <x:c r="H607" s="79"/>
      <x:c r="I607" s="75" t="str">
        <x:v>GBP</x:v>
      </x:c>
      <x:c r="J607" s="81"/>
      <x:c r="K607" s="83"/>
      <x:c r="L607" s="75" t="str">
        <x:v>Evidence needed</x:v>
      </x:c>
      <x:c r="M607" s="75" t="str">
        <x:v>Comparable buyer-specific scoring, creation, progression and availability evidence needed. Transfer fee is undisclosed.</x:v>
      </x:c>
      <x:c r="N607" s="75" t="str">
        <x:v>Not assessed</x:v>
      </x:c>
      <x:c r="O607" s="75" t="str">
        <x:v>Source position and transfer quote only; production and age not validated for this specific deal.</x:v>
      </x:c>
      <x:c r="P607" s="75" t="str">
        <x:v>https://www.theguardian.com/football/ng-interactive/2026/sep/01/mens-transfer-window-summer-2026-all-deals-from-europes-top-five-leagues</x:v>
      </x:c>
    </x:row>
    <x:row r="608" ht="25" customHeight="1">
      <x:c r="A608" s="69" t="str">
        <x:v>summer-S26-0853</x:v>
      </x:c>
      <x:c r="B608" s="69" t="str">
        <x:v>Jahnoah Markelo</x:v>
      </x:c>
      <x:c r="C608" s="69" t="str">
        <x:v>Shabab Al-Ahli</x:v>
      </x:c>
      <x:c r="D608" s="69" t="str">
        <x:v>Coventry City</x:v>
      </x:c>
      <x:c r="E608" s="76" t="d">
        <x:v>2026-08-08T00:00:00.000Z</x:v>
      </x:c>
      <x:c r="F608" s="69" t="str">
        <x:v>summer</x:v>
      </x:c>
      <x:c r="G608" s="69" t="str">
        <x:v>Winger — source label</x:v>
      </x:c>
      <x:c r="H608" s="78"/>
      <x:c r="I608" s="69" t="str">
        <x:v>GBP</x:v>
      </x:c>
      <x:c r="J608" s="80"/>
      <x:c r="K608" s="82"/>
      <x:c r="L608" s="69" t="str">
        <x:v>Evidence needed</x:v>
      </x:c>
      <x:c r="M608" s="69" t="str">
        <x:v>Comparable buyer-specific scoring, creation, progression and availability evidence needed. Transfer fee is undisclosed.</x:v>
      </x:c>
      <x:c r="N608" s="69" t="str">
        <x:v>Not assessed</x:v>
      </x:c>
      <x:c r="O608" s="69" t="str">
        <x:v>Source position and transfer quote only; production and age not validated for this specific deal.</x:v>
      </x:c>
      <x:c r="P608" s="69" t="str">
        <x:v>https://www.theguardian.com/football/ng-interactive/2026/sep/01/mens-transfer-window-summer-2026-all-deals-from-europes-top-five-leagues</x:v>
      </x:c>
    </x:row>
    <x:row r="609" ht="25" customHeight="1">
      <x:c r="A609" s="75" t="str">
        <x:v>summer-S26-0856</x:v>
      </x:c>
      <x:c r="B609" s="75" t="str">
        <x:v>Yusuf Kabadayi</x:v>
      </x:c>
      <x:c r="C609" s="75" t="str">
        <x:v>Rijeka</x:v>
      </x:c>
      <x:c r="D609" s="75" t="str">
        <x:v>Augsburg</x:v>
      </x:c>
      <x:c r="E609" s="77" t="d">
        <x:v>2026-08-09T00:00:00.000Z</x:v>
      </x:c>
      <x:c r="F609" s="75" t="str">
        <x:v>summer</x:v>
      </x:c>
      <x:c r="G609" s="75" t="str">
        <x:v>Winger — source label</x:v>
      </x:c>
      <x:c r="H609" s="79"/>
      <x:c r="I609" s="75" t="str">
        <x:v>GBP</x:v>
      </x:c>
      <x:c r="J609" s="81"/>
      <x:c r="K609" s="83"/>
      <x:c r="L609" s="75" t="str">
        <x:v>Evidence needed</x:v>
      </x:c>
      <x:c r="M609" s="75" t="str">
        <x:v>Comparable buyer-specific scoring, creation, progression and availability evidence needed. Loan/swap costs need separate treatment.</x:v>
      </x:c>
      <x:c r="N609" s="75" t="str">
        <x:v>Not assessed</x:v>
      </x:c>
      <x:c r="O609" s="75" t="str">
        <x:v>Source position and transfer quote only; production and age not validated for this specific deal.</x:v>
      </x:c>
      <x:c r="P609" s="75" t="str">
        <x:v>https://www.theguardian.com/football/ng-interactive/2026/sep/01/mens-transfer-window-summer-2026-all-deals-from-europes-top-five-leagues</x:v>
      </x:c>
    </x:row>
    <x:row r="610" ht="25" customHeight="1">
      <x:c r="A610" s="69" t="str">
        <x:v>summer-S26-0862</x:v>
      </x:c>
      <x:c r="B610" s="69" t="str">
        <x:v>Simone Ascione</x:v>
      </x:c>
      <x:c r="C610" s="69" t="str">
        <x:v>Vis Pesaro</x:v>
      </x:c>
      <x:c r="D610" s="69" t="str">
        <x:v>Venezia</x:v>
      </x:c>
      <x:c r="E610" s="76" t="d">
        <x:v>2026-08-07T00:00:00.000Z</x:v>
      </x:c>
      <x:c r="F610" s="69" t="str">
        <x:v>summer</x:v>
      </x:c>
      <x:c r="G610" s="69" t="str">
        <x:v>Winger — source label</x:v>
      </x:c>
      <x:c r="H610" s="78"/>
      <x:c r="I610" s="69" t="str">
        <x:v>GBP</x:v>
      </x:c>
      <x:c r="J610" s="80"/>
      <x:c r="K610" s="82"/>
      <x:c r="L610" s="69" t="str">
        <x:v>Evidence needed</x:v>
      </x:c>
      <x:c r="M610" s="69" t="str">
        <x:v>Comparable buyer-specific scoring, creation, progression and availability evidence needed. Transfer fee is undisclosed.</x:v>
      </x:c>
      <x:c r="N610" s="69" t="str">
        <x:v>Not assessed</x:v>
      </x:c>
      <x:c r="O610" s="69" t="str">
        <x:v>Source position and transfer quote only; production and age not validated for this specific deal.</x:v>
      </x:c>
      <x:c r="P610" s="69" t="str">
        <x:v>https://www.theguardian.com/football/ng-interactive/2026/sep/01/mens-transfer-window-summer-2026-all-deals-from-europes-top-five-leagues</x:v>
      </x:c>
    </x:row>
    <x:row r="611" ht="25" customHeight="1">
      <x:c r="A611" s="75" t="str">
        <x:v>summer-S26-0867</x:v>
      </x:c>
      <x:c r="B611" s="75" t="str">
        <x:v>Abu Kamara</x:v>
      </x:c>
      <x:c r="C611" s="75" t="str">
        <x:v>Portsmouth</x:v>
      </x:c>
      <x:c r="D611" s="75" t="str">
        <x:v>Hull City</x:v>
      </x:c>
      <x:c r="E611" s="77" t="d">
        <x:v>2026-08-10T00:00:00.000Z</x:v>
      </x:c>
      <x:c r="F611" s="75" t="str">
        <x:v>summer</x:v>
      </x:c>
      <x:c r="G611" s="75" t="str">
        <x:v>Winger — source label</x:v>
      </x:c>
      <x:c r="H611" s="79" t="n">
        <x:v>2500000</x:v>
      </x:c>
      <x:c r="I611" s="75" t="str">
        <x:v>GBP</x:v>
      </x:c>
      <x:c r="J611" s="81"/>
      <x:c r="K611" s="83"/>
      <x:c r="L611" s="75" t="str">
        <x:v>Evidence needed</x:v>
      </x:c>
      <x:c r="M611" s="75" t="str">
        <x:v>Comparable buyer-specific scoring, creation, progression and availability evidence needed.</x:v>
      </x:c>
      <x:c r="N611" s="75" t="str">
        <x:v>Not assessed</x:v>
      </x:c>
      <x:c r="O611" s="75" t="str">
        <x:v>Source position and transfer quote only; production and age not validated for this specific deal.</x:v>
      </x:c>
      <x:c r="P611" s="75" t="str">
        <x:v>https://www.theguardian.com/football/ng-interactive/2026/sep/01/mens-transfer-window-summer-2026-all-deals-from-europes-top-five-leagues</x:v>
      </x:c>
    </x:row>
    <x:row r="612" ht="25" customHeight="1">
      <x:c r="A612" s="69" t="str">
        <x:v>summer-S26-0875</x:v>
      </x:c>
      <x:c r="B612" s="69" t="str">
        <x:v>Manor Solomon</x:v>
      </x:c>
      <x:c r="C612" s="69" t="str">
        <x:v>West Ham United</x:v>
      </x:c>
      <x:c r="D612" s="69" t="str">
        <x:v>Tottenham Hotspur</x:v>
      </x:c>
      <x:c r="E612" s="76" t="d">
        <x:v>2026-08-10T00:00:00.000Z</x:v>
      </x:c>
      <x:c r="F612" s="69" t="str">
        <x:v>summer</x:v>
      </x:c>
      <x:c r="G612" s="69" t="str">
        <x:v>Winger — source label</x:v>
      </x:c>
      <x:c r="H612" s="78" t="n">
        <x:v>5000000</x:v>
      </x:c>
      <x:c r="I612" s="69" t="str">
        <x:v>GBP</x:v>
      </x:c>
      <x:c r="J612" s="80"/>
      <x:c r="K612" s="82"/>
      <x:c r="L612" s="69" t="str">
        <x:v>Evidence needed</x:v>
      </x:c>
      <x:c r="M612" s="69" t="str">
        <x:v>Comparable buyer-specific scoring, creation, progression and availability evidence needed.</x:v>
      </x:c>
      <x:c r="N612" s="69" t="str">
        <x:v>Not assessed</x:v>
      </x:c>
      <x:c r="O612" s="69" t="str">
        <x:v>Source position and transfer quote only; production and age not validated for this specific deal.</x:v>
      </x:c>
      <x:c r="P612" s="69" t="str">
        <x:v>https://www.theguardian.com/football/ng-interactive/2026/sep/01/mens-transfer-window-summer-2026-all-deals-from-europes-top-five-leagues</x:v>
      </x:c>
    </x:row>
    <x:row r="613" ht="25" customHeight="1">
      <x:c r="A613" s="75" t="str">
        <x:v>summer-S26-0887</x:v>
      </x:c>
      <x:c r="B613" s="75" t="str">
        <x:v>Dwight McNeil</x:v>
      </x:c>
      <x:c r="C613" s="75" t="str">
        <x:v>Crystal Palace</x:v>
      </x:c>
      <x:c r="D613" s="75" t="str">
        <x:v>Everton</x:v>
      </x:c>
      <x:c r="E613" s="77" t="d">
        <x:v>2026-08-11T00:00:00.000Z</x:v>
      </x:c>
      <x:c r="F613" s="75" t="str">
        <x:v>summer</x:v>
      </x:c>
      <x:c r="G613" s="75" t="str">
        <x:v>Winger — source label</x:v>
      </x:c>
      <x:c r="H613" s="79"/>
      <x:c r="I613" s="75" t="str">
        <x:v>GBP</x:v>
      </x:c>
      <x:c r="J613" s="81"/>
      <x:c r="K613" s="83"/>
      <x:c r="L613" s="75" t="str">
        <x:v>Evidence needed</x:v>
      </x:c>
      <x:c r="M613" s="75" t="str">
        <x:v>Comparable buyer-specific scoring, creation, progression and availability evidence needed. Loan/swap costs need separate treatment.</x:v>
      </x:c>
      <x:c r="N613" s="75" t="str">
        <x:v>Not assessed</x:v>
      </x:c>
      <x:c r="O613" s="75" t="str">
        <x:v>Source position and transfer quote only; production and age not validated for this specific deal.</x:v>
      </x:c>
      <x:c r="P613" s="75" t="str">
        <x:v>https://www.theguardian.com/football/ng-interactive/2026/sep/01/mens-transfer-window-summer-2026-all-deals-from-europes-top-five-leagues</x:v>
      </x:c>
    </x:row>
    <x:row r="614" ht="25" customHeight="1">
      <x:c r="A614" s="69" t="str">
        <x:v>summer-S26-0910</x:v>
      </x:c>
      <x:c r="B614" s="69" t="str">
        <x:v>Yang Min-hyeok</x:v>
      </x:c>
      <x:c r="C614" s="69" t="str">
        <x:v>Westerlo</x:v>
      </x:c>
      <x:c r="D614" s="69" t="str">
        <x:v>Tottenham Hotspur</x:v>
      </x:c>
      <x:c r="E614" s="76" t="d">
        <x:v>2026-08-12T00:00:00.000Z</x:v>
      </x:c>
      <x:c r="F614" s="69" t="str">
        <x:v>summer</x:v>
      </x:c>
      <x:c r="G614" s="69" t="str">
        <x:v>Winger — source label</x:v>
      </x:c>
      <x:c r="H614" s="78"/>
      <x:c r="I614" s="69" t="str">
        <x:v>GBP</x:v>
      </x:c>
      <x:c r="J614" s="80"/>
      <x:c r="K614" s="82"/>
      <x:c r="L614" s="69" t="str">
        <x:v>Evidence needed</x:v>
      </x:c>
      <x:c r="M614" s="69" t="str">
        <x:v>Comparable buyer-specific scoring, creation, progression and availability evidence needed. Loan/swap costs need separate treatment.</x:v>
      </x:c>
      <x:c r="N614" s="69" t="str">
        <x:v>Not assessed</x:v>
      </x:c>
      <x:c r="O614" s="69" t="str">
        <x:v>Source position and transfer quote only; production and age not validated for this specific deal.</x:v>
      </x:c>
      <x:c r="P614" s="69" t="str">
        <x:v>https://www.theguardian.com/football/ng-interactive/2026/sep/01/mens-transfer-window-summer-2026-all-deals-from-europes-top-five-leagues</x:v>
      </x:c>
    </x:row>
    <x:row r="615" ht="25" customHeight="1">
      <x:c r="A615" s="75" t="str">
        <x:v>summer-S26-0915</x:v>
      </x:c>
      <x:c r="B615" s="75" t="str">
        <x:v>Benjamín Domínguez</x:v>
      </x:c>
      <x:c r="C615" s="75" t="str">
        <x:v>Sassuolo</x:v>
      </x:c>
      <x:c r="D615" s="75" t="str">
        <x:v>Bologna</x:v>
      </x:c>
      <x:c r="E615" s="77" t="d">
        <x:v>2026-08-11T00:00:00.000Z</x:v>
      </x:c>
      <x:c r="F615" s="75" t="str">
        <x:v>summer</x:v>
      </x:c>
      <x:c r="G615" s="75" t="str">
        <x:v>Winger — source label</x:v>
      </x:c>
      <x:c r="H615" s="79"/>
      <x:c r="I615" s="75" t="str">
        <x:v>GBP</x:v>
      </x:c>
      <x:c r="J615" s="81"/>
      <x:c r="K615" s="83"/>
      <x:c r="L615" s="75" t="str">
        <x:v>Evidence needed</x:v>
      </x:c>
      <x:c r="M615" s="75" t="str">
        <x:v>Comparable buyer-specific scoring, creation, progression and availability evidence needed. Loan/swap costs need separate treatment.</x:v>
      </x:c>
      <x:c r="N615" s="75" t="str">
        <x:v>Not assessed</x:v>
      </x:c>
      <x:c r="O615" s="75" t="str">
        <x:v>Source position and transfer quote only; production and age not validated for this specific deal.</x:v>
      </x:c>
      <x:c r="P615" s="75" t="str">
        <x:v>https://www.theguardian.com/football/ng-interactive/2026/sep/01/mens-transfer-window-summer-2026-all-deals-from-europes-top-five-leagues</x:v>
      </x:c>
    </x:row>
    <x:row r="616" ht="25" customHeight="1">
      <x:c r="A616" s="69" t="str">
        <x:v>summer-S26-0916</x:v>
      </x:c>
      <x:c r="B616" s="69" t="str">
        <x:v>Thiago Fernández</x:v>
      </x:c>
      <x:c r="C616" s="69" t="str">
        <x:v>Levante</x:v>
      </x:c>
      <x:c r="D616" s="69" t="str">
        <x:v>Villarreal</x:v>
      </x:c>
      <x:c r="E616" s="76" t="d">
        <x:v>2026-08-11T00:00:00.000Z</x:v>
      </x:c>
      <x:c r="F616" s="69" t="str">
        <x:v>summer</x:v>
      </x:c>
      <x:c r="G616" s="69" t="str">
        <x:v>Winger — source label</x:v>
      </x:c>
      <x:c r="H616" s="78"/>
      <x:c r="I616" s="69" t="str">
        <x:v>GBP</x:v>
      </x:c>
      <x:c r="J616" s="80"/>
      <x:c r="K616" s="82"/>
      <x:c r="L616" s="69" t="str">
        <x:v>Evidence needed</x:v>
      </x:c>
      <x:c r="M616" s="69" t="str">
        <x:v>Comparable buyer-specific scoring, creation, progression and availability evidence needed. Loan/swap costs need separate treatment.</x:v>
      </x:c>
      <x:c r="N616" s="69" t="str">
        <x:v>Not assessed</x:v>
      </x:c>
      <x:c r="O616" s="69" t="str">
        <x:v>Source position and transfer quote only; production and age not validated for this specific deal.</x:v>
      </x:c>
      <x:c r="P616" s="69" t="str">
        <x:v>https://www.theguardian.com/football/ng-interactive/2026/sep/01/mens-transfer-window-summer-2026-all-deals-from-europes-top-five-leagues</x:v>
      </x:c>
    </x:row>
    <x:row r="617" ht="25" customHeight="1">
      <x:c r="A617" s="75" t="str">
        <x:v>summer-S26-0922</x:v>
      </x:c>
      <x:c r="B617" s="75" t="str">
        <x:v>Giorgi Tsitaishvili</x:v>
      </x:c>
      <x:c r="C617" s="75" t="str">
        <x:v>Rayo Vallecano</x:v>
      </x:c>
      <x:c r="D617" s="75" t="str">
        <x:v>Dynamo Kyiv</x:v>
      </x:c>
      <x:c r="E617" s="77" t="d">
        <x:v>2026-08-13T00:00:00.000Z</x:v>
      </x:c>
      <x:c r="F617" s="75" t="str">
        <x:v>summer</x:v>
      </x:c>
      <x:c r="G617" s="75" t="str">
        <x:v>Winger — source label</x:v>
      </x:c>
      <x:c r="H617" s="79"/>
      <x:c r="I617" s="75" t="str">
        <x:v>GBP</x:v>
      </x:c>
      <x:c r="J617" s="81"/>
      <x:c r="K617" s="83"/>
      <x:c r="L617" s="75" t="str">
        <x:v>Evidence needed</x:v>
      </x:c>
      <x:c r="M617" s="75" t="str">
        <x:v>Comparable buyer-specific scoring, creation, progression and availability evidence needed. Free base fee does not represent wages or other costs.</x:v>
      </x:c>
      <x:c r="N617" s="75" t="str">
        <x:v>Not assessed</x:v>
      </x:c>
      <x:c r="O617" s="75" t="str">
        <x:v>Source position and transfer quote only; production and age not validated for this specific deal.</x:v>
      </x:c>
      <x:c r="P617" s="75" t="str">
        <x:v>https://www.theguardian.com/football/ng-interactive/2026/sep/01/mens-transfer-window-summer-2026-all-deals-from-europes-top-five-leagues</x:v>
      </x:c>
    </x:row>
    <x:row r="618" ht="25" customHeight="1">
      <x:c r="A618" s="69" t="str">
        <x:v>summer-S26-0929</x:v>
      </x:c>
      <x:c r="B618" s="69" t="str">
        <x:v>Ethan Williams</x:v>
      </x:c>
      <x:c r="C618" s="69" t="str">
        <x:v>Peterborough</x:v>
      </x:c>
      <x:c r="D618" s="69" t="str">
        <x:v>Manchester United</x:v>
      </x:c>
      <x:c r="E618" s="76" t="d">
        <x:v>2026-08-13T00:00:00.000Z</x:v>
      </x:c>
      <x:c r="F618" s="69" t="str">
        <x:v>summer</x:v>
      </x:c>
      <x:c r="G618" s="69" t="str">
        <x:v>Winger — source label</x:v>
      </x:c>
      <x:c r="H618" s="78"/>
      <x:c r="I618" s="69" t="str">
        <x:v>GBP</x:v>
      </x:c>
      <x:c r="J618" s="80"/>
      <x:c r="K618" s="82"/>
      <x:c r="L618" s="69" t="str">
        <x:v>Evidence needed</x:v>
      </x:c>
      <x:c r="M618" s="69" t="str">
        <x:v>Comparable buyer-specific scoring, creation, progression and availability evidence needed. Transfer fee is undisclosed.</x:v>
      </x:c>
      <x:c r="N618" s="69" t="str">
        <x:v>Not assessed</x:v>
      </x:c>
      <x:c r="O618" s="69" t="str">
        <x:v>Source position and transfer quote only; production and age not validated for this specific deal.</x:v>
      </x:c>
      <x:c r="P618" s="69" t="str">
        <x:v>https://www.theguardian.com/football/ng-interactive/2026/sep/01/mens-transfer-window-summer-2026-all-deals-from-europes-top-five-leagues</x:v>
      </x:c>
    </x:row>
    <x:row r="619" ht="25" customHeight="1">
      <x:c r="A619" s="75" t="str">
        <x:v>summer-S26-0937</x:v>
      </x:c>
      <x:c r="B619" s="75" t="str">
        <x:v>Gabriele Bertolini</x:v>
      </x:c>
      <x:c r="C619" s="75" t="str">
        <x:v>Atalanta</x:v>
      </x:c>
      <x:c r="D619" s="75" t="str">
        <x:v>Fiorentina</x:v>
      </x:c>
      <x:c r="E619" s="77" t="d">
        <x:v>2026-08-12T00:00:00.000Z</x:v>
      </x:c>
      <x:c r="F619" s="75" t="str">
        <x:v>summer</x:v>
      </x:c>
      <x:c r="G619" s="75" t="str">
        <x:v>Winger — source label</x:v>
      </x:c>
      <x:c r="H619" s="79"/>
      <x:c r="I619" s="75" t="str">
        <x:v>GBP</x:v>
      </x:c>
      <x:c r="J619" s="81"/>
      <x:c r="K619" s="83"/>
      <x:c r="L619" s="75" t="str">
        <x:v>Evidence needed</x:v>
      </x:c>
      <x:c r="M619" s="75" t="str">
        <x:v>Comparable buyer-specific scoring, creation, progression and availability evidence needed. Transfer fee is undisclosed.</x:v>
      </x:c>
      <x:c r="N619" s="75" t="str">
        <x:v>Not assessed</x:v>
      </x:c>
      <x:c r="O619" s="75" t="str">
        <x:v>Source position and transfer quote only; production and age not validated for this specific deal.</x:v>
      </x:c>
      <x:c r="P619" s="75" t="str">
        <x:v>https://www.theguardian.com/football/ng-interactive/2026/sep/01/mens-transfer-window-summer-2026-all-deals-from-europes-top-five-leagues</x:v>
      </x:c>
    </x:row>
    <x:row r="620" ht="25" customHeight="1">
      <x:c r="A620" s="69" t="str">
        <x:v>summer-S26-0939</x:v>
      </x:c>
      <x:c r="B620" s="69" t="str">
        <x:v>Saná Fernandes</x:v>
      </x:c>
      <x:c r="C620" s="69" t="str">
        <x:v>Juve Stabia</x:v>
      </x:c>
      <x:c r="D620" s="69" t="str">
        <x:v>Lazio</x:v>
      </x:c>
      <x:c r="E620" s="76" t="d">
        <x:v>2026-08-13T00:00:00.000Z</x:v>
      </x:c>
      <x:c r="F620" s="69" t="str">
        <x:v>summer</x:v>
      </x:c>
      <x:c r="G620" s="69" t="str">
        <x:v>Winger — source label</x:v>
      </x:c>
      <x:c r="H620" s="78"/>
      <x:c r="I620" s="69" t="str">
        <x:v>GBP</x:v>
      </x:c>
      <x:c r="J620" s="80"/>
      <x:c r="K620" s="82"/>
      <x:c r="L620" s="69" t="str">
        <x:v>Evidence needed</x:v>
      </x:c>
      <x:c r="M620" s="69" t="str">
        <x:v>Comparable buyer-specific scoring, creation, progression and availability evidence needed. Loan/swap costs need separate treatment.</x:v>
      </x:c>
      <x:c r="N620" s="69" t="str">
        <x:v>Not assessed</x:v>
      </x:c>
      <x:c r="O620" s="69" t="str">
        <x:v>Source position and transfer quote only; production and age not validated for this specific deal.</x:v>
      </x:c>
      <x:c r="P620" s="69" t="str">
        <x:v>https://www.theguardian.com/football/ng-interactive/2026/sep/01/mens-transfer-window-summer-2026-all-deals-from-europes-top-five-leagues</x:v>
      </x:c>
    </x:row>
    <x:row r="621" ht="25" customHeight="1">
      <x:c r="A621" s="75" t="str">
        <x:v>summer-S26-0946</x:v>
      </x:c>
      <x:c r="B621" s="75" t="str">
        <x:v>Jacob Ondrejka</x:v>
      </x:c>
      <x:c r="C621" s="75" t="str">
        <x:v>Groningen</x:v>
      </x:c>
      <x:c r="D621" s="75" t="str">
        <x:v>Parma</x:v>
      </x:c>
      <x:c r="E621" s="77" t="d">
        <x:v>2026-08-14T00:00:00.000Z</x:v>
      </x:c>
      <x:c r="F621" s="75" t="str">
        <x:v>summer</x:v>
      </x:c>
      <x:c r="G621" s="75" t="str">
        <x:v>Winger — source label</x:v>
      </x:c>
      <x:c r="H621" s="79"/>
      <x:c r="I621" s="75" t="str">
        <x:v>GBP</x:v>
      </x:c>
      <x:c r="J621" s="81"/>
      <x:c r="K621" s="83"/>
      <x:c r="L621" s="75" t="str">
        <x:v>Evidence needed</x:v>
      </x:c>
      <x:c r="M621" s="75" t="str">
        <x:v>Comparable buyer-specific scoring, creation, progression and availability evidence needed. Loan/swap costs need separate treatment.</x:v>
      </x:c>
      <x:c r="N621" s="75" t="str">
        <x:v>Not assessed</x:v>
      </x:c>
      <x:c r="O621" s="75" t="str">
        <x:v>Source position and transfer quote only; production and age not validated for this specific deal.</x:v>
      </x:c>
      <x:c r="P621" s="75" t="str">
        <x:v>https://www.theguardian.com/football/ng-interactive/2026/sep/01/mens-transfer-window-summer-2026-all-deals-from-europes-top-five-leagues</x:v>
      </x:c>
    </x:row>
    <x:row r="622" ht="25" customHeight="1">
      <x:c r="A622" s="69" t="str">
        <x:v>summer-S26-0951</x:v>
      </x:c>
      <x:c r="B622" s="69" t="str">
        <x:v>Rayane Messi</x:v>
      </x:c>
      <x:c r="C622" s="69" t="str">
        <x:v>Ettifaq</x:v>
      </x:c>
      <x:c r="D622" s="69" t="str">
        <x:v>Strasbourg</x:v>
      </x:c>
      <x:c r="E622" s="76" t="d">
        <x:v>2026-08-14T00:00:00.000Z</x:v>
      </x:c>
      <x:c r="F622" s="69" t="str">
        <x:v>summer</x:v>
      </x:c>
      <x:c r="G622" s="69" t="str">
        <x:v>Winger — source label</x:v>
      </x:c>
      <x:c r="H622" s="78"/>
      <x:c r="I622" s="69" t="str">
        <x:v>GBP</x:v>
      </x:c>
      <x:c r="J622" s="80"/>
      <x:c r="K622" s="82"/>
      <x:c r="L622" s="69" t="str">
        <x:v>Evidence needed</x:v>
      </x:c>
      <x:c r="M622" s="69" t="str">
        <x:v>Comparable buyer-specific scoring, creation, progression and availability evidence needed. Loan/swap costs need separate treatment.</x:v>
      </x:c>
      <x:c r="N622" s="69" t="str">
        <x:v>Not assessed</x:v>
      </x:c>
      <x:c r="O622" s="69" t="str">
        <x:v>Source position and transfer quote only; production and age not validated for this specific deal.</x:v>
      </x:c>
      <x:c r="P622" s="69" t="str">
        <x:v>https://www.theguardian.com/football/ng-interactive/2026/sep/01/mens-transfer-window-summer-2026-all-deals-from-europes-top-five-leagues</x:v>
      </x:c>
    </x:row>
    <x:row r="623" ht="25" customHeight="1">
      <x:c r="A623" s="75" t="str">
        <x:v>summer-S26-0953</x:v>
      </x:c>
      <x:c r="B623" s="75" t="str">
        <x:v>Fabio Baldé</x:v>
      </x:c>
      <x:c r="C623" s="75" t="str">
        <x:v>Strasbourg</x:v>
      </x:c>
      <x:c r="D623" s="75" t="str">
        <x:v>Hamburg</x:v>
      </x:c>
      <x:c r="E623" s="77" t="d">
        <x:v>2026-08-14T00:00:00.000Z</x:v>
      </x:c>
      <x:c r="F623" s="75" t="str">
        <x:v>summer</x:v>
      </x:c>
      <x:c r="G623" s="75" t="str">
        <x:v>Winger — source label</x:v>
      </x:c>
      <x:c r="H623" s="79" t="n">
        <x:v>6000000</x:v>
      </x:c>
      <x:c r="I623" s="75" t="str">
        <x:v>GBP</x:v>
      </x:c>
      <x:c r="J623" s="81"/>
      <x:c r="K623" s="83"/>
      <x:c r="L623" s="75" t="str">
        <x:v>Evidence needed</x:v>
      </x:c>
      <x:c r="M623" s="75" t="str">
        <x:v>Comparable buyer-specific scoring, creation, progression and availability evidence needed.</x:v>
      </x:c>
      <x:c r="N623" s="75" t="str">
        <x:v>Not assessed</x:v>
      </x:c>
      <x:c r="O623" s="75" t="str">
        <x:v>Source position and transfer quote only; production and age not validated for this specific deal.</x:v>
      </x:c>
      <x:c r="P623" s="75" t="str">
        <x:v>https://www.theguardian.com/football/ng-interactive/2026/sep/01/mens-transfer-window-summer-2026-all-deals-from-europes-top-five-leagues</x:v>
      </x:c>
    </x:row>
    <x:row r="624" ht="25" customHeight="1">
      <x:c r="A624" s="69" t="str">
        <x:v>summer-S26-0956</x:v>
      </x:c>
      <x:c r="B624" s="69" t="str">
        <x:v>Emilio Lawrence</x:v>
      </x:c>
      <x:c r="C624" s="69" t="str">
        <x:v>Luton Town</x:v>
      </x:c>
      <x:c r="D624" s="69" t="str">
        <x:v>Manchester City</x:v>
      </x:c>
      <x:c r="E624" s="76" t="d">
        <x:v>2026-08-14T00:00:00.000Z</x:v>
      </x:c>
      <x:c r="F624" s="69" t="str">
        <x:v>summer</x:v>
      </x:c>
      <x:c r="G624" s="69" t="str">
        <x:v>Winger — source label</x:v>
      </x:c>
      <x:c r="H624" s="78"/>
      <x:c r="I624" s="69" t="str">
        <x:v>GBP</x:v>
      </x:c>
      <x:c r="J624" s="80"/>
      <x:c r="K624" s="82"/>
      <x:c r="L624" s="69" t="str">
        <x:v>Evidence needed</x:v>
      </x:c>
      <x:c r="M624" s="69" t="str">
        <x:v>Comparable buyer-specific scoring, creation, progression and availability evidence needed. Loan/swap costs need separate treatment.</x:v>
      </x:c>
      <x:c r="N624" s="69" t="str">
        <x:v>Not assessed</x:v>
      </x:c>
      <x:c r="O624" s="69" t="str">
        <x:v>Source position and transfer quote only; production and age not validated for this specific deal.</x:v>
      </x:c>
      <x:c r="P624" s="69" t="str">
        <x:v>https://www.theguardian.com/football/ng-interactive/2026/sep/01/mens-transfer-window-summer-2026-all-deals-from-europes-top-five-leagues</x:v>
      </x:c>
    </x:row>
    <x:row r="625" ht="25" customHeight="1">
      <x:c r="A625" s="75" t="str">
        <x:v>summer-S26-0957</x:v>
      </x:c>
      <x:c r="B625" s="75" t="str">
        <x:v>Ryan Kavuma-McQueen</x:v>
      </x:c>
      <x:c r="C625" s="75" t="str">
        <x:v>Portsmouth</x:v>
      </x:c>
      <x:c r="D625" s="75" t="str">
        <x:v>Chelsea</x:v>
      </x:c>
      <x:c r="E625" s="77" t="d">
        <x:v>2026-08-14T00:00:00.000Z</x:v>
      </x:c>
      <x:c r="F625" s="75" t="str">
        <x:v>summer</x:v>
      </x:c>
      <x:c r="G625" s="75" t="str">
        <x:v>Winger — source label</x:v>
      </x:c>
      <x:c r="H625" s="79"/>
      <x:c r="I625" s="75" t="str">
        <x:v>GBP</x:v>
      </x:c>
      <x:c r="J625" s="81"/>
      <x:c r="K625" s="83"/>
      <x:c r="L625" s="75" t="str">
        <x:v>Evidence needed</x:v>
      </x:c>
      <x:c r="M625" s="75" t="str">
        <x:v>Comparable buyer-specific scoring, creation, progression and availability evidence needed. Loan/swap costs need separate treatment.</x:v>
      </x:c>
      <x:c r="N625" s="75" t="str">
        <x:v>Not assessed</x:v>
      </x:c>
      <x:c r="O625" s="75" t="str">
        <x:v>Source position and transfer quote only; production and age not validated for this specific deal.</x:v>
      </x:c>
      <x:c r="P625" s="75" t="str">
        <x:v>https://www.theguardian.com/football/ng-interactive/2026/sep/01/mens-transfer-window-summer-2026-all-deals-from-europes-top-five-leagues</x:v>
      </x:c>
    </x:row>
    <x:row r="626" ht="25" customHeight="1">
      <x:c r="A626" s="69" t="str">
        <x:v>summer-S26-0962</x:v>
      </x:c>
      <x:c r="B626" s="69" t="str">
        <x:v>Samuel Iling-Junior</x:v>
      </x:c>
      <x:c r="C626" s="69" t="str">
        <x:v>Bolton</x:v>
      </x:c>
      <x:c r="D626" s="69" t="str">
        <x:v>Aston Villa</x:v>
      </x:c>
      <x:c r="E626" s="76" t="d">
        <x:v>2026-08-14T00:00:00.000Z</x:v>
      </x:c>
      <x:c r="F626" s="69" t="str">
        <x:v>summer</x:v>
      </x:c>
      <x:c r="G626" s="69" t="str">
        <x:v>Winger — source label</x:v>
      </x:c>
      <x:c r="H626" s="78"/>
      <x:c r="I626" s="69" t="str">
        <x:v>GBP</x:v>
      </x:c>
      <x:c r="J626" s="80"/>
      <x:c r="K626" s="82"/>
      <x:c r="L626" s="69" t="str">
        <x:v>Evidence needed</x:v>
      </x:c>
      <x:c r="M626" s="69" t="str">
        <x:v>Comparable buyer-specific scoring, creation, progression and availability evidence needed. Loan/swap costs need separate treatment.</x:v>
      </x:c>
      <x:c r="N626" s="69" t="str">
        <x:v>Not assessed</x:v>
      </x:c>
      <x:c r="O626" s="69" t="str">
        <x:v>Source position and transfer quote only; production and age not validated for this specific deal.</x:v>
      </x:c>
      <x:c r="P626" s="69" t="str">
        <x:v>https://www.theguardian.com/football/ng-interactive/2026/sep/01/mens-transfer-window-summer-2026-all-deals-from-europes-top-five-leagues</x:v>
      </x:c>
    </x:row>
    <x:row r="627" ht="25" customHeight="1">
      <x:c r="A627" s="75" t="str">
        <x:v>summer-S26-0977</x:v>
      </x:c>
      <x:c r="B627" s="75" t="str">
        <x:v>Anan Khalaili</x:v>
      </x:c>
      <x:c r="C627" s="75" t="str">
        <x:v>Crystal Palace</x:v>
      </x:c>
      <x:c r="D627" s="75" t="str">
        <x:v>Union St-Gilloise</x:v>
      </x:c>
      <x:c r="E627" s="77" t="d">
        <x:v>2026-08-15T00:00:00.000Z</x:v>
      </x:c>
      <x:c r="F627" s="75" t="str">
        <x:v>summer</x:v>
      </x:c>
      <x:c r="G627" s="75" t="str">
        <x:v>Winger — source label</x:v>
      </x:c>
      <x:c r="H627" s="79" t="n">
        <x:v>21000000</x:v>
      </x:c>
      <x:c r="I627" s="75" t="str">
        <x:v>GBP</x:v>
      </x:c>
      <x:c r="J627" s="81"/>
      <x:c r="K627" s="83"/>
      <x:c r="L627" s="75" t="str">
        <x:v>Evidence needed</x:v>
      </x:c>
      <x:c r="M627" s="75" t="str">
        <x:v>Comparable buyer-specific scoring, creation, progression and availability evidence needed.</x:v>
      </x:c>
      <x:c r="N627" s="75" t="str">
        <x:v>Not assessed</x:v>
      </x:c>
      <x:c r="O627" s="75" t="str">
        <x:v>Source position and transfer quote only; production and age not validated for this specific deal.</x:v>
      </x:c>
      <x:c r="P627" s="75" t="str">
        <x:v>https://www.theguardian.com/football/ng-interactive/2026/sep/01/mens-transfer-window-summer-2026-all-deals-from-europes-top-five-leagues</x:v>
      </x:c>
    </x:row>
    <x:row r="628" ht="25" customHeight="1">
      <x:c r="A628" s="69" t="str">
        <x:v>summer-S26-0980</x:v>
      </x:c>
      <x:c r="B628" s="69" t="str">
        <x:v>Iker Benito</x:v>
      </x:c>
      <x:c r="C628" s="69" t="str">
        <x:v>Querétaro</x:v>
      </x:c>
      <x:c r="D628" s="69" t="str">
        <x:v>Osasuna</x:v>
      </x:c>
      <x:c r="E628" s="76" t="d">
        <x:v>2026-08-14T00:00:00.000Z</x:v>
      </x:c>
      <x:c r="F628" s="69" t="str">
        <x:v>summer</x:v>
      </x:c>
      <x:c r="G628" s="69" t="str">
        <x:v>Winger — source label</x:v>
      </x:c>
      <x:c r="H628" s="78" t="n">
        <x:v>510000</x:v>
      </x:c>
      <x:c r="I628" s="69" t="str">
        <x:v>GBP</x:v>
      </x:c>
      <x:c r="J628" s="80"/>
      <x:c r="K628" s="82"/>
      <x:c r="L628" s="69" t="str">
        <x:v>Evidence needed</x:v>
      </x:c>
      <x:c r="M628" s="69" t="str">
        <x:v>Comparable buyer-specific scoring, creation, progression and availability evidence needed.</x:v>
      </x:c>
      <x:c r="N628" s="69" t="str">
        <x:v>Not assessed</x:v>
      </x:c>
      <x:c r="O628" s="69" t="str">
        <x:v>Source position and transfer quote only; production and age not validated for this specific deal.</x:v>
      </x:c>
      <x:c r="P628" s="69" t="str">
        <x:v>https://www.theguardian.com/football/ng-interactive/2026/sep/01/mens-transfer-window-summer-2026-all-deals-from-europes-top-five-leagues</x:v>
      </x:c>
    </x:row>
    <x:row r="629" ht="25" customHeight="1">
      <x:c r="A629" s="75" t="str">
        <x:v>summer-S26-0984</x:v>
      </x:c>
      <x:c r="B629" s="75" t="str">
        <x:v>Mika Godts</x:v>
      </x:c>
      <x:c r="C629" s="75" t="str">
        <x:v>Paris Saint-Germain</x:v>
      </x:c>
      <x:c r="D629" s="75" t="str">
        <x:v>Ajax</x:v>
      </x:c>
      <x:c r="E629" s="77" t="d">
        <x:v>2026-08-15T00:00:00.000Z</x:v>
      </x:c>
      <x:c r="F629" s="75" t="str">
        <x:v>summer</x:v>
      </x:c>
      <x:c r="G629" s="75" t="str">
        <x:v>Winger — source label</x:v>
      </x:c>
      <x:c r="H629" s="79" t="n">
        <x:v>47000000</x:v>
      </x:c>
      <x:c r="I629" s="75" t="str">
        <x:v>GBP</x:v>
      </x:c>
      <x:c r="J629" s="81"/>
      <x:c r="K629" s="83"/>
      <x:c r="L629" s="75" t="str">
        <x:v>Evidence needed</x:v>
      </x:c>
      <x:c r="M629" s="75" t="str">
        <x:v>Comparable buyer-specific scoring, creation, progression and availability evidence needed.</x:v>
      </x:c>
      <x:c r="N629" s="75" t="str">
        <x:v>Not assessed</x:v>
      </x:c>
      <x:c r="O629" s="75" t="str">
        <x:v>Source position and transfer quote only; production and age not validated for this specific deal.</x:v>
      </x:c>
      <x:c r="P629" s="75" t="str">
        <x:v>https://www.theguardian.com/football/ng-interactive/2026/sep/01/mens-transfer-window-summer-2026-all-deals-from-europes-top-five-leagues</x:v>
      </x:c>
    </x:row>
    <x:row r="630" ht="25" customHeight="1">
      <x:c r="A630" s="69" t="str">
        <x:v>summer-S26-0997</x:v>
      </x:c>
      <x:c r="B630" s="69" t="str">
        <x:v>Eren Dinkci</x:v>
      </x:c>
      <x:c r="C630" s="69" t="str">
        <x:v>Werder Bremen</x:v>
      </x:c>
      <x:c r="D630" s="69" t="str">
        <x:v>Freiburg</x:v>
      </x:c>
      <x:c r="E630" s="76" t="d">
        <x:v>2026-08-17T00:00:00.000Z</x:v>
      </x:c>
      <x:c r="F630" s="69" t="str">
        <x:v>summer</x:v>
      </x:c>
      <x:c r="G630" s="69" t="str">
        <x:v>Winger — source label</x:v>
      </x:c>
      <x:c r="H630" s="78"/>
      <x:c r="I630" s="69" t="str">
        <x:v>GBP</x:v>
      </x:c>
      <x:c r="J630" s="80"/>
      <x:c r="K630" s="82"/>
      <x:c r="L630" s="69" t="str">
        <x:v>Evidence needed</x:v>
      </x:c>
      <x:c r="M630" s="69" t="str">
        <x:v>Comparable buyer-specific scoring, creation, progression and availability evidence needed. Loan/swap costs need separate treatment.</x:v>
      </x:c>
      <x:c r="N630" s="69" t="str">
        <x:v>Not assessed</x:v>
      </x:c>
      <x:c r="O630" s="69" t="str">
        <x:v>Source position and transfer quote only; production and age not validated for this specific deal.</x:v>
      </x:c>
      <x:c r="P630" s="69" t="str">
        <x:v>https://www.theguardian.com/football/ng-interactive/2026/sep/01/mens-transfer-window-summer-2026-all-deals-from-europes-top-five-leagues</x:v>
      </x:c>
    </x:row>
    <x:row r="631" ht="25" customHeight="1">
      <x:c r="A631" s="75" t="str">
        <x:v>summer-S26-0998</x:v>
      </x:c>
      <x:c r="B631" s="75" t="str">
        <x:v>Hugo Picard</x:v>
      </x:c>
      <x:c r="C631" s="75" t="str">
        <x:v>Troyes</x:v>
      </x:c>
      <x:c r="D631" s="75" t="str">
        <x:v>Columbus Crew</x:v>
      </x:c>
      <x:c r="E631" s="77" t="d">
        <x:v>2026-08-17T00:00:00.000Z</x:v>
      </x:c>
      <x:c r="F631" s="75" t="str">
        <x:v>summer</x:v>
      </x:c>
      <x:c r="G631" s="75" t="str">
        <x:v>Winger — source label</x:v>
      </x:c>
      <x:c r="H631" s="79"/>
      <x:c r="I631" s="75" t="str">
        <x:v>GBP</x:v>
      </x:c>
      <x:c r="J631" s="81"/>
      <x:c r="K631" s="83"/>
      <x:c r="L631" s="75" t="str">
        <x:v>Evidence needed</x:v>
      </x:c>
      <x:c r="M631" s="75" t="str">
        <x:v>Comparable buyer-specific scoring, creation, progression and availability evidence needed. Loan/swap costs need separate treatment.</x:v>
      </x:c>
      <x:c r="N631" s="75" t="str">
        <x:v>Not assessed</x:v>
      </x:c>
      <x:c r="O631" s="75" t="str">
        <x:v>Source position and transfer quote only; production and age not validated for this specific deal.</x:v>
      </x:c>
      <x:c r="P631" s="75" t="str">
        <x:v>https://www.theguardian.com/football/ng-interactive/2026/sep/01/mens-transfer-window-summer-2026-all-deals-from-europes-top-five-leagues</x:v>
      </x:c>
    </x:row>
    <x:row r="632" ht="25" customHeight="1">
      <x:c r="A632" s="69" t="str">
        <x:v>summer-S26-1001</x:v>
      </x:c>
      <x:c r="B632" s="69" t="str">
        <x:v>Nathan Ngoumou</x:v>
      </x:c>
      <x:c r="C632" s="69" t="str">
        <x:v>Nice</x:v>
      </x:c>
      <x:c r="D632" s="69" t="str">
        <x:v>Borussia Mönchengladbach</x:v>
      </x:c>
      <x:c r="E632" s="76" t="d">
        <x:v>2026-08-17T00:00:00.000Z</x:v>
      </x:c>
      <x:c r="F632" s="69" t="str">
        <x:v>summer</x:v>
      </x:c>
      <x:c r="G632" s="69" t="str">
        <x:v>Winger — source label</x:v>
      </x:c>
      <x:c r="H632" s="78"/>
      <x:c r="I632" s="69" t="str">
        <x:v>GBP</x:v>
      </x:c>
      <x:c r="J632" s="80"/>
      <x:c r="K632" s="82"/>
      <x:c r="L632" s="69" t="str">
        <x:v>Evidence needed</x:v>
      </x:c>
      <x:c r="M632" s="69" t="str">
        <x:v>Comparable buyer-specific scoring, creation, progression and availability evidence needed. Free base fee does not represent wages or other costs.</x:v>
      </x:c>
      <x:c r="N632" s="69" t="str">
        <x:v>Not assessed</x:v>
      </x:c>
      <x:c r="O632" s="69" t="str">
        <x:v>Source position and transfer quote only; production and age not validated for this specific deal.</x:v>
      </x:c>
      <x:c r="P632" s="69" t="str">
        <x:v>https://www.theguardian.com/football/ng-interactive/2026/sep/01/mens-transfer-window-summer-2026-all-deals-from-europes-top-five-leagues</x:v>
      </x:c>
    </x:row>
    <x:row r="633" ht="25" customHeight="1">
      <x:c r="A633" s="75" t="str">
        <x:v>summer-S26-1009</x:v>
      </x:c>
      <x:c r="B633" s="75" t="str">
        <x:v>Luigi Cherubini</x:v>
      </x:c>
      <x:c r="C633" s="75" t="str">
        <x:v>Benevento</x:v>
      </x:c>
      <x:c r="D633" s="75" t="str">
        <x:v>Roma</x:v>
      </x:c>
      <x:c r="E633" s="77" t="d">
        <x:v>2026-08-18T00:00:00.000Z</x:v>
      </x:c>
      <x:c r="F633" s="75" t="str">
        <x:v>summer</x:v>
      </x:c>
      <x:c r="G633" s="75" t="str">
        <x:v>Winger — source label</x:v>
      </x:c>
      <x:c r="H633" s="79"/>
      <x:c r="I633" s="75" t="str">
        <x:v>GBP</x:v>
      </x:c>
      <x:c r="J633" s="81"/>
      <x:c r="K633" s="83"/>
      <x:c r="L633" s="75" t="str">
        <x:v>Evidence needed</x:v>
      </x:c>
      <x:c r="M633" s="75" t="str">
        <x:v>Comparable buyer-specific scoring, creation, progression and availability evidence needed. Loan/swap costs need separate treatment.</x:v>
      </x:c>
      <x:c r="N633" s="75" t="str">
        <x:v>Not assessed</x:v>
      </x:c>
      <x:c r="O633" s="75" t="str">
        <x:v>Source position and transfer quote only; production and age not validated for this specific deal.</x:v>
      </x:c>
      <x:c r="P633" s="75" t="str">
        <x:v>https://www.theguardian.com/football/ng-interactive/2026/sep/01/mens-transfer-window-summer-2026-all-deals-from-europes-top-five-leagues</x:v>
      </x:c>
    </x:row>
    <x:row r="634" ht="25" customHeight="1">
      <x:c r="A634" s="69" t="str">
        <x:v>summer-S26-1011</x:v>
      </x:c>
      <x:c r="B634" s="69" t="str">
        <x:v>Joel Mvuka</x:v>
      </x:c>
      <x:c r="C634" s="69" t="str">
        <x:v>Bodø/Glimt</x:v>
      </x:c>
      <x:c r="D634" s="69" t="str">
        <x:v>Lorient</x:v>
      </x:c>
      <x:c r="E634" s="76" t="d">
        <x:v>2026-08-18T00:00:00.000Z</x:v>
      </x:c>
      <x:c r="F634" s="69" t="str">
        <x:v>summer</x:v>
      </x:c>
      <x:c r="G634" s="69" t="str">
        <x:v>Winger — source label</x:v>
      </x:c>
      <x:c r="H634" s="78"/>
      <x:c r="I634" s="69" t="str">
        <x:v>GBP</x:v>
      </x:c>
      <x:c r="J634" s="80"/>
      <x:c r="K634" s="82"/>
      <x:c r="L634" s="69" t="str">
        <x:v>Evidence needed</x:v>
      </x:c>
      <x:c r="M634" s="69" t="str">
        <x:v>Comparable buyer-specific scoring, creation, progression and availability evidence needed. Transfer fee is undisclosed.</x:v>
      </x:c>
      <x:c r="N634" s="69" t="str">
        <x:v>Not assessed</x:v>
      </x:c>
      <x:c r="O634" s="69" t="str">
        <x:v>Source position and transfer quote only; production and age not validated for this specific deal.</x:v>
      </x:c>
      <x:c r="P634" s="69" t="str">
        <x:v>https://www.theguardian.com/football/ng-interactive/2026/sep/01/mens-transfer-window-summer-2026-all-deals-from-europes-top-five-leagues</x:v>
      </x:c>
    </x:row>
    <x:row r="635" ht="25" customHeight="1">
      <x:c r="A635" s="75" t="str">
        <x:v>summer-S26-1014</x:v>
      </x:c>
      <x:c r="B635" s="75" t="str">
        <x:v>Gabriel Vidovic</x:v>
      </x:c>
      <x:c r="C635" s="75" t="str">
        <x:v>Paderborn</x:v>
      </x:c>
      <x:c r="D635" s="75" t="str">
        <x:v>Dinamo Zagreb</x:v>
      </x:c>
      <x:c r="E635" s="77" t="d">
        <x:v>2026-08-18T00:00:00.000Z</x:v>
      </x:c>
      <x:c r="F635" s="75" t="str">
        <x:v>summer</x:v>
      </x:c>
      <x:c r="G635" s="75" t="str">
        <x:v>Winger — source label</x:v>
      </x:c>
      <x:c r="H635" s="79" t="n">
        <x:v>2600000</x:v>
      </x:c>
      <x:c r="I635" s="75" t="str">
        <x:v>GBP</x:v>
      </x:c>
      <x:c r="J635" s="81"/>
      <x:c r="K635" s="83"/>
      <x:c r="L635" s="75" t="str">
        <x:v>Evidence needed</x:v>
      </x:c>
      <x:c r="M635" s="75" t="str">
        <x:v>Comparable buyer-specific scoring, creation, progression and availability evidence needed.</x:v>
      </x:c>
      <x:c r="N635" s="75" t="str">
        <x:v>Not assessed</x:v>
      </x:c>
      <x:c r="O635" s="75" t="str">
        <x:v>Source position and transfer quote only; production and age not validated for this specific deal.</x:v>
      </x:c>
      <x:c r="P635" s="75" t="str">
        <x:v>https://www.theguardian.com/football/ng-interactive/2026/sep/01/mens-transfer-window-summer-2026-all-deals-from-europes-top-five-leagues</x:v>
      </x:c>
    </x:row>
    <x:row r="636" ht="25" customHeight="1">
      <x:c r="A636" s="69" t="str">
        <x:v>summer-S26-1019</x:v>
      </x:c>
      <x:c r="B636" s="69" t="str">
        <x:v>Zavier Gozo</x:v>
      </x:c>
      <x:c r="C636" s="69" t="str">
        <x:v>Crystal Palace</x:v>
      </x:c>
      <x:c r="D636" s="69" t="str">
        <x:v>Real Salt Lake</x:v>
      </x:c>
      <x:c r="E636" s="76" t="d">
        <x:v>2026-08-18T00:00:00.000Z</x:v>
      </x:c>
      <x:c r="F636" s="69" t="str">
        <x:v>summer</x:v>
      </x:c>
      <x:c r="G636" s="69" t="str">
        <x:v>Winger — source label</x:v>
      </x:c>
      <x:c r="H636" s="78" t="n">
        <x:v>11000000</x:v>
      </x:c>
      <x:c r="I636" s="69" t="str">
        <x:v>GBP</x:v>
      </x:c>
      <x:c r="J636" s="80"/>
      <x:c r="K636" s="82"/>
      <x:c r="L636" s="69" t="str">
        <x:v>Evidence needed</x:v>
      </x:c>
      <x:c r="M636" s="69" t="str">
        <x:v>Comparable buyer-specific scoring, creation, progression and availability evidence needed.</x:v>
      </x:c>
      <x:c r="N636" s="69" t="str">
        <x:v>Not assessed</x:v>
      </x:c>
      <x:c r="O636" s="69" t="str">
        <x:v>Source position and transfer quote only; production and age not validated for this specific deal.</x:v>
      </x:c>
      <x:c r="P636" s="69" t="str">
        <x:v>https://www.theguardian.com/football/ng-interactive/2026/sep/01/mens-transfer-window-summer-2026-all-deals-from-europes-top-five-leagues</x:v>
      </x:c>
    </x:row>
    <x:row r="637" ht="25" customHeight="1">
      <x:c r="A637" s="75" t="str">
        <x:v>summer-S26-1023</x:v>
      </x:c>
      <x:c r="B637" s="75" t="str">
        <x:v>Ethan Ennis</x:v>
      </x:c>
      <x:c r="C637" s="75" t="str">
        <x:v>Stockport County</x:v>
      </x:c>
      <x:c r="D637" s="75" t="str">
        <x:v>Manchester United</x:v>
      </x:c>
      <x:c r="E637" s="77" t="d">
        <x:v>2026-08-18T00:00:00.000Z</x:v>
      </x:c>
      <x:c r="F637" s="75" t="str">
        <x:v>summer</x:v>
      </x:c>
      <x:c r="G637" s="75" t="str">
        <x:v>Winger — source label</x:v>
      </x:c>
      <x:c r="H637" s="79"/>
      <x:c r="I637" s="75" t="str">
        <x:v>GBP</x:v>
      </x:c>
      <x:c r="J637" s="81"/>
      <x:c r="K637" s="83"/>
      <x:c r="L637" s="75" t="str">
        <x:v>Evidence needed</x:v>
      </x:c>
      <x:c r="M637" s="75" t="str">
        <x:v>Comparable buyer-specific scoring, creation, progression and availability evidence needed. Transfer fee is undisclosed.</x:v>
      </x:c>
      <x:c r="N637" s="75" t="str">
        <x:v>Not assessed</x:v>
      </x:c>
      <x:c r="O637" s="75" t="str">
        <x:v>Source position and transfer quote only; production and age not validated for this specific deal.</x:v>
      </x:c>
      <x:c r="P637" s="75" t="str">
        <x:v>https://www.theguardian.com/football/ng-interactive/2026/sep/01/mens-transfer-window-summer-2026-all-deals-from-europes-top-five-leagues</x:v>
      </x:c>
    </x:row>
    <x:row r="638" ht="25" customHeight="1">
      <x:c r="A638" s="69" t="str">
        <x:v>summer-S26-1044</x:v>
      </x:c>
      <x:c r="B638" s="69" t="str">
        <x:v>Farid Alfa-Ruprecht</x:v>
      </x:c>
      <x:c r="C638" s="69" t="str">
        <x:v>Hertha Berlin</x:v>
      </x:c>
      <x:c r="D638" s="69" t="str">
        <x:v>Bayer Leverkusen</x:v>
      </x:c>
      <x:c r="E638" s="76" t="d">
        <x:v>2026-08-20T00:00:00.000Z</x:v>
      </x:c>
      <x:c r="F638" s="69" t="str">
        <x:v>summer</x:v>
      </x:c>
      <x:c r="G638" s="69" t="str">
        <x:v>Winger — source label</x:v>
      </x:c>
      <x:c r="H638" s="78"/>
      <x:c r="I638" s="69" t="str">
        <x:v>GBP</x:v>
      </x:c>
      <x:c r="J638" s="80"/>
      <x:c r="K638" s="82"/>
      <x:c r="L638" s="69" t="str">
        <x:v>Evidence needed</x:v>
      </x:c>
      <x:c r="M638" s="69" t="str">
        <x:v>Comparable buyer-specific scoring, creation, progression and availability evidence needed. Loan/swap costs need separate treatment.</x:v>
      </x:c>
      <x:c r="N638" s="69" t="str">
        <x:v>Not assessed</x:v>
      </x:c>
      <x:c r="O638" s="69" t="str">
        <x:v>Source position and transfer quote only; production and age not validated for this specific deal.</x:v>
      </x:c>
      <x:c r="P638" s="69" t="str">
        <x:v>https://www.theguardian.com/football/ng-interactive/2026/sep/01/mens-transfer-window-summer-2026-all-deals-from-europes-top-five-leagues</x:v>
      </x:c>
    </x:row>
    <x:row r="639" ht="25" customHeight="1">
      <x:c r="A639" s="75" t="str">
        <x:v>summer-S26-1048</x:v>
      </x:c>
      <x:c r="B639" s="75" t="str">
        <x:v>Kieran Morrison</x:v>
      </x:c>
      <x:c r="C639" s="75" t="str">
        <x:v>Sheffield Wednesday</x:v>
      </x:c>
      <x:c r="D639" s="75" t="str">
        <x:v>Liverpool</x:v>
      </x:c>
      <x:c r="E639" s="77" t="d">
        <x:v>2026-08-20T00:00:00.000Z</x:v>
      </x:c>
      <x:c r="F639" s="75" t="str">
        <x:v>summer</x:v>
      </x:c>
      <x:c r="G639" s="75" t="str">
        <x:v>Winger — source label</x:v>
      </x:c>
      <x:c r="H639" s="79"/>
      <x:c r="I639" s="75" t="str">
        <x:v>GBP</x:v>
      </x:c>
      <x:c r="J639" s="81"/>
      <x:c r="K639" s="83"/>
      <x:c r="L639" s="75" t="str">
        <x:v>Evidence needed</x:v>
      </x:c>
      <x:c r="M639" s="75" t="str">
        <x:v>Comparable buyer-specific scoring, creation, progression and availability evidence needed. Loan/swap costs need separate treatment.</x:v>
      </x:c>
      <x:c r="N639" s="75" t="str">
        <x:v>Not assessed</x:v>
      </x:c>
      <x:c r="O639" s="75" t="str">
        <x:v>Source position and transfer quote only; production and age not validated for this specific deal.</x:v>
      </x:c>
      <x:c r="P639" s="75" t="str">
        <x:v>https://www.theguardian.com/football/ng-interactive/2026/sep/01/mens-transfer-window-summer-2026-all-deals-from-europes-top-five-leagues</x:v>
      </x:c>
    </x:row>
    <x:row r="640" ht="25" customHeight="1">
      <x:c r="A640" s="69" t="str">
        <x:v>summer-S26-1062</x:v>
      </x:c>
      <x:c r="B640" s="69" t="str">
        <x:v>Alieu Fadera</x:v>
      </x:c>
      <x:c r="C640" s="69" t="str">
        <x:v>Cagliari</x:v>
      </x:c>
      <x:c r="D640" s="69" t="str">
        <x:v>Como 1907</x:v>
      </x:c>
      <x:c r="E640" s="76" t="d">
        <x:v>2026-08-21T00:00:00.000Z</x:v>
      </x:c>
      <x:c r="F640" s="69" t="str">
        <x:v>summer</x:v>
      </x:c>
      <x:c r="G640" s="69" t="str">
        <x:v>Winger — source label</x:v>
      </x:c>
      <x:c r="H640" s="78"/>
      <x:c r="I640" s="69" t="str">
        <x:v>GBP</x:v>
      </x:c>
      <x:c r="J640" s="80"/>
      <x:c r="K640" s="82"/>
      <x:c r="L640" s="69" t="str">
        <x:v>Evidence needed</x:v>
      </x:c>
      <x:c r="M640" s="69" t="str">
        <x:v>Comparable buyer-specific scoring, creation, progression and availability evidence needed. Loan/swap costs need separate treatment.</x:v>
      </x:c>
      <x:c r="N640" s="69" t="str">
        <x:v>Not assessed</x:v>
      </x:c>
      <x:c r="O640" s="69" t="str">
        <x:v>Source position and transfer quote only; production and age not validated for this specific deal.</x:v>
      </x:c>
      <x:c r="P640" s="69" t="str">
        <x:v>https://www.theguardian.com/football/ng-interactive/2026/sep/01/mens-transfer-window-summer-2026-all-deals-from-europes-top-five-leagues</x:v>
      </x:c>
    </x:row>
    <x:row r="641" ht="25" customHeight="1">
      <x:c r="A641" s="75" t="str">
        <x:v>summer-S26-1084</x:v>
      </x:c>
      <x:c r="B641" s="75" t="str">
        <x:v>Antoine Joujou</x:v>
      </x:c>
      <x:c r="C641" s="75" t="str">
        <x:v>Nantes</x:v>
      </x:c>
      <x:c r="D641" s="75" t="str">
        <x:v>Parma</x:v>
      </x:c>
      <x:c r="E641" s="77" t="d">
        <x:v>2026-08-21T00:00:00.000Z</x:v>
      </x:c>
      <x:c r="F641" s="75" t="str">
        <x:v>summer</x:v>
      </x:c>
      <x:c r="G641" s="75" t="str">
        <x:v>Winger — source label</x:v>
      </x:c>
      <x:c r="H641" s="79"/>
      <x:c r="I641" s="75" t="str">
        <x:v>GBP</x:v>
      </x:c>
      <x:c r="J641" s="81"/>
      <x:c r="K641" s="83"/>
      <x:c r="L641" s="75" t="str">
        <x:v>Evidence needed</x:v>
      </x:c>
      <x:c r="M641" s="75" t="str">
        <x:v>Comparable buyer-specific scoring, creation, progression and availability evidence needed. Transfer fee is undisclosed.</x:v>
      </x:c>
      <x:c r="N641" s="75" t="str">
        <x:v>Not assessed</x:v>
      </x:c>
      <x:c r="O641" s="75" t="str">
        <x:v>Source position and transfer quote only; production and age not validated for this specific deal.</x:v>
      </x:c>
      <x:c r="P641" s="75" t="str">
        <x:v>https://www.theguardian.com/football/ng-interactive/2026/sep/01/mens-transfer-window-summer-2026-all-deals-from-europes-top-five-leagues</x:v>
      </x:c>
    </x:row>
    <x:row r="642" ht="25" customHeight="1">
      <x:c r="A642" s="69" t="str">
        <x:v>summer-S26-1103</x:v>
      </x:c>
      <x:c r="B642" s="69" t="str">
        <x:v>Ismeal Kabia</x:v>
      </x:c>
      <x:c r="C642" s="69" t="str">
        <x:v>St Mirren</x:v>
      </x:c>
      <x:c r="D642" s="69" t="str">
        <x:v>Arsenal</x:v>
      </x:c>
      <x:c r="E642" s="76" t="d">
        <x:v>2026-08-15T00:00:00.000Z</x:v>
      </x:c>
      <x:c r="F642" s="69" t="str">
        <x:v>summer</x:v>
      </x:c>
      <x:c r="G642" s="69" t="str">
        <x:v>Winger — source label</x:v>
      </x:c>
      <x:c r="H642" s="78"/>
      <x:c r="I642" s="69" t="str">
        <x:v>GBP</x:v>
      </x:c>
      <x:c r="J642" s="80"/>
      <x:c r="K642" s="82"/>
      <x:c r="L642" s="69" t="str">
        <x:v>Evidence needed</x:v>
      </x:c>
      <x:c r="M642" s="69" t="str">
        <x:v>Comparable buyer-specific scoring, creation, progression and availability evidence needed. Loan/swap costs need separate treatment.</x:v>
      </x:c>
      <x:c r="N642" s="69" t="str">
        <x:v>Not assessed</x:v>
      </x:c>
      <x:c r="O642" s="69" t="str">
        <x:v>Source position and transfer quote only; production and age not validated for this specific deal.</x:v>
      </x:c>
      <x:c r="P642" s="69" t="str">
        <x:v>https://www.theguardian.com/football/ng-interactive/2026/sep/01/mens-transfer-window-summer-2026-all-deals-from-europes-top-five-leagues</x:v>
      </x:c>
    </x:row>
    <x:row r="643" ht="25" customHeight="1">
      <x:c r="A643" s="75" t="str">
        <x:v>summer-S26-1110</x:v>
      </x:c>
      <x:c r="B643" s="75" t="str">
        <x:v>Sávio</x:v>
      </x:c>
      <x:c r="C643" s="75" t="str">
        <x:v>Tottenham Hotspur</x:v>
      </x:c>
      <x:c r="D643" s="75" t="str">
        <x:v>Manchester City</x:v>
      </x:c>
      <x:c r="E643" s="77" t="d">
        <x:v>2026-08-25T00:00:00.000Z</x:v>
      </x:c>
      <x:c r="F643" s="75" t="str">
        <x:v>summer</x:v>
      </x:c>
      <x:c r="G643" s="75" t="str">
        <x:v>Winger — source label</x:v>
      </x:c>
      <x:c r="H643" s="79" t="n">
        <x:v>75000000</x:v>
      </x:c>
      <x:c r="I643" s="75" t="str">
        <x:v>GBP</x:v>
      </x:c>
      <x:c r="J643" s="81"/>
      <x:c r="K643" s="83"/>
      <x:c r="L643" s="75" t="str">
        <x:v>Evidence needed</x:v>
      </x:c>
      <x:c r="M643" s="75" t="str">
        <x:v>Comparable buyer-specific scoring, creation, progression and availability evidence needed.</x:v>
      </x:c>
      <x:c r="N643" s="75" t="str">
        <x:v>Not assessed</x:v>
      </x:c>
      <x:c r="O643" s="75" t="str">
        <x:v>Source position and transfer quote only; production and age not validated for this specific deal.</x:v>
      </x:c>
      <x:c r="P643" s="75" t="str">
        <x:v>https://www.theguardian.com/football/ng-interactive/2026/sep/01/mens-transfer-window-summer-2026-all-deals-from-europes-top-five-leagues</x:v>
      </x:c>
    </x:row>
    <x:row r="644" ht="25" customHeight="1">
      <x:c r="A644" s="69" t="str">
        <x:v>summer-S26-1114</x:v>
      </x:c>
      <x:c r="B644" s="69" t="str">
        <x:v>Isak Jensen</x:v>
      </x:c>
      <x:c r="C644" s="69" t="str">
        <x:v>Lorient</x:v>
      </x:c>
      <x:c r="D644" s="69" t="str">
        <x:v>AZ Alkmaar</x:v>
      </x:c>
      <x:c r="E644" s="76" t="d">
        <x:v>2026-08-24T00:00:00.000Z</x:v>
      </x:c>
      <x:c r="F644" s="69" t="str">
        <x:v>summer</x:v>
      </x:c>
      <x:c r="G644" s="69" t="str">
        <x:v>Winger — source label</x:v>
      </x:c>
      <x:c r="H644" s="78"/>
      <x:c r="I644" s="69" t="str">
        <x:v>GBP</x:v>
      </x:c>
      <x:c r="J644" s="80"/>
      <x:c r="K644" s="82"/>
      <x:c r="L644" s="69" t="str">
        <x:v>Evidence needed</x:v>
      </x:c>
      <x:c r="M644" s="69" t="str">
        <x:v>Comparable buyer-specific scoring, creation, progression and availability evidence needed. Loan/swap costs need separate treatment.</x:v>
      </x:c>
      <x:c r="N644" s="69" t="str">
        <x:v>Not assessed</x:v>
      </x:c>
      <x:c r="O644" s="69" t="str">
        <x:v>Source position and transfer quote only; production and age not validated for this specific deal.</x:v>
      </x:c>
      <x:c r="P644" s="69" t="str">
        <x:v>https://www.theguardian.com/football/ng-interactive/2026/sep/01/mens-transfer-window-summer-2026-all-deals-from-europes-top-five-leagues</x:v>
      </x:c>
    </x:row>
    <x:row r="645" ht="25" customHeight="1">
      <x:c r="A645" s="75" t="str">
        <x:v>summer-S26-1125</x:v>
      </x:c>
      <x:c r="B645" s="75" t="str">
        <x:v>Dilane Bakwa</x:v>
      </x:c>
      <x:c r="C645" s="75" t="str">
        <x:v>Lille</x:v>
      </x:c>
      <x:c r="D645" s="75" t="str">
        <x:v>Nottingham Forest</x:v>
      </x:c>
      <x:c r="E645" s="77" t="d">
        <x:v>2026-08-26T00:00:00.000Z</x:v>
      </x:c>
      <x:c r="F645" s="75" t="str">
        <x:v>summer</x:v>
      </x:c>
      <x:c r="G645" s="75" t="str">
        <x:v>Winger — source label</x:v>
      </x:c>
      <x:c r="H645" s="79"/>
      <x:c r="I645" s="75" t="str">
        <x:v>GBP</x:v>
      </x:c>
      <x:c r="J645" s="81"/>
      <x:c r="K645" s="83"/>
      <x:c r="L645" s="75" t="str">
        <x:v>Evidence needed</x:v>
      </x:c>
      <x:c r="M645" s="75" t="str">
        <x:v>Comparable buyer-specific scoring, creation, progression and availability evidence needed. Loan/swap costs need separate treatment.</x:v>
      </x:c>
      <x:c r="N645" s="75" t="str">
        <x:v>Not assessed</x:v>
      </x:c>
      <x:c r="O645" s="75" t="str">
        <x:v>Source position and transfer quote only; production and age not validated for this specific deal.</x:v>
      </x:c>
      <x:c r="P645" s="75" t="str">
        <x:v>https://www.theguardian.com/football/ng-interactive/2026/sep/01/mens-transfer-window-summer-2026-all-deals-from-europes-top-five-leagues</x:v>
      </x:c>
    </x:row>
    <x:row r="646" ht="25" customHeight="1">
      <x:c r="A646" s="69" t="str">
        <x:v>summer-S26-1138</x:v>
      </x:c>
      <x:c r="B646" s="69" t="str">
        <x:v>Adama Traoré</x:v>
      </x:c>
      <x:c r="C646" s="69" t="str">
        <x:v>Deportivo La Coruña</x:v>
      </x:c>
      <x:c r="D646" s="69" t="str">
        <x:v>West Ham United</x:v>
      </x:c>
      <x:c r="E646" s="76" t="d">
        <x:v>2026-08-26T00:00:00.000Z</x:v>
      </x:c>
      <x:c r="F646" s="69" t="str">
        <x:v>summer</x:v>
      </x:c>
      <x:c r="G646" s="69" t="str">
        <x:v>Winger — source label</x:v>
      </x:c>
      <x:c r="H646" s="78"/>
      <x:c r="I646" s="69" t="str">
        <x:v>GBP</x:v>
      </x:c>
      <x:c r="J646" s="80"/>
      <x:c r="K646" s="82"/>
      <x:c r="L646" s="69" t="str">
        <x:v>Evidence needed</x:v>
      </x:c>
      <x:c r="M646" s="69" t="str">
        <x:v>Comparable buyer-specific scoring, creation, progression and availability evidence needed. Free base fee does not represent wages or other costs.</x:v>
      </x:c>
      <x:c r="N646" s="69" t="str">
        <x:v>Not assessed</x:v>
      </x:c>
      <x:c r="O646" s="69" t="str">
        <x:v>Source position and transfer quote only; production and age not validated for this specific deal.</x:v>
      </x:c>
      <x:c r="P646" s="69" t="str">
        <x:v>https://www.theguardian.com/football/ng-interactive/2026/sep/01/mens-transfer-window-summer-2026-all-deals-from-europes-top-five-leagues</x:v>
      </x:c>
    </x:row>
    <x:row r="647" ht="25" customHeight="1">
      <x:c r="A647" s="75" t="str">
        <x:v>summer-S26-1141</x:v>
      </x:c>
      <x:c r="B647" s="75" t="str">
        <x:v>Mohamed-Ali Cho</x:v>
      </x:c>
      <x:c r="C647" s="75" t="str">
        <x:v>Hull City</x:v>
      </x:c>
      <x:c r="D647" s="75" t="str">
        <x:v>Nice</x:v>
      </x:c>
      <x:c r="E647" s="77" t="d">
        <x:v>2026-08-27T00:00:00.000Z</x:v>
      </x:c>
      <x:c r="F647" s="75" t="str">
        <x:v>summer</x:v>
      </x:c>
      <x:c r="G647" s="75" t="str">
        <x:v>Winger — source label</x:v>
      </x:c>
      <x:c r="H647" s="79" t="n">
        <x:v>13000000</x:v>
      </x:c>
      <x:c r="I647" s="75" t="str">
        <x:v>GBP</x:v>
      </x:c>
      <x:c r="J647" s="81"/>
      <x:c r="K647" s="83"/>
      <x:c r="L647" s="75" t="str">
        <x:v>Evidence needed</x:v>
      </x:c>
      <x:c r="M647" s="75" t="str">
        <x:v>Comparable buyer-specific scoring, creation, progression and availability evidence needed.</x:v>
      </x:c>
      <x:c r="N647" s="75" t="str">
        <x:v>Not assessed</x:v>
      </x:c>
      <x:c r="O647" s="75" t="str">
        <x:v>Source position and transfer quote only; production and age not validated for this specific deal.</x:v>
      </x:c>
      <x:c r="P647" s="75" t="str">
        <x:v>https://www.theguardian.com/football/ng-interactive/2026/sep/01/mens-transfer-window-summer-2026-all-deals-from-europes-top-five-leagues</x:v>
      </x:c>
    </x:row>
    <x:row r="648" ht="25" customHeight="1">
      <x:c r="A648" s="69" t="str">
        <x:v>summer-S26-1145</x:v>
      </x:c>
      <x:c r="B648" s="69" t="str">
        <x:v>Bryan Zaragoza</x:v>
      </x:c>
      <x:c r="C648" s="69" t="str">
        <x:v>Espanyol</x:v>
      </x:c>
      <x:c r="D648" s="69" t="str">
        <x:v>Bayern Munich</x:v>
      </x:c>
      <x:c r="E648" s="76" t="d">
        <x:v>2026-08-27T00:00:00.000Z</x:v>
      </x:c>
      <x:c r="F648" s="69" t="str">
        <x:v>summer</x:v>
      </x:c>
      <x:c r="G648" s="69" t="str">
        <x:v>Winger — source label</x:v>
      </x:c>
      <x:c r="H648" s="78"/>
      <x:c r="I648" s="69" t="str">
        <x:v>GBP</x:v>
      </x:c>
      <x:c r="J648" s="80"/>
      <x:c r="K648" s="82"/>
      <x:c r="L648" s="69" t="str">
        <x:v>Evidence needed</x:v>
      </x:c>
      <x:c r="M648" s="69" t="str">
        <x:v>Comparable buyer-specific scoring, creation, progression and availability evidence needed. Loan/swap costs need separate treatment.</x:v>
      </x:c>
      <x:c r="N648" s="69" t="str">
        <x:v>Not assessed</x:v>
      </x:c>
      <x:c r="O648" s="69" t="str">
        <x:v>Source position and transfer quote only; production and age not validated for this specific deal.</x:v>
      </x:c>
      <x:c r="P648" s="69" t="str">
        <x:v>https://www.theguardian.com/football/ng-interactive/2026/sep/01/mens-transfer-window-summer-2026-all-deals-from-europes-top-five-leagues</x:v>
      </x:c>
    </x:row>
    <x:row r="649" ht="25" customHeight="1">
      <x:c r="A649" s="75" t="str">
        <x:v>summer-S26-1148</x:v>
      </x:c>
      <x:c r="B649" s="75" t="str">
        <x:v>Kareem Tunde</x:v>
      </x:c>
      <x:c r="C649" s="75" t="str">
        <x:v>West Bromwich Albion</x:v>
      </x:c>
      <x:c r="D649" s="75" t="str">
        <x:v>Levante</x:v>
      </x:c>
      <x:c r="E649" s="77" t="d">
        <x:v>2026-08-27T00:00:00.000Z</x:v>
      </x:c>
      <x:c r="F649" s="75" t="str">
        <x:v>summer</x:v>
      </x:c>
      <x:c r="G649" s="75" t="str">
        <x:v>Winger — source label</x:v>
      </x:c>
      <x:c r="H649" s="79" t="n">
        <x:v>3000000</x:v>
      </x:c>
      <x:c r="I649" s="75" t="str">
        <x:v>GBP</x:v>
      </x:c>
      <x:c r="J649" s="81"/>
      <x:c r="K649" s="83"/>
      <x:c r="L649" s="75" t="str">
        <x:v>Evidence needed</x:v>
      </x:c>
      <x:c r="M649" s="75" t="str">
        <x:v>Comparable buyer-specific scoring, creation, progression and availability evidence needed.</x:v>
      </x:c>
      <x:c r="N649" s="75" t="str">
        <x:v>Not assessed</x:v>
      </x:c>
      <x:c r="O649" s="75" t="str">
        <x:v>Source position and transfer quote only; production and age not validated for this specific deal.</x:v>
      </x:c>
      <x:c r="P649" s="75" t="str">
        <x:v>https://www.theguardian.com/football/ng-interactive/2026/sep/01/mens-transfer-window-summer-2026-all-deals-from-europes-top-five-leagues</x:v>
      </x:c>
    </x:row>
    <x:row r="650" ht="25" customHeight="1">
      <x:c r="A650" s="69" t="str">
        <x:v>summer-S26-1154</x:v>
      </x:c>
      <x:c r="B650" s="69" t="str">
        <x:v>Jean-Luc Dompé</x:v>
      </x:c>
      <x:c r="C650" s="69" t="str">
        <x:v>Konyaspor</x:v>
      </x:c>
      <x:c r="D650" s="69" t="str">
        <x:v>Hamburg</x:v>
      </x:c>
      <x:c r="E650" s="76" t="d">
        <x:v>2026-08-28T00:00:00.000Z</x:v>
      </x:c>
      <x:c r="F650" s="69" t="str">
        <x:v>summer</x:v>
      </x:c>
      <x:c r="G650" s="69" t="str">
        <x:v>Winger — source label</x:v>
      </x:c>
      <x:c r="H650" s="78"/>
      <x:c r="I650" s="69" t="str">
        <x:v>GBP</x:v>
      </x:c>
      <x:c r="J650" s="80"/>
      <x:c r="K650" s="82"/>
      <x:c r="L650" s="69" t="str">
        <x:v>Evidence needed</x:v>
      </x:c>
      <x:c r="M650" s="69" t="str">
        <x:v>Comparable buyer-specific scoring, creation, progression and availability evidence needed. Free base fee does not represent wages or other costs.</x:v>
      </x:c>
      <x:c r="N650" s="69" t="str">
        <x:v>Not assessed</x:v>
      </x:c>
      <x:c r="O650" s="69" t="str">
        <x:v>Source position and transfer quote only; production and age not validated for this specific deal.</x:v>
      </x:c>
      <x:c r="P650" s="69" t="str">
        <x:v>https://www.theguardian.com/football/ng-interactive/2026/sep/01/mens-transfer-window-summer-2026-all-deals-from-europes-top-five-leagues</x:v>
      </x:c>
    </x:row>
    <x:row r="651" ht="25" customHeight="1">
      <x:c r="A651" s="75" t="str">
        <x:v>summer-S26-1175</x:v>
      </x:c>
      <x:c r="B651" s="75" t="str">
        <x:v>Cyril Ngonge</x:v>
      </x:c>
      <x:c r="C651" s="75" t="str">
        <x:v>Monza</x:v>
      </x:c>
      <x:c r="D651" s="75" t="str">
        <x:v>Napoli</x:v>
      </x:c>
      <x:c r="E651" s="77" t="d">
        <x:v>2026-08-28T00:00:00.000Z</x:v>
      </x:c>
      <x:c r="F651" s="75" t="str">
        <x:v>summer</x:v>
      </x:c>
      <x:c r="G651" s="75" t="str">
        <x:v>Winger — source label</x:v>
      </x:c>
      <x:c r="H651" s="79"/>
      <x:c r="I651" s="75" t="str">
        <x:v>GBP</x:v>
      </x:c>
      <x:c r="J651" s="81"/>
      <x:c r="K651" s="83"/>
      <x:c r="L651" s="75" t="str">
        <x:v>Evidence needed</x:v>
      </x:c>
      <x:c r="M651" s="75" t="str">
        <x:v>Comparable buyer-specific scoring, creation, progression and availability evidence needed. Loan/swap costs need separate treatment.</x:v>
      </x:c>
      <x:c r="N651" s="75" t="str">
        <x:v>Not assessed</x:v>
      </x:c>
      <x:c r="O651" s="75" t="str">
        <x:v>Source position and transfer quote only; production and age not validated for this specific deal.</x:v>
      </x:c>
      <x:c r="P651" s="75" t="str">
        <x:v>https://www.theguardian.com/football/ng-interactive/2026/sep/01/mens-transfer-window-summer-2026-all-deals-from-europes-top-five-leagues</x:v>
      </x:c>
    </x:row>
    <x:row r="652" ht="25" customHeight="1">
      <x:c r="A652" s="69" t="str">
        <x:v>summer-S26-1176</x:v>
      </x:c>
      <x:c r="B652" s="69" t="str">
        <x:v>Reiss Nelson</x:v>
      </x:c>
      <x:c r="C652" s="69" t="str">
        <x:v>Feyenoord</x:v>
      </x:c>
      <x:c r="D652" s="69" t="str">
        <x:v>Arsenal</x:v>
      </x:c>
      <x:c r="E652" s="76" t="d">
        <x:v>2026-09-02T00:00:00.000Z</x:v>
      </x:c>
      <x:c r="F652" s="69" t="str">
        <x:v>summer</x:v>
      </x:c>
      <x:c r="G652" s="69" t="str">
        <x:v>Winger — source label</x:v>
      </x:c>
      <x:c r="H652" s="78"/>
      <x:c r="I652" s="69" t="str">
        <x:v>GBP</x:v>
      </x:c>
      <x:c r="J652" s="80"/>
      <x:c r="K652" s="82"/>
      <x:c r="L652" s="69" t="str">
        <x:v>Evidence needed</x:v>
      </x:c>
      <x:c r="M652" s="69" t="str">
        <x:v>Comparable buyer-specific scoring, creation, progression and availability evidence needed. Free base fee does not represent wages or other costs.</x:v>
      </x:c>
      <x:c r="N652" s="69" t="str">
        <x:v>Not assessed</x:v>
      </x:c>
      <x:c r="O652" s="69" t="str">
        <x:v>Source position and transfer quote only; production and age not validated for this specific deal.</x:v>
      </x:c>
      <x:c r="P652" s="69" t="str">
        <x:v>https://www.theguardian.com/football/ng-interactive/2026/sep/01/mens-transfer-window-summer-2026-all-deals-from-europes-top-five-leagues</x:v>
      </x:c>
    </x:row>
    <x:row r="653" ht="25" customHeight="1">
      <x:c r="A653" s="75" t="str">
        <x:v>summer-S26-1182</x:v>
      </x:c>
      <x:c r="B653" s="75" t="str">
        <x:v>Couhaib Driouech</x:v>
      </x:c>
      <x:c r="C653" s="75" t="str">
        <x:v>Celta Vigo</x:v>
      </x:c>
      <x:c r="D653" s="75" t="str">
        <x:v>PSV Eindhoven</x:v>
      </x:c>
      <x:c r="E653" s="77" t="d">
        <x:v>2026-08-25T00:00:00.000Z</x:v>
      </x:c>
      <x:c r="F653" s="75" t="str">
        <x:v>summer</x:v>
      </x:c>
      <x:c r="G653" s="75" t="str">
        <x:v>Winger — source label</x:v>
      </x:c>
      <x:c r="H653" s="79" t="n">
        <x:v>6000000</x:v>
      </x:c>
      <x:c r="I653" s="75" t="str">
        <x:v>GBP</x:v>
      </x:c>
      <x:c r="J653" s="81"/>
      <x:c r="K653" s="83"/>
      <x:c r="L653" s="75" t="str">
        <x:v>Evidence needed</x:v>
      </x:c>
      <x:c r="M653" s="75" t="str">
        <x:v>Comparable buyer-specific scoring, creation, progression and availability evidence needed.</x:v>
      </x:c>
      <x:c r="N653" s="75" t="str">
        <x:v>Not assessed</x:v>
      </x:c>
      <x:c r="O653" s="75" t="str">
        <x:v>Source position and transfer quote only; production and age not validated for this specific deal.</x:v>
      </x:c>
      <x:c r="P653" s="75" t="str">
        <x:v>https://www.theguardian.com/football/ng-interactive/2026/sep/01/mens-transfer-window-summer-2026-all-deals-from-europes-top-five-leagues</x:v>
      </x:c>
    </x:row>
    <x:row r="654" ht="25" customHeight="1">
      <x:c r="A654" s="69" t="str">
        <x:v>summer-S26-1183</x:v>
      </x:c>
      <x:c r="B654" s="69" t="str">
        <x:v>Álex Sancris</x:v>
      </x:c>
      <x:c r="C654" s="69" t="str">
        <x:v>Leganés</x:v>
      </x:c>
      <x:c r="D654" s="69" t="str">
        <x:v>Getafe</x:v>
      </x:c>
      <x:c r="E654" s="76" t="d">
        <x:v>2026-08-25T00:00:00.000Z</x:v>
      </x:c>
      <x:c r="F654" s="69" t="str">
        <x:v>summer</x:v>
      </x:c>
      <x:c r="G654" s="69" t="str">
        <x:v>Winger — source label</x:v>
      </x:c>
      <x:c r="H654" s="78"/>
      <x:c r="I654" s="69" t="str">
        <x:v>GBP</x:v>
      </x:c>
      <x:c r="J654" s="80"/>
      <x:c r="K654" s="82"/>
      <x:c r="L654" s="69" t="str">
        <x:v>Evidence needed</x:v>
      </x:c>
      <x:c r="M654" s="69" t="str">
        <x:v>Comparable buyer-specific scoring, creation, progression and availability evidence needed. Loan/swap costs need separate treatment.</x:v>
      </x:c>
      <x:c r="N654" s="69" t="str">
        <x:v>Not assessed</x:v>
      </x:c>
      <x:c r="O654" s="69" t="str">
        <x:v>Source position and transfer quote only; production and age not validated for this specific deal.</x:v>
      </x:c>
      <x:c r="P654" s="69" t="str">
        <x:v>https://www.theguardian.com/football/ng-interactive/2026/sep/01/mens-transfer-window-summer-2026-all-deals-from-europes-top-five-leagues</x:v>
      </x:c>
    </x:row>
    <x:row r="655" ht="25" customHeight="1">
      <x:c r="A655" s="75" t="str">
        <x:v>summer-S26-1184</x:v>
      </x:c>
      <x:c r="B655" s="75" t="str">
        <x:v>Ernest Poku</x:v>
      </x:c>
      <x:c r="C655" s="75" t="str">
        <x:v>Besiktas</x:v>
      </x:c>
      <x:c r="D655" s="75" t="str">
        <x:v>Bayer Leverkusen</x:v>
      </x:c>
      <x:c r="E655" s="77" t="d">
        <x:v>2026-08-27T00:00:00.000Z</x:v>
      </x:c>
      <x:c r="F655" s="75" t="str">
        <x:v>summer</x:v>
      </x:c>
      <x:c r="G655" s="75" t="str">
        <x:v>Winger — source label</x:v>
      </x:c>
      <x:c r="H655" s="79"/>
      <x:c r="I655" s="75" t="str">
        <x:v>GBP</x:v>
      </x:c>
      <x:c r="J655" s="81"/>
      <x:c r="K655" s="83"/>
      <x:c r="L655" s="75" t="str">
        <x:v>Evidence needed</x:v>
      </x:c>
      <x:c r="M655" s="75" t="str">
        <x:v>Comparable buyer-specific scoring, creation, progression and availability evidence needed. Loan/swap costs need separate treatment.</x:v>
      </x:c>
      <x:c r="N655" s="75" t="str">
        <x:v>Not assessed</x:v>
      </x:c>
      <x:c r="O655" s="75" t="str">
        <x:v>Source position and transfer quote only; production and age not validated for this specific deal.</x:v>
      </x:c>
      <x:c r="P655" s="75" t="str">
        <x:v>https://www.theguardian.com/football/ng-interactive/2026/sep/01/mens-transfer-window-summer-2026-all-deals-from-europes-top-five-leagues</x:v>
      </x:c>
    </x:row>
    <x:row r="656" ht="25" customHeight="1">
      <x:c r="A656" s="69" t="str">
        <x:v>summer-S26-1187</x:v>
      </x:c>
      <x:c r="B656" s="69" t="str">
        <x:v>Youssoupha Niang</x:v>
      </x:c>
      <x:c r="C656" s="69" t="str">
        <x:v>St Pauli</x:v>
      </x:c>
      <x:c r="D656" s="69" t="str">
        <x:v>Cologne</x:v>
      </x:c>
      <x:c r="E656" s="76" t="d">
        <x:v>2026-08-27T00:00:00.000Z</x:v>
      </x:c>
      <x:c r="F656" s="69" t="str">
        <x:v>summer</x:v>
      </x:c>
      <x:c r="G656" s="69" t="str">
        <x:v>Winger — source label</x:v>
      </x:c>
      <x:c r="H656" s="78"/>
      <x:c r="I656" s="69" t="str">
        <x:v>GBP</x:v>
      </x:c>
      <x:c r="J656" s="80"/>
      <x:c r="K656" s="82"/>
      <x:c r="L656" s="69" t="str">
        <x:v>Evidence needed</x:v>
      </x:c>
      <x:c r="M656" s="69" t="str">
        <x:v>Comparable buyer-specific scoring, creation, progression and availability evidence needed. Loan/swap costs need separate treatment.</x:v>
      </x:c>
      <x:c r="N656" s="69" t="str">
        <x:v>Not assessed</x:v>
      </x:c>
      <x:c r="O656" s="69" t="str">
        <x:v>Source position and transfer quote only; production and age not validated for this specific deal.</x:v>
      </x:c>
      <x:c r="P656" s="69" t="str">
        <x:v>https://www.theguardian.com/football/ng-interactive/2026/sep/01/mens-transfer-window-summer-2026-all-deals-from-europes-top-five-leagues</x:v>
      </x:c>
    </x:row>
    <x:row r="657" ht="25" customHeight="1">
      <x:c r="A657" s="75" t="str">
        <x:v>summer-S26-1189</x:v>
      </x:c>
      <x:c r="B657" s="75" t="str">
        <x:v>Rafael Leão</x:v>
      </x:c>
      <x:c r="C657" s="75" t="str">
        <x:v>Galatasaray</x:v>
      </x:c>
      <x:c r="D657" s="75" t="str">
        <x:v>Milan</x:v>
      </x:c>
      <x:c r="E657" s="77" t="d">
        <x:v>2026-08-29T00:00:00.000Z</x:v>
      </x:c>
      <x:c r="F657" s="75" t="str">
        <x:v>summer</x:v>
      </x:c>
      <x:c r="G657" s="75" t="str">
        <x:v>Winger — source label</x:v>
      </x:c>
      <x:c r="H657" s="79" t="n">
        <x:v>36800000</x:v>
      </x:c>
      <x:c r="I657" s="75" t="str">
        <x:v>GBP</x:v>
      </x:c>
      <x:c r="J657" s="81"/>
      <x:c r="K657" s="83"/>
      <x:c r="L657" s="75" t="str">
        <x:v>Evidence needed</x:v>
      </x:c>
      <x:c r="M657" s="75" t="str">
        <x:v>Comparable buyer-specific scoring, creation, progression and availability evidence needed.</x:v>
      </x:c>
      <x:c r="N657" s="75" t="str">
        <x:v>Not assessed</x:v>
      </x:c>
      <x:c r="O657" s="75" t="str">
        <x:v>Source position and transfer quote only; production and age not validated for this specific deal.</x:v>
      </x:c>
      <x:c r="P657" s="75" t="str">
        <x:v>https://www.theguardian.com/football/ng-interactive/2026/sep/01/mens-transfer-window-summer-2026-all-deals-from-europes-top-five-leagues</x:v>
      </x:c>
    </x:row>
    <x:row r="658" ht="25" customHeight="1">
      <x:c r="A658" s="69" t="str">
        <x:v>summer-S26-1202</x:v>
      </x:c>
      <x:c r="B658" s="69" t="str">
        <x:v>Riccardo Ciervo</x:v>
      </x:c>
      <x:c r="C658" s="69" t="str">
        <x:v>Cagliari</x:v>
      </x:c>
      <x:c r="D658" s="69" t="str">
        <x:v>Sassuolo</x:v>
      </x:c>
      <x:c r="E658" s="76" t="d">
        <x:v>2026-08-29T00:00:00.000Z</x:v>
      </x:c>
      <x:c r="F658" s="69" t="str">
        <x:v>summer</x:v>
      </x:c>
      <x:c r="G658" s="69" t="str">
        <x:v>Winger — source label</x:v>
      </x:c>
      <x:c r="H658" s="78"/>
      <x:c r="I658" s="69" t="str">
        <x:v>GBP</x:v>
      </x:c>
      <x:c r="J658" s="80"/>
      <x:c r="K658" s="82"/>
      <x:c r="L658" s="69" t="str">
        <x:v>Evidence needed</x:v>
      </x:c>
      <x:c r="M658" s="69" t="str">
        <x:v>Comparable buyer-specific scoring, creation, progression and availability evidence needed. Loan/swap costs need separate treatment.</x:v>
      </x:c>
      <x:c r="N658" s="69" t="str">
        <x:v>Not assessed</x:v>
      </x:c>
      <x:c r="O658" s="69" t="str">
        <x:v>Source position and transfer quote only; production and age not validated for this specific deal.</x:v>
      </x:c>
      <x:c r="P658" s="69" t="str">
        <x:v>https://www.theguardian.com/football/ng-interactive/2026/sep/01/mens-transfer-window-summer-2026-all-deals-from-europes-top-five-leagues</x:v>
      </x:c>
    </x:row>
    <x:row r="659" ht="25" customHeight="1">
      <x:c r="A659" s="75" t="str">
        <x:v>summer-S26-1214</x:v>
      </x:c>
      <x:c r="B659" s="75" t="str">
        <x:v>Oso</x:v>
      </x:c>
      <x:c r="C659" s="75" t="str">
        <x:v>Strasbourg</x:v>
      </x:c>
      <x:c r="D659" s="75" t="str">
        <x:v>Sevilla</x:v>
      </x:c>
      <x:c r="E659" s="77" t="d">
        <x:v>2026-08-30T00:00:00.000Z</x:v>
      </x:c>
      <x:c r="F659" s="75" t="str">
        <x:v>summer</x:v>
      </x:c>
      <x:c r="G659" s="75" t="str">
        <x:v>Winger — source label</x:v>
      </x:c>
      <x:c r="H659" s="79" t="n">
        <x:v>8500000</x:v>
      </x:c>
      <x:c r="I659" s="75" t="str">
        <x:v>GBP</x:v>
      </x:c>
      <x:c r="J659" s="81"/>
      <x:c r="K659" s="83"/>
      <x:c r="L659" s="75" t="str">
        <x:v>Evidence needed</x:v>
      </x:c>
      <x:c r="M659" s="75" t="str">
        <x:v>Comparable buyer-specific scoring, creation, progression and availability evidence needed.</x:v>
      </x:c>
      <x:c r="N659" s="75" t="str">
        <x:v>Not assessed</x:v>
      </x:c>
      <x:c r="O659" s="75" t="str">
        <x:v>Source position and transfer quote only; production and age not validated for this specific deal.</x:v>
      </x:c>
      <x:c r="P659" s="75" t="str">
        <x:v>https://www.theguardian.com/football/ng-interactive/2026/sep/01/mens-transfer-window-summer-2026-all-deals-from-europes-top-five-leagues</x:v>
      </x:c>
    </x:row>
    <x:row r="660" ht="25" customHeight="1">
      <x:c r="A660" s="69" t="str">
        <x:v>summer-S26-1229</x:v>
      </x:c>
      <x:c r="B660" s="69" t="str">
        <x:v>Allan</x:v>
      </x:c>
      <x:c r="C660" s="69" t="str">
        <x:v>Manchester City</x:v>
      </x:c>
      <x:c r="D660" s="69" t="str">
        <x:v>Palmeiras</x:v>
      </x:c>
      <x:c r="E660" s="76" t="d">
        <x:v>2026-08-31T00:00:00.000Z</x:v>
      </x:c>
      <x:c r="F660" s="69" t="str">
        <x:v>summer</x:v>
      </x:c>
      <x:c r="G660" s="69" t="str">
        <x:v>Winger — source label</x:v>
      </x:c>
      <x:c r="H660" s="78" t="n">
        <x:v>32000000</x:v>
      </x:c>
      <x:c r="I660" s="69" t="str">
        <x:v>GBP</x:v>
      </x:c>
      <x:c r="J660" s="80"/>
      <x:c r="K660" s="82"/>
      <x:c r="L660" s="69" t="str">
        <x:v>Evidence needed</x:v>
      </x:c>
      <x:c r="M660" s="69" t="str">
        <x:v>Comparable buyer-specific scoring, creation, progression and availability evidence needed.</x:v>
      </x:c>
      <x:c r="N660" s="69" t="str">
        <x:v>Not assessed</x:v>
      </x:c>
      <x:c r="O660" s="69" t="str">
        <x:v>Source position and transfer quote only; production and age not validated for this specific deal.</x:v>
      </x:c>
      <x:c r="P660" s="69" t="str">
        <x:v>https://www.theguardian.com/football/ng-interactive/2026/sep/01/mens-transfer-window-summer-2026-all-deals-from-europes-top-five-leagues</x:v>
      </x:c>
    </x:row>
    <x:row r="661" ht="25" customHeight="1">
      <x:c r="A661" s="75" t="str">
        <x:v>summer-S26-1235</x:v>
      </x:c>
      <x:c r="B661" s="75" t="str">
        <x:v>Joel Catesby</x:v>
      </x:c>
      <x:c r="C661" s="75" t="str">
        <x:v>Accrington</x:v>
      </x:c>
      <x:c r="D661" s="75" t="str">
        <x:v>Everton</x:v>
      </x:c>
      <x:c r="E661" s="77" t="d">
        <x:v>2026-08-31T00:00:00.000Z</x:v>
      </x:c>
      <x:c r="F661" s="75" t="str">
        <x:v>summer</x:v>
      </x:c>
      <x:c r="G661" s="75" t="str">
        <x:v>Winger — source label</x:v>
      </x:c>
      <x:c r="H661" s="79"/>
      <x:c r="I661" s="75" t="str">
        <x:v>GBP</x:v>
      </x:c>
      <x:c r="J661" s="81"/>
      <x:c r="K661" s="83"/>
      <x:c r="L661" s="75" t="str">
        <x:v>Evidence needed</x:v>
      </x:c>
      <x:c r="M661" s="75" t="str">
        <x:v>Comparable buyer-specific scoring, creation, progression and availability evidence needed. Loan/swap costs need separate treatment.</x:v>
      </x:c>
      <x:c r="N661" s="75" t="str">
        <x:v>Not assessed</x:v>
      </x:c>
      <x:c r="O661" s="75" t="str">
        <x:v>Source position and transfer quote only; production and age not validated for this specific deal.</x:v>
      </x:c>
      <x:c r="P661" s="75" t="str">
        <x:v>https://www.theguardian.com/football/ng-interactive/2026/sep/01/mens-transfer-window-summer-2026-all-deals-from-europes-top-five-leagues</x:v>
      </x:c>
    </x:row>
    <x:row r="662" ht="25" customHeight="1">
      <x:c r="A662" s="69" t="str">
        <x:v>summer-S26-1237</x:v>
      </x:c>
      <x:c r="B662" s="69" t="str">
        <x:v>Omari Hutchinson</x:v>
      </x:c>
      <x:c r="C662" s="69" t="str">
        <x:v>Milan</x:v>
      </x:c>
      <x:c r="D662" s="69" t="str">
        <x:v>Nottingham Forest</x:v>
      </x:c>
      <x:c r="E662" s="76" t="d">
        <x:v>2026-08-31T00:00:00.000Z</x:v>
      </x:c>
      <x:c r="F662" s="69" t="str">
        <x:v>summer</x:v>
      </x:c>
      <x:c r="G662" s="69" t="str">
        <x:v>Winger — source label</x:v>
      </x:c>
      <x:c r="H662" s="78"/>
      <x:c r="I662" s="69" t="str">
        <x:v>GBP</x:v>
      </x:c>
      <x:c r="J662" s="80"/>
      <x:c r="K662" s="82"/>
      <x:c r="L662" s="69" t="str">
        <x:v>Evidence needed</x:v>
      </x:c>
      <x:c r="M662" s="69" t="str">
        <x:v>Comparable buyer-specific scoring, creation, progression and availability evidence needed. Loan/swap costs need separate treatment.</x:v>
      </x:c>
      <x:c r="N662" s="69" t="str">
        <x:v>Not assessed</x:v>
      </x:c>
      <x:c r="O662" s="69" t="str">
        <x:v>Source position and transfer quote only; production and age not validated for this specific deal.</x:v>
      </x:c>
      <x:c r="P662" s="69" t="str">
        <x:v>https://www.theguardian.com/football/ng-interactive/2026/sep/01/mens-transfer-window-summer-2026-all-deals-from-europes-top-five-leagues</x:v>
      </x:c>
    </x:row>
    <x:row r="663" ht="25" customHeight="1">
      <x:c r="A663" s="75" t="str">
        <x:v>summer-S26-1244</x:v>
      </x:c>
      <x:c r="B663" s="75" t="str">
        <x:v>Romain Del Castillo</x:v>
      </x:c>
      <x:c r="C663" s="75" t="str">
        <x:v>Osasuna</x:v>
      </x:c>
      <x:c r="D663" s="75" t="str">
        <x:v>Brest</x:v>
      </x:c>
      <x:c r="E663" s="77" t="d">
        <x:v>2026-09-01T00:00:00.000Z</x:v>
      </x:c>
      <x:c r="F663" s="75" t="str">
        <x:v>summer</x:v>
      </x:c>
      <x:c r="G663" s="75" t="str">
        <x:v>Winger — source label</x:v>
      </x:c>
      <x:c r="H663" s="79" t="n">
        <x:v>850000</x:v>
      </x:c>
      <x:c r="I663" s="75" t="str">
        <x:v>GBP</x:v>
      </x:c>
      <x:c r="J663" s="81"/>
      <x:c r="K663" s="83"/>
      <x:c r="L663" s="75" t="str">
        <x:v>Evidence needed</x:v>
      </x:c>
      <x:c r="M663" s="75" t="str">
        <x:v>Comparable buyer-specific scoring, creation, progression and availability evidence needed.</x:v>
      </x:c>
      <x:c r="N663" s="75" t="str">
        <x:v>Not assessed</x:v>
      </x:c>
      <x:c r="O663" s="75" t="str">
        <x:v>Source position and transfer quote only; production and age not validated for this specific deal.</x:v>
      </x:c>
      <x:c r="P663" s="75" t="str">
        <x:v>https://www.theguardian.com/football/ng-interactive/2026/sep/01/mens-transfer-window-summer-2026-all-deals-from-europes-top-five-leagues</x:v>
      </x:c>
    </x:row>
    <x:row r="664" ht="25" customHeight="1">
      <x:c r="A664" s="69" t="str">
        <x:v>summer-S26-1261</x:v>
      </x:c>
      <x:c r="B664" s="69" t="str">
        <x:v>Mikey Moore</x:v>
      </x:c>
      <x:c r="C664" s="69" t="str">
        <x:v>Cologne</x:v>
      </x:c>
      <x:c r="D664" s="69" t="str">
        <x:v>Tottenham Hotspur</x:v>
      </x:c>
      <x:c r="E664" s="76" t="d">
        <x:v>2026-08-31T00:00:00.000Z</x:v>
      </x:c>
      <x:c r="F664" s="69" t="str">
        <x:v>summer</x:v>
      </x:c>
      <x:c r="G664" s="69" t="str">
        <x:v>Winger — source label</x:v>
      </x:c>
      <x:c r="H664" s="78"/>
      <x:c r="I664" s="69" t="str">
        <x:v>GBP</x:v>
      </x:c>
      <x:c r="J664" s="80"/>
      <x:c r="K664" s="82"/>
      <x:c r="L664" s="69" t="str">
        <x:v>Evidence needed</x:v>
      </x:c>
      <x:c r="M664" s="69" t="str">
        <x:v>Comparable buyer-specific scoring, creation, progression and availability evidence needed. Loan/swap costs need separate treatment.</x:v>
      </x:c>
      <x:c r="N664" s="69" t="str">
        <x:v>Not assessed</x:v>
      </x:c>
      <x:c r="O664" s="69" t="str">
        <x:v>Source position and transfer quote only; production and age not validated for this specific deal.</x:v>
      </x:c>
      <x:c r="P664" s="69" t="str">
        <x:v>https://www.theguardian.com/football/ng-interactive/2026/sep/01/mens-transfer-window-summer-2026-all-deals-from-europes-top-five-leagues</x:v>
      </x:c>
    </x:row>
    <x:row r="665" ht="25" customHeight="1">
      <x:c r="A665" s="75" t="str">
        <x:v>summer-S26-1271</x:v>
      </x:c>
      <x:c r="B665" s="75" t="str">
        <x:v>Marko Farji</x:v>
      </x:c>
      <x:c r="C665" s="75" t="str">
        <x:v>Heerenveen</x:v>
      </x:c>
      <x:c r="D665" s="75" t="str">
        <x:v>Venezia</x:v>
      </x:c>
      <x:c r="E665" s="77" t="d">
        <x:v>2026-09-01T00:00:00.000Z</x:v>
      </x:c>
      <x:c r="F665" s="75" t="str">
        <x:v>summer</x:v>
      </x:c>
      <x:c r="G665" s="75" t="str">
        <x:v>Winger — source label</x:v>
      </x:c>
      <x:c r="H665" s="79"/>
      <x:c r="I665" s="75" t="str">
        <x:v>GBP</x:v>
      </x:c>
      <x:c r="J665" s="81"/>
      <x:c r="K665" s="83"/>
      <x:c r="L665" s="75" t="str">
        <x:v>Evidence needed</x:v>
      </x:c>
      <x:c r="M665" s="75" t="str">
        <x:v>Comparable buyer-specific scoring, creation, progression and availability evidence needed. Transfer fee is undisclosed.</x:v>
      </x:c>
      <x:c r="N665" s="75" t="str">
        <x:v>Not assessed</x:v>
      </x:c>
      <x:c r="O665" s="75" t="str">
        <x:v>Source position and transfer quote only; production and age not validated for this specific deal.</x:v>
      </x:c>
      <x:c r="P665" s="75" t="str">
        <x:v>https://www.theguardian.com/football/ng-interactive/2026/sep/01/mens-transfer-window-summer-2026-all-deals-from-europes-top-five-leagues</x:v>
      </x:c>
    </x:row>
    <x:row r="666" ht="25" customHeight="1">
      <x:c r="A666" s="69" t="str">
        <x:v>summer-S26-1274</x:v>
      </x:c>
      <x:c r="B666" s="69" t="str">
        <x:v>Moussa Diaby</x:v>
      </x:c>
      <x:c r="C666" s="69" t="str">
        <x:v>Bayer Leverkusen</x:v>
      </x:c>
      <x:c r="D666" s="69" t="str">
        <x:v>Al-Ittihad</x:v>
      </x:c>
      <x:c r="E666" s="76" t="d">
        <x:v>2026-09-01T00:00:00.000Z</x:v>
      </x:c>
      <x:c r="F666" s="69" t="str">
        <x:v>summer</x:v>
      </x:c>
      <x:c r="G666" s="69" t="str">
        <x:v>Winger — source label</x:v>
      </x:c>
      <x:c r="H666" s="78" t="n">
        <x:v>25600000</x:v>
      </x:c>
      <x:c r="I666" s="69" t="str">
        <x:v>GBP</x:v>
      </x:c>
      <x:c r="J666" s="80"/>
      <x:c r="K666" s="82"/>
      <x:c r="L666" s="69" t="str">
        <x:v>Evidence needed</x:v>
      </x:c>
      <x:c r="M666" s="69" t="str">
        <x:v>Comparable buyer-specific scoring, creation, progression and availability evidence needed.</x:v>
      </x:c>
      <x:c r="N666" s="69" t="str">
        <x:v>Not assessed</x:v>
      </x:c>
      <x:c r="O666" s="69" t="str">
        <x:v>Source position and transfer quote only; production and age not validated for this specific deal.</x:v>
      </x:c>
      <x:c r="P666" s="69" t="str">
        <x:v>https://www.theguardian.com/football/ng-interactive/2026/sep/01/mens-transfer-window-summer-2026-all-deals-from-europes-top-five-leagues</x:v>
      </x:c>
    </x:row>
    <x:row r="667" ht="25" customHeight="1">
      <x:c r="A667" s="75" t="str">
        <x:v>summer-S26-1278</x:v>
      </x:c>
      <x:c r="B667" s="75" t="str">
        <x:v>Jérémy Hatchi</x:v>
      </x:c>
      <x:c r="C667" s="75" t="str">
        <x:v>Montpellier</x:v>
      </x:c>
      <x:c r="D667" s="75" t="str">
        <x:v>Lorient</x:v>
      </x:c>
      <x:c r="E667" s="77" t="d">
        <x:v>2026-09-01T00:00:00.000Z</x:v>
      </x:c>
      <x:c r="F667" s="75" t="str">
        <x:v>summer</x:v>
      </x:c>
      <x:c r="G667" s="75" t="str">
        <x:v>Winger — source label</x:v>
      </x:c>
      <x:c r="H667" s="79"/>
      <x:c r="I667" s="75" t="str">
        <x:v>GBP</x:v>
      </x:c>
      <x:c r="J667" s="81"/>
      <x:c r="K667" s="83"/>
      <x:c r="L667" s="75" t="str">
        <x:v>Evidence needed</x:v>
      </x:c>
      <x:c r="M667" s="75" t="str">
        <x:v>Comparable buyer-specific scoring, creation, progression and availability evidence needed. Loan/swap costs need separate treatment.</x:v>
      </x:c>
      <x:c r="N667" s="75" t="str">
        <x:v>Not assessed</x:v>
      </x:c>
      <x:c r="O667" s="75" t="str">
        <x:v>Source position and transfer quote only; production and age not validated for this specific deal.</x:v>
      </x:c>
      <x:c r="P667" s="75" t="str">
        <x:v>https://www.theguardian.com/football/ng-interactive/2026/sep/01/mens-transfer-window-summer-2026-all-deals-from-europes-top-five-leagues</x:v>
      </x:c>
    </x:row>
    <x:row r="668" ht="25" customHeight="1">
      <x:c r="A668" s="69" t="str">
        <x:v>summer-S26-1284</x:v>
      </x:c>
      <x:c r="B668" s="69" t="str">
        <x:v>Largie Ramazani</x:v>
      </x:c>
      <x:c r="C668" s="69" t="str">
        <x:v>Burnley</x:v>
      </x:c>
      <x:c r="D668" s="69" t="str">
        <x:v>Leeds United</x:v>
      </x:c>
      <x:c r="E668" s="76" t="d">
        <x:v>2026-09-01T00:00:00.000Z</x:v>
      </x:c>
      <x:c r="F668" s="69" t="str">
        <x:v>summer</x:v>
      </x:c>
      <x:c r="G668" s="69" t="str">
        <x:v>Winger — source label</x:v>
      </x:c>
      <x:c r="H668" s="78"/>
      <x:c r="I668" s="69" t="str">
        <x:v>GBP</x:v>
      </x:c>
      <x:c r="J668" s="80"/>
      <x:c r="K668" s="82"/>
      <x:c r="L668" s="69" t="str">
        <x:v>Evidence needed</x:v>
      </x:c>
      <x:c r="M668" s="69" t="str">
        <x:v>Comparable buyer-specific scoring, creation, progression and availability evidence needed. Loan/swap costs need separate treatment.</x:v>
      </x:c>
      <x:c r="N668" s="69" t="str">
        <x:v>Not assessed</x:v>
      </x:c>
      <x:c r="O668" s="69" t="str">
        <x:v>Source position and transfer quote only; production and age not validated for this specific deal.</x:v>
      </x:c>
      <x:c r="P668" s="69" t="str">
        <x:v>https://www.theguardian.com/football/ng-interactive/2026/sep/01/mens-transfer-window-summer-2026-all-deals-from-europes-top-five-leagues</x:v>
      </x:c>
    </x:row>
    <x:row r="669" ht="25" customHeight="1">
      <x:c r="A669" s="75" t="str">
        <x:v>summer-S26-1292</x:v>
      </x:c>
      <x:c r="B669" s="75" t="str">
        <x:v>Emir Sahiti</x:v>
      </x:c>
      <x:c r="C669" s="75" t="str">
        <x:v>Hannover 96</x:v>
      </x:c>
      <x:c r="D669" s="75" t="str">
        <x:v>Hamburg</x:v>
      </x:c>
      <x:c r="E669" s="77" t="d">
        <x:v>2026-09-01T00:00:00.000Z</x:v>
      </x:c>
      <x:c r="F669" s="75" t="str">
        <x:v>summer</x:v>
      </x:c>
      <x:c r="G669" s="75" t="str">
        <x:v>Winger — source label</x:v>
      </x:c>
      <x:c r="H669" s="79"/>
      <x:c r="I669" s="75" t="str">
        <x:v>GBP</x:v>
      </x:c>
      <x:c r="J669" s="81"/>
      <x:c r="K669" s="83"/>
      <x:c r="L669" s="75" t="str">
        <x:v>Evidence needed</x:v>
      </x:c>
      <x:c r="M669" s="75" t="str">
        <x:v>Comparable buyer-specific scoring, creation, progression and availability evidence needed. Free base fee does not represent wages or other costs.</x:v>
      </x:c>
      <x:c r="N669" s="75" t="str">
        <x:v>Not assessed</x:v>
      </x:c>
      <x:c r="O669" s="75" t="str">
        <x:v>Source position and transfer quote only; production and age not validated for this specific deal.</x:v>
      </x:c>
      <x:c r="P669" s="75" t="str">
        <x:v>https://www.theguardian.com/football/ng-interactive/2026/sep/01/mens-transfer-window-summer-2026-all-deals-from-europes-top-five-leagues</x:v>
      </x:c>
    </x:row>
    <x:row r="670" ht="25" customHeight="1">
      <x:c r="A670" s="69" t="str">
        <x:v>summer-S26-1299</x:v>
      </x:c>
      <x:c r="B670" s="69" t="str">
        <x:v>Robinho Junior</x:v>
      </x:c>
      <x:c r="C670" s="69" t="str">
        <x:v>Genoa</x:v>
      </x:c>
      <x:c r="D670" s="69" t="str">
        <x:v>Santos FC</x:v>
      </x:c>
      <x:c r="E670" s="76" t="d">
        <x:v>2026-09-01T00:00:00.000Z</x:v>
      </x:c>
      <x:c r="F670" s="69" t="str">
        <x:v>summer</x:v>
      </x:c>
      <x:c r="G670" s="69" t="str">
        <x:v>Winger — source label</x:v>
      </x:c>
      <x:c r="H670" s="78"/>
      <x:c r="I670" s="69" t="str">
        <x:v>GBP</x:v>
      </x:c>
      <x:c r="J670" s="80"/>
      <x:c r="K670" s="82"/>
      <x:c r="L670" s="69" t="str">
        <x:v>Evidence needed</x:v>
      </x:c>
      <x:c r="M670" s="69" t="str">
        <x:v>Comparable buyer-specific scoring, creation, progression and availability evidence needed. Loan/swap costs need separate treatment.</x:v>
      </x:c>
      <x:c r="N670" s="69" t="str">
        <x:v>Not assessed</x:v>
      </x:c>
      <x:c r="O670" s="69" t="str">
        <x:v>Source position and transfer quote only; production and age not validated for this specific deal.</x:v>
      </x:c>
      <x:c r="P670" s="69" t="str">
        <x:v>https://www.theguardian.com/football/ng-interactive/2026/sep/01/mens-transfer-window-summer-2026-all-deals-from-europes-top-five-leagues</x:v>
      </x:c>
    </x:row>
    <x:row r="671" ht="25" customHeight="1">
      <x:c r="A671" s="75" t="str">
        <x:v>summer-S26-1302</x:v>
      </x:c>
      <x:c r="B671" s="75" t="str">
        <x:v>Samuel Mbangula</x:v>
      </x:c>
      <x:c r="C671" s="75" t="str">
        <x:v>Bologna</x:v>
      </x:c>
      <x:c r="D671" s="75" t="str">
        <x:v>Werder Bremen</x:v>
      </x:c>
      <x:c r="E671" s="77" t="d">
        <x:v>2026-09-01T00:00:00.000Z</x:v>
      </x:c>
      <x:c r="F671" s="75" t="str">
        <x:v>summer</x:v>
      </x:c>
      <x:c r="G671" s="75" t="str">
        <x:v>Winger — source label</x:v>
      </x:c>
      <x:c r="H671" s="79"/>
      <x:c r="I671" s="75" t="str">
        <x:v>GBP</x:v>
      </x:c>
      <x:c r="J671" s="81"/>
      <x:c r="K671" s="83"/>
      <x:c r="L671" s="75" t="str">
        <x:v>Evidence needed</x:v>
      </x:c>
      <x:c r="M671" s="75" t="str">
        <x:v>Comparable buyer-specific scoring, creation, progression and availability evidence needed. Loan/swap costs need separate treatment.</x:v>
      </x:c>
      <x:c r="N671" s="75" t="str">
        <x:v>Not assessed</x:v>
      </x:c>
      <x:c r="O671" s="75" t="str">
        <x:v>Source position and transfer quote only; production and age not validated for this specific deal.</x:v>
      </x:c>
      <x:c r="P671" s="75" t="str">
        <x:v>https://www.theguardian.com/football/ng-interactive/2026/sep/01/mens-transfer-window-summer-2026-all-deals-from-europes-top-five-leagues</x:v>
      </x:c>
    </x:row>
    <x:row r="672" ht="25" customHeight="1">
      <x:c r="A672" s="69" t="str">
        <x:v>summer-S26-1303</x:v>
      </x:c>
      <x:c r="B672" s="69" t="str">
        <x:v>Tudor Mendel</x:v>
      </x:c>
      <x:c r="C672" s="69" t="str">
        <x:v>Luton Town</x:v>
      </x:c>
      <x:c r="D672" s="69" t="str">
        <x:v>Ipswich Town</x:v>
      </x:c>
      <x:c r="E672" s="76" t="d">
        <x:v>2026-09-01T00:00:00.000Z</x:v>
      </x:c>
      <x:c r="F672" s="69" t="str">
        <x:v>summer</x:v>
      </x:c>
      <x:c r="G672" s="69" t="str">
        <x:v>Winger — source label</x:v>
      </x:c>
      <x:c r="H672" s="78"/>
      <x:c r="I672" s="69" t="str">
        <x:v>GBP</x:v>
      </x:c>
      <x:c r="J672" s="80"/>
      <x:c r="K672" s="82"/>
      <x:c r="L672" s="69" t="str">
        <x:v>Evidence needed</x:v>
      </x:c>
      <x:c r="M672" s="69" t="str">
        <x:v>Comparable buyer-specific scoring, creation, progression and availability evidence needed. Loan/swap costs need separate treatment.</x:v>
      </x:c>
      <x:c r="N672" s="69" t="str">
        <x:v>Not assessed</x:v>
      </x:c>
      <x:c r="O672" s="69" t="str">
        <x:v>Source position and transfer quote only; production and age not validated for this specific deal.</x:v>
      </x:c>
      <x:c r="P672" s="69" t="str">
        <x:v>https://www.theguardian.com/football/ng-interactive/2026/sep/01/mens-transfer-window-summer-2026-all-deals-from-europes-top-five-leagues</x:v>
      </x:c>
    </x:row>
    <x:row r="673" ht="25" customHeight="1">
      <x:c r="A673" s="75" t="str">
        <x:v>summer-S26-1308</x:v>
      </x:c>
      <x:c r="B673" s="75" t="str">
        <x:v>Caylan Vickers</x:v>
      </x:c>
      <x:c r="C673" s="75" t="str">
        <x:v>Burton Albion</x:v>
      </x:c>
      <x:c r="D673" s="75" t="str">
        <x:v>Brighton</x:v>
      </x:c>
      <x:c r="E673" s="77" t="d">
        <x:v>2026-09-01T00:00:00.000Z</x:v>
      </x:c>
      <x:c r="F673" s="75" t="str">
        <x:v>summer</x:v>
      </x:c>
      <x:c r="G673" s="75" t="str">
        <x:v>Winger — source label</x:v>
      </x:c>
      <x:c r="H673" s="79"/>
      <x:c r="I673" s="75" t="str">
        <x:v>GBP</x:v>
      </x:c>
      <x:c r="J673" s="81"/>
      <x:c r="K673" s="83"/>
      <x:c r="L673" s="75" t="str">
        <x:v>Evidence needed</x:v>
      </x:c>
      <x:c r="M673" s="75" t="str">
        <x:v>Comparable buyer-specific scoring, creation, progression and availability evidence needed. Transfer fee is undisclosed.</x:v>
      </x:c>
      <x:c r="N673" s="75" t="str">
        <x:v>Not assessed</x:v>
      </x:c>
      <x:c r="O673" s="75" t="str">
        <x:v>Source position and transfer quote only; production and age not validated for this specific deal.</x:v>
      </x:c>
      <x:c r="P673" s="75" t="str">
        <x:v>https://www.theguardian.com/football/ng-interactive/2026/sep/01/mens-transfer-window-summer-2026-all-deals-from-europes-top-five-leagues</x:v>
      </x:c>
    </x:row>
    <x:row r="674" ht="25" customHeight="1">
      <x:c r="A674" s="69" t="str">
        <x:v>summer-S26-1318</x:v>
      </x:c>
      <x:c r="B674" s="69" t="str">
        <x:v>Nicolas Kühn</x:v>
      </x:c>
      <x:c r="C674" s="69" t="str">
        <x:v>Borussia Mönchengladbach</x:v>
      </x:c>
      <x:c r="D674" s="69" t="str">
        <x:v>Como 1907</x:v>
      </x:c>
      <x:c r="E674" s="76" t="d">
        <x:v>2026-09-01T00:00:00.000Z</x:v>
      </x:c>
      <x:c r="F674" s="69" t="str">
        <x:v>summer</x:v>
      </x:c>
      <x:c r="G674" s="69" t="str">
        <x:v>Winger — source label</x:v>
      </x:c>
      <x:c r="H674" s="78"/>
      <x:c r="I674" s="69" t="str">
        <x:v>GBP</x:v>
      </x:c>
      <x:c r="J674" s="80"/>
      <x:c r="K674" s="82"/>
      <x:c r="L674" s="69" t="str">
        <x:v>Evidence needed</x:v>
      </x:c>
      <x:c r="M674" s="69" t="str">
        <x:v>Comparable buyer-specific scoring, creation, progression and availability evidence needed. Loan/swap costs need separate treatment.</x:v>
      </x:c>
      <x:c r="N674" s="69" t="str">
        <x:v>Not assessed</x:v>
      </x:c>
      <x:c r="O674" s="69" t="str">
        <x:v>Source position and transfer quote only; production and age not validated for this specific deal.</x:v>
      </x:c>
      <x:c r="P674" s="69" t="str">
        <x:v>https://www.theguardian.com/football/ng-interactive/2026/sep/01/mens-transfer-window-summer-2026-all-deals-from-europes-top-five-leagues</x:v>
      </x:c>
    </x:row>
    <x:row r="675" ht="25" customHeight="1">
      <x:c r="A675" s="75" t="str">
        <x:v>summer-S26-1324</x:v>
      </x:c>
      <x:c r="B675" s="75" t="str">
        <x:v>Félix Correia</x:v>
      </x:c>
      <x:c r="C675" s="75" t="str">
        <x:v>Sevilla</x:v>
      </x:c>
      <x:c r="D675" s="75" t="str">
        <x:v>Lille</x:v>
      </x:c>
      <x:c r="E675" s="77" t="d">
        <x:v>2026-09-01T00:00:00.000Z</x:v>
      </x:c>
      <x:c r="F675" s="75" t="str">
        <x:v>summer</x:v>
      </x:c>
      <x:c r="G675" s="75" t="str">
        <x:v>Winger — source label</x:v>
      </x:c>
      <x:c r="H675" s="79"/>
      <x:c r="I675" s="75" t="str">
        <x:v>GBP</x:v>
      </x:c>
      <x:c r="J675" s="81"/>
      <x:c r="K675" s="83"/>
      <x:c r="L675" s="75" t="str">
        <x:v>Evidence needed</x:v>
      </x:c>
      <x:c r="M675" s="75" t="str">
        <x:v>Comparable buyer-specific scoring, creation, progression and availability evidence needed. Loan/swap costs need separate treatment.</x:v>
      </x:c>
      <x:c r="N675" s="75" t="str">
        <x:v>Not assessed</x:v>
      </x:c>
      <x:c r="O675" s="75" t="str">
        <x:v>Source position and transfer quote only; production and age not validated for this specific deal.</x:v>
      </x:c>
      <x:c r="P675" s="75" t="str">
        <x:v>https://www.theguardian.com/football/ng-interactive/2026/sep/01/mens-transfer-window-summer-2026-all-deals-from-europes-top-five-leagues</x:v>
      </x:c>
    </x:row>
    <x:row r="676" ht="25" customHeight="1">
      <x:c r="A676" s="69" t="str">
        <x:v>summer-S26-1341</x:v>
      </x:c>
      <x:c r="B676" s="69" t="str">
        <x:v>Ayodele Thomas</x:v>
      </x:c>
      <x:c r="C676" s="69" t="str">
        <x:v>NEC Nijmegen</x:v>
      </x:c>
      <x:c r="D676" s="69" t="str">
        <x:v>RB Leipzig</x:v>
      </x:c>
      <x:c r="E676" s="76" t="d">
        <x:v>2026-09-01T00:00:00.000Z</x:v>
      </x:c>
      <x:c r="F676" s="69" t="str">
        <x:v>summer</x:v>
      </x:c>
      <x:c r="G676" s="69" t="str">
        <x:v>Winger — source label</x:v>
      </x:c>
      <x:c r="H676" s="78" t="n">
        <x:v>860000</x:v>
      </x:c>
      <x:c r="I676" s="69" t="str">
        <x:v>GBP</x:v>
      </x:c>
      <x:c r="J676" s="80"/>
      <x:c r="K676" s="82"/>
      <x:c r="L676" s="69" t="str">
        <x:v>Evidence needed</x:v>
      </x:c>
      <x:c r="M676" s="69" t="str">
        <x:v>Comparable buyer-specific scoring, creation, progression and availability evidence needed.</x:v>
      </x:c>
      <x:c r="N676" s="69" t="str">
        <x:v>Not assessed</x:v>
      </x:c>
      <x:c r="O676" s="69" t="str">
        <x:v>Source position and transfer quote only; production and age not validated for this specific deal.</x:v>
      </x:c>
      <x:c r="P676" s="69" t="str">
        <x:v>https://www.theguardian.com/football/ng-interactive/2026/sep/01/mens-transfer-window-summer-2026-all-deals-from-europes-top-five-leagues</x:v>
      </x:c>
    </x:row>
    <x:row r="677" ht="25" customHeight="1">
      <x:c r="A677" s="75" t="str">
        <x:v>summer-S26-1342</x:v>
      </x:c>
      <x:c r="B677" s="75" t="str">
        <x:v>Exequiel Zeballos</x:v>
      </x:c>
      <x:c r="C677" s="75" t="str">
        <x:v>Monza</x:v>
      </x:c>
      <x:c r="D677" s="75" t="str">
        <x:v>Boca Juniors</x:v>
      </x:c>
      <x:c r="E677" s="77" t="d">
        <x:v>2026-09-01T00:00:00.000Z</x:v>
      </x:c>
      <x:c r="F677" s="75" t="str">
        <x:v>summer</x:v>
      </x:c>
      <x:c r="G677" s="75" t="str">
        <x:v>Winger — source label</x:v>
      </x:c>
      <x:c r="H677" s="79" t="n">
        <x:v>3860000</x:v>
      </x:c>
      <x:c r="I677" s="75" t="str">
        <x:v>GBP</x:v>
      </x:c>
      <x:c r="J677" s="81"/>
      <x:c r="K677" s="83"/>
      <x:c r="L677" s="75" t="str">
        <x:v>Evidence needed</x:v>
      </x:c>
      <x:c r="M677" s="75" t="str">
        <x:v>Comparable buyer-specific scoring, creation, progression and availability evidence needed.</x:v>
      </x:c>
      <x:c r="N677" s="75" t="str">
        <x:v>Not assessed</x:v>
      </x:c>
      <x:c r="O677" s="75" t="str">
        <x:v>Source position and transfer quote only; production and age not validated for this specific deal.</x:v>
      </x:c>
      <x:c r="P677" s="75" t="str">
        <x:v>https://www.theguardian.com/football/ng-interactive/2026/sep/01/mens-transfer-window-summer-2026-all-deals-from-europes-top-five-leagues</x:v>
      </x:c>
    </x:row>
    <x:row r="678" ht="25" customHeight="1">
      <x:c r="A678" s="69" t="str">
        <x:v>summer-S26-1348</x:v>
      </x:c>
      <x:c r="B678" s="69" t="str">
        <x:v>Liam Millar</x:v>
      </x:c>
      <x:c r="C678" s="69" t="str">
        <x:v>Birmingham City</x:v>
      </x:c>
      <x:c r="D678" s="69" t="str">
        <x:v>Hull City</x:v>
      </x:c>
      <x:c r="E678" s="76" t="d">
        <x:v>2026-09-01T00:00:00.000Z</x:v>
      </x:c>
      <x:c r="F678" s="69" t="str">
        <x:v>summer</x:v>
      </x:c>
      <x:c r="G678" s="69" t="str">
        <x:v>Winger — source label</x:v>
      </x:c>
      <x:c r="H678" s="78"/>
      <x:c r="I678" s="69" t="str">
        <x:v>GBP</x:v>
      </x:c>
      <x:c r="J678" s="80"/>
      <x:c r="K678" s="82"/>
      <x:c r="L678" s="69" t="str">
        <x:v>Evidence needed</x:v>
      </x:c>
      <x:c r="M678" s="69" t="str">
        <x:v>Comparable buyer-specific scoring, creation, progression and availability evidence needed. Loan/swap costs need separate treatment.</x:v>
      </x:c>
      <x:c r="N678" s="69" t="str">
        <x:v>Not assessed</x:v>
      </x:c>
      <x:c r="O678" s="69" t="str">
        <x:v>Source position and transfer quote only; production and age not validated for this specific deal.</x:v>
      </x:c>
      <x:c r="P678" s="69" t="str">
        <x:v>https://www.theguardian.com/football/ng-interactive/2026/sep/01/mens-transfer-window-summer-2026-all-deals-from-europes-top-five-leagues</x:v>
      </x:c>
    </x:row>
    <x:row r="679" ht="25" customHeight="1">
      <x:c r="A679" s="75" t="str">
        <x:v>summer-S26-1350</x:v>
      </x:c>
      <x:c r="B679" s="75" t="str">
        <x:v>Noah Edjouma</x:v>
      </x:c>
      <x:c r="C679" s="75" t="str">
        <x:v>Brest</x:v>
      </x:c>
      <x:c r="D679" s="75" t="str">
        <x:v>Lille</x:v>
      </x:c>
      <x:c r="E679" s="77" t="d">
        <x:v>2026-09-01T00:00:00.000Z</x:v>
      </x:c>
      <x:c r="F679" s="75" t="str">
        <x:v>summer</x:v>
      </x:c>
      <x:c r="G679" s="75" t="str">
        <x:v>Winger — source label</x:v>
      </x:c>
      <x:c r="H679" s="79"/>
      <x:c r="I679" s="75" t="str">
        <x:v>GBP</x:v>
      </x:c>
      <x:c r="J679" s="81"/>
      <x:c r="K679" s="83"/>
      <x:c r="L679" s="75" t="str">
        <x:v>Evidence needed</x:v>
      </x:c>
      <x:c r="M679" s="75" t="str">
        <x:v>Comparable buyer-specific scoring, creation, progression and availability evidence needed. Loan/swap costs need separate treatment.</x:v>
      </x:c>
      <x:c r="N679" s="75" t="str">
        <x:v>Not assessed</x:v>
      </x:c>
      <x:c r="O679" s="75" t="str">
        <x:v>Source position and transfer quote only; production and age not validated for this specific deal.</x:v>
      </x:c>
      <x:c r="P679" s="75" t="str">
        <x:v>https://www.theguardian.com/football/ng-interactive/2026/sep/01/mens-transfer-window-summer-2026-all-deals-from-europes-top-five-leagues</x:v>
      </x:c>
    </x:row>
    <x:row r="680" ht="25" customHeight="1">
      <x:c r="A680" s="69" t="str">
        <x:v>summer-S26-1357</x:v>
      </x:c>
      <x:c r="B680" s="69" t="str">
        <x:v>Tay Abed</x:v>
      </x:c>
      <x:c r="C680" s="69" t="str">
        <x:v>Real Valladolid</x:v>
      </x:c>
      <x:c r="D680" s="69" t="str">
        <x:v>Levante</x:v>
      </x:c>
      <x:c r="E680" s="76" t="d">
        <x:v>2026-09-01T00:00:00.000Z</x:v>
      </x:c>
      <x:c r="F680" s="69" t="str">
        <x:v>summer</x:v>
      </x:c>
      <x:c r="G680" s="69" t="str">
        <x:v>Winger — source label</x:v>
      </x:c>
      <x:c r="H680" s="78"/>
      <x:c r="I680" s="69" t="str">
        <x:v>GBP</x:v>
      </x:c>
      <x:c r="J680" s="80"/>
      <x:c r="K680" s="82"/>
      <x:c r="L680" s="69" t="str">
        <x:v>Evidence needed</x:v>
      </x:c>
      <x:c r="M680" s="69" t="str">
        <x:v>Comparable buyer-specific scoring, creation, progression and availability evidence needed. Loan/swap costs need separate treatment.</x:v>
      </x:c>
      <x:c r="N680" s="69" t="str">
        <x:v>Not assessed</x:v>
      </x:c>
      <x:c r="O680" s="69" t="str">
        <x:v>Source position and transfer quote only; production and age not validated for this specific deal.</x:v>
      </x:c>
      <x:c r="P680" s="69" t="str">
        <x:v>https://www.theguardian.com/football/ng-interactive/2026/sep/01/mens-transfer-window-summer-2026-all-deals-from-europes-top-five-leagues</x:v>
      </x:c>
    </x:row>
    <x:row r="681" ht="25" customHeight="1">
      <x:c r="A681" s="75" t="str">
        <x:v>summer-S26-1360</x:v>
      </x:c>
      <x:c r="B681" s="75" t="str">
        <x:v>Godson Kyeremeh</x:v>
      </x:c>
      <x:c r="C681" s="75" t="str">
        <x:v>Red Star</x:v>
      </x:c>
      <x:c r="D681" s="75" t="str">
        <x:v>Le Havre</x:v>
      </x:c>
      <x:c r="E681" s="77" t="d">
        <x:v>2026-09-01T00:00:00.000Z</x:v>
      </x:c>
      <x:c r="F681" s="75" t="str">
        <x:v>summer</x:v>
      </x:c>
      <x:c r="G681" s="75" t="str">
        <x:v>Winger — source label</x:v>
      </x:c>
      <x:c r="H681" s="79"/>
      <x:c r="I681" s="75" t="str">
        <x:v>GBP</x:v>
      </x:c>
      <x:c r="J681" s="81"/>
      <x:c r="K681" s="83"/>
      <x:c r="L681" s="75" t="str">
        <x:v>Evidence needed</x:v>
      </x:c>
      <x:c r="M681" s="75" t="str">
        <x:v>Comparable buyer-specific scoring, creation, progression and availability evidence needed. Transfer fee is undisclosed.</x:v>
      </x:c>
      <x:c r="N681" s="75" t="str">
        <x:v>Not assessed</x:v>
      </x:c>
      <x:c r="O681" s="75" t="str">
        <x:v>Source position and transfer quote only; production and age not validated for this specific deal.</x:v>
      </x:c>
      <x:c r="P681" s="75" t="str">
        <x:v>https://www.theguardian.com/football/ng-interactive/2026/sep/01/mens-transfer-window-summer-2026-all-deals-from-europes-top-five-leagues</x:v>
      </x:c>
    </x:row>
    <x:row r="682" ht="25" customHeight="1">
      <x:c r="A682" s="69" t="str">
        <x:v>summer-S26-1384</x:v>
      </x:c>
      <x:c r="B682" s="69" t="str">
        <x:v>Mykhailo Mudryk</x:v>
      </x:c>
      <x:c r="C682" s="69" t="str">
        <x:v>Tottenham Hotspur</x:v>
      </x:c>
      <x:c r="D682" s="69" t="str">
        <x:v>Chelsea</x:v>
      </x:c>
      <x:c r="E682" s="76" t="d">
        <x:v>2026-09-01T00:00:00.000Z</x:v>
      </x:c>
      <x:c r="F682" s="69" t="str">
        <x:v>summer</x:v>
      </x:c>
      <x:c r="G682" s="69" t="str">
        <x:v>Winger — source label</x:v>
      </x:c>
      <x:c r="H682" s="78"/>
      <x:c r="I682" s="69" t="str">
        <x:v>GBP</x:v>
      </x:c>
      <x:c r="J682" s="80"/>
      <x:c r="K682" s="82"/>
      <x:c r="L682" s="69" t="str">
        <x:v>Evidence needed</x:v>
      </x:c>
      <x:c r="M682" s="69" t="str">
        <x:v>Comparable buyer-specific scoring, creation, progression and availability evidence needed. Loan/swap costs need separate treatment.</x:v>
      </x:c>
      <x:c r="N682" s="69" t="str">
        <x:v>Not assessed</x:v>
      </x:c>
      <x:c r="O682" s="69" t="str">
        <x:v>Source position and transfer quote only; production and age not validated for this specific deal.</x:v>
      </x:c>
      <x:c r="P682" s="69" t="str">
        <x:v>https://www.theguardian.com/football/ng-interactive/2026/sep/01/mens-transfer-window-summer-2026-all-deals-from-europes-top-five-leagues</x:v>
      </x:c>
    </x:row>
    <x:row r="683" ht="25" customHeight="1">
      <x:c r="A683" s="75" t="str">
        <x:v>summer-S26-1387</x:v>
      </x:c>
      <x:c r="B683" s="75" t="str">
        <x:v>Jack Grealish</x:v>
      </x:c>
      <x:c r="C683" s="75" t="str">
        <x:v>Everton</x:v>
      </x:c>
      <x:c r="D683" s="75" t="str">
        <x:v>Manchester City</x:v>
      </x:c>
      <x:c r="E683" s="77" t="d">
        <x:v>2026-09-01T00:00:00.000Z</x:v>
      </x:c>
      <x:c r="F683" s="75" t="str">
        <x:v>summer</x:v>
      </x:c>
      <x:c r="G683" s="75" t="str">
        <x:v>Winger — source label</x:v>
      </x:c>
      <x:c r="H683" s="79"/>
      <x:c r="I683" s="75" t="str">
        <x:v>GBP</x:v>
      </x:c>
      <x:c r="J683" s="81"/>
      <x:c r="K683" s="83"/>
      <x:c r="L683" s="75" t="str">
        <x:v>Evidence needed</x:v>
      </x:c>
      <x:c r="M683" s="75" t="str">
        <x:v>Comparable buyer-specific scoring, creation, progression and availability evidence needed. Loan/swap costs need separate treatment.</x:v>
      </x:c>
      <x:c r="N683" s="75" t="str">
        <x:v>Not assessed</x:v>
      </x:c>
      <x:c r="O683" s="75" t="str">
        <x:v>Source position and transfer quote only; production and age not validated for this specific deal.</x:v>
      </x:c>
      <x:c r="P683" s="75" t="str">
        <x:v>https://www.theguardian.com/football/ng-interactive/2026/sep/01/mens-transfer-window-summer-2026-all-deals-from-europes-top-five-leagues</x:v>
      </x:c>
    </x:row>
    <x:row r="684" ht="25" customHeight="1">
      <x:c r="A684" s="69" t="str">
        <x:v>summer-S26-1390</x:v>
      </x:c>
      <x:c r="B684" s="69" t="str">
        <x:v>Wisdom Mike</x:v>
      </x:c>
      <x:c r="C684" s="69" t="str">
        <x:v>Club Brugge</x:v>
      </x:c>
      <x:c r="D684" s="69" t="str">
        <x:v>Bayern Munich</x:v>
      </x:c>
      <x:c r="E684" s="76" t="d">
        <x:v>2026-08-27T00:00:00.000Z</x:v>
      </x:c>
      <x:c r="F684" s="69" t="str">
        <x:v>summer</x:v>
      </x:c>
      <x:c r="G684" s="69" t="str">
        <x:v>Winger — source label</x:v>
      </x:c>
      <x:c r="H684" s="78" t="n">
        <x:v>4500000</x:v>
      </x:c>
      <x:c r="I684" s="69" t="str">
        <x:v>GBP</x:v>
      </x:c>
      <x:c r="J684" s="80"/>
      <x:c r="K684" s="82"/>
      <x:c r="L684" s="69" t="str">
        <x:v>Evidence needed</x:v>
      </x:c>
      <x:c r="M684" s="69" t="str">
        <x:v>Comparable buyer-specific scoring, creation, progression and availability evidence needed.</x:v>
      </x:c>
      <x:c r="N684" s="69" t="str">
        <x:v>Not assessed</x:v>
      </x:c>
      <x:c r="O684" s="69" t="str">
        <x:v>Source position and transfer quote only; production and age not validated for this specific deal.</x:v>
      </x:c>
      <x:c r="P684" s="69" t="str">
        <x:v>https://www.theguardian.com/football/ng-interactive/2026/sep/01/mens-transfer-window-summer-2026-all-deals-from-europes-top-five-leagues</x:v>
      </x:c>
    </x:row>
    <x:row r="685" ht="25" customHeight="1">
      <x:c r="A685" s="75" t="str">
        <x:v>summer-S26-1396</x:v>
      </x:c>
      <x:c r="B685" s="75" t="str">
        <x:v>Pablo García</x:v>
      </x:c>
      <x:c r="C685" s="75" t="str">
        <x:v>Racing Santander</x:v>
      </x:c>
      <x:c r="D685" s="75" t="str">
        <x:v>Real Betis</x:v>
      </x:c>
      <x:c r="E685" s="77" t="d">
        <x:v>2026-09-01T00:00:00.000Z</x:v>
      </x:c>
      <x:c r="F685" s="75" t="str">
        <x:v>summer</x:v>
      </x:c>
      <x:c r="G685" s="75" t="str">
        <x:v>Winger — source label</x:v>
      </x:c>
      <x:c r="H685" s="79" t="n">
        <x:v>4700000</x:v>
      </x:c>
      <x:c r="I685" s="75" t="str">
        <x:v>GBP</x:v>
      </x:c>
      <x:c r="J685" s="81"/>
      <x:c r="K685" s="83"/>
      <x:c r="L685" s="75" t="str">
        <x:v>Evidence needed</x:v>
      </x:c>
      <x:c r="M685" s="75" t="str">
        <x:v>Comparable buyer-specific scoring, creation, progression and availability evidence needed.</x:v>
      </x:c>
      <x:c r="N685" s="75" t="str">
        <x:v>Not assessed</x:v>
      </x:c>
      <x:c r="O685" s="75" t="str">
        <x:v>Source position and transfer quote only; production and age not validated for this specific deal.</x:v>
      </x:c>
      <x:c r="P685" s="75" t="str">
        <x:v>https://www.theguardian.com/football/ng-interactive/2026/sep/01/mens-transfer-window-summer-2026-all-deals-from-europes-top-five-leagues</x:v>
      </x:c>
    </x:row>
    <x:row r="686" ht="25" customHeight="1">
      <x:c r="A686" s="69" t="str">
        <x:v>summer-S26-1397</x:v>
      </x:c>
      <x:c r="B686" s="69" t="str">
        <x:v>Taycan Etcibasi</x:v>
      </x:c>
      <x:c r="C686" s="69" t="str">
        <x:v>Hannover 96</x:v>
      </x:c>
      <x:c r="D686" s="69" t="str">
        <x:v>Borussia Dortmund</x:v>
      </x:c>
      <x:c r="E686" s="76" t="d">
        <x:v>2026-07-03T00:00:00.000Z</x:v>
      </x:c>
      <x:c r="F686" s="69" t="str">
        <x:v>summer</x:v>
      </x:c>
      <x:c r="G686" s="69" t="str">
        <x:v>Winger — source label</x:v>
      </x:c>
      <x:c r="H686" s="78" t="n">
        <x:v>400000</x:v>
      </x:c>
      <x:c r="I686" s="69" t="str">
        <x:v>GBP</x:v>
      </x:c>
      <x:c r="J686" s="80"/>
      <x:c r="K686" s="82"/>
      <x:c r="L686" s="69" t="str">
        <x:v>Evidence needed</x:v>
      </x:c>
      <x:c r="M686" s="69" t="str">
        <x:v>Comparable buyer-specific scoring, creation, progression and availability evidence needed.</x:v>
      </x:c>
      <x:c r="N686" s="69" t="str">
        <x:v>Not assessed</x:v>
      </x:c>
      <x:c r="O686" s="69" t="str">
        <x:v>Source position and transfer quote only; production and age not validated for this specific deal.</x:v>
      </x:c>
      <x:c r="P686" s="69" t="str">
        <x:v>https://www.theguardian.com/football/ng-interactive/2026/sep/01/mens-transfer-window-summer-2026-all-deals-from-europes-top-five-leagues</x:v>
      </x:c>
    </x:row>
    <x:row r="687" ht="25" customHeight="1">
      <x:c r="A687" s="75" t="str">
        <x:v>summer-S26-1405</x:v>
      </x:c>
      <x:c r="B687" s="75" t="str">
        <x:v>Pedro Gonçalves</x:v>
      </x:c>
      <x:c r="C687" s="75" t="str">
        <x:v>Fiorentina</x:v>
      </x:c>
      <x:c r="D687" s="75" t="str">
        <x:v>Sporting</x:v>
      </x:c>
      <x:c r="E687" s="77" t="d">
        <x:v>2026-09-01T00:00:00.000Z</x:v>
      </x:c>
      <x:c r="F687" s="75" t="str">
        <x:v>summer</x:v>
      </x:c>
      <x:c r="G687" s="75" t="str">
        <x:v>Winger — source label</x:v>
      </x:c>
      <x:c r="H687" s="79"/>
      <x:c r="I687" s="75" t="str">
        <x:v>GBP</x:v>
      </x:c>
      <x:c r="J687" s="81"/>
      <x:c r="K687" s="83"/>
      <x:c r="L687" s="75" t="str">
        <x:v>Evidence needed</x:v>
      </x:c>
      <x:c r="M687" s="75" t="str">
        <x:v>Comparable buyer-specific scoring, creation, progression and availability evidence needed. Loan/swap costs need separate treatment.</x:v>
      </x:c>
      <x:c r="N687" s="75" t="str">
        <x:v>Not assessed</x:v>
      </x:c>
      <x:c r="O687" s="75" t="str">
        <x:v>Source position and transfer quote only; production and age not validated for this specific deal.</x:v>
      </x:c>
      <x:c r="P687" s="75" t="str">
        <x:v>https://www.theguardian.com/football/ng-interactive/2026/sep/01/mens-transfer-window-summer-2026-all-deals-from-europes-top-five-leagues</x:v>
      </x:c>
    </x:row>
    <x:row r="688" ht="25" customHeight="1">
      <x:c r="A688" s="69" t="str">
        <x:v>summer-S26-1414</x:v>
      </x:c>
      <x:c r="B688" s="69" t="str">
        <x:v>Chiedozie Ogbene</x:v>
      </x:c>
      <x:c r="C688" s="69" t="str">
        <x:v>Lincoln City</x:v>
      </x:c>
      <x:c r="D688" s="69" t="str">
        <x:v>Ipswich Town</x:v>
      </x:c>
      <x:c r="E688" s="76" t="d">
        <x:v>2026-09-01T00:00:00.000Z</x:v>
      </x:c>
      <x:c r="F688" s="69" t="str">
        <x:v>summer</x:v>
      </x:c>
      <x:c r="G688" s="69" t="str">
        <x:v>Winger — source label</x:v>
      </x:c>
      <x:c r="H688" s="78"/>
      <x:c r="I688" s="69" t="str">
        <x:v>GBP</x:v>
      </x:c>
      <x:c r="J688" s="80"/>
      <x:c r="K688" s="82"/>
      <x:c r="L688" s="69" t="str">
        <x:v>Evidence needed</x:v>
      </x:c>
      <x:c r="M688" s="69" t="str">
        <x:v>Comparable buyer-specific scoring, creation, progression and availability evidence needed. Loan/swap costs need separate treatment.</x:v>
      </x:c>
      <x:c r="N688" s="69" t="str">
        <x:v>Not assessed</x:v>
      </x:c>
      <x:c r="O688" s="69" t="str">
        <x:v>Source position and transfer quote only; production and age not validated for this specific deal.</x:v>
      </x:c>
      <x:c r="P688" s="69" t="str">
        <x:v>https://www.theguardian.com/football/ng-interactive/2026/sep/01/mens-transfer-window-summer-2026-all-deals-from-europes-top-five-leagues</x:v>
      </x:c>
    </x:row>
    <x:row r="689" ht="25" customHeight="1">
      <x:c r="A689" s="75" t="str">
        <x:v>summer-S26-1419</x:v>
      </x:c>
      <x:c r="B689" s="75" t="str">
        <x:v>Armario Cozier-Duberry</x:v>
      </x:c>
      <x:c r="C689" s="75" t="str">
        <x:v>Middlesbrough</x:v>
      </x:c>
      <x:c r="D689" s="75" t="str">
        <x:v>Brighton</x:v>
      </x:c>
      <x:c r="E689" s="77" t="d">
        <x:v>2026-09-01T00:00:00.000Z</x:v>
      </x:c>
      <x:c r="F689" s="75" t="str">
        <x:v>summer</x:v>
      </x:c>
      <x:c r="G689" s="75" t="str">
        <x:v>Winger — source label</x:v>
      </x:c>
      <x:c r="H689" s="79"/>
      <x:c r="I689" s="75" t="str">
        <x:v>GBP</x:v>
      </x:c>
      <x:c r="J689" s="81"/>
      <x:c r="K689" s="83"/>
      <x:c r="L689" s="75" t="str">
        <x:v>Evidence needed</x:v>
      </x:c>
      <x:c r="M689" s="75" t="str">
        <x:v>Comparable buyer-specific scoring, creation, progression and availability evidence needed. Loan/swap costs need separate treatment.</x:v>
      </x:c>
      <x:c r="N689" s="75" t="str">
        <x:v>Not assessed</x:v>
      </x:c>
      <x:c r="O689" s="75" t="str">
        <x:v>Source position and transfer quote only; production and age not validated for this specific deal.</x:v>
      </x:c>
      <x:c r="P689" s="75" t="str">
        <x:v>https://www.theguardian.com/football/ng-interactive/2026/sep/01/mens-transfer-window-summer-2026-all-deals-from-europes-top-five-leagues</x:v>
      </x:c>
    </x:row>
    <x:row r="690" ht="25" customHeight="1">
      <x:c r="A690" s="69" t="str">
        <x:v>summer-S26-1422</x:v>
      </x:c>
      <x:c r="B690" s="69" t="str">
        <x:v>Sorba Thomas</x:v>
      </x:c>
      <x:c r="C690" s="69" t="str">
        <x:v>Hull City</x:v>
      </x:c>
      <x:c r="D690" s="69" t="str">
        <x:v>Stoke City</x:v>
      </x:c>
      <x:c r="E690" s="76" t="d">
        <x:v>2026-09-01T00:00:00.000Z</x:v>
      </x:c>
      <x:c r="F690" s="69" t="str">
        <x:v>summer</x:v>
      </x:c>
      <x:c r="G690" s="69" t="str">
        <x:v>Winger — source label</x:v>
      </x:c>
      <x:c r="H690" s="78" t="n">
        <x:v>7500000</x:v>
      </x:c>
      <x:c r="I690" s="69" t="str">
        <x:v>GBP</x:v>
      </x:c>
      <x:c r="J690" s="80"/>
      <x:c r="K690" s="82"/>
      <x:c r="L690" s="69" t="str">
        <x:v>Evidence needed</x:v>
      </x:c>
      <x:c r="M690" s="69" t="str">
        <x:v>Comparable buyer-specific scoring, creation, progression and availability evidence needed.</x:v>
      </x:c>
      <x:c r="N690" s="69" t="str">
        <x:v>Not assessed</x:v>
      </x:c>
      <x:c r="O690" s="69" t="str">
        <x:v>Source position and transfer quote only; production and age not validated for this specific deal.</x:v>
      </x:c>
      <x:c r="P690" s="69" t="str">
        <x:v>https://www.theguardian.com/football/ng-interactive/2026/sep/01/mens-transfer-window-summer-2026-all-deals-from-europes-top-five-leagues</x:v>
      </x:c>
    </x:row>
    <x:row r="691" ht="25" customHeight="1">
      <x:c r="A691" s="75" t="str">
        <x:v>summer-S26-1431</x:v>
      </x:c>
      <x:c r="B691" s="75" t="str">
        <x:v>Malick Fofana</x:v>
      </x:c>
      <x:c r="C691" s="75" t="str">
        <x:v>Sunderland</x:v>
      </x:c>
      <x:c r="D691" s="75" t="str">
        <x:v>Lyon</x:v>
      </x:c>
      <x:c r="E691" s="77" t="d">
        <x:v>2026-09-02T00:00:00.000Z</x:v>
      </x:c>
      <x:c r="F691" s="75" t="str">
        <x:v>summer</x:v>
      </x:c>
      <x:c r="G691" s="75" t="str">
        <x:v>Winger — source label</x:v>
      </x:c>
      <x:c r="H691" s="79" t="n">
        <x:v>31000000</x:v>
      </x:c>
      <x:c r="I691" s="75" t="str">
        <x:v>GBP</x:v>
      </x:c>
      <x:c r="J691" s="81"/>
      <x:c r="K691" s="83"/>
      <x:c r="L691" s="75" t="str">
        <x:v>Evidence needed</x:v>
      </x:c>
      <x:c r="M691" s="75" t="str">
        <x:v>Comparable buyer-specific scoring, creation, progression and availability evidence needed.</x:v>
      </x:c>
      <x:c r="N691" s="75" t="str">
        <x:v>Not assessed</x:v>
      </x:c>
      <x:c r="O691" s="75" t="str">
        <x:v>Source position and transfer quote only; production and age not validated for this specific deal.</x:v>
      </x:c>
      <x:c r="P691" s="75" t="str">
        <x:v>https://www.theguardian.com/football/ng-interactive/2026/sep/01/mens-transfer-window-summer-2026-all-deals-from-europes-top-five-leagues</x:v>
      </x:c>
    </x:row>
    <x:row r="692" ht="25" customHeight="1">
      <x:c r="A692" s="69" t="str">
        <x:v>summer-S26-1435</x:v>
      </x:c>
      <x:c r="B692" s="69" t="str">
        <x:v>Darío Osorio</x:v>
      </x:c>
      <x:c r="C692" s="69" t="str">
        <x:v>Crystal Palace</x:v>
      </x:c>
      <x:c r="D692" s="69" t="str">
        <x:v>FC Midtjylland</x:v>
      </x:c>
      <x:c r="E692" s="76" t="d">
        <x:v>2026-09-02T00:00:00.000Z</x:v>
      </x:c>
      <x:c r="F692" s="69" t="str">
        <x:v>summer</x:v>
      </x:c>
      <x:c r="G692" s="69" t="str">
        <x:v>Winger — source label</x:v>
      </x:c>
      <x:c r="H692" s="78"/>
      <x:c r="I692" s="69" t="str">
        <x:v>GBP</x:v>
      </x:c>
      <x:c r="J692" s="80"/>
      <x:c r="K692" s="82"/>
      <x:c r="L692" s="69" t="str">
        <x:v>Evidence needed</x:v>
      </x:c>
      <x:c r="M692" s="69" t="str">
        <x:v>Comparable buyer-specific scoring, creation, progression and availability evidence needed. Loan/swap costs need separate treatment.</x:v>
      </x:c>
      <x:c r="N692" s="69" t="str">
        <x:v>Not assessed</x:v>
      </x:c>
      <x:c r="O692" s="69" t="str">
        <x:v>Source position and transfer quote only; production and age not validated for this specific deal.</x:v>
      </x:c>
      <x:c r="P692" s="69" t="str">
        <x:v>https://www.theguardian.com/football/ng-interactive/2026/sep/01/mens-transfer-window-summer-2026-all-deals-from-europes-top-five-leagues</x:v>
      </x:c>
    </x:row>
    <x:row r="693" ht="25" customHeight="1">
      <x:c r="A693" s="75" t="str">
        <x:v>summer-S26-1438</x:v>
      </x:c>
      <x:c r="B693" s="75" t="str">
        <x:v>Damola Ajayi</x:v>
      </x:c>
      <x:c r="C693" s="75" t="str">
        <x:v>Barnet</x:v>
      </x:c>
      <x:c r="D693" s="75" t="str">
        <x:v>Tottenham Hotspur</x:v>
      </x:c>
      <x:c r="E693" s="77" t="d">
        <x:v>2026-09-01T00:00:00.000Z</x:v>
      </x:c>
      <x:c r="F693" s="75" t="str">
        <x:v>summer</x:v>
      </x:c>
      <x:c r="G693" s="75" t="str">
        <x:v>Winger — source label</x:v>
      </x:c>
      <x:c r="H693" s="79"/>
      <x:c r="I693" s="75" t="str">
        <x:v>GBP</x:v>
      </x:c>
      <x:c r="J693" s="81"/>
      <x:c r="K693" s="83"/>
      <x:c r="L693" s="75" t="str">
        <x:v>Evidence needed</x:v>
      </x:c>
      <x:c r="M693" s="75" t="str">
        <x:v>Comparable buyer-specific scoring, creation, progression and availability evidence needed. Loan/swap costs need separate treatment.</x:v>
      </x:c>
      <x:c r="N693" s="75" t="str">
        <x:v>Not assessed</x:v>
      </x:c>
      <x:c r="O693" s="75" t="str">
        <x:v>Source position and transfer quote only; production and age not validated for this specific deal.</x:v>
      </x:c>
      <x:c r="P693" s="75" t="str">
        <x:v>https://www.theguardian.com/football/ng-interactive/2026/sep/01/mens-transfer-window-summer-2026-all-deals-from-europes-top-five-leagues</x:v>
      </x:c>
    </x:row>
    <x:row r="694" ht="25" customHeight="1">
      <x:c r="A694" s="69" t="str">
        <x:v>summer-S26-1448</x:v>
      </x:c>
      <x:c r="B694" s="69" t="str">
        <x:v>Romain Esse</x:v>
      </x:c>
      <x:c r="C694" s="69" t="str">
        <x:v>Millwall</x:v>
      </x:c>
      <x:c r="D694" s="69" t="str">
        <x:v>Crystal Palace</x:v>
      </x:c>
      <x:c r="E694" s="76" t="d">
        <x:v>2026-09-02T00:00:00.000Z</x:v>
      </x:c>
      <x:c r="F694" s="69" t="str">
        <x:v>summer</x:v>
      </x:c>
      <x:c r="G694" s="69" t="str">
        <x:v>Winger — source label</x:v>
      </x:c>
      <x:c r="H694" s="78"/>
      <x:c r="I694" s="69" t="str">
        <x:v>GBP</x:v>
      </x:c>
      <x:c r="J694" s="80"/>
      <x:c r="K694" s="82"/>
      <x:c r="L694" s="69" t="str">
        <x:v>Evidence needed</x:v>
      </x:c>
      <x:c r="M694" s="69" t="str">
        <x:v>Comparable buyer-specific scoring, creation, progression and availability evidence needed. Loan/swap costs need separate treatment.</x:v>
      </x:c>
      <x:c r="N694" s="69" t="str">
        <x:v>Not assessed</x:v>
      </x:c>
      <x:c r="O694" s="69" t="str">
        <x:v>Source position and transfer quote only; production and age not validated for this specific deal.</x:v>
      </x:c>
      <x:c r="P694" s="69" t="str">
        <x:v>https://www.theguardian.com/football/ng-interactive/2026/sep/01/mens-transfer-window-summer-2026-all-deals-from-europes-top-five-leagues</x:v>
      </x:c>
    </x:row>
    <x:row r="695" ht="25" customHeight="1">
      <x:c r="A695" s="75" t="str">
        <x:v>summer-S26-1450</x:v>
      </x:c>
      <x:c r="B695" s="75" t="str">
        <x:v>Jeremy Monga</x:v>
      </x:c>
      <x:c r="C695" s="75" t="str">
        <x:v>Swansea</x:v>
      </x:c>
      <x:c r="D695" s="75" t="str">
        <x:v>Manchester City</x:v>
      </x:c>
      <x:c r="E695" s="77" t="d">
        <x:v>2026-09-02T00:00:00.000Z</x:v>
      </x:c>
      <x:c r="F695" s="75" t="str">
        <x:v>summer</x:v>
      </x:c>
      <x:c r="G695" s="75" t="str">
        <x:v>Winger — source label</x:v>
      </x:c>
      <x:c r="H695" s="79"/>
      <x:c r="I695" s="75" t="str">
        <x:v>GBP</x:v>
      </x:c>
      <x:c r="J695" s="81"/>
      <x:c r="K695" s="83"/>
      <x:c r="L695" s="75" t="str">
        <x:v>Evidence needed</x:v>
      </x:c>
      <x:c r="M695" s="75" t="str">
        <x:v>Comparable buyer-specific scoring, creation, progression and availability evidence needed. Loan/swap costs need separate treatment.</x:v>
      </x:c>
      <x:c r="N695" s="75" t="str">
        <x:v>Not assessed</x:v>
      </x:c>
      <x:c r="O695" s="75" t="str">
        <x:v>Source position and transfer quote only; production and age not validated for this specific deal.</x:v>
      </x:c>
      <x:c r="P695" s="75" t="str">
        <x:v>https://www.theguardian.com/football/ng-interactive/2026/sep/01/mens-transfer-window-summer-2026-all-deals-from-europes-top-five-leagues</x:v>
      </x:c>
    </x:row>
    <x:row r="696" ht="25" customHeight="1">
      <x:c r="A696" s="69" t="str">
        <x:v>summer-S26-1458</x:v>
      </x:c>
      <x:c r="B696" s="69" t="str">
        <x:v>Nathanaël Mbuku</x:v>
      </x:c>
      <x:c r="C696" s="69" t="str">
        <x:v>Sint-Truiden</x:v>
      </x:c>
      <x:c r="D696" s="69" t="str">
        <x:v>Augsburg</x:v>
      </x:c>
      <x:c r="E696" s="76" t="d">
        <x:v>2026-09-03T00:00:00.000Z</x:v>
      </x:c>
      <x:c r="F696" s="69" t="str">
        <x:v>summer</x:v>
      </x:c>
      <x:c r="G696" s="69" t="str">
        <x:v>Winger — source label</x:v>
      </x:c>
      <x:c r="H696" s="78"/>
      <x:c r="I696" s="69" t="str">
        <x:v>GBP</x:v>
      </x:c>
      <x:c r="J696" s="80"/>
      <x:c r="K696" s="82"/>
      <x:c r="L696" s="69" t="str">
        <x:v>Evidence needed</x:v>
      </x:c>
      <x:c r="M696" s="69" t="str">
        <x:v>Comparable buyer-specific scoring, creation, progression and availability evidence needed. Loan/swap costs need separate treatment.</x:v>
      </x:c>
      <x:c r="N696" s="69" t="str">
        <x:v>Not assessed</x:v>
      </x:c>
      <x:c r="O696" s="69" t="str">
        <x:v>Source position and transfer quote only; production and age not validated for this specific deal.</x:v>
      </x:c>
      <x:c r="P696" s="69" t="str">
        <x:v>https://www.theguardian.com/football/ng-interactive/2026/sep/01/mens-transfer-window-summer-2026-all-deals-from-europes-top-five-leagues</x:v>
      </x:c>
    </x:row>
    <x:row r="697" ht="25" customHeight="1">
      <x:c r="A697" s="75" t="str">
        <x:v>summer-S26-1459</x:v>
      </x:c>
      <x:c r="B697" s="75" t="str">
        <x:v>Lasso Coulibaly</x:v>
      </x:c>
      <x:c r="C697" s="75" t="str">
        <x:v>Viborg</x:v>
      </x:c>
      <x:c r="D697" s="75" t="str">
        <x:v>Auxerre</x:v>
      </x:c>
      <x:c r="E697" s="77" t="d">
        <x:v>2026-09-02T00:00:00.000Z</x:v>
      </x:c>
      <x:c r="F697" s="75" t="str">
        <x:v>summer</x:v>
      </x:c>
      <x:c r="G697" s="75" t="str">
        <x:v>Winger — source label</x:v>
      </x:c>
      <x:c r="H697" s="79"/>
      <x:c r="I697" s="75" t="str">
        <x:v>GBP</x:v>
      </x:c>
      <x:c r="J697" s="81"/>
      <x:c r="K697" s="83"/>
      <x:c r="L697" s="75" t="str">
        <x:v>Evidence needed</x:v>
      </x:c>
      <x:c r="M697" s="75" t="str">
        <x:v>Comparable buyer-specific scoring, creation, progression and availability evidence needed. Loan/swap costs need separate treatment.</x:v>
      </x:c>
      <x:c r="N697" s="75" t="str">
        <x:v>Not assessed</x:v>
      </x:c>
      <x:c r="O697" s="75" t="str">
        <x:v>Source position and transfer quote only; production and age not validated for this specific deal.</x:v>
      </x:c>
      <x:c r="P697" s="75" t="str">
        <x:v>https://www.theguardian.com/football/ng-interactive/2026/sep/01/mens-transfer-window-summer-2026-all-deals-from-europes-top-five-leagues</x:v>
      </x:c>
    </x:row>
    <x:row r="698" ht="25" customHeight="1">
      <x:c r="A698" s="69" t="str">
        <x:v>summer-S26-1460</x:v>
      </x:c>
      <x:c r="B698" s="69" t="str">
        <x:v>Carlos Martín</x:v>
      </x:c>
      <x:c r="C698" s="69" t="str">
        <x:v>Hajduk Split</x:v>
      </x:c>
      <x:c r="D698" s="69" t="str">
        <x:v>Atlético Madrid</x:v>
      </x:c>
      <x:c r="E698" s="76" t="d">
        <x:v>2026-09-02T00:00:00.000Z</x:v>
      </x:c>
      <x:c r="F698" s="69" t="str">
        <x:v>summer</x:v>
      </x:c>
      <x:c r="G698" s="69" t="str">
        <x:v>Winger — source label</x:v>
      </x:c>
      <x:c r="H698" s="78"/>
      <x:c r="I698" s="69" t="str">
        <x:v>GBP</x:v>
      </x:c>
      <x:c r="J698" s="80"/>
      <x:c r="K698" s="82"/>
      <x:c r="L698" s="69" t="str">
        <x:v>Evidence needed</x:v>
      </x:c>
      <x:c r="M698" s="69" t="str">
        <x:v>Comparable buyer-specific scoring, creation, progression and availability evidence needed. Loan/swap costs need separate treatment.</x:v>
      </x:c>
      <x:c r="N698" s="69" t="str">
        <x:v>Not assessed</x:v>
      </x:c>
      <x:c r="O698" s="69" t="str">
        <x:v>Source position and transfer quote only; production and age not validated for this specific deal.</x:v>
      </x:c>
      <x:c r="P698" s="69" t="str">
        <x:v>https://www.theguardian.com/football/ng-interactive/2026/sep/01/mens-transfer-window-summer-2026-all-deals-from-europes-top-five-leagues</x:v>
      </x:c>
    </x:row>
    <x:row r="699" ht="25" customHeight="1">
      <x:c r="A699" s="75" t="str">
        <x:v>summer-S26-1464</x:v>
      </x:c>
      <x:c r="B699" s="75" t="str">
        <x:v>Leon Bailey</x:v>
      </x:c>
      <x:c r="C699" s="75" t="str">
        <x:v>Olympiakos</x:v>
      </x:c>
      <x:c r="D699" s="75" t="str">
        <x:v>Aston Villa</x:v>
      </x:c>
      <x:c r="E699" s="77" t="d">
        <x:v>2026-09-02T00:00:00.000Z</x:v>
      </x:c>
      <x:c r="F699" s="75" t="str">
        <x:v>summer</x:v>
      </x:c>
      <x:c r="G699" s="75" t="str">
        <x:v>Winger — source label</x:v>
      </x:c>
      <x:c r="H699" s="79" t="n">
        <x:v>4000000</x:v>
      </x:c>
      <x:c r="I699" s="75" t="str">
        <x:v>GBP</x:v>
      </x:c>
      <x:c r="J699" s="81"/>
      <x:c r="K699" s="83"/>
      <x:c r="L699" s="75" t="str">
        <x:v>Evidence needed</x:v>
      </x:c>
      <x:c r="M699" s="75" t="str">
        <x:v>Comparable buyer-specific scoring, creation, progression and availability evidence needed.</x:v>
      </x:c>
      <x:c r="N699" s="75" t="str">
        <x:v>Not assessed</x:v>
      </x:c>
      <x:c r="O699" s="75" t="str">
        <x:v>Source position and transfer quote only; production and age not validated for this specific deal.</x:v>
      </x:c>
      <x:c r="P699" s="75" t="str">
        <x:v>https://www.theguardian.com/football/ng-interactive/2026/sep/01/mens-transfer-window-summer-2026-all-deals-from-europes-top-five-leagues</x:v>
      </x:c>
    </x:row>
    <x:row r="700" ht="25" customHeight="1">
      <x:c r="A700" s="69" t="str">
        <x:v>summer-S26-1467</x:v>
      </x:c>
      <x:c r="B700" s="69" t="str">
        <x:v>Gabriel Martinelli</x:v>
      </x:c>
      <x:c r="C700" s="69" t="str">
        <x:v>Al-Hilal</x:v>
      </x:c>
      <x:c r="D700" s="69" t="str">
        <x:v>Arsenal</x:v>
      </x:c>
      <x:c r="E700" s="76" t="d">
        <x:v>2026-09-03T00:00:00.000Z</x:v>
      </x:c>
      <x:c r="F700" s="69" t="str">
        <x:v>summer</x:v>
      </x:c>
      <x:c r="G700" s="69" t="str">
        <x:v>Winger — source label</x:v>
      </x:c>
      <x:c r="H700" s="78" t="n">
        <x:v>60000000</x:v>
      </x:c>
      <x:c r="I700" s="69" t="str">
        <x:v>GBP</x:v>
      </x:c>
      <x:c r="J700" s="80"/>
      <x:c r="K700" s="82"/>
      <x:c r="L700" s="69" t="str">
        <x:v>Evidence needed</x:v>
      </x:c>
      <x:c r="M700" s="69" t="str">
        <x:v>Comparable buyer-specific scoring, creation, progression and availability evidence needed.</x:v>
      </x:c>
      <x:c r="N700" s="69" t="str">
        <x:v>Not assessed</x:v>
      </x:c>
      <x:c r="O700" s="69" t="str">
        <x:v>Source position and transfer quote only; production and age not validated for this specific deal.</x:v>
      </x:c>
      <x:c r="P700" s="69" t="str">
        <x:v>https://www.theguardian.com/football/ng-interactive/2026/sep/01/mens-transfer-window-summer-2026-all-deals-from-europes-top-five-leagues</x:v>
      </x:c>
    </x:row>
    <x:row r="701" ht="25" customHeight="1">
      <x:c r="A701" s="75" t="str">
        <x:v>summer-S26-1475</x:v>
      </x:c>
      <x:c r="B701" s="75" t="str">
        <x:v>Yann Gboho</x:v>
      </x:c>
      <x:c r="C701" s="75" t="str">
        <x:v>Coventry City</x:v>
      </x:c>
      <x:c r="D701" s="75" t="str">
        <x:v>Toulouse</x:v>
      </x:c>
      <x:c r="E701" s="77" t="d">
        <x:v>2026-09-04T00:00:00.000Z</x:v>
      </x:c>
      <x:c r="F701" s="75" t="str">
        <x:v>summer</x:v>
      </x:c>
      <x:c r="G701" s="75" t="str">
        <x:v>Winger — source label</x:v>
      </x:c>
      <x:c r="H701" s="79" t="n">
        <x:v>10300000</x:v>
      </x:c>
      <x:c r="I701" s="75" t="str">
        <x:v>GBP</x:v>
      </x:c>
      <x:c r="J701" s="81"/>
      <x:c r="K701" s="83"/>
      <x:c r="L701" s="75" t="str">
        <x:v>Evidence needed</x:v>
      </x:c>
      <x:c r="M701" s="75" t="str">
        <x:v>Comparable buyer-specific scoring, creation, progression and availability evidence needed.</x:v>
      </x:c>
      <x:c r="N701" s="75" t="str">
        <x:v>Not assessed</x:v>
      </x:c>
      <x:c r="O701" s="75" t="str">
        <x:v>Source position and transfer quote only; production and age not validated for this specific deal.</x:v>
      </x:c>
      <x:c r="P701" s="75" t="str">
        <x:v>https://www.theguardian.com/football/ng-interactive/2026/sep/01/mens-transfer-window-summer-2026-all-deals-from-europes-top-five-leagues</x:v>
      </x:c>
    </x:row>
    <x:row r="702" ht="25" customHeight="1">
      <x:c r="A702" s="69" t="str">
        <x:v>summer-S26-1476</x:v>
      </x:c>
      <x:c r="B702" s="69" t="str">
        <x:v>Elijah Odede</x:v>
      </x:c>
      <x:c r="C702" s="69" t="str">
        <x:v>Lommel SK</x:v>
      </x:c>
      <x:c r="D702" s="69" t="str">
        <x:v>Troyes</x:v>
      </x:c>
      <x:c r="E702" s="76" t="d">
        <x:v>2026-09-03T00:00:00.000Z</x:v>
      </x:c>
      <x:c r="F702" s="69" t="str">
        <x:v>summer</x:v>
      </x:c>
      <x:c r="G702" s="69" t="str">
        <x:v>Winger — source label</x:v>
      </x:c>
      <x:c r="H702" s="78"/>
      <x:c r="I702" s="69" t="str">
        <x:v>GBP</x:v>
      </x:c>
      <x:c r="J702" s="80"/>
      <x:c r="K702" s="82"/>
      <x:c r="L702" s="69" t="str">
        <x:v>Evidence needed</x:v>
      </x:c>
      <x:c r="M702" s="69" t="str">
        <x:v>Comparable buyer-specific scoring, creation, progression and availability evidence needed. Loan/swap costs need separate treatment.</x:v>
      </x:c>
      <x:c r="N702" s="69" t="str">
        <x:v>Not assessed</x:v>
      </x:c>
      <x:c r="O702" s="69" t="str">
        <x:v>Source position and transfer quote only; production and age not validated for this specific deal.</x:v>
      </x:c>
      <x:c r="P702" s="69" t="str">
        <x:v>https://www.theguardian.com/football/ng-interactive/2026/sep/01/mens-transfer-window-summer-2026-all-deals-from-europes-top-five-leagues</x:v>
      </x:c>
    </x:row>
    <x:row r="703" ht="25" customHeight="1">
      <x:c r="A703" s="75" t="str">
        <x:v>summer-S26-1478</x:v>
      </x:c>
      <x:c r="B703" s="75" t="str">
        <x:v>Axel Camblan</x:v>
      </x:c>
      <x:c r="C703" s="75" t="str">
        <x:v>Estoril</x:v>
      </x:c>
      <x:c r="D703" s="75" t="str">
        <x:v>Brest</x:v>
      </x:c>
      <x:c r="E703" s="77" t="d">
        <x:v>2026-09-03T00:00:00.000Z</x:v>
      </x:c>
      <x:c r="F703" s="75" t="str">
        <x:v>summer</x:v>
      </x:c>
      <x:c r="G703" s="75" t="str">
        <x:v>Winger — source label</x:v>
      </x:c>
      <x:c r="H703" s="79"/>
      <x:c r="I703" s="75" t="str">
        <x:v>GBP</x:v>
      </x:c>
      <x:c r="J703" s="81"/>
      <x:c r="K703" s="83"/>
      <x:c r="L703" s="75" t="str">
        <x:v>Evidence needed</x:v>
      </x:c>
      <x:c r="M703" s="75" t="str">
        <x:v>Comparable buyer-specific scoring, creation, progression and availability evidence needed. Transfer fee is undisclosed.</x:v>
      </x:c>
      <x:c r="N703" s="75" t="str">
        <x:v>Not assessed</x:v>
      </x:c>
      <x:c r="O703" s="75" t="str">
        <x:v>Source position and transfer quote only; production and age not validated for this specific deal.</x:v>
      </x:c>
      <x:c r="P703" s="75" t="str">
        <x:v>https://www.theguardian.com/football/ng-interactive/2026/sep/01/mens-transfer-window-summer-2026-all-deals-from-europes-top-five-leagues</x:v>
      </x:c>
    </x:row>
    <x:row r="704" ht="25" customHeight="1">
      <x:c r="A704" s="69" t="str">
        <x:v>summer-S26-1481</x:v>
      </x:c>
      <x:c r="B704" s="69" t="str">
        <x:v>Jesurun Rak-Sakyi</x:v>
      </x:c>
      <x:c r="C704" s="69" t="str">
        <x:v>Kasimpasa</x:v>
      </x:c>
      <x:c r="D704" s="69" t="str">
        <x:v>Crystal Palace</x:v>
      </x:c>
      <x:c r="E704" s="76" t="d">
        <x:v>2026-09-04T00:00:00.000Z</x:v>
      </x:c>
      <x:c r="F704" s="69" t="str">
        <x:v>summer</x:v>
      </x:c>
      <x:c r="G704" s="69" t="str">
        <x:v>Winger — source label</x:v>
      </x:c>
      <x:c r="H704" s="78"/>
      <x:c r="I704" s="69" t="str">
        <x:v>GBP</x:v>
      </x:c>
      <x:c r="J704" s="80"/>
      <x:c r="K704" s="82"/>
      <x:c r="L704" s="69" t="str">
        <x:v>Evidence needed</x:v>
      </x:c>
      <x:c r="M704" s="69" t="str">
        <x:v>Comparable buyer-specific scoring, creation, progression and availability evidence needed. Loan/swap costs need separate treatment.</x:v>
      </x:c>
      <x:c r="N704" s="69" t="str">
        <x:v>Not assessed</x:v>
      </x:c>
      <x:c r="O704" s="69" t="str">
        <x:v>Source position and transfer quote only; production and age not validated for this specific deal.</x:v>
      </x:c>
      <x:c r="P704" s="69" t="str">
        <x:v>https://www.theguardian.com/football/ng-interactive/2026/sep/01/mens-transfer-window-summer-2026-all-deals-from-europes-top-five-leagues</x:v>
      </x:c>
    </x:row>
    <x:row r="705" ht="25" customHeight="1">
      <x:c r="A705" s="75" t="str">
        <x:v>summer-S26-1482</x:v>
      </x:c>
      <x:c r="B705" s="75" t="str">
        <x:v>Issiaka Kamate</x:v>
      </x:c>
      <x:c r="C705" s="75" t="str">
        <x:v>Atlético Madrid</x:v>
      </x:c>
      <x:c r="D705" s="75" t="str">
        <x:v>Inter</x:v>
      </x:c>
      <x:c r="E705" s="77" t="d">
        <x:v>2026-09-01T00:00:00.000Z</x:v>
      </x:c>
      <x:c r="F705" s="75" t="str">
        <x:v>summer</x:v>
      </x:c>
      <x:c r="G705" s="75" t="str">
        <x:v>Winger — source label</x:v>
      </x:c>
      <x:c r="H705" s="79" t="n">
        <x:v>1700000</x:v>
      </x:c>
      <x:c r="I705" s="75" t="str">
        <x:v>GBP</x:v>
      </x:c>
      <x:c r="J705" s="81"/>
      <x:c r="K705" s="83"/>
      <x:c r="L705" s="75" t="str">
        <x:v>Evidence needed</x:v>
      </x:c>
      <x:c r="M705" s="75" t="str">
        <x:v>Comparable buyer-specific scoring, creation, progression and availability evidence needed.</x:v>
      </x:c>
      <x:c r="N705" s="75" t="str">
        <x:v>Not assessed</x:v>
      </x:c>
      <x:c r="O705" s="75" t="str">
        <x:v>Source position and transfer quote only; production and age not validated for this specific deal.</x:v>
      </x:c>
      <x:c r="P705" s="75" t="str">
        <x:v>https://www.theguardian.com/football/ng-interactive/2026/sep/01/mens-transfer-window-summer-2026-all-deals-from-europes-top-five-leagues</x:v>
      </x:c>
    </x:row>
    <x:row r="706" ht="25" customHeight="1">
      <x:c r="A706" s="69" t="str">
        <x:v>summer-S26-1484</x:v>
      </x:c>
      <x:c r="B706" s="69" t="str">
        <x:v>Iker Luque</x:v>
      </x:c>
      <x:c r="C706" s="69" t="str">
        <x:v>Racing Santander</x:v>
      </x:c>
      <x:c r="D706" s="69" t="str">
        <x:v>Atlético Madrid</x:v>
      </x:c>
      <x:c r="E706" s="76" t="d">
        <x:v>2026-09-01T00:00:00.000Z</x:v>
      </x:c>
      <x:c r="F706" s="69" t="str">
        <x:v>summer</x:v>
      </x:c>
      <x:c r="G706" s="69" t="str">
        <x:v>Winger — source label</x:v>
      </x:c>
      <x:c r="H706" s="78" t="n">
        <x:v>850000</x:v>
      </x:c>
      <x:c r="I706" s="69" t="str">
        <x:v>GBP</x:v>
      </x:c>
      <x:c r="J706" s="80"/>
      <x:c r="K706" s="82"/>
      <x:c r="L706" s="69" t="str">
        <x:v>Evidence needed</x:v>
      </x:c>
      <x:c r="M706" s="69" t="str">
        <x:v>Comparable buyer-specific scoring, creation, progression and availability evidence needed.</x:v>
      </x:c>
      <x:c r="N706" s="69" t="str">
        <x:v>Not assessed</x:v>
      </x:c>
      <x:c r="O706" s="69" t="str">
        <x:v>Source position and transfer quote only; production and age not validated for this specific deal.</x:v>
      </x:c>
      <x:c r="P706" s="69" t="str">
        <x:v>https://www.theguardian.com/football/ng-interactive/2026/sep/01/mens-transfer-window-summer-2026-all-deals-from-europes-top-five-leagues</x:v>
      </x:c>
    </x:row>
    <x:row r="707" ht="25" customHeight="1">
      <x:c r="A707" s="75" t="str">
        <x:v>summer-S26-1490</x:v>
      </x:c>
      <x:c r="B707" s="75" t="str">
        <x:v>Keito Nakamura</x:v>
      </x:c>
      <x:c r="C707" s="75" t="str">
        <x:v>Lyon</x:v>
      </x:c>
      <x:c r="D707" s="75" t="str">
        <x:v>Reims</x:v>
      </x:c>
      <x:c r="E707" s="77" t="d">
        <x:v>2026-09-02T00:00:00.000Z</x:v>
      </x:c>
      <x:c r="F707" s="75" t="str">
        <x:v>summer</x:v>
      </x:c>
      <x:c r="G707" s="75" t="str">
        <x:v>Winger — source label</x:v>
      </x:c>
      <x:c r="H707" s="79" t="n">
        <x:v>850000</x:v>
      </x:c>
      <x:c r="I707" s="75" t="str">
        <x:v>GBP</x:v>
      </x:c>
      <x:c r="J707" s="81"/>
      <x:c r="K707" s="83"/>
      <x:c r="L707" s="75" t="str">
        <x:v>Evidence needed</x:v>
      </x:c>
      <x:c r="M707" s="75" t="str">
        <x:v>Comparable buyer-specific scoring, creation, progression and availability evidence needed.</x:v>
      </x:c>
      <x:c r="N707" s="75" t="str">
        <x:v>Not assessed</x:v>
      </x:c>
      <x:c r="O707" s="75" t="str">
        <x:v>Source position and transfer quote only; production and age not validated for this specific deal.</x:v>
      </x:c>
      <x:c r="P707" s="75" t="str">
        <x:v>https://www.theguardian.com/football/ng-interactive/2026/sep/01/mens-transfer-window-summer-2026-all-deals-from-europes-top-five-leagues</x:v>
      </x:c>
    </x:row>
    <x:row r="708" ht="25" customHeight="1">
      <x:c r="A708" s="69" t="str">
        <x:v>summer-S26-1495</x:v>
      </x:c>
      <x:c r="B708" s="69" t="str">
        <x:v>Amar Fatah</x:v>
      </x:c>
      <x:c r="C708" s="69" t="str">
        <x:v>Lecce</x:v>
      </x:c>
      <x:c r="D708" s="69" t="str">
        <x:v>Troyes</x:v>
      </x:c>
      <x:c r="E708" s="76" t="d">
        <x:v>2026-08-25T00:00:00.000Z</x:v>
      </x:c>
      <x:c r="F708" s="69" t="str">
        <x:v>summer</x:v>
      </x:c>
      <x:c r="G708" s="69" t="str">
        <x:v>Winger — source label</x:v>
      </x:c>
      <x:c r="H708" s="78" t="n">
        <x:v>1200000</x:v>
      </x:c>
      <x:c r="I708" s="69" t="str">
        <x:v>GBP</x:v>
      </x:c>
      <x:c r="J708" s="80"/>
      <x:c r="K708" s="82"/>
      <x:c r="L708" s="69" t="str">
        <x:v>Evidence needed</x:v>
      </x:c>
      <x:c r="M708" s="69" t="str">
        <x:v>Comparable buyer-specific scoring, creation, progression and availability evidence needed.</x:v>
      </x:c>
      <x:c r="N708" s="69" t="str">
        <x:v>Not assessed</x:v>
      </x:c>
      <x:c r="O708" s="69" t="str">
        <x:v>Source position and transfer quote only; production and age not validated for this specific deal.</x:v>
      </x:c>
      <x:c r="P708" s="69" t="str">
        <x:v>https://www.theguardian.com/football/ng-interactive/2026/sep/01/mens-transfer-window-summer-2026-all-deals-from-europes-top-five-leagues</x:v>
      </x:c>
    </x:row>
    <x:row r="709" ht="25" customHeight="1">
      <x:c r="A709" s="75" t="str">
        <x:v>summer-S26-1502</x:v>
      </x:c>
      <x:c r="B709" s="75" t="str">
        <x:v>Luka Lynch</x:v>
      </x:c>
      <x:c r="C709" s="75" t="str">
        <x:v>Oxford United</x:v>
      </x:c>
      <x:c r="D709" s="75" t="str">
        <x:v>Aston Villa</x:v>
      </x:c>
      <x:c r="E709" s="77" t="d">
        <x:v>2026-09-02T00:00:00.000Z</x:v>
      </x:c>
      <x:c r="F709" s="75" t="str">
        <x:v>summer</x:v>
      </x:c>
      <x:c r="G709" s="75" t="str">
        <x:v>Winger — source label</x:v>
      </x:c>
      <x:c r="H709" s="79"/>
      <x:c r="I709" s="75" t="str">
        <x:v>GBP</x:v>
      </x:c>
      <x:c r="J709" s="81"/>
      <x:c r="K709" s="83"/>
      <x:c r="L709" s="75" t="str">
        <x:v>Evidence needed</x:v>
      </x:c>
      <x:c r="M709" s="75" t="str">
        <x:v>Comparable buyer-specific scoring, creation, progression and availability evidence needed. Loan/swap costs need separate treatment.</x:v>
      </x:c>
      <x:c r="N709" s="75" t="str">
        <x:v>Not assessed</x:v>
      </x:c>
      <x:c r="O709" s="75" t="str">
        <x:v>Source position and transfer quote only; production and age not validated for this specific deal.</x:v>
      </x:c>
      <x:c r="P709" s="75" t="str">
        <x:v>https://www.theguardian.com/football/ng-interactive/2026/sep/01/mens-transfer-window-summer-2026-all-deals-from-europes-top-five-leagues</x:v>
      </x:c>
    </x:row>
    <x:row r="710" ht="25" customHeight="1">
      <x:c r="A710" s="69" t="str">
        <x:v>summer-S26-1505</x:v>
      </x:c>
      <x:c r="B710" s="69" t="str">
        <x:v>Jesper Karlsson</x:v>
      </x:c>
      <x:c r="C710" s="69" t="str">
        <x:v>Servette</x:v>
      </x:c>
      <x:c r="D710" s="69" t="str">
        <x:v>Bologna</x:v>
      </x:c>
      <x:c r="E710" s="76" t="d">
        <x:v>2026-09-08T00:00:00.000Z</x:v>
      </x:c>
      <x:c r="F710" s="69" t="str">
        <x:v>summer</x:v>
      </x:c>
      <x:c r="G710" s="69" t="str">
        <x:v>Winger — source label</x:v>
      </x:c>
      <x:c r="H710" s="78"/>
      <x:c r="I710" s="69" t="str">
        <x:v>GBP</x:v>
      </x:c>
      <x:c r="J710" s="80"/>
      <x:c r="K710" s="82"/>
      <x:c r="L710" s="69" t="str">
        <x:v>Evidence needed</x:v>
      </x:c>
      <x:c r="M710" s="69" t="str">
        <x:v>Comparable buyer-specific scoring, creation, progression and availability evidence needed. Loan/swap costs need separate treatment.</x:v>
      </x:c>
      <x:c r="N710" s="69" t="str">
        <x:v>Not assessed</x:v>
      </x:c>
      <x:c r="O710" s="69" t="str">
        <x:v>Source position and transfer quote only; production and age not validated for this specific deal.</x:v>
      </x:c>
      <x:c r="P710" s="69" t="str">
        <x:v>https://www.theguardian.com/football/ng-interactive/2026/sep/01/mens-transfer-window-summer-2026-all-deals-from-europes-top-five-leagues</x:v>
      </x:c>
    </x:row>
    <x:row r="711" ht="25" customHeight="1">
      <x:c r="A711" s="75" t="str">
        <x:v>summer-S26-1516</x:v>
      </x:c>
      <x:c r="B711" s="75" t="str">
        <x:v>Wilfried Gnonto</x:v>
      </x:c>
      <x:c r="C711" s="75" t="str">
        <x:v>Fiorentina</x:v>
      </x:c>
      <x:c r="D711" s="75" t="str">
        <x:v>Leeds United</x:v>
      </x:c>
      <x:c r="E711" s="77" t="d">
        <x:v>2026-09-01T00:00:00.000Z</x:v>
      </x:c>
      <x:c r="F711" s="75" t="str">
        <x:v>summer</x:v>
      </x:c>
      <x:c r="G711" s="75" t="str">
        <x:v>Winger — source label</x:v>
      </x:c>
      <x:c r="H711" s="79"/>
      <x:c r="I711" s="75" t="str">
        <x:v>GBP</x:v>
      </x:c>
      <x:c r="J711" s="81"/>
      <x:c r="K711" s="83"/>
      <x:c r="L711" s="75" t="str">
        <x:v>Evidence needed</x:v>
      </x:c>
      <x:c r="M711" s="75" t="str">
        <x:v>Comparable buyer-specific scoring, creation, progression and availability evidence needed. Loan/swap costs need separate treatment.</x:v>
      </x:c>
      <x:c r="N711" s="75" t="str">
        <x:v>Not assessed</x:v>
      </x:c>
      <x:c r="O711" s="75" t="str">
        <x:v>Source position and transfer quote only; production and age not validated for this specific deal.</x:v>
      </x:c>
      <x:c r="P711" s="75" t="str">
        <x:v>https://www.theguardian.com/football/ng-interactive/2026/sep/01/mens-transfer-window-summer-2026-all-deals-from-europes-top-five-leagues</x:v>
      </x:c>
    </x:row>
    <x:row r="712" ht="25" customHeight="1">
      <x:c r="A712" s="69" t="str">
        <x:v>summer-S26-1519</x:v>
      </x:c>
      <x:c r="B712" s="69" t="str">
        <x:v>David Akintola</x:v>
      </x:c>
      <x:c r="C712" s="69" t="str">
        <x:v>Omonia Nicosia</x:v>
      </x:c>
      <x:c r="D712" s="69" t="str">
        <x:v>Hull City</x:v>
      </x:c>
      <x:c r="E712" s="76" t="d">
        <x:v>2026-09-10T00:00:00.000Z</x:v>
      </x:c>
      <x:c r="F712" s="69" t="str">
        <x:v>summer</x:v>
      </x:c>
      <x:c r="G712" s="69" t="str">
        <x:v>Winger — source label</x:v>
      </x:c>
      <x:c r="H712" s="78"/>
      <x:c r="I712" s="69" t="str">
        <x:v>GBP</x:v>
      </x:c>
      <x:c r="J712" s="80"/>
      <x:c r="K712" s="82"/>
      <x:c r="L712" s="69" t="str">
        <x:v>Evidence needed</x:v>
      </x:c>
      <x:c r="M712" s="69" t="str">
        <x:v>Comparable buyer-specific scoring, creation, progression and availability evidence needed. Free base fee does not represent wages or other costs.</x:v>
      </x:c>
      <x:c r="N712" s="69" t="str">
        <x:v>Not assessed</x:v>
      </x:c>
      <x:c r="O712" s="69" t="str">
        <x:v>Source position and transfer quote only; production and age not validated for this specific deal.</x:v>
      </x:c>
      <x:c r="P712" s="69" t="str">
        <x:v>https://www.theguardian.com/football/ng-interactive/2026/sep/01/mens-transfer-window-summer-2026-all-deals-from-europes-top-five-leagues</x:v>
      </x:c>
    </x:row>
    <x:row r="713" ht="25" customHeight="1">
      <x:c r="A713" s="75" t="str">
        <x:v>summer-S26-0010</x:v>
      </x:c>
      <x:c r="B713" s="75" t="str">
        <x:v>Anthony Gordon</x:v>
      </x:c>
      <x:c r="C713" s="75" t="str">
        <x:v>Barcelona</x:v>
      </x:c>
      <x:c r="D713" s="75" t="str">
        <x:v>Newcastle United</x:v>
      </x:c>
      <x:c r="E713" s="77" t="d">
        <x:v>2026-05-29T00:00:00.000Z</x:v>
      </x:c>
      <x:c r="F713" s="75" t="str">
        <x:v>summer</x:v>
      </x:c>
      <x:c r="G713" s="75" t="str">
        <x:v>Winger — source label</x:v>
      </x:c>
      <x:c r="H713" s="79" t="n">
        <x:v>69300000</x:v>
      </x:c>
      <x:c r="I713" s="75" t="str">
        <x:v>GBP</x:v>
      </x:c>
      <x:c r="J713" s="81"/>
      <x:c r="K713" s="83"/>
      <x:c r="L713" s="75" t="str">
        <x:v>Evidence needed</x:v>
      </x:c>
      <x:c r="M713" s="75" t="str">
        <x:v>Comparable buyer-specific scoring, creation, progression and availability evidence needed.</x:v>
      </x:c>
      <x:c r="N713" s="75" t="str">
        <x:v>Not assessed</x:v>
      </x:c>
      <x:c r="O713" s="75" t="str">
        <x:v>Source position and transfer quote only; production and age not validated for this specific deal.</x:v>
      </x:c>
      <x:c r="P713" s="75" t="str">
        <x:v>https://www.theguardian.com/football/ng-interactive/2026/sep/01/mens-transfer-window-summer-2026-all-deals-from-europes-top-five-leagues</x:v>
      </x:c>
    </x:row>
    <x:row r="714" ht="25" customHeight="1">
      <x:c r="A714" s="69" t="str">
        <x:v>summer-S26-0020</x:v>
      </x:c>
      <x:c r="B714" s="69" t="str">
        <x:v>Geovany Quenda</x:v>
      </x:c>
      <x:c r="C714" s="69" t="str">
        <x:v>Chelsea</x:v>
      </x:c>
      <x:c r="D714" s="69" t="str">
        <x:v>Sporting</x:v>
      </x:c>
      <x:c r="E714" s="76" t="d">
        <x:v>2026-07-08T00:00:00.000Z</x:v>
      </x:c>
      <x:c r="F714" s="69" t="str">
        <x:v>summer</x:v>
      </x:c>
      <x:c r="G714" s="69" t="str">
        <x:v>Winger — source label</x:v>
      </x:c>
      <x:c r="H714" s="78" t="n">
        <x:v>40000000</x:v>
      </x:c>
      <x:c r="I714" s="69" t="str">
        <x:v>GBP</x:v>
      </x:c>
      <x:c r="J714" s="80"/>
      <x:c r="K714" s="82"/>
      <x:c r="L714" s="69" t="str">
        <x:v>Evidence needed</x:v>
      </x:c>
      <x:c r="M714" s="69" t="str">
        <x:v>Comparable buyer-specific scoring, creation, progression and availability evidence needed.</x:v>
      </x:c>
      <x:c r="N714" s="69" t="str">
        <x:v>Not assessed</x:v>
      </x:c>
      <x:c r="O714" s="69" t="str">
        <x:v>Source position and transfer quote only; production and age not validated for this specific deal.</x:v>
      </x:c>
      <x:c r="P714" s="69" t="str">
        <x:v>https://www.theguardian.com/football/ng-interactive/2026/sep/01/mens-transfer-window-summer-2026-all-deals-from-europes-top-five-leagues</x:v>
      </x:c>
    </x:row>
    <x:row r="715" ht="25" customHeight="1">
      <x:c r="A715" s="75" t="str">
        <x:v>summer-S26-0779</x:v>
      </x:c>
      <x:c r="B715" s="75" t="str">
        <x:v>Yan Diomande</x:v>
      </x:c>
      <x:c r="C715" s="75" t="str">
        <x:v>Real Madrid</x:v>
      </x:c>
      <x:c r="D715" s="75" t="str">
        <x:v>RB Leipzig</x:v>
      </x:c>
      <x:c r="E715" s="77" t="d">
        <x:v>2026-08-06T00:00:00.000Z</x:v>
      </x:c>
      <x:c r="F715" s="75" t="str">
        <x:v>summer</x:v>
      </x:c>
      <x:c r="G715" s="75" t="str">
        <x:v>Winger — source label</x:v>
      </x:c>
      <x:c r="H715" s="79" t="n">
        <x:v>115700000</x:v>
      </x:c>
      <x:c r="I715" s="75" t="str">
        <x:v>GBP</x:v>
      </x:c>
      <x:c r="J715" s="81"/>
      <x:c r="K715" s="83"/>
      <x:c r="L715" s="75" t="str">
        <x:v>Evidence needed</x:v>
      </x:c>
      <x:c r="M715" s="75" t="str">
        <x:v>Comparable buyer-specific scoring, creation, progression and availability evidence needed.</x:v>
      </x:c>
      <x:c r="N715" s="75" t="str">
        <x:v>Not assessed</x:v>
      </x:c>
      <x:c r="O715" s="75" t="str">
        <x:v>Source position and transfer quote only; production and age not validated for this specific deal.</x:v>
      </x:c>
      <x:c r="P715" s="75" t="str">
        <x:v>https://www.theguardian.com/football/ng-interactive/2026/sep/01/mens-transfer-window-summer-2026-all-deals-from-europes-top-five-leagues</x:v>
      </x:c>
    </x:row>
    <x:row r="716" ht="25" customHeight="1">
      <x:c r="A716" s="69" t="str">
        <x:v>summer-S26-1364</x:v>
      </x:c>
      <x:c r="B716" s="69" t="str">
        <x:v>Iliman Ndiaye</x:v>
      </x:c>
      <x:c r="C716" s="69" t="str">
        <x:v>Manchester City</x:v>
      </x:c>
      <x:c r="D716" s="69" t="str">
        <x:v>Everton</x:v>
      </x:c>
      <x:c r="E716" s="76" t="d">
        <x:v>2026-09-01T00:00:00.000Z</x:v>
      </x:c>
      <x:c r="F716" s="69" t="str">
        <x:v>summer</x:v>
      </x:c>
      <x:c r="G716" s="69" t="str">
        <x:v>Winger — source label</x:v>
      </x:c>
      <x:c r="H716" s="78" t="n">
        <x:v>60000000</x:v>
      </x:c>
      <x:c r="I716" s="69" t="str">
        <x:v>GBP</x:v>
      </x:c>
      <x:c r="J716" s="80"/>
      <x:c r="K716" s="82"/>
      <x:c r="L716" s="69" t="str">
        <x:v>Evidence needed</x:v>
      </x:c>
      <x:c r="M716" s="69" t="str">
        <x:v>Comparable buyer-specific scoring, creation, progression and availability evidence needed.</x:v>
      </x:c>
      <x:c r="N716" s="69" t="str">
        <x:v>Not assessed</x:v>
      </x:c>
      <x:c r="O716" s="69" t="str">
        <x:v>Source position and transfer quote only; production and age not validated for this specific deal.</x:v>
      </x:c>
      <x:c r="P716" s="69" t="str">
        <x:v>https://www.theguardian.com/football/ng-interactive/2026/sep/01/mens-transfer-window-summer-2026-all-deals-from-europes-top-five-leagues</x:v>
      </x:c>
    </x:row>
    <x:row r="717" ht="25" customHeight="1">
      <x:c r="A717" s="75" t="str">
        <x:v>historical-5</x:v>
      </x:c>
      <x:c r="B717" s="75" t="str">
        <x:v>Morgan Rogers</x:v>
      </x:c>
      <x:c r="C717" s="75" t="str">
        <x:v>Chelsea</x:v>
      </x:c>
      <x:c r="D717" s="75" t="str">
        <x:v>Aston Villa</x:v>
      </x:c>
      <x:c r="E717" s="77" t="d">
        <x:v>2026-08-20T00:00:00.000Z</x:v>
      </x:c>
      <x:c r="F717" s="75" t="str">
        <x:v>historical</x:v>
      </x:c>
      <x:c r="G717" s="75" t="str">
        <x:v>CAM</x:v>
      </x:c>
      <x:c r="H717" s="79" t="n">
        <x:v>136000000</x:v>
      </x:c>
      <x:c r="I717" s="75" t="str">
        <x:v>EUR</x:v>
      </x:c>
      <x:c r="J717" s="81" t="n">
        <x:v>24</x:v>
      </x:c>
      <x:c r="K717" s="83"/>
      <x:c r="L717" s="75" t="str">
        <x:v>Evidence needed</x:v>
      </x:c>
      <x:c r="M717" s="75" t="str">
        <x:v>Recent workbook-only transfer. Verify the Chelsea purchase and buyer-specific return before rating.</x:v>
      </x:c>
      <x:c r="N717" s="75" t="str">
        <x:v>Not assessed</x:v>
      </x:c>
      <x:c r="O717" s="75" t="str">
        <x:v>Transfer identity, fee basis and buyer-specific production require verification.</x:v>
      </x:c>
      <x:c r="P717" s="75" t="str">
        <x:v>https://github.com/CopiousHighlights/football-transfer-market-analysis/blob/main/analysis/REMAINING_POSITION_RATINGS.md</x:v>
      </x:c>
    </x:row>
    <x:row r="718" ht="25" customHeight="1">
      <x:c r="A718" s="69" t="str">
        <x:v>historical-6</x:v>
      </x:c>
      <x:c r="B718" s="69" t="str">
        <x:v>Philippe Coutinho</x:v>
      </x:c>
      <x:c r="C718" s="69" t="str">
        <x:v>Barcelona</x:v>
      </x:c>
      <x:c r="D718" s="69" t="str">
        <x:v>Liverpool</x:v>
      </x:c>
      <x:c r="E718" s="76" t="d">
        <x:v>2018-01-08T00:00:00.000Z</x:v>
      </x:c>
      <x:c r="F718" s="69" t="str">
        <x:v>historical</x:v>
      </x:c>
      <x:c r="G718" s="69" t="str">
        <x:v>CAM</x:v>
      </x:c>
      <x:c r="H718" s="78" t="n">
        <x:v>135000000</x:v>
      </x:c>
      <x:c r="I718" s="69" t="str">
        <x:v>EUR</x:v>
      </x:c>
      <x:c r="J718" s="80" t="n">
        <x:v>26</x:v>
      </x:c>
      <x:c r="K718" s="82" t="n">
        <x:v>3.4</x:v>
      </x:c>
      <x:c r="L718" s="69" t="str">
        <x:v>Assistant draft</x:v>
      </x:c>
      <x:c r="M718" s="69" t="str">
        <x:v>A very large price bought a short-lived fit rather than a sustained Barcelona attacking return. The confirmed EUR20m sale to Villa reinforces my weak-value assessment.</x:v>
      </x:c>
      <x:c r="N718" s="69" t="str">
        <x:v>Low</x:v>
      </x:c>
      <x:c r="O718" s="69" t="str">
        <x:v>Qualitative editorial draft; source fees and signing ages retained, not independently certified. Role is an assistant classification. Production components are unavailable.</x:v>
      </x:c>
      <x:c r="P718" s="69" t="str">
        <x:v>https://www.fcbarcelona.com/en/news/2613776/agreement-with-aston-villa-to-transfer-philippe-coutinho</x:v>
      </x:c>
    </x:row>
    <x:row r="719" ht="25" customHeight="1">
      <x:c r="A719" s="75" t="str">
        <x:v>historical-9</x:v>
      </x:c>
      <x:c r="B719" s="75" t="str">
        <x:v>Jude Bellingham</x:v>
      </x:c>
      <x:c r="C719" s="75" t="str">
        <x:v>Real Madrid</x:v>
      </x:c>
      <x:c r="D719" s="75" t="str">
        <x:v>Dortmund</x:v>
      </x:c>
      <x:c r="E719" s="77" t="d">
        <x:v>2023-07-01T00:00:00.000Z</x:v>
      </x:c>
      <x:c r="F719" s="75" t="str">
        <x:v>historical</x:v>
      </x:c>
      <x:c r="G719" s="75" t="str">
        <x:v>CM</x:v>
      </x:c>
      <x:c r="H719" s="79" t="n">
        <x:v>127000000</x:v>
      </x:c>
      <x:c r="I719" s="75" t="str">
        <x:v>EUR</x:v>
      </x:c>
      <x:c r="J719" s="81" t="n">
        <x:v>20</x:v>
      </x:c>
      <x:c r="K719" s="83" t="n">
        <x:v>9.5</x:v>
      </x:c>
      <x:c r="L719" s="75" t="str">
        <x:v>Assistant draft</x:v>
      </x:c>
      <x:c r="M719" s="75" t="str">
        <x:v>Elite all-round influence, attacking upside and a young signing profile justify a premium. The very high fee prevents a near-perfect value score.</x:v>
      </x:c>
      <x:c r="N719" s="75" t="str">
        <x:v>Low</x:v>
      </x:c>
      <x:c r="O719" s="75" t="str">
        <x:v>Qualitative editorial draft; source fees and signing ages retained, not independently certified. Role is an assistant classification. Production components are unavailable.</x:v>
      </x:c>
      <x:c r="P719" s="75" t="str">
        <x:v>https://github.com/CopiousHighlights/football-transfer-market-analysis/blob/main/analysis/REMAINING_POSITION_RATINGS.md</x:v>
      </x:c>
    </x:row>
    <x:row r="720" ht="25" customHeight="1">
      <x:c r="A720" s="69" t="str">
        <x:v>historical-10</x:v>
      </x:c>
      <x:c r="B720" s="69" t="str">
        <x:v>Florian Wirtz</x:v>
      </x:c>
      <x:c r="C720" s="69" t="str">
        <x:v>Liverpool</x:v>
      </x:c>
      <x:c r="D720" s="69" t="str">
        <x:v>Leverkusen</x:v>
      </x:c>
      <x:c r="E720" s="76" t="d">
        <x:v>2025-07-01T00:00:00.000Z</x:v>
      </x:c>
      <x:c r="F720" s="69" t="str">
        <x:v>historical</x:v>
      </x:c>
      <x:c r="G720" s="69" t="str">
        <x:v>CAM</x:v>
      </x:c>
      <x:c r="H720" s="78" t="n">
        <x:v>125000000</x:v>
      </x:c>
      <x:c r="I720" s="69" t="str">
        <x:v>EUR</x:v>
      </x:c>
      <x:c r="J720" s="80" t="n">
        <x:v>22</x:v>
      </x:c>
      <x:c r="K720" s="82" t="n">
        <x:v>8.3</x:v>
      </x:c>
      <x:c r="L720" s="69" t="str">
        <x:v>Assistant draft</x:v>
      </x:c>
      <x:c r="M720" s="69" t="str">
        <x:v>Creative quality and development runway support the investment, but this major fee needs a sustained Liverpool return. A cautious provisional value assessment, not a verified production ranking.</x:v>
      </x:c>
      <x:c r="N720" s="69" t="str">
        <x:v>Low</x:v>
      </x:c>
      <x:c r="O720" s="69" t="str">
        <x:v>Qualitative editorial draft; source fees and signing ages retained, not independently certified. Role is an assistant classification. Production components are unavailable.</x:v>
      </x:c>
      <x:c r="P720" s="69" t="str">
        <x:v>https://github.com/CopiousHighlights/football-transfer-market-analysis/blob/main/analysis/REMAINING_POSITION_RATINGS.md</x:v>
      </x:c>
    </x:row>
    <x:row r="721" ht="25" customHeight="1">
      <x:c r="A721" s="75" t="str">
        <x:v>historical-21</x:v>
      </x:c>
      <x:c r="B721" s="75" t="str">
        <x:v>Paul Pogba</x:v>
      </x:c>
      <x:c r="C721" s="75" t="str">
        <x:v>Man Utd</x:v>
      </x:c>
      <x:c r="D721" s="75" t="str">
        <x:v>Juventus</x:v>
      </x:c>
      <x:c r="E721" s="77" t="d">
        <x:v>2016-08-09T00:00:00.000Z</x:v>
      </x:c>
      <x:c r="F721" s="75" t="str">
        <x:v>historical</x:v>
      </x:c>
      <x:c r="G721" s="75" t="str">
        <x:v>CM</x:v>
      </x:c>
      <x:c r="H721" s="79" t="n">
        <x:v>105000000</x:v>
      </x:c>
      <x:c r="I721" s="75" t="str">
        <x:v>EUR</x:v>
      </x:c>
      <x:c r="J721" s="81" t="n">
        <x:v>23</x:v>
      </x:c>
      <x:c r="K721" s="83" t="n">
        <x:v>6.2</x:v>
      </x:c>
      <x:c r="L721" s="75" t="str">
        <x:v>Assistant draft</x:v>
      </x:c>
      <x:c r="M721" s="75" t="str">
        <x:v>High technical ability and some strong contributions, but the enormous fee required a more consistent sustained return. My retrospective value judgment remains mixed.</x:v>
      </x:c>
      <x:c r="N721" s="75" t="str">
        <x:v>Low</x:v>
      </x:c>
      <x:c r="O721" s="75" t="str">
        <x:v>Qualitative editorial draft; source fees and signing ages retained, not independently certified. Role is an assistant classification. Production components are unavailable.</x:v>
      </x:c>
      <x:c r="P721" s="75" t="str">
        <x:v>https://github.com/CopiousHighlights/football-transfer-market-analysis/blob/main/analysis/REMAINING_POSITION_RATINGS.md</x:v>
      </x:c>
    </x:row>
    <x:row r="722" ht="25" customHeight="1">
      <x:c r="A722" s="69" t="str">
        <x:v>historical-24</x:v>
      </x:c>
      <x:c r="B722" s="69" t="str">
        <x:v>Mateus Fernandes</x:v>
      </x:c>
      <x:c r="C722" s="69" t="str">
        <x:v>Tottenham</x:v>
      </x:c>
      <x:c r="D722" s="69" t="str">
        <x:v>West Ham</x:v>
      </x:c>
      <x:c r="E722" s="76" t="d">
        <x:v>2026-07-02T00:00:00.000Z</x:v>
      </x:c>
      <x:c r="F722" s="69" t="str">
        <x:v>historical</x:v>
      </x:c>
      <x:c r="G722" s="69" t="str">
        <x:v>CM</x:v>
      </x:c>
      <x:c r="H722" s="78" t="n">
        <x:v>99000000</x:v>
      </x:c>
      <x:c r="I722" s="69" t="str">
        <x:v>EUR</x:v>
      </x:c>
      <x:c r="J722" s="80" t="n">
        <x:v>22</x:v>
      </x:c>
      <x:c r="K722" s="82"/>
      <x:c r="L722" s="69" t="str">
        <x:v>Evidence needed</x:v>
      </x:c>
      <x:c r="M722" s="69" t="str">
        <x:v>Recent workbook-only Tottenham transfer. Transfer verification and buyer-specific production are needed.</x:v>
      </x:c>
      <x:c r="N722" s="69" t="str">
        <x:v>Not assessed</x:v>
      </x:c>
      <x:c r="O722" s="69" t="str">
        <x:v>Transfer identity, fee basis and buyer-specific production require verification.</x:v>
      </x:c>
      <x:c r="P722" s="69" t="str">
        <x:v>https://github.com/CopiousHighlights/football-transfer-market-analysis/blob/main/analysis/REMAINING_POSITION_RATINGS.md</x:v>
      </x:c>
    </x:row>
    <x:row r="723" ht="25" customHeight="1">
      <x:c r="A723" s="75" t="str">
        <x:v>historical-31</x:v>
      </x:c>
      <x:c r="B723" s="75" t="str">
        <x:v>Josko Gvardiol</x:v>
      </x:c>
      <x:c r="C723" s="75" t="str">
        <x:v>Man City</x:v>
      </x:c>
      <x:c r="D723" s="75" t="str">
        <x:v>Leipzig</x:v>
      </x:c>
      <x:c r="E723" s="77" t="d">
        <x:v>2023-08-05T00:00:00.000Z</x:v>
      </x:c>
      <x:c r="F723" s="75" t="str">
        <x:v>historical</x:v>
      </x:c>
      <x:c r="G723" s="75" t="str">
        <x:v>CB</x:v>
      </x:c>
      <x:c r="H723" s="79" t="n">
        <x:v>90000000</x:v>
      </x:c>
      <x:c r="I723" s="75" t="str">
        <x:v>EUR</x:v>
      </x:c>
      <x:c r="J723" s="81" t="n">
        <x:v>21</x:v>
      </x:c>
      <x:c r="K723" s="83" t="n">
        <x:v>8.9</x:v>
      </x:c>
      <x:c r="L723" s="75" t="str">
        <x:v>Assistant draft</x:v>
      </x:c>
      <x:c r="M723" s="75" t="str">
        <x:v>Defensive quality, progression and left-sided versatility support long-term value from a young signing. The unusually large defensive fee limits the score.</x:v>
      </x:c>
      <x:c r="N723" s="75" t="str">
        <x:v>Low</x:v>
      </x:c>
      <x:c r="O723" s="75" t="str">
        <x:v>Qualitative editorial draft; source fees and signing ages retained, not independently certified. Role is an assistant classification. Production components are unavailable.</x:v>
      </x:c>
      <x:c r="P723" s="75" t="str">
        <x:v>https://github.com/CopiousHighlights/football-transfer-market-analysis/blob/main/analysis/REMAINING_POSITION_RATINGS.md</x:v>
      </x:c>
    </x:row>
    <x:row r="724" ht="25" customHeight="1">
      <x:c r="A724" s="69" t="str">
        <x:v>historical-33</x:v>
      </x:c>
      <x:c r="B724" s="69" t="str">
        <x:v>Harry Maguire</x:v>
      </x:c>
      <x:c r="C724" s="69" t="str">
        <x:v>Man Utd</x:v>
      </x:c>
      <x:c r="D724" s="69" t="str">
        <x:v>Leicester</x:v>
      </x:c>
      <x:c r="E724" s="76" t="d">
        <x:v>2019-08-05T00:00:00.000Z</x:v>
      </x:c>
      <x:c r="F724" s="69" t="str">
        <x:v>historical</x:v>
      </x:c>
      <x:c r="G724" s="69" t="str">
        <x:v>CB</x:v>
      </x:c>
      <x:c r="H724" s="78" t="n">
        <x:v>87000000</x:v>
      </x:c>
      <x:c r="I724" s="69" t="str">
        <x:v>EUR</x:v>
      </x:c>
      <x:c r="J724" s="80" t="n">
        <x:v>26</x:v>
      </x:c>
      <x:c r="K724" s="82" t="n">
        <x:v>6.1</x:v>
      </x:c>
      <x:c r="L724" s="69" t="str">
        <x:v>Assistant draft</x:v>
      </x:c>
      <x:c r="M724" s="69" t="str">
        <x:v>Useful defensive contribution does not fully justify this exceptionally high centre-back fee in my assessment. The price demanded a more convincing sustained elite return.</x:v>
      </x:c>
      <x:c r="N724" s="69" t="str">
        <x:v>Low</x:v>
      </x:c>
      <x:c r="O724" s="69" t="str">
        <x:v>Qualitative editorial draft; source fees and signing ages retained, not independently certified. Role is an assistant classification. Production components are unavailable.</x:v>
      </x:c>
      <x:c r="P724" s="69" t="str">
        <x:v>https://github.com/CopiousHighlights/football-transfer-market-analysis/blob/main/analysis/REMAINING_POSITION_RATINGS.md</x:v>
      </x:c>
    </x:row>
    <x:row r="725" ht="25" customHeight="1">
      <x:c r="A725" s="75" t="str">
        <x:v>historical-36</x:v>
      </x:c>
      <x:c r="B725" s="75" t="str">
        <x:v>Matthijs de Ligt</x:v>
      </x:c>
      <x:c r="C725" s="75" t="str">
        <x:v>Juventus</x:v>
      </x:c>
      <x:c r="D725" s="75" t="str">
        <x:v>Ajax</x:v>
      </x:c>
      <x:c r="E725" s="77" t="d">
        <x:v>2019-07-18T00:00:00.000Z</x:v>
      </x:c>
      <x:c r="F725" s="75" t="str">
        <x:v>historical</x:v>
      </x:c>
      <x:c r="G725" s="75" t="str">
        <x:v>CB</x:v>
      </x:c>
      <x:c r="H725" s="79" t="n">
        <x:v>85500000</x:v>
      </x:c>
      <x:c r="I725" s="75" t="str">
        <x:v>EUR</x:v>
      </x:c>
      <x:c r="J725" s="81" t="n">
        <x:v>20</x:v>
      </x:c>
      <x:c r="K725" s="83" t="n">
        <x:v>7.4</x:v>
      </x:c>
      <x:c r="L725" s="75" t="str">
        <x:v>Assistant draft</x:v>
      </x:c>
      <x:c r="M725" s="75" t="str">
        <x:v>Youth, aerial ability and development potential support the Juventus purchase. The very large fee makes the value case less compelling than the best defensive bargains.</x:v>
      </x:c>
      <x:c r="N725" s="75" t="str">
        <x:v>Low</x:v>
      </x:c>
      <x:c r="O725" s="75" t="str">
        <x:v>Qualitative editorial draft; source fees and signing ages retained, not independently certified. Role is an assistant classification. Production components are unavailable.</x:v>
      </x:c>
      <x:c r="P725" s="75" t="str">
        <x:v>https://github.com/CopiousHighlights/football-transfer-market-analysis/blob/main/analysis/REMAINING_POSITION_RATINGS.md</x:v>
      </x:c>
    </x:row>
    <x:row r="726" ht="25" customHeight="1">
      <x:c r="A726" s="69" t="str">
        <x:v>historical-41</x:v>
      </x:c>
      <x:c r="B726" s="69" t="str">
        <x:v>Virgil van Dijk</x:v>
      </x:c>
      <x:c r="C726" s="69" t="str">
        <x:v>Liverpool</x:v>
      </x:c>
      <x:c r="D726" s="69" t="str">
        <x:v>Southampton</x:v>
      </x:c>
      <x:c r="E726" s="76" t="d">
        <x:v>2018-01-01T00:00:00.000Z</x:v>
      </x:c>
      <x:c r="F726" s="69" t="str">
        <x:v>historical</x:v>
      </x:c>
      <x:c r="G726" s="69" t="str">
        <x:v>CB</x:v>
      </x:c>
      <x:c r="H726" s="78" t="n">
        <x:v>84650000</x:v>
      </x:c>
      <x:c r="I726" s="69" t="str">
        <x:v>EUR</x:v>
      </x:c>
      <x:c r="J726" s="80" t="n">
        <x:v>27</x:v>
      </x:c>
      <x:c r="K726" s="82" t="n">
        <x:v>9.8</x:v>
      </x:c>
      <x:c r="L726" s="69" t="str">
        <x:v>Assistant draft</x:v>
      </x:c>
      <x:c r="M726" s="69" t="str">
        <x:v>Sustained defensive impact and Liverpool success justify the premium. Liverpool documents his major contribution across Champions League and Premier League winning campaigns.</x:v>
      </x:c>
      <x:c r="N726" s="69" t="str">
        <x:v>Low</x:v>
      </x:c>
      <x:c r="O726" s="69" t="str">
        <x:v>Qualitative editorial draft; source fees and signing ages retained, not independently certified. Role is an assistant classification. Production components are unavailable.</x:v>
      </x:c>
      <x:c r="P726" s="69" t="str">
        <x:v>https://www.liverpoolfc.com/news/liverpools-greatest-no8-virgil-van-dijk</x:v>
      </x:c>
    </x:row>
    <x:row r="727" ht="25" customHeight="1">
      <x:c r="A727" s="75" t="str">
        <x:v>historical-44</x:v>
      </x:c>
      <x:c r="B727" s="75" t="str">
        <x:v>Wesley Fofana</x:v>
      </x:c>
      <x:c r="C727" s="75" t="str">
        <x:v>Chelsea</x:v>
      </x:c>
      <x:c r="D727" s="75" t="str">
        <x:v>Leicester</x:v>
      </x:c>
      <x:c r="E727" s="77" t="d">
        <x:v>2022-08-31T00:00:00.000Z</x:v>
      </x:c>
      <x:c r="F727" s="75" t="str">
        <x:v>historical</x:v>
      </x:c>
      <x:c r="G727" s="75" t="str">
        <x:v>CB</x:v>
      </x:c>
      <x:c r="H727" s="79" t="n">
        <x:v>80400000</x:v>
      </x:c>
      <x:c r="I727" s="75" t="str">
        <x:v>EUR</x:v>
      </x:c>
      <x:c r="J727" s="81" t="n">
        <x:v>22</x:v>
      </x:c>
      <x:c r="K727" s="83" t="n">
        <x:v>4.8</x:v>
      </x:c>
      <x:c r="L727" s="75" t="str">
        <x:v>Assistant draft</x:v>
      </x:c>
      <x:c r="M727" s="75" t="str">
        <x:v>Defensive talent and youth offered upside, but Chelsea confirms serious knee surgery and a lost 2023/24 season. Availability sharply weakens the return on this large fee.</x:v>
      </x:c>
      <x:c r="N727" s="75" t="str">
        <x:v>Low</x:v>
      </x:c>
      <x:c r="O727" s="75" t="str">
        <x:v>Qualitative editorial draft; source fees and signing ages retained, not independently certified. Role is an assistant classification. Production components are unavailable.</x:v>
      </x:c>
      <x:c r="P727" s="75" t="str">
        <x:v>https://www.chelseafc.com/en/news/article/interview-how-the-long-road-to-recovery-changed-wesley-fofana</x:v>
      </x:c>
    </x:row>
    <x:row r="728" ht="25" customHeight="1">
      <x:c r="A728" s="69" t="str">
        <x:v>historical-45</x:v>
      </x:c>
      <x:c r="B728" s="69" t="str">
        <x:v>Lucas Hernández</x:v>
      </x:c>
      <x:c r="C728" s="69" t="str">
        <x:v>Bayern Munich</x:v>
      </x:c>
      <x:c r="D728" s="69" t="str">
        <x:v>Atlético</x:v>
      </x:c>
      <x:c r="E728" s="76" t="d">
        <x:v>2019-07-01T00:00:00.000Z</x:v>
      </x:c>
      <x:c r="F728" s="69" t="str">
        <x:v>historical</x:v>
      </x:c>
      <x:c r="G728" s="69" t="str">
        <x:v>CB</x:v>
      </x:c>
      <x:c r="H728" s="78" t="n">
        <x:v>80000000</x:v>
      </x:c>
      <x:c r="I728" s="69" t="str">
        <x:v>EUR</x:v>
      </x:c>
      <x:c r="J728" s="80" t="n">
        <x:v>23</x:v>
      </x:c>
      <x:c r="K728" s="82" t="n">
        <x:v>6.8</x:v>
      </x:c>
      <x:c r="L728" s="69" t="str">
        <x:v>Assistant draft</x:v>
      </x:c>
      <x:c r="M728" s="69" t="str">
        <x:v>Defensive versatility offered useful quality, but a high purchase price makes my retrospective Bayern value judgment mixed. Comparable availability and minutes need review.</x:v>
      </x:c>
      <x:c r="N728" s="69" t="str">
        <x:v>Low</x:v>
      </x:c>
      <x:c r="O728" s="69" t="str">
        <x:v>Qualitative editorial draft; source fees and signing ages retained, not independently certified. Role is an assistant classification. Production components are unavailable.</x:v>
      </x:c>
      <x:c r="P728" s="69" t="str">
        <x:v>https://github.com/CopiousHighlights/football-transfer-market-analysis/blob/main/analysis/REMAINING_POSITION_RATINGS.md</x:v>
      </x:c>
    </x:row>
    <x:row r="729" ht="25" customHeight="1">
      <x:c r="A729" s="75" t="str">
        <x:v>historical-49</x:v>
      </x:c>
      <x:c r="B729" s="75" t="str">
        <x:v>Kepa Arrizabalaga</x:v>
      </x:c>
      <x:c r="C729" s="75" t="str">
        <x:v>Chelsea</x:v>
      </x:c>
      <x:c r="D729" s="75" t="str">
        <x:v>Athletic Club</x:v>
      </x:c>
      <x:c r="E729" s="77" t="d">
        <x:v>2018-08-08T00:00:00.000Z</x:v>
      </x:c>
      <x:c r="F729" s="75" t="str">
        <x:v>historical</x:v>
      </x:c>
      <x:c r="G729" s="75" t="str">
        <x:v>GK</x:v>
      </x:c>
      <x:c r="H729" s="79" t="n">
        <x:v>80000000</x:v>
      </x:c>
      <x:c r="I729" s="75" t="str">
        <x:v>EUR</x:v>
      </x:c>
      <x:c r="J729" s="81" t="n">
        <x:v>24</x:v>
      </x:c>
      <x:c r="K729" s="83" t="n">
        <x:v>4.6</x:v>
      </x:c>
      <x:c r="L729" s="75" t="str">
        <x:v>Assistant draft</x:v>
      </x:c>
      <x:c r="M729" s="75" t="str">
        <x:v>A goalkeeper record-level investment demanded a much stronger sustained value case. My draft weighs the price heavily; shot-stopping and total acquisition costs need a full statistical review.</x:v>
      </x:c>
      <x:c r="N729" s="75" t="str">
        <x:v>Low</x:v>
      </x:c>
      <x:c r="O729" s="75" t="str">
        <x:v>Qualitative editorial draft; source fees and signing ages retained, not independently certified. Role is an assistant classification. Production components are unavailable.</x:v>
      </x:c>
      <x:c r="P729" s="75" t="str">
        <x:v>https://github.com/CopiousHighlights/football-transfer-market-analysis/blob/main/analysis/REMAINING_POSITION_RATINGS.md</x:v>
      </x:c>
    </x:row>
    <x:row r="730" ht="25" customHeight="1">
      <x:c r="A730" s="69" t="str">
        <x:v>historical-57</x:v>
      </x:c>
      <x:c r="B730" s="69" t="str">
        <x:v>Kevin De Bruyne</x:v>
      </x:c>
      <x:c r="C730" s="69" t="str">
        <x:v>Man City</x:v>
      </x:c>
      <x:c r="D730" s="69" t="str">
        <x:v>Wolfsburg</x:v>
      </x:c>
      <x:c r="E730" s="76" t="d">
        <x:v>2015-08-30T00:00:00.000Z</x:v>
      </x:c>
      <x:c r="F730" s="69" t="str">
        <x:v>historical</x:v>
      </x:c>
      <x:c r="G730" s="69" t="str">
        <x:v>CAM</x:v>
      </x:c>
      <x:c r="H730" s="78" t="n">
        <x:v>76000000</x:v>
      </x:c>
      <x:c r="I730" s="69" t="str">
        <x:v>EUR</x:v>
      </x:c>
      <x:c r="J730" s="80" t="n">
        <x:v>24</x:v>
      </x:c>
      <x:c r="K730" s="82" t="n">
        <x:v>9.9</x:v>
      </x:c>
      <x:c r="L730" s="69" t="str">
        <x:v>Assistant draft</x:v>
      </x:c>
      <x:c r="M730" s="69" t="str">
        <x:v>Exceptional sustained creation and scoring over a long City spell outweigh the substantial fee. City confirms 422 appearances, 108 goals and 170 assists at his departure.</x:v>
      </x:c>
      <x:c r="N730" s="69" t="str">
        <x:v>Low</x:v>
      </x:c>
      <x:c r="O730" s="69" t="str">
        <x:v>Qualitative editorial draft; source fees and signing ages retained, not independently certified. Role is an assistant classification. Production components are unavailable.</x:v>
      </x:c>
      <x:c r="P730" s="69" t="str">
        <x:v>https://www.mancity.com/citytv/mens/kevin-de-bruyne-manchester-city-final-week-behind-the-scenes-63885336</x:v>
      </x:c>
    </x:row>
    <x:row r="731" ht="25" customHeight="1">
      <x:c r="A731" s="75" t="str">
        <x:v>historical-64</x:v>
      </x:c>
      <x:c r="B731" s="75" t="str">
        <x:v>James Rodríguez</x:v>
      </x:c>
      <x:c r="C731" s="75" t="str">
        <x:v>Real Madrid</x:v>
      </x:c>
      <x:c r="D731" s="75" t="str">
        <x:v>Monaco</x:v>
      </x:c>
      <x:c r="E731" s="77" t="d">
        <x:v>2014-07-22T00:00:00.000Z</x:v>
      </x:c>
      <x:c r="F731" s="75" t="str">
        <x:v>historical</x:v>
      </x:c>
      <x:c r="G731" s="75" t="str">
        <x:v>CAM</x:v>
      </x:c>
      <x:c r="H731" s="79" t="n">
        <x:v>75000000</x:v>
      </x:c>
      <x:c r="I731" s="75" t="str">
        <x:v>EUR</x:v>
      </x:c>
      <x:c r="J731" s="81" t="n">
        <x:v>23</x:v>
      </x:c>
      <x:c r="K731" s="83" t="n">
        <x:v>7.1</x:v>
      </x:c>
      <x:c r="L731" s="75" t="str">
        <x:v>Assistant draft</x:v>
      </x:c>
      <x:c r="M731" s="75" t="str">
        <x:v>Creative ability and early attacking quality support value, but the major fee needed a longer, more consistent central role at Madrid. A retrospective editorial assessment.</x:v>
      </x:c>
      <x:c r="N731" s="75" t="str">
        <x:v>Low</x:v>
      </x:c>
      <x:c r="O731" s="75" t="str">
        <x:v>Qualitative editorial draft; source fees and signing ages retained, not independently certified. Role is an assistant classification. Production components are unavailable.</x:v>
      </x:c>
      <x:c r="P731" s="75" t="str">
        <x:v>https://github.com/CopiousHighlights/football-transfer-market-analysis/blob/main/analysis/REMAINING_POSITION_RATINGS.md</x:v>
      </x:c>
    </x:row>
    <x:row r="732" ht="25" customHeight="1">
      <x:c r="A732" s="69" t="str">
        <x:v>historical-69</x:v>
      </x:c>
      <x:c r="B732" s="69" t="str">
        <x:v>Alisson</x:v>
      </x:c>
      <x:c r="C732" s="69" t="str">
        <x:v>Liverpool</x:v>
      </x:c>
      <x:c r="D732" s="69" t="str">
        <x:v>Roma</x:v>
      </x:c>
      <x:c r="E732" s="76" t="d">
        <x:v>2018-07-19T00:00:00.000Z</x:v>
      </x:c>
      <x:c r="F732" s="69" t="str">
        <x:v>historical</x:v>
      </x:c>
      <x:c r="G732" s="69" t="str">
        <x:v>GK</x:v>
      </x:c>
      <x:c r="H732" s="78" t="n">
        <x:v>72500000</x:v>
      </x:c>
      <x:c r="I732" s="69" t="str">
        <x:v>EUR</x:v>
      </x:c>
      <x:c r="J732" s="80" t="n">
        <x:v>26</x:v>
      </x:c>
      <x:c r="K732" s="82" t="n">
        <x:v>9.7</x:v>
      </x:c>
      <x:c r="L732" s="69" t="str">
        <x:v>Assistant draft</x:v>
      </x:c>
      <x:c r="M732" s="69" t="str">
        <x:v>Long-term top-level goalkeeping and title-winning impact justify the premium. Liverpool documents more than 300 appearances and seven trophies by September 2025.</x:v>
      </x:c>
      <x:c r="N732" s="69" t="str">
        <x:v>Low</x:v>
      </x:c>
      <x:c r="O732" s="69" t="str">
        <x:v>Qualitative editorial draft; source fees and signing ages retained, not independently certified. Role is an assistant classification. Production components are unavailable.</x:v>
      </x:c>
      <x:c r="P732" s="69" t="str">
        <x:v>https://www.liverpoolfc.com/news/alisson-becker-i-always-try-improve-and-be-ready-make-difference</x:v>
      </x:c>
    </x:row>
    <x:row r="733" ht="25" customHeight="1">
      <x:c r="A733" s="75" t="str">
        <x:v>historical-71</x:v>
      </x:c>
      <x:c r="B733" s="75" t="str">
        <x:v>Thomas Lemar</x:v>
      </x:c>
      <x:c r="C733" s="75" t="str">
        <x:v>Atlético</x:v>
      </x:c>
      <x:c r="D733" s="75" t="str">
        <x:v>Monaco</x:v>
      </x:c>
      <x:c r="E733" s="77" t="d">
        <x:v>2018-07-01T00:00:00.000Z</x:v>
      </x:c>
      <x:c r="F733" s="75" t="str">
        <x:v>historical</x:v>
      </x:c>
      <x:c r="G733" s="75" t="str">
        <x:v>CM</x:v>
      </x:c>
      <x:c r="H733" s="79" t="n">
        <x:v>72000000</x:v>
      </x:c>
      <x:c r="I733" s="75" t="str">
        <x:v>EUR</x:v>
      </x:c>
      <x:c r="J733" s="81" t="n">
        <x:v>23</x:v>
      </x:c>
      <x:c r="K733" s="83" t="n">
        <x:v>5.4</x:v>
      </x:c>
      <x:c r="L733" s="75" t="str">
        <x:v>Assistant draft</x:v>
      </x:c>
      <x:c r="M733" s="75" t="str">
        <x:v>Technical and creative quality offered upside, but the large Atletico fee sets a high bar for consistent playing return. My value judgment is cautious pending comparable minutes and production.</x:v>
      </x:c>
      <x:c r="N733" s="75" t="str">
        <x:v>Low</x:v>
      </x:c>
      <x:c r="O733" s="75" t="str">
        <x:v>Qualitative editorial draft; source fees and signing ages retained, not independently certified. Role is an assistant classification. Production components are unavailable.</x:v>
      </x:c>
      <x:c r="P733" s="75" t="str">
        <x:v>https://github.com/CopiousHighlights/football-transfer-market-analysis/blob/main/analysis/REMAINING_POSITION_RATINGS.md</x:v>
      </x:c>
    </x:row>
    <x:row r="734" ht="25" customHeight="1">
      <x:c r="A734" s="69" t="str">
        <x:v>historical-72</x:v>
      </x:c>
      <x:c r="B734" s="69" t="str">
        <x:v>Rúben Dias</x:v>
      </x:c>
      <x:c r="C734" s="69" t="str">
        <x:v>Man City</x:v>
      </x:c>
      <x:c r="D734" s="69" t="str">
        <x:v>Benfica</x:v>
      </x:c>
      <x:c r="E734" s="76" t="d">
        <x:v>2020-09-29T00:00:00.000Z</x:v>
      </x:c>
      <x:c r="F734" s="69" t="str">
        <x:v>historical</x:v>
      </x:c>
      <x:c r="G734" s="69" t="str">
        <x:v>CB</x:v>
      </x:c>
      <x:c r="H734" s="78" t="n">
        <x:v>71600000</x:v>
      </x:c>
      <x:c r="I734" s="69" t="str">
        <x:v>EUR</x:v>
      </x:c>
      <x:c r="J734" s="80" t="n">
        <x:v>23</x:v>
      </x:c>
      <x:c r="K734" s="82" t="n">
        <x:v>9.5</x:v>
      </x:c>
      <x:c r="L734" s="69" t="str">
        <x:v>Assistant draft</x:v>
      </x:c>
      <x:c r="M734" s="69" t="str">
        <x:v>Immediate defensive influence and long useful runway support outstanding value. City confirms the 2021 FWA award and his major first-season impact.</x:v>
      </x:c>
      <x:c r="N734" s="69" t="str">
        <x:v>Low</x:v>
      </x:c>
      <x:c r="O734" s="69" t="str">
        <x:v>Qualitative editorial draft; source fees and signing ages retained, not independently certified. Role is an assistant classification. Production components are unavailable.</x:v>
      </x:c>
      <x:c r="P734" s="69" t="str">
        <x:v>https://www.mancity.com/news/mens/ruben-dias-named-fwa-player-of-the-year-63757095</x:v>
      </x:c>
    </x:row>
    <x:row r="735" ht="25" customHeight="1">
      <x:c r="A735" s="75" t="str">
        <x:v>historical-78</x:v>
      </x:c>
      <x:c r="B735" s="75" t="str">
        <x:v>Dominik Szoboszlai</x:v>
      </x:c>
      <x:c r="C735" s="75" t="str">
        <x:v>Liverpool</x:v>
      </x:c>
      <x:c r="D735" s="75" t="str">
        <x:v>Leipzig</x:v>
      </x:c>
      <x:c r="E735" s="77" t="d">
        <x:v>2023-07-02T00:00:00.000Z</x:v>
      </x:c>
      <x:c r="F735" s="75" t="str">
        <x:v>historical</x:v>
      </x:c>
      <x:c r="G735" s="75" t="str">
        <x:v>CM</x:v>
      </x:c>
      <x:c r="H735" s="79" t="n">
        <x:v>70000000</x:v>
      </x:c>
      <x:c r="I735" s="75" t="str">
        <x:v>EUR</x:v>
      </x:c>
      <x:c r="J735" s="81" t="n">
        <x:v>23</x:v>
      </x:c>
      <x:c r="K735" s="83" t="n">
        <x:v>8.8</x:v>
      </x:c>
      <x:c r="L735" s="75" t="str">
        <x:v>Assistant draft</x:v>
      </x:c>
      <x:c r="M735" s="75" t="str">
        <x:v>Pressing, ball progression and attacking versatility support strong value at a useful signing age. The sizeable price keeps him below the exceptional long-term benchmarks.</x:v>
      </x:c>
      <x:c r="N735" s="75" t="str">
        <x:v>Low</x:v>
      </x:c>
      <x:c r="O735" s="75" t="str">
        <x:v>Qualitative editorial draft; source fees and signing ages retained, not independently certified. Role is an assistant classification. Production components are unavailable.</x:v>
      </x:c>
      <x:c r="P735" s="75" t="str">
        <x:v>https://github.com/CopiousHighlights/football-transfer-market-analysis/blob/main/analysis/REMAINING_POSITION_RATINGS.md</x:v>
      </x:c>
    </x:row>
    <x:row r="736" ht="25" customHeight="1">
      <x:c r="A736" s="69" t="str">
        <x:v>historical-79</x:v>
      </x:c>
      <x:c r="B736" s="69" t="str">
        <x:v>Eberechi Eze</x:v>
      </x:c>
      <x:c r="C736" s="69" t="str">
        <x:v>Arsenal</x:v>
      </x:c>
      <x:c r="D736" s="69" t="str">
        <x:v>Crystal Palace</x:v>
      </x:c>
      <x:c r="E736" s="76" t="d">
        <x:v>2025-08-23T00:00:00.000Z</x:v>
      </x:c>
      <x:c r="F736" s="69" t="str">
        <x:v>historical</x:v>
      </x:c>
      <x:c r="G736" s="69" t="str">
        <x:v>CAM</x:v>
      </x:c>
      <x:c r="H736" s="78" t="n">
        <x:v>69300000</x:v>
      </x:c>
      <x:c r="I736" s="69" t="str">
        <x:v>EUR</x:v>
      </x:c>
      <x:c r="J736" s="80" t="n">
        <x:v>27</x:v>
      </x:c>
      <x:c r="K736" s="82" t="n">
        <x:v>8.2</x:v>
      </x:c>
      <x:c r="L736" s="69" t="str">
        <x:v>Assistant draft</x:v>
      </x:c>
      <x:c r="M736" s="69" t="str">
        <x:v>Creative ability and Premier League experience support the deal. A substantial fee and shorter developmental runway require sustained Arsenal production; this remains provisional.</x:v>
      </x:c>
      <x:c r="N736" s="69" t="str">
        <x:v>Low</x:v>
      </x:c>
      <x:c r="O736" s="69" t="str">
        <x:v>Qualitative editorial draft; source fees and signing ages retained, not independently certified. Role is an assistant classification. Production components are unavailable.</x:v>
      </x:c>
      <x:c r="P736" s="69" t="str">
        <x:v>https://github.com/CopiousHighlights/football-transfer-market-analysis/blob/main/analysis/REMAINING_POSITION_RATINGS.md</x:v>
      </x:c>
    </x:row>
    <x:row r="737" ht="25" customHeight="1">
      <x:c r="A737" s="75" t="str">
        <x:v>historical-80</x:v>
      </x:c>
      <x:c r="B737" s="75" t="str">
        <x:v>Achraf Hakimi</x:v>
      </x:c>
      <x:c r="C737" s="75" t="str">
        <x:v>PSG</x:v>
      </x:c>
      <x:c r="D737" s="75" t="str">
        <x:v>Inter</x:v>
      </x:c>
      <x:c r="E737" s="77" t="d">
        <x:v>2021-07-06T00:00:00.000Z</x:v>
      </x:c>
      <x:c r="F737" s="75" t="str">
        <x:v>historical</x:v>
      </x:c>
      <x:c r="G737" s="75" t="str">
        <x:v>RB</x:v>
      </x:c>
      <x:c r="H737" s="79" t="n">
        <x:v>68000000</x:v>
      </x:c>
      <x:c r="I737" s="75" t="str">
        <x:v>EUR</x:v>
      </x:c>
      <x:c r="J737" s="81" t="n">
        <x:v>23</x:v>
      </x:c>
      <x:c r="K737" s="83" t="n">
        <x:v>9.5</x:v>
      </x:c>
      <x:c r="L737" s="75" t="str">
        <x:v>Assistant draft</x:v>
      </x:c>
      <x:c r="M737" s="75" t="str">
        <x:v>Progression and attacking threat provide exceptional full-back value over several seasons. UEFA confirms his opening goal in the 2025 Champions League final; the large price prevents a near-perfect score.</x:v>
      </x:c>
      <x:c r="N737" s="75" t="str">
        <x:v>Low</x:v>
      </x:c>
      <x:c r="O737" s="75" t="str">
        <x:v>Qualitative editorial draft; source fees and signing ages retained, not independently certified. Role is an assistant classification. Production components are unavailable.</x:v>
      </x:c>
      <x:c r="P737" s="75" t="str">
        <x:v>https://www.uefa.com/uefachampionsleague/news/0299-1de417608530-15b01ff7b150-1000--paris-win-champions-league-desire-doue-double-helps-secure/</x:v>
      </x:c>
    </x:row>
    <x:row r="738" ht="25" customHeight="1">
      <x:c r="A738" s="69" t="str">
        <x:v>historical-82</x:v>
      </x:c>
      <x:c r="B738" s="69" t="str">
        <x:v>Mason Mount</x:v>
      </x:c>
      <x:c r="C738" s="69" t="str">
        <x:v>Man Utd</x:v>
      </x:c>
      <x:c r="D738" s="69" t="str">
        <x:v>Chelsea</x:v>
      </x:c>
      <x:c r="E738" s="76" t="d">
        <x:v>2023-07-05T00:00:00.000Z</x:v>
      </x:c>
      <x:c r="F738" s="69" t="str">
        <x:v>historical</x:v>
      </x:c>
      <x:c r="G738" s="69" t="str">
        <x:v>CAM</x:v>
      </x:c>
      <x:c r="H738" s="78" t="n">
        <x:v>67700000</x:v>
      </x:c>
      <x:c r="I738" s="69" t="str">
        <x:v>EUR</x:v>
      </x:c>
      <x:c r="J738" s="80" t="n">
        <x:v>24</x:v>
      </x:c>
      <x:c r="K738" s="82" t="n">
        <x:v>4.9</x:v>
      </x:c>
      <x:c r="L738" s="69" t="str">
        <x:v>Assistant draft</x:v>
      </x:c>
      <x:c r="M738" s="69" t="str">
        <x:v>United documents injury-affected early seasons, restricting the return on a major fee. Talent and some meaningful contributions prevent an even lower draft.</x:v>
      </x:c>
      <x:c r="N738" s="69" t="str">
        <x:v>Low</x:v>
      </x:c>
      <x:c r="O738" s="69" t="str">
        <x:v>Qualitative editorial draft; source fees and signing ages retained, not independently certified. Role is an assistant classification. Production components are unavailable.</x:v>
      </x:c>
      <x:c r="P738" s="69" t="str">
        <x:v>https://www.manutd.com/en/teams/mens-team/mason-mount</x:v>
      </x:c>
    </x:row>
    <x:row r="739" ht="25" customHeight="1">
      <x:c r="A739" s="75" t="str">
        <x:v>historical-83</x:v>
      </x:c>
      <x:c r="B739" s="75" t="str">
        <x:v>Matthijs de Ligt</x:v>
      </x:c>
      <x:c r="C739" s="75" t="str">
        <x:v>Bayern Munich</x:v>
      </x:c>
      <x:c r="D739" s="75" t="str">
        <x:v>Juventus</x:v>
      </x:c>
      <x:c r="E739" s="77" t="d">
        <x:v>2022-07-19T00:00:00.000Z</x:v>
      </x:c>
      <x:c r="F739" s="75" t="str">
        <x:v>historical</x:v>
      </x:c>
      <x:c r="G739" s="75" t="str">
        <x:v>CB</x:v>
      </x:c>
      <x:c r="H739" s="79" t="n">
        <x:v>67000000</x:v>
      </x:c>
      <x:c r="I739" s="75" t="str">
        <x:v>EUR</x:v>
      </x:c>
      <x:c r="J739" s="81" t="n">
        <x:v>23</x:v>
      </x:c>
      <x:c r="K739" s="83" t="n">
        <x:v>7.9</x:v>
      </x:c>
      <x:c r="L739" s="75" t="str">
        <x:v>Assistant draft</x:v>
      </x:c>
      <x:c r="M739" s="75" t="str">
        <x:v>A lower price than his separate Juventus purchase improves the Bayern value case. Defensive quality and age help, but the shorter buyer-specific spell limits my score.</x:v>
      </x:c>
      <x:c r="N739" s="75" t="str">
        <x:v>Low</x:v>
      </x:c>
      <x:c r="O739" s="75" t="str">
        <x:v>Qualitative editorial draft; source fees and signing ages retained, not independently certified. Role is an assistant classification. Production components are unavailable.</x:v>
      </x:c>
      <x:c r="P739" s="75" t="str">
        <x:v>https://github.com/CopiousHighlights/football-transfer-market-analysis/blob/main/analysis/REMAINING_POSITION_RATINGS.md</x:v>
      </x:c>
    </x:row>
    <x:row r="740" ht="25" customHeight="1">
      <x:c r="A740" s="69" t="str">
        <x:v>historical-87</x:v>
      </x:c>
      <x:c r="B740" s="69" t="str">
        <x:v>Marc Cucurella</x:v>
      </x:c>
      <x:c r="C740" s="69" t="str">
        <x:v>Chelsea</x:v>
      </x:c>
      <x:c r="D740" s="69" t="str">
        <x:v>Brighton</x:v>
      </x:c>
      <x:c r="E740" s="76" t="d">
        <x:v>2022-08-05T00:00:00.000Z</x:v>
      </x:c>
      <x:c r="F740" s="69" t="str">
        <x:v>historical</x:v>
      </x:c>
      <x:c r="G740" s="69" t="str">
        <x:v>LB</x:v>
      </x:c>
      <x:c r="H740" s="78" t="n">
        <x:v>65300000</x:v>
      </x:c>
      <x:c r="I740" s="69" t="str">
        <x:v>EUR</x:v>
      </x:c>
      <x:c r="J740" s="80" t="n">
        <x:v>24</x:v>
      </x:c>
      <x:c r="K740" s="82" t="n">
        <x:v>8</x:v>
      </x:c>
      <x:c r="L740" s="69" t="str">
        <x:v>Assistant draft</x:v>
      </x:c>
      <x:c r="M740" s="69" t="str">
        <x:v>Defensive and possession versatility support useful value, but the very large full-back price requires a strong sustained return. My draft remains below the best-value full-back purchases.</x:v>
      </x:c>
      <x:c r="N740" s="69" t="str">
        <x:v>Low</x:v>
      </x:c>
      <x:c r="O740" s="69" t="str">
        <x:v>Qualitative editorial draft; source fees and signing ages retained, not independently certified. Role is an assistant classification. Production components are unavailable.</x:v>
      </x:c>
      <x:c r="P740" s="69" t="str">
        <x:v>https://github.com/CopiousHighlights/football-transfer-market-analysis/blob/main/analysis/REMAINING_POSITION_RATINGS.md</x:v>
      </x:c>
    </x:row>
    <x:row r="741" ht="25" customHeight="1">
      <x:c r="A741" s="75" t="str">
        <x:v>historical-89</x:v>
      </x:c>
      <x:c r="B741" s="75" t="str">
        <x:v>Xavi Simons</x:v>
      </x:c>
      <x:c r="C741" s="75" t="str">
        <x:v>Tottenham</x:v>
      </x:c>
      <x:c r="D741" s="75" t="str">
        <x:v>Leipzig</x:v>
      </x:c>
      <x:c r="E741" s="77" t="d">
        <x:v>2025-08-29T00:00:00.000Z</x:v>
      </x:c>
      <x:c r="F741" s="75" t="str">
        <x:v>historical</x:v>
      </x:c>
      <x:c r="G741" s="75" t="str">
        <x:v>CAM</x:v>
      </x:c>
      <x:c r="H741" s="79" t="n">
        <x:v>65000000</x:v>
      </x:c>
      <x:c r="I741" s="75" t="str">
        <x:v>EUR</x:v>
      </x:c>
      <x:c r="J741" s="81" t="n">
        <x:v>22</x:v>
      </x:c>
      <x:c r="K741" s="83" t="n">
        <x:v>7.8</x:v>
      </x:c>
      <x:c r="L741" s="75" t="str">
        <x:v>Assistant draft</x:v>
      </x:c>
      <x:c r="M741" s="75" t="str">
        <x:v>Creative potential and youth support upside at Tottenham. The sizeable price and incomplete buyer-specific performance review keep this a cautious provisional draft.</x:v>
      </x:c>
      <x:c r="N741" s="75" t="str">
        <x:v>Low</x:v>
      </x:c>
      <x:c r="O741" s="75" t="str">
        <x:v>Qualitative editorial draft; source fees and signing ages retained, not independently certified. Role is an assistant classification. Production components are unavailable.</x:v>
      </x:c>
      <x:c r="P741" s="75" t="str">
        <x:v>https://github.com/CopiousHighlights/football-transfer-market-analysis/blob/main/analysis/REMAINING_POSITION_RATINGS.md</x:v>
      </x:c>
    </x:row>
    <x:row r="742" ht="25" customHeight="1">
      <x:c r="A742" s="69" t="str">
        <x:v>historical-90</x:v>
      </x:c>
      <x:c r="B742" s="69" t="str">
        <x:v>Aymeric Laporte</x:v>
      </x:c>
      <x:c r="C742" s="69" t="str">
        <x:v>Man City</x:v>
      </x:c>
      <x:c r="D742" s="69" t="str">
        <x:v>Athletic Club</x:v>
      </x:c>
      <x:c r="E742" s="76" t="d">
        <x:v>2018-01-30T00:00:00.000Z</x:v>
      </x:c>
      <x:c r="F742" s="69" t="str">
        <x:v>historical</x:v>
      </x:c>
      <x:c r="G742" s="69" t="str">
        <x:v>CB</x:v>
      </x:c>
      <x:c r="H742" s="78" t="n">
        <x:v>65000000</x:v>
      </x:c>
      <x:c r="I742" s="69" t="str">
        <x:v>EUR</x:v>
      </x:c>
      <x:c r="J742" s="80" t="n">
        <x:v>24</x:v>
      </x:c>
      <x:c r="K742" s="82" t="n">
        <x:v>8.8</x:v>
      </x:c>
      <x:c r="L742" s="69" t="str">
        <x:v>Assistant draft</x:v>
      </x:c>
      <x:c r="M742" s="69" t="str">
        <x:v>Left-footed progression and useful defensive contribution support a strong retrospective value case. The premium price and competition for minutes prevent an outstanding-value score.</x:v>
      </x:c>
      <x:c r="N742" s="69" t="str">
        <x:v>Low</x:v>
      </x:c>
      <x:c r="O742" s="69" t="str">
        <x:v>Qualitative editorial draft; source fees and signing ages retained, not independently certified. Role is an assistant classification. Production components are unavailable.</x:v>
      </x:c>
      <x:c r="P742" s="69" t="str">
        <x:v>https://github.com/CopiousHighlights/football-transfer-market-analysis/blob/main/analysis/REMAINING_POSITION_RATINGS.md</x:v>
      </x:c>
    </x:row>
    <x:row r="743" ht="25" customHeight="1">
      <x:c r="A743" s="75" t="str">
        <x:v>historical-91</x:v>
      </x:c>
      <x:c r="B743" s="75" t="str">
        <x:v>Bruno Fernandes</x:v>
      </x:c>
      <x:c r="C743" s="75" t="str">
        <x:v>Man Utd</x:v>
      </x:c>
      <x:c r="D743" s="75" t="str">
        <x:v>Sporting</x:v>
      </x:c>
      <x:c r="E743" s="77" t="d">
        <x:v>2020-01-29T00:00:00.000Z</x:v>
      </x:c>
      <x:c r="F743" s="75" t="str">
        <x:v>historical</x:v>
      </x:c>
      <x:c r="G743" s="75" t="str">
        <x:v>CAM</x:v>
      </x:c>
      <x:c r="H743" s="79" t="n">
        <x:v>65000000</x:v>
      </x:c>
      <x:c r="I743" s="75" t="str">
        <x:v>EUR</x:v>
      </x:c>
      <x:c r="J743" s="81" t="n">
        <x:v>26</x:v>
      </x:c>
      <x:c r="K743" s="83" t="n">
        <x:v>9.7</x:v>
      </x:c>
      <x:c r="L743" s="75" t="str">
        <x:v>Assistant draft</x:v>
      </x:c>
      <x:c r="M743" s="75" t="str">
        <x:v>Sustained scoring, creation and availability support outstanding value relative to the fee. United documents 100 goals and later 100 assists; this is a deal assessment, not a calculated model output.</x:v>
      </x:c>
      <x:c r="N743" s="75" t="str">
        <x:v>Low</x:v>
      </x:c>
      <x:c r="O743" s="75" t="str">
        <x:v>Qualitative editorial draft; source fees and signing ages retained, not independently certified. Role is an assistant classification. Production components are unavailable.</x:v>
      </x:c>
      <x:c r="P743" s="75" t="str">
        <x:v>https://www.manutd.com/en/news/united-in-numbers-how-bruno-reached-100-assists</x:v>
      </x:c>
    </x:row>
    <x:row r="744" ht="25" customHeight="1">
      <x:c r="A744" s="69" t="str">
        <x:v>historical-92</x:v>
      </x:c>
      <x:c r="B744" s="69" t="str">
        <x:v>João Cancelo</x:v>
      </x:c>
      <x:c r="C744" s="69" t="str">
        <x:v>Man City</x:v>
      </x:c>
      <x:c r="D744" s="69" t="str">
        <x:v>Juventus</x:v>
      </x:c>
      <x:c r="E744" s="76" t="d">
        <x:v>2019-08-07T00:00:00.000Z</x:v>
      </x:c>
      <x:c r="F744" s="69" t="str">
        <x:v>historical</x:v>
      </x:c>
      <x:c r="G744" s="69" t="str">
        <x:v>RB</x:v>
      </x:c>
      <x:c r="H744" s="78" t="n">
        <x:v>65000000</x:v>
      </x:c>
      <x:c r="I744" s="69" t="str">
        <x:v>EUR</x:v>
      </x:c>
      <x:c r="J744" s="80" t="n">
        <x:v>25</x:v>
      </x:c>
      <x:c r="K744" s="82" t="n">
        <x:v>8.4</x:v>
      </x:c>
      <x:c r="L744" s="69" t="str">
        <x:v>Assistant draft</x:v>
      </x:c>
      <x:c r="M744" s="69" t="str">
        <x:v>Creative progression and ability to play both sides support value, but the high fee and shorter sustained City fit reduce the retrospective score.</x:v>
      </x:c>
      <x:c r="N744" s="69" t="str">
        <x:v>Low</x:v>
      </x:c>
      <x:c r="O744" s="69" t="str">
        <x:v>Qualitative editorial draft; source fees and signing ages retained, not independently certified. Role is an assistant classification. Production components are unavailable.</x:v>
      </x:c>
      <x:c r="P744" s="69" t="str">
        <x:v>https://github.com/CopiousHighlights/football-transfer-market-analysis/blob/main/analysis/REMAINING_POSITION_RATINGS.md</x:v>
      </x:c>
    </x:row>
    <x:row r="745" ht="25" customHeight="1">
      <x:c r="A745" s="75" t="str">
        <x:v>historical-100</x:v>
      </x:c>
      <x:c r="B745" s="75" t="str">
        <x:v>Jérémy Jacquet</x:v>
      </x:c>
      <x:c r="C745" s="75" t="str">
        <x:v>Liverpool</x:v>
      </x:c>
      <x:c r="D745" s="75" t="str">
        <x:v>Stade Rennais</x:v>
      </x:c>
      <x:c r="E745" s="77" t="d">
        <x:v>2026-07-01T00:00:00.000Z</x:v>
      </x:c>
      <x:c r="F745" s="75" t="str">
        <x:v>historical</x:v>
      </x:c>
      <x:c r="G745" s="75" t="str">
        <x:v>CB</x:v>
      </x:c>
      <x:c r="H745" s="79" t="n">
        <x:v>63600000</x:v>
      </x:c>
      <x:c r="I745" s="75" t="str">
        <x:v>EUR</x:v>
      </x:c>
      <x:c r="J745" s="81" t="n">
        <x:v>21</x:v>
      </x:c>
      <x:c r="K745" s="83"/>
      <x:c r="L745" s="75" t="str">
        <x:v>Evidence needed</x:v>
      </x:c>
      <x:c r="M745" s="75" t="str">
        <x:v>Recent Liverpool workbook entry: transfer authenticity, playing role and buyer-specific defensive production need verification.</x:v>
      </x:c>
      <x:c r="N745" s="75" t="str">
        <x:v>Not assessed</x:v>
      </x:c>
      <x:c r="O745" s="75" t="str">
        <x:v>Transfer identity, fee basis and buyer-specific production require verification.</x:v>
      </x:c>
      <x:c r="P745" s="75" t="str">
        <x:v>https://github.com/CopiousHighlights/football-transfer-market-analysis/blob/main/analysis/REMAINING_POSITION_RATINGS.md</x:v>
      </x:c>
    </x:row>
    <x:row r="746" ht="25" customHeight="1">
      <x:c r="A746" s="69" t="str">
        <x:v>historical-101</x:v>
      </x:c>
      <x:c r="B746" s="69" t="str">
        <x:v>Ilya Zabarnyi</x:v>
      </x:c>
      <x:c r="C746" s="69" t="str">
        <x:v>PSG</x:v>
      </x:c>
      <x:c r="D746" s="69" t="str">
        <x:v>Bournemouth</x:v>
      </x:c>
      <x:c r="E746" s="76" t="d">
        <x:v>2025-08-12T00:00:00.000Z</x:v>
      </x:c>
      <x:c r="F746" s="69" t="str">
        <x:v>historical</x:v>
      </x:c>
      <x:c r="G746" s="69" t="str">
        <x:v>CB</x:v>
      </x:c>
      <x:c r="H746" s="78" t="n">
        <x:v>63000000</x:v>
      </x:c>
      <x:c r="I746" s="69" t="str">
        <x:v>EUR</x:v>
      </x:c>
      <x:c r="J746" s="80" t="n">
        <x:v>23</x:v>
      </x:c>
      <x:c r="K746" s="82" t="n">
        <x:v>8</x:v>
      </x:c>
      <x:c r="L746" s="69" t="str">
        <x:v>Assistant draft</x:v>
      </x:c>
      <x:c r="M746" s="69" t="str">
        <x:v>Youth and defensive development potential support the PSG investment. The large fee needs sustained buyer-specific evidence, so the score is provisional.</x:v>
      </x:c>
      <x:c r="N746" s="69" t="str">
        <x:v>Low</x:v>
      </x:c>
      <x:c r="O746" s="69" t="str">
        <x:v>Qualitative editorial draft; source fees and signing ages retained, not independently certified. Role is an assistant classification. Production components are unavailable.</x:v>
      </x:c>
      <x:c r="P746" s="69" t="str">
        <x:v>https://github.com/CopiousHighlights/football-transfer-market-analysis/blob/main/analysis/REMAINING_POSITION_RATINGS.md</x:v>
      </x:c>
    </x:row>
    <x:row r="747" ht="25" customHeight="1">
      <x:c r="A747" s="75" t="str">
        <x:v>historical-104</x:v>
      </x:c>
      <x:c r="B747" s="75" t="str">
        <x:v>Dean Huijsen</x:v>
      </x:c>
      <x:c r="C747" s="75" t="str">
        <x:v>Real Madrid</x:v>
      </x:c>
      <x:c r="D747" s="75" t="str">
        <x:v>Bournemouth</x:v>
      </x:c>
      <x:c r="E747" s="77" t="d">
        <x:v>2025-06-01T00:00:00.000Z</x:v>
      </x:c>
      <x:c r="F747" s="75" t="str">
        <x:v>historical</x:v>
      </x:c>
      <x:c r="G747" s="75" t="str">
        <x:v>CB</x:v>
      </x:c>
      <x:c r="H747" s="79" t="n">
        <x:v>62500000</x:v>
      </x:c>
      <x:c r="I747" s="75" t="str">
        <x:v>EUR</x:v>
      </x:c>
      <x:c r="J747" s="81" t="n">
        <x:v>20</x:v>
      </x:c>
      <x:c r="K747" s="83" t="n">
        <x:v>8.7</x:v>
      </x:c>
      <x:c r="L747" s="75" t="str">
        <x:v>Assistant draft</x:v>
      </x:c>
      <x:c r="M747" s="75" t="str">
        <x:v>Age, passing potential and development runway support strong Madrid value. The significant price and incomplete buyer-specific production review prevent an elite score.</x:v>
      </x:c>
      <x:c r="N747" s="75" t="str">
        <x:v>Low</x:v>
      </x:c>
      <x:c r="O747" s="75" t="str">
        <x:v>Qualitative editorial draft; source fees and signing ages retained, not independently certified. Role is an assistant classification. Production components are unavailable.</x:v>
      </x:c>
      <x:c r="P747" s="75" t="str">
        <x:v>https://github.com/CopiousHighlights/football-transfer-market-analysis/blob/main/analysis/REMAINING_POSITION_RATINGS.md</x:v>
      </x:c>
    </x:row>
    <x:row r="748" ht="25" customHeight="1">
      <x:c r="A748" s="69" t="str">
        <x:v>historical-106</x:v>
      </x:c>
      <x:c r="B748" s="69" t="str">
        <x:v>Matheus Nunes</x:v>
      </x:c>
      <x:c r="C748" s="69" t="str">
        <x:v>Man City</x:v>
      </x:c>
      <x:c r="D748" s="69" t="str">
        <x:v>Wolves</x:v>
      </x:c>
      <x:c r="E748" s="76" t="d">
        <x:v>2023-09-01T00:00:00.000Z</x:v>
      </x:c>
      <x:c r="F748" s="69" t="str">
        <x:v>historical</x:v>
      </x:c>
      <x:c r="G748" s="69" t="str">
        <x:v>RB</x:v>
      </x:c>
      <x:c r="H748" s="78" t="n">
        <x:v>62000000</x:v>
      </x:c>
      <x:c r="I748" s="69" t="str">
        <x:v>EUR</x:v>
      </x:c>
      <x:c r="J748" s="80" t="n">
        <x:v>25</x:v>
      </x:c>
      <x:c r="K748" s="82" t="n">
        <x:v>7.2</x:v>
      </x:c>
      <x:c r="L748" s="69" t="str">
        <x:v>Assistant draft</x:v>
      </x:c>
      <x:c r="M748" s="69" t="str">
        <x:v>The City deal offers carrying ability and positional flexibility, including a full-back role. The large fee needs a more convincing sustained return; classified RB for this review rather than silently changing the source.</x:v>
      </x:c>
      <x:c r="N748" s="69" t="str">
        <x:v>Low</x:v>
      </x:c>
      <x:c r="O748" s="69" t="str">
        <x:v>Qualitative editorial draft; source fees and signing ages retained, not independently certified. Role is an assistant classification. Production components are unavailable.</x:v>
      </x:c>
      <x:c r="P748" s="69" t="str">
        <x:v>https://github.com/CopiousHighlights/football-transfer-market-analysis/blob/main/analysis/REMAINING_POSITION_RATINGS.md</x:v>
      </x:c>
    </x:row>
    <x:row r="749" ht="25" customHeight="1">
      <x:c r="A749" s="75" t="str">
        <x:v>historical-107</x:v>
      </x:c>
      <x:c r="B749" s="75" t="str">
        <x:v>Leny Yoro</x:v>
      </x:c>
      <x:c r="C749" s="75" t="str">
        <x:v>Man Utd</x:v>
      </x:c>
      <x:c r="D749" s="75" t="str">
        <x:v>Lille</x:v>
      </x:c>
      <x:c r="E749" s="77" t="d">
        <x:v>2024-07-18T00:00:00.000Z</x:v>
      </x:c>
      <x:c r="F749" s="75" t="str">
        <x:v>historical</x:v>
      </x:c>
      <x:c r="G749" s="75" t="str">
        <x:v>CB</x:v>
      </x:c>
      <x:c r="H749" s="79" t="n">
        <x:v>62000000</x:v>
      </x:c>
      <x:c r="I749" s="75" t="str">
        <x:v>EUR</x:v>
      </x:c>
      <x:c r="J749" s="81" t="n">
        <x:v>19</x:v>
      </x:c>
      <x:c r="K749" s="83" t="n">
        <x:v>7.7</x:v>
      </x:c>
      <x:c r="L749" s="75" t="str">
        <x:v>Assistant draft</x:v>
      </x:c>
      <x:c r="M749" s="75" t="str">
        <x:v>Young signing age and development upside help, but the large price is substantially a bet on future return. My cautious draft needs comparable defensive minutes and availability evidence.</x:v>
      </x:c>
      <x:c r="N749" s="75" t="str">
        <x:v>Low</x:v>
      </x:c>
      <x:c r="O749" s="75" t="str">
        <x:v>Qualitative editorial draft; source fees and signing ages retained, not independently certified. Role is an assistant classification. Production components are unavailable.</x:v>
      </x:c>
      <x:c r="P749" s="75" t="str">
        <x:v>https://github.com/CopiousHighlights/football-transfer-market-analysis/blob/main/analysis/REMAINING_POSITION_RATINGS.md</x:v>
      </x:c>
    </x:row>
    <x:row r="750" ht="25" customHeight="1">
      <x:c r="A750" s="69" t="str">
        <x:v>historical-108</x:v>
      </x:c>
      <x:c r="B750" s="69" t="str">
        <x:v>Tanguy Ndombélé</x:v>
      </x:c>
      <x:c r="C750" s="69" t="str">
        <x:v>Tottenham</x:v>
      </x:c>
      <x:c r="D750" s="69" t="str">
        <x:v>Lyon</x:v>
      </x:c>
      <x:c r="E750" s="76" t="d">
        <x:v>2019-07-02T00:00:00.000Z</x:v>
      </x:c>
      <x:c r="F750" s="69" t="str">
        <x:v>historical</x:v>
      </x:c>
      <x:c r="G750" s="69" t="str">
        <x:v>CM</x:v>
      </x:c>
      <x:c r="H750" s="78" t="n">
        <x:v>62000000</x:v>
      </x:c>
      <x:c r="I750" s="69" t="str">
        <x:v>EUR</x:v>
      </x:c>
      <x:c r="J750" s="80" t="n">
        <x:v>23</x:v>
      </x:c>
      <x:c r="K750" s="82" t="n">
        <x:v>2.9</x:v>
      </x:c>
      <x:c r="L750" s="69" t="str">
        <x:v>Assistant draft</x:v>
      </x:c>
      <x:c r="M750" s="69" t="str">
        <x:v>The large price was not followed by a long sustained Spurs return. Tottenham confirms repeated loans and contract termination after 91 appearances; youth did not rescue this value case.</x:v>
      </x:c>
      <x:c r="N750" s="69" t="str">
        <x:v>Low</x:v>
      </x:c>
      <x:c r="O750" s="69" t="str">
        <x:v>Qualitative editorial draft; source fees and signing ages retained, not independently certified. Role is an assistant classification. Production components are unavailable.</x:v>
      </x:c>
      <x:c r="P750" s="69" t="str">
        <x:v>https://www.tottenhamhotspur.com/news/985544/player-update-tanguy-ndombele</x:v>
      </x:c>
    </x:row>
    <x:row r="751" ht="25" customHeight="1">
      <x:c r="A751" s="75" t="str">
        <x:v>historical-111</x:v>
      </x:c>
      <x:c r="B751" s="75" t="str">
        <x:v>Dani Olmo</x:v>
      </x:c>
      <x:c r="C751" s="75" t="str">
        <x:v>Barcelona</x:v>
      </x:c>
      <x:c r="D751" s="75" t="str">
        <x:v>Leipzig</x:v>
      </x:c>
      <x:c r="E751" s="77" t="d">
        <x:v>2024-08-09T00:00:00.000Z</x:v>
      </x:c>
      <x:c r="F751" s="75" t="str">
        <x:v>historical</x:v>
      </x:c>
      <x:c r="G751" s="75" t="str">
        <x:v>CAM</x:v>
      </x:c>
      <x:c r="H751" s="79" t="n">
        <x:v>61000000</x:v>
      </x:c>
      <x:c r="I751" s="75" t="str">
        <x:v>EUR</x:v>
      </x:c>
      <x:c r="J751" s="81" t="n">
        <x:v>26</x:v>
      </x:c>
      <x:c r="K751" s="83" t="n">
        <x:v>8.1</x:v>
      </x:c>
      <x:c r="L751" s="75" t="str">
        <x:v>Assistant draft</x:v>
      </x:c>
      <x:c r="M751" s="75" t="str">
        <x:v>Creative quality and positional flexibility support good value. A sizeable fee and the need for a consistent buyer-specific playing return keep my draft below elite value.</x:v>
      </x:c>
      <x:c r="N751" s="75" t="str">
        <x:v>Low</x:v>
      </x:c>
      <x:c r="O751" s="75" t="str">
        <x:v>Qualitative editorial draft; source fees and signing ages retained, not independently certified. Role is an assistant classification. Production components are unavailable.</x:v>
      </x:c>
      <x:c r="P751" s="75" t="str">
        <x:v>https://github.com/CopiousHighlights/football-transfer-market-analysis/blob/main/analysis/REMAINING_POSITION_RATINGS.md</x:v>
      </x:c>
    </x:row>
    <x:row r="752" ht="25" customHeight="1">
      <x:c r="A752" s="69" t="str">
        <x:v>historical-115</x:v>
      </x:c>
      <x:c r="B752" s="69" t="str">
        <x:v>Jan Paul van Hecke</x:v>
      </x:c>
      <x:c r="C752" s="69" t="str">
        <x:v>Tottenham</x:v>
      </x:c>
      <x:c r="D752" s="69" t="str">
        <x:v>Brighton</x:v>
      </x:c>
      <x:c r="E752" s="76" t="d">
        <x:v>2026-06-19T00:00:00.000Z</x:v>
      </x:c>
      <x:c r="F752" s="69" t="str">
        <x:v>historical</x:v>
      </x:c>
      <x:c r="G752" s="69" t="str">
        <x:v>CB</x:v>
      </x:c>
      <x:c r="H752" s="78" t="n">
        <x:v>60000000</x:v>
      </x:c>
      <x:c r="I752" s="69" t="str">
        <x:v>EUR</x:v>
      </x:c>
      <x:c r="J752" s="80" t="n">
        <x:v>26</x:v>
      </x:c>
      <x:c r="K752" s="82"/>
      <x:c r="L752" s="69" t="str">
        <x:v>Evidence needed</x:v>
      </x:c>
      <x:c r="M752" s="69" t="str">
        <x:v>Recent workbook-only Tottenham move needs independent transfer verification and buyer-specific defensive evidence.</x:v>
      </x:c>
      <x:c r="N752" s="69" t="str">
        <x:v>Not assessed</x:v>
      </x:c>
      <x:c r="O752" s="69" t="str">
        <x:v>Transfer identity, fee basis and buyer-specific production require verification.</x:v>
      </x:c>
      <x:c r="P752" s="69" t="str">
        <x:v>https://github.com/CopiousHighlights/football-transfer-market-analysis/blob/main/analysis/REMAINING_POSITION_RATINGS.md</x:v>
      </x:c>
    </x:row>
    <x:row r="753" ht="25" customHeight="1">
      <x:c r="A753" s="75" t="str">
        <x:v>historical-116</x:v>
      </x:c>
      <x:c r="B753" s="75" t="str">
        <x:v>Naby Keïta</x:v>
      </x:c>
      <x:c r="C753" s="75" t="str">
        <x:v>Liverpool</x:v>
      </x:c>
      <x:c r="D753" s="75" t="str">
        <x:v>RB Leipzig</x:v>
      </x:c>
      <x:c r="E753" s="77" t="d">
        <x:v>2018-07-01T00:00:00.000Z</x:v>
      </x:c>
      <x:c r="F753" s="75" t="str">
        <x:v>historical</x:v>
      </x:c>
      <x:c r="G753" s="75" t="str">
        <x:v>CM</x:v>
      </x:c>
      <x:c r="H753" s="79" t="n">
        <x:v>60000000</x:v>
      </x:c>
      <x:c r="I753" s="75" t="str">
        <x:v>EUR</x:v>
      </x:c>
      <x:c r="J753" s="81" t="n">
        <x:v>23</x:v>
      </x:c>
      <x:c r="K753" s="83" t="n">
        <x:v>5.2</x:v>
      </x:c>
      <x:c r="L753" s="75" t="str">
        <x:v>Assistant draft</x:v>
      </x:c>
      <x:c r="M753" s="75" t="str">
        <x:v>Liverpool confirms 129 appearances over five seasons, with injuries limiting his final year. Useful contributions and trophies help, but availability reduces the value of a substantial fee.</x:v>
      </x:c>
      <x:c r="N753" s="75" t="str">
        <x:v>Low</x:v>
      </x:c>
      <x:c r="O753" s="75" t="str">
        <x:v>Qualitative editorial draft; source fees and signing ages retained, not independently certified. Role is an assistant classification. Production components are unavailable.</x:v>
      </x:c>
      <x:c r="P753" s="75" t="str">
        <x:v>https://www.liverpoolfc.com/news/thank-you-naby-keitas-liverpool-story</x:v>
      </x:c>
    </x:row>
    <x:row r="754" ht="25" customHeight="1">
      <x:c r="A754" s="69" t="str">
        <x:v>historical-123</x:v>
      </x:c>
      <x:c r="B754" s="69" t="str">
        <x:v>Otávio</x:v>
      </x:c>
      <x:c r="C754" s="69" t="str">
        <x:v>Al-Nassr</x:v>
      </x:c>
      <x:c r="D754" s="69" t="str">
        <x:v>Porto</x:v>
      </x:c>
      <x:c r="E754" s="76" t="d">
        <x:v>2023-08-22T00:00:00.000Z</x:v>
      </x:c>
      <x:c r="F754" s="69" t="str">
        <x:v>historical</x:v>
      </x:c>
      <x:c r="G754" s="69" t="str">
        <x:v>CAM</x:v>
      </x:c>
      <x:c r="H754" s="78" t="n">
        <x:v>60000000</x:v>
      </x:c>
      <x:c r="I754" s="69" t="str">
        <x:v>EUR</x:v>
      </x:c>
      <x:c r="J754" s="80" t="n">
        <x:v>28</x:v>
      </x:c>
      <x:c r="K754" s="82" t="n">
        <x:v>7</x:v>
      </x:c>
      <x:c r="L754" s="69" t="str">
        <x:v>Assistant draft</x:v>
      </x:c>
      <x:c r="M754" s="69" t="str">
        <x:v>Creation and experience offer useful quality, but the major fee, signing-age runway and competition context lower my draft. Comparable buyer-specific production remains incomplete.</x:v>
      </x:c>
      <x:c r="N754" s="69" t="str">
        <x:v>Low</x:v>
      </x:c>
      <x:c r="O754" s="69" t="str">
        <x:v>Qualitative editorial draft; source fees and signing ages retained, not independently certified. Role is an assistant classification. Production components are unavailable.</x:v>
      </x:c>
      <x:c r="P754" s="69" t="str">
        <x:v>https://github.com/CopiousHighlights/football-transfer-market-analysis/blob/main/analysis/REMAINING_POSITION_RATINGS.md</x:v>
      </x:c>
    </x:row>
    <x:row r="755" ht="25" customHeight="1">
      <x:c r="A755" s="75" t="str">
        <x:v>historical-128</x:v>
      </x:c>
      <x:c r="B755" s="75" t="str">
        <x:v>Ezri Konsa</x:v>
      </x:c>
      <x:c r="C755" s="75" t="str">
        <x:v>Arsenal</x:v>
      </x:c>
      <x:c r="D755" s="75" t="str">
        <x:v>Aston Villa</x:v>
      </x:c>
      <x:c r="E755" s="77" t="d">
        <x:v>2026-07-01T00:00:00.000Z</x:v>
      </x:c>
      <x:c r="F755" s="75" t="str">
        <x:v>historical</x:v>
      </x:c>
      <x:c r="G755" s="75" t="str">
        <x:v>CB</x:v>
      </x:c>
      <x:c r="H755" s="79" t="n">
        <x:v>59000000</x:v>
      </x:c>
      <x:c r="I755" s="75" t="str">
        <x:v>EUR</x:v>
      </x:c>
      <x:c r="J755" s="81" t="n">
        <x:v>29</x:v>
      </x:c>
      <x:c r="K755" s="83"/>
      <x:c r="L755" s="75" t="str">
        <x:v>Evidence needed</x:v>
      </x:c>
      <x:c r="M755" s="75" t="str">
        <x:v>Recent workbook-only Arsenal transfer needs independent transfer verification and buyer-specific defensive evidence.</x:v>
      </x:c>
      <x:c r="N755" s="75" t="str">
        <x:v>Not assessed</x:v>
      </x:c>
      <x:c r="O755" s="75" t="str">
        <x:v>Transfer identity, fee basis and buyer-specific production require verification.</x:v>
      </x:c>
      <x:c r="P755" s="75" t="str">
        <x:v>https://github.com/CopiousHighlights/football-transfer-market-analysis/blob/main/analysis/REMAINING_POSITION_RATINGS.md</x:v>
      </x:c>
    </x:row>
    <x:row r="756" ht="25" customHeight="1">
      <x:c r="A756" s="69" t="str">
        <x:v>historical-129</x:v>
      </x:c>
      <x:c r="B756" s="69" t="str">
        <x:v>Ben White</x:v>
      </x:c>
      <x:c r="C756" s="69" t="str">
        <x:v>Arsenal</x:v>
      </x:c>
      <x:c r="D756" s="69" t="str">
        <x:v>Brighton</x:v>
      </x:c>
      <x:c r="E756" s="76" t="d">
        <x:v>2021-07-30T00:00:00.000Z</x:v>
      </x:c>
      <x:c r="F756" s="69" t="str">
        <x:v>historical</x:v>
      </x:c>
      <x:c r="G756" s="69" t="str">
        <x:v>RB</x:v>
      </x:c>
      <x:c r="H756" s="78" t="n">
        <x:v>58500000</x:v>
      </x:c>
      <x:c r="I756" s="69" t="str">
        <x:v>EUR</x:v>
      </x:c>
      <x:c r="J756" s="80" t="n">
        <x:v>24</x:v>
      </x:c>
      <x:c r="K756" s="82" t="n">
        <x:v>8.8</x:v>
      </x:c>
      <x:c r="L756" s="69" t="str">
        <x:v>Assistant draft</x:v>
      </x:c>
      <x:c r="M756" s="69" t="str">
        <x:v>Defensive reliability, right-sided versatility and useful runway support strong Arsenal value. The significant fee and incomplete comparable production review prevent an elite score.</x:v>
      </x:c>
      <x:c r="N756" s="69" t="str">
        <x:v>Low</x:v>
      </x:c>
      <x:c r="O756" s="69" t="str">
        <x:v>Qualitative editorial draft; source fees and signing ages retained, not independently certified. Role is an assistant classification. Production components are unavailable.</x:v>
      </x:c>
      <x:c r="P756" s="69" t="str">
        <x:v>https://github.com/CopiousHighlights/football-transfer-market-analysis/blob/main/analysis/REMAINING_POSITION_RATINGS.md</x:v>
      </x:c>
    </x:row>
    <x:row r="757" ht="25" customHeight="1">
      <x:c r="A757" s="75" t="str">
        <x:v>historical-134</x:v>
      </x:c>
      <x:c r="B757" s="75" t="str">
        <x:v>Benjamin Mendy</x:v>
      </x:c>
      <x:c r="C757" s="75" t="str">
        <x:v>Man City</x:v>
      </x:c>
      <x:c r="D757" s="75" t="str">
        <x:v>Monaco</x:v>
      </x:c>
      <x:c r="E757" s="77" t="d">
        <x:v>2017-07-24T00:00:00.000Z</x:v>
      </x:c>
      <x:c r="F757" s="75" t="str">
        <x:v>historical</x:v>
      </x:c>
      <x:c r="G757" s="75" t="str">
        <x:v>LB</x:v>
      </x:c>
      <x:c r="H757" s="79" t="n">
        <x:v>57500000</x:v>
      </x:c>
      <x:c r="I757" s="75" t="str">
        <x:v>EUR</x:v>
      </x:c>
      <x:c r="J757" s="81" t="n">
        <x:v>23</x:v>
      </x:c>
      <x:c r="K757" s="83" t="n">
        <x:v>3.3</x:v>
      </x:c>
      <x:c r="L757" s="75" t="str">
        <x:v>Assistant draft</x:v>
      </x:c>
      <x:c r="M757" s="75" t="str">
        <x:v>The premium full-back price required a longer sustained playing return than my retrospective assessment supports. This concerns football value only; no off-field allegation is a scoring factor.</x:v>
      </x:c>
      <x:c r="N757" s="75" t="str">
        <x:v>Low</x:v>
      </x:c>
      <x:c r="O757" s="75" t="str">
        <x:v>Qualitative editorial draft; source fees and signing ages retained, not independently certified. Role is an assistant classification. Production components are unavailable.</x:v>
      </x:c>
      <x:c r="P757" s="75" t="str">
        <x:v>https://github.com/CopiousHighlights/football-transfer-market-analysis/blob/main/analysis/REMAINING_POSITION_RATINGS.md</x:v>
      </x:c>
    </x:row>
    <x:row r="758" ht="25" customHeight="1">
      <x:c r="A758" s="69" t="str">
        <x:v>historical-135</x:v>
      </x:c>
      <x:c r="B758" s="69" t="str">
        <x:v>Lisandro Martínez</x:v>
      </x:c>
      <x:c r="C758" s="69" t="str">
        <x:v>Man Utd</x:v>
      </x:c>
      <x:c r="D758" s="69" t="str">
        <x:v>Ajax</x:v>
      </x:c>
      <x:c r="E758" s="76" t="d">
        <x:v>2022-07-27T00:00:00.000Z</x:v>
      </x:c>
      <x:c r="F758" s="69" t="str">
        <x:v>historical</x:v>
      </x:c>
      <x:c r="G758" s="69" t="str">
        <x:v>CB</x:v>
      </x:c>
      <x:c r="H758" s="78" t="n">
        <x:v>57370000</x:v>
      </x:c>
      <x:c r="I758" s="69" t="str">
        <x:v>EUR</x:v>
      </x:c>
      <x:c r="J758" s="80" t="n">
        <x:v>24</x:v>
      </x:c>
      <x:c r="K758" s="82" t="n">
        <x:v>7.7</x:v>
      </x:c>
      <x:c r="L758" s="69" t="str">
        <x:v>Assistant draft</x:v>
      </x:c>
      <x:c r="M758" s="69" t="str">
        <x:v>Progression and defensive quality support value, but the substantial fee needs consistent availability and playing return. My draft is below the most durable elite defensive deals.</x:v>
      </x:c>
      <x:c r="N758" s="69" t="str">
        <x:v>Low</x:v>
      </x:c>
      <x:c r="O758" s="69" t="str">
        <x:v>Qualitative editorial draft; source fees and signing ages retained, not independently certified. Role is an assistant classification. Production components are unavailable.</x:v>
      </x:c>
      <x:c r="P758" s="69" t="str">
        <x:v>https://github.com/CopiousHighlights/football-transfer-market-analysis/blob/main/analysis/REMAINING_POSITION_RATINGS.md</x:v>
      </x:c>
    </x:row>
    <x:row r="759" ht="25" customHeight="1">
      <x:c r="A759" s="75" t="str">
        <x:v>historical-141</x:v>
      </x:c>
      <x:c r="B759" s="75" t="str">
        <x:v>John Stones</x:v>
      </x:c>
      <x:c r="C759" s="75" t="str">
        <x:v>Man City</x:v>
      </x:c>
      <x:c r="D759" s="75" t="str">
        <x:v>Everton</x:v>
      </x:c>
      <x:c r="E759" s="77" t="d">
        <x:v>2016-08-09T00:00:00.000Z</x:v>
      </x:c>
      <x:c r="F759" s="75" t="str">
        <x:v>historical</x:v>
      </x:c>
      <x:c r="G759" s="75" t="str">
        <x:v>CB</x:v>
      </x:c>
      <x:c r="H759" s="79" t="n">
        <x:v>55600000</x:v>
      </x:c>
      <x:c r="I759" s="75" t="str">
        <x:v>EUR</x:v>
      </x:c>
      <x:c r="J759" s="81" t="n">
        <x:v>22</x:v>
      </x:c>
      <x:c r="K759" s="83" t="n">
        <x:v>9.1</x:v>
      </x:c>
      <x:c r="L759" s="75" t="str">
        <x:v>Assistant draft</x:v>
      </x:c>
      <x:c r="M759" s="75" t="str">
        <x:v>Long-term defensive and midfield progression versatility support outstanding value despite the sizeable fee. Comparable availability and opportunity measures would refine the score.</x:v>
      </x:c>
      <x:c r="N759" s="75" t="str">
        <x:v>Low</x:v>
      </x:c>
      <x:c r="O759" s="75" t="str">
        <x:v>Qualitative editorial draft; source fees and signing ages retained, not independently certified. Role is an assistant classification. Production components are unavailable.</x:v>
      </x:c>
      <x:c r="P759" s="75" t="str">
        <x:v>https://github.com/CopiousHighlights/football-transfer-market-analysis/blob/main/analysis/REMAINING_POSITION_RATINGS.md</x:v>
      </x:c>
    </x:row>
    <x:row r="760" ht="25" customHeight="1">
      <x:c r="A760" s="69" t="str">
        <x:v>historical-145</x:v>
      </x:c>
      <x:c r="B760" s="69" t="str">
        <x:v>Aaron Wan-Bissaka</x:v>
      </x:c>
      <x:c r="C760" s="69" t="str">
        <x:v>Man Utd</x:v>
      </x:c>
      <x:c r="D760" s="69" t="str">
        <x:v>Crystal Palace</x:v>
      </x:c>
      <x:c r="E760" s="76" t="d">
        <x:v>2019-07-01T00:00:00.000Z</x:v>
      </x:c>
      <x:c r="F760" s="69" t="str">
        <x:v>historical</x:v>
      </x:c>
      <x:c r="G760" s="69" t="str">
        <x:v>RB</x:v>
      </x:c>
      <x:c r="H760" s="78" t="n">
        <x:v>55000000</x:v>
      </x:c>
      <x:c r="I760" s="69" t="str">
        <x:v>EUR</x:v>
      </x:c>
      <x:c r="J760" s="80" t="n">
        <x:v>22</x:v>
      </x:c>
      <x:c r="K760" s="82" t="n">
        <x:v>6.5</x:v>
      </x:c>
      <x:c r="L760" s="69" t="str">
        <x:v>Assistant draft</x:v>
      </x:c>
      <x:c r="M760" s="69" t="str">
        <x:v>One-on-one defensive quality contributes value, but the high price required a stronger all-round attacking and possession return. A mixed retrospective deal assessment.</x:v>
      </x:c>
      <x:c r="N760" s="69" t="str">
        <x:v>Low</x:v>
      </x:c>
      <x:c r="O760" s="69" t="str">
        <x:v>Qualitative editorial draft; source fees and signing ages retained, not independently certified. Role is an assistant classification. Production components are unavailable.</x:v>
      </x:c>
      <x:c r="P760" s="69" t="str">
        <x:v>https://github.com/CopiousHighlights/football-transfer-market-analysis/blob/main/analysis/REMAINING_POSITION_RATINGS.md</x:v>
      </x:c>
    </x:row>
    <x:row r="761" ht="25" customHeight="1">
      <x:c r="A761" s="75" t="str">
        <x:v>historical-148</x:v>
      </x:c>
      <x:c r="B761" s="75" t="str">
        <x:v>Tijjani Reijnders</x:v>
      </x:c>
      <x:c r="C761" s="75" t="str">
        <x:v>Man City</x:v>
      </x:c>
      <x:c r="D761" s="75" t="str">
        <x:v>AC Milan</x:v>
      </x:c>
      <x:c r="E761" s="77" t="d">
        <x:v>2025-06-10T00:00:00.000Z</x:v>
      </x:c>
      <x:c r="F761" s="75" t="str">
        <x:v>historical</x:v>
      </x:c>
      <x:c r="G761" s="75" t="str">
        <x:v>CM</x:v>
      </x:c>
      <x:c r="H761" s="79" t="n">
        <x:v>54900000</x:v>
      </x:c>
      <x:c r="I761" s="75" t="str">
        <x:v>EUR</x:v>
      </x:c>
      <x:c r="J761" s="81" t="n">
        <x:v>27</x:v>
      </x:c>
      <x:c r="K761" s="83" t="n">
        <x:v>8.3</x:v>
      </x:c>
      <x:c r="L761" s="75" t="str">
        <x:v>Assistant draft</x:v>
      </x:c>
      <x:c r="M761" s="75" t="str">
        <x:v>Progression, attacking contribution and established quality support the City investment. Less development runway and incomplete buyer-specific review keep the draft cautious.</x:v>
      </x:c>
      <x:c r="N761" s="75" t="str">
        <x:v>Low</x:v>
      </x:c>
      <x:c r="O761" s="75" t="str">
        <x:v>Qualitative editorial draft; source fees and signing ages retained, not independently certified. Role is an assistant classification. Production components are unavailable.</x:v>
      </x:c>
      <x:c r="P761" s="75" t="str">
        <x:v>https://github.com/CopiousHighlights/football-transfer-market-analysis/blob/main/analysis/REMAINING_POSITION_RATINGS.md</x:v>
      </x:c>
    </x:row>
    <x:row r="762" ht="25" customHeight="1">
      <x:c r="A762" s="69" t="str">
        <x:v>historical-150</x:v>
      </x:c>
      <x:c r="B762" s="69" t="str">
        <x:v>Cristian Romero</x:v>
      </x:c>
      <x:c r="C762" s="69" t="str">
        <x:v>Tottenham</x:v>
      </x:c>
      <x:c r="D762" s="69" t="str">
        <x:v>Atalanta</x:v>
      </x:c>
      <x:c r="E762" s="76" t="d">
        <x:v>2022-08-30T00:00:00.000Z</x:v>
      </x:c>
      <x:c r="F762" s="69" t="str">
        <x:v>historical</x:v>
      </x:c>
      <x:c r="G762" s="69" t="str">
        <x:v>CB</x:v>
      </x:c>
      <x:c r="H762" s="78" t="n">
        <x:v>53800000</x:v>
      </x:c>
      <x:c r="I762" s="69" t="str">
        <x:v>EUR</x:v>
      </x:c>
      <x:c r="J762" s="80" t="n">
        <x:v>24</x:v>
      </x:c>
      <x:c r="K762" s="82" t="n">
        <x:v>8.8</x:v>
      </x:c>
      <x:c r="L762" s="69" t="str">
        <x:v>Assistant draft</x:v>
      </x:c>
      <x:c r="M762" s="69" t="str">
        <x:v>Defensive quality and useful signing age support strong value. A significant fee and the need to account for discipline and availability keep the score below the top benchmarks.</x:v>
      </x:c>
      <x:c r="N762" s="69" t="str">
        <x:v>Low</x:v>
      </x:c>
      <x:c r="O762" s="69" t="str">
        <x:v>Qualitative editorial draft; source fees and signing ages retained, not independently certified. Role is an assistant classification. Production components are unavailable.</x:v>
      </x:c>
      <x:c r="P762" s="69" t="str">
        <x:v>https://github.com/CopiousHighlights/football-transfer-market-analysis/blob/main/analysis/REMAINING_POSITION_RATINGS.md</x:v>
      </x:c>
    </x:row>
    <x:row r="763" ht="25" customHeight="1">
      <x:c r="A763" s="75" t="str">
        <x:v>historical-155</x:v>
      </x:c>
      <x:c r="B763" s="75" t="str">
        <x:v>Kyle Walker</x:v>
      </x:c>
      <x:c r="C763" s="75" t="str">
        <x:v>Man City</x:v>
      </x:c>
      <x:c r="D763" s="75" t="str">
        <x:v>Tottenham</x:v>
      </x:c>
      <x:c r="E763" s="77" t="d">
        <x:v>2017-07-14T00:00:00.000Z</x:v>
      </x:c>
      <x:c r="F763" s="75" t="str">
        <x:v>historical</x:v>
      </x:c>
      <x:c r="G763" s="75" t="str">
        <x:v>RB</x:v>
      </x:c>
      <x:c r="H763" s="79" t="n">
        <x:v>52700000</x:v>
      </x:c>
      <x:c r="I763" s="75" t="str">
        <x:v>EUR</x:v>
      </x:c>
      <x:c r="J763" s="81" t="n">
        <x:v>27</x:v>
      </x:c>
      <x:c r="K763" s="83" t="n">
        <x:v>9.4</x:v>
      </x:c>
      <x:c r="L763" s="75" t="str">
        <x:v>Assistant draft</x:v>
      </x:c>
      <x:c r="M763" s="75" t="str">
        <x:v>Sustained defensive quality and team fit justify the price despite signing at an older age. City documents 260 appearances and major honours by his 2023 extension.</x:v>
      </x:c>
      <x:c r="N763" s="75" t="str">
        <x:v>Low</x:v>
      </x:c>
      <x:c r="O763" s="75" t="str">
        <x:v>Qualitative editorial draft; source fees and signing ages retained, not independently certified. Role is an assistant classification. Production components are unavailable.</x:v>
      </x:c>
      <x:c r="P763" s="75" t="str">
        <x:v>https://www.mancity.com/news/mens/kyle-walker-signs-new-manchester-city-contract-63830305</x:v>
      </x:c>
    </x:row>
    <x:row r="764" ht="25" customHeight="1">
      <x:c r="A764" s="69" t="str">
        <x:v>historical-159</x:v>
      </x:c>
      <x:c r="B764" s="69" t="str">
        <x:v>Piero Hincapié</x:v>
      </x:c>
      <x:c r="C764" s="69" t="str">
        <x:v>Arsenal</x:v>
      </x:c>
      <x:c r="D764" s="69" t="str">
        <x:v>Leverkusen</x:v>
      </x:c>
      <x:c r="E764" s="76" t="d">
        <x:v>2026-07-01T00:00:00.000Z</x:v>
      </x:c>
      <x:c r="F764" s="69" t="str">
        <x:v>historical</x:v>
      </x:c>
      <x:c r="G764" s="69" t="str">
        <x:v>CB</x:v>
      </x:c>
      <x:c r="H764" s="78" t="n">
        <x:v>52000000</x:v>
      </x:c>
      <x:c r="I764" s="69" t="str">
        <x:v>EUR</x:v>
      </x:c>
      <x:c r="J764" s="80" t="n">
        <x:v>24</x:v>
      </x:c>
      <x:c r="K764" s="82"/>
      <x:c r="L764" s="69" t="str">
        <x:v>Evidence needed</x:v>
      </x:c>
      <x:c r="M764" s="69" t="str">
        <x:v>The workbook records a 2026 Arsenal purchase. Verify the permanent fee basis and distinguish it from any earlier loan before rating this specific transaction.</x:v>
      </x:c>
      <x:c r="N764" s="69" t="str">
        <x:v>Not assessed</x:v>
      </x:c>
      <x:c r="O764" s="69" t="str">
        <x:v>Transfer identity, fee basis and buyer-specific production require verification.</x:v>
      </x:c>
      <x:c r="P764" s="69" t="str">
        <x:v>https://github.com/CopiousHighlights/football-transfer-market-analysis/blob/main/analysis/REMAINING_POSITION_RATINGS.md</x:v>
      </x:c>
    </x:row>
    <x:row r="765" ht="25" customHeight="1">
      <x:c r="A765" s="75" t="str">
        <x:v>historical-162</x:v>
      </x:c>
      <x:c r="B765" s="75" t="str">
        <x:v>Bremer</x:v>
      </x:c>
      <x:c r="C765" s="75" t="str">
        <x:v>Juventus</x:v>
      </x:c>
      <x:c r="D765" s="75" t="str">
        <x:v>Torino</x:v>
      </x:c>
      <x:c r="E765" s="77" t="d">
        <x:v>2022-07-20T00:00:00.000Z</x:v>
      </x:c>
      <x:c r="F765" s="75" t="str">
        <x:v>historical</x:v>
      </x:c>
      <x:c r="G765" s="75" t="str">
        <x:v>CB</x:v>
      </x:c>
      <x:c r="H765" s="79" t="n">
        <x:v>51300000</x:v>
      </x:c>
      <x:c r="I765" s="75" t="str">
        <x:v>EUR</x:v>
      </x:c>
      <x:c r="J765" s="81" t="n">
        <x:v>25</x:v>
      </x:c>
      <x:c r="K765" s="83" t="n">
        <x:v>8.5</x:v>
      </x:c>
      <x:c r="L765" s="75" t="str">
        <x:v>Assistant draft</x:v>
      </x:c>
      <x:c r="M765" s="75" t="str">
        <x:v>Defensive and aerial quality support strong value at this price. Signing-age runway and a complete availability review limit an even higher judgment.</x:v>
      </x:c>
      <x:c r="N765" s="75" t="str">
        <x:v>Low</x:v>
      </x:c>
      <x:c r="O765" s="75" t="str">
        <x:v>Qualitative editorial draft; source fees and signing ages retained, not independently certified. Role is an assistant classification. Production components are unavailable.</x:v>
      </x:c>
      <x:c r="P765" s="75" t="str">
        <x:v>https://github.com/CopiousHighlights/football-transfer-market-analysis/blob/main/analysis/REMAINING_POSITION_RATINGS.md</x:v>
      </x:c>
    </x:row>
    <x:row r="766" ht="25" customHeight="1">
      <x:c r="A766" s="69" t="str">
        <x:v>historical-165</x:v>
      </x:c>
      <x:c r="B766" s="69" t="str">
        <x:v>Ben Chilwell</x:v>
      </x:c>
      <x:c r="C766" s="69" t="str">
        <x:v>Chelsea</x:v>
      </x:c>
      <x:c r="D766" s="69" t="str">
        <x:v>Leicester</x:v>
      </x:c>
      <x:c r="E766" s="76" t="d">
        <x:v>2020-08-26T00:00:00.000Z</x:v>
      </x:c>
      <x:c r="F766" s="69" t="str">
        <x:v>historical</x:v>
      </x:c>
      <x:c r="G766" s="69" t="str">
        <x:v>LB</x:v>
      </x:c>
      <x:c r="H766" s="78" t="n">
        <x:v>50200000</x:v>
      </x:c>
      <x:c r="I766" s="69" t="str">
        <x:v>EUR</x:v>
      </x:c>
      <x:c r="J766" s="80" t="n">
        <x:v>24</x:v>
      </x:c>
      <x:c r="K766" s="82" t="n">
        <x:v>7.1</x:v>
      </x:c>
      <x:c r="L766" s="69" t="str">
        <x:v>Assistant draft</x:v>
      </x:c>
      <x:c r="M766" s="69" t="str">
        <x:v>Attacking and defensive contribution offered quality, but sustained availability is important at this substantial price. The draft remains mixed-to-good pending comparable minutes.</x:v>
      </x:c>
      <x:c r="N766" s="69" t="str">
        <x:v>Low</x:v>
      </x:c>
      <x:c r="O766" s="69" t="str">
        <x:v>Qualitative editorial draft; source fees and signing ages retained, not independently certified. Role is an assistant classification. Production components are unavailable.</x:v>
      </x:c>
      <x:c r="P766" s="69" t="str">
        <x:v>https://github.com/CopiousHighlights/football-transfer-market-analysis/blob/main/analysis/REMAINING_POSITION_RATINGS.md</x:v>
      </x:c>
    </x:row>
    <x:row r="767" ht="25" customHeight="1">
      <x:c r="A767" s="75" t="str">
        <x:v>historical-166</x:v>
      </x:c>
      <x:c r="B767" s="75" t="str">
        <x:v>André Onana</x:v>
      </x:c>
      <x:c r="C767" s="75" t="str">
        <x:v>Man Utd</x:v>
      </x:c>
      <x:c r="D767" s="75" t="str">
        <x:v>Inter</x:v>
      </x:c>
      <x:c r="E767" s="77" t="d">
        <x:v>2023-07-20T00:00:00.000Z</x:v>
      </x:c>
      <x:c r="F767" s="75" t="str">
        <x:v>historical</x:v>
      </x:c>
      <x:c r="G767" s="75" t="str">
        <x:v>GK</x:v>
      </x:c>
      <x:c r="H767" s="79" t="n">
        <x:v>50200000</x:v>
      </x:c>
      <x:c r="I767" s="75" t="str">
        <x:v>EUR</x:v>
      </x:c>
      <x:c r="J767" s="81" t="n">
        <x:v>27</x:v>
      </x:c>
      <x:c r="K767" s="83" t="n">
        <x:v>5.1</x:v>
      </x:c>
      <x:c r="L767" s="75" t="str">
        <x:v>Assistant draft</x:v>
      </x:c>
      <x:c r="M767" s="75" t="str">
        <x:v>Distribution offered an upside case, but the substantial goalkeeper fee required a more convincing sustained overall return. Shot-stopping, error and availability evidence should be reviewed before accepting the draft.</x:v>
      </x:c>
      <x:c r="N767" s="75" t="str">
        <x:v>Low</x:v>
      </x:c>
      <x:c r="O767" s="75" t="str">
        <x:v>Qualitative editorial draft; source fees and signing ages retained, not independently certified. Role is an assistant classification. Production components are unavailable.</x:v>
      </x:c>
      <x:c r="P767" s="75" t="str">
        <x:v>https://github.com/CopiousHighlights/football-transfer-market-analysis/blob/main/analysis/REMAINING_POSITION_RATINGS.md</x:v>
      </x:c>
    </x:row>
    <x:row r="768" ht="25" customHeight="1">
      <x:c r="A768" s="69" t="str">
        <x:v>historical-167</x:v>
      </x:c>
      <x:c r="B768" s="69" t="str">
        <x:v>Bernardo Silva</x:v>
      </x:c>
      <x:c r="C768" s="69" t="str">
        <x:v>Man City</x:v>
      </x:c>
      <x:c r="D768" s="69" t="str">
        <x:v>Monaco</x:v>
      </x:c>
      <x:c r="E768" s="76" t="d">
        <x:v>2017-07-01T00:00:00.000Z</x:v>
      </x:c>
      <x:c r="F768" s="69" t="str">
        <x:v>historical</x:v>
      </x:c>
      <x:c r="G768" s="69" t="str">
        <x:v>CM</x:v>
      </x:c>
      <x:c r="H768" s="78" t="n">
        <x:v>50000000</x:v>
      </x:c>
      <x:c r="I768" s="69" t="str">
        <x:v>EUR</x:v>
      </x:c>
      <x:c r="J768" s="80" t="n">
        <x:v>23</x:v>
      </x:c>
      <x:c r="K768" s="82" t="n">
        <x:v>9.7</x:v>
      </x:c>
      <x:c r="L768" s="69" t="str">
        <x:v>Assistant draft</x:v>
      </x:c>
      <x:c r="M768" s="69" t="str">
        <x:v>Long-term technical contribution, versatility and availability make the fee outstanding value. City documents his 400th appearance in May 2025 and pivotal role across multiple title-winning seasons.</x:v>
      </x:c>
      <x:c r="N768" s="69" t="str">
        <x:v>Low</x:v>
      </x:c>
      <x:c r="O768" s="69" t="str">
        <x:v>Qualitative editorial draft; source fees and signing ages retained, not independently certified. Role is an assistant classification. Production components are unavailable.</x:v>
      </x:c>
      <x:c r="P768" s="69" t="str">
        <x:v>https://live.mancity.com/news/mens/bernardo-silva-400-city-appearances-63881529</x:v>
      </x:c>
    </x:row>
    <x:row r="769" ht="25" customHeight="1">
      <x:c r="A769" s="75" t="str">
        <x:v>historical-169</x:v>
      </x:c>
      <x:c r="B769" s="75" t="str">
        <x:v>Min-jae Kim</x:v>
      </x:c>
      <x:c r="C769" s="75" t="str">
        <x:v>Bayern Munich</x:v>
      </x:c>
      <x:c r="D769" s="75" t="str">
        <x:v>Napoli</x:v>
      </x:c>
      <x:c r="E769" s="77" t="d">
        <x:v>2023-07-18T00:00:00.000Z</x:v>
      </x:c>
      <x:c r="F769" s="75" t="str">
        <x:v>historical</x:v>
      </x:c>
      <x:c r="G769" s="75" t="str">
        <x:v>CB</x:v>
      </x:c>
      <x:c r="H769" s="79" t="n">
        <x:v>50000000</x:v>
      </x:c>
      <x:c r="I769" s="75" t="str">
        <x:v>EUR</x:v>
      </x:c>
      <x:c r="J769" s="81" t="n">
        <x:v>27</x:v>
      </x:c>
      <x:c r="K769" s="83" t="n">
        <x:v>8</x:v>
      </x:c>
      <x:c r="L769" s="75" t="str">
        <x:v>Assistant draft</x:v>
      </x:c>
      <x:c r="M769" s="75" t="str">
        <x:v>Established defensive quality supports a useful Bayern value case. A sizeable fee and shorter runway than the youngest centre-backs keep my draft below outstanding value.</x:v>
      </x:c>
      <x:c r="N769" s="75" t="str">
        <x:v>Low</x:v>
      </x:c>
      <x:c r="O769" s="75" t="str">
        <x:v>Qualitative editorial draft; source fees and signing ages retained, not independently certified. Role is an assistant classification. Production components are unavailable.</x:v>
      </x:c>
      <x:c r="P769" s="75" t="str">
        <x:v>https://github.com/CopiousHighlights/football-transfer-market-analysis/blob/main/analysis/REMAINING_POSITION_RATINGS.md</x:v>
      </x:c>
    </x:row>
    <x:row r="770" ht="25" customHeight="1">
      <x:c r="A770" s="69" t="str">
        <x:v>historical-171</x:v>
      </x:c>
      <x:c r="B770" s="69" t="str">
        <x:v>Xavi Simons</x:v>
      </x:c>
      <x:c r="C770" s="69" t="str">
        <x:v>Leipzig</x:v>
      </x:c>
      <x:c r="D770" s="69" t="str">
        <x:v>PSG</x:v>
      </x:c>
      <x:c r="E770" s="76" t="d">
        <x:v>2025-01-30T00:00:00.000Z</x:v>
      </x:c>
      <x:c r="F770" s="69" t="str">
        <x:v>historical</x:v>
      </x:c>
      <x:c r="G770" s="69" t="str">
        <x:v>CAM</x:v>
      </x:c>
      <x:c r="H770" s="78" t="n">
        <x:v>50000000</x:v>
      </x:c>
      <x:c r="I770" s="69" t="str">
        <x:v>EUR</x:v>
      </x:c>
      <x:c r="J770" s="80" t="n">
        <x:v>22</x:v>
      </x:c>
      <x:c r="K770" s="82" t="n">
        <x:v>8.6</x:v>
      </x:c>
      <x:c r="L770" s="69" t="str">
        <x:v>Assistant draft</x:v>
      </x:c>
      <x:c r="M770" s="69" t="str">
        <x:v>The Leipzig fee is materially lower than his separate Tottenham purchase. Age and creative potential support strong value; the short permanent spell requires careful separation from prior loan contributions.</x:v>
      </x:c>
      <x:c r="N770" s="69" t="str">
        <x:v>Low</x:v>
      </x:c>
      <x:c r="O770" s="69" t="str">
        <x:v>Qualitative editorial draft; source fees and signing ages retained, not independently certified. Role is an assistant classification. Production components are unavailable.</x:v>
      </x:c>
      <x:c r="P770" s="69" t="str">
        <x:v>https://github.com/CopiousHighlights/football-transfer-market-analysis/blob/main/analysis/REMAINING_POSITION_RATINGS.md</x:v>
      </x:c>
    </x:row>
    <x:row r="771" ht="25" customHeight="1">
      <x:c r="A771" s="75" t="str">
        <x:v>historical-172</x:v>
      </x:c>
      <x:c r="B771" s="75" t="str">
        <x:v>Álvaro Carreras</x:v>
      </x:c>
      <x:c r="C771" s="75" t="str">
        <x:v>Real Madrid</x:v>
      </x:c>
      <x:c r="D771" s="75" t="str">
        <x:v>Benfica</x:v>
      </x:c>
      <x:c r="E771" s="77" t="d">
        <x:v>2025-07-14T00:00:00.000Z</x:v>
      </x:c>
      <x:c r="F771" s="75" t="str">
        <x:v>historical</x:v>
      </x:c>
      <x:c r="G771" s="75" t="str">
        <x:v>LB</x:v>
      </x:c>
      <x:c r="H771" s="79" t="n">
        <x:v>50000000</x:v>
      </x:c>
      <x:c r="I771" s="75" t="str">
        <x:v>EUR</x:v>
      </x:c>
      <x:c r="J771" s="81" t="n">
        <x:v>22</x:v>
      </x:c>
      <x:c r="K771" s="83" t="n">
        <x:v>8.1</x:v>
      </x:c>
      <x:c r="L771" s="75" t="str">
        <x:v>Assistant draft</x:v>
      </x:c>
      <x:c r="M771" s="75" t="str">
        <x:v>Age, progression and development runway support the Madrid investment. The significant price and incomplete buyer-specific review keep this provisional.</x:v>
      </x:c>
      <x:c r="N771" s="75" t="str">
        <x:v>Low</x:v>
      </x:c>
      <x:c r="O771" s="75" t="str">
        <x:v>Qualitative editorial draft; source fees and signing ages retained, not independently certified. Role is an assistant classification. Production components are unavailable.</x:v>
      </x:c>
      <x:c r="P771" s="75" t="str">
        <x:v>https://github.com/CopiousHighlights/football-transfer-market-analysis/blob/main/analysis/REMAINING_POSITION_RATINGS.md</x:v>
      </x:c>
    </x:row>
    <x:row r="772" ht="25" customHeight="1">
      <x:c r="A772" s="69" t="str">
        <x:v>historical-174</x:v>
      </x:c>
      <x:c r="B772" s="69" t="str">
        <x:v>Alex Teixeira</x:v>
      </x:c>
      <x:c r="C772" s="69" t="str">
        <x:v>JS Suning</x:v>
      </x:c>
      <x:c r="D772" s="69" t="str">
        <x:v>Shakhtar D.</x:v>
      </x:c>
      <x:c r="E772" s="76" t="d">
        <x:v>2016-02-05T00:00:00.000Z</x:v>
      </x:c>
      <x:c r="F772" s="69" t="str">
        <x:v>historical</x:v>
      </x:c>
      <x:c r="G772" s="69" t="str">
        <x:v>CAM</x:v>
      </x:c>
      <x:c r="H772" s="78" t="n">
        <x:v>50000000</x:v>
      </x:c>
      <x:c r="I772" s="69" t="str">
        <x:v>EUR</x:v>
      </x:c>
      <x:c r="J772" s="80" t="n">
        <x:v>26</x:v>
      </x:c>
      <x:c r="K772" s="82" t="n">
        <x:v>7</x:v>
      </x:c>
      <x:c r="L772" s="69" t="str">
        <x:v>Assistant draft</x:v>
      </x:c>
      <x:c r="M772" s="69" t="str">
        <x:v>Attacking quality offers some value, but the sizeable fee and competition context reduce my draft. Verified buyer-specific creative production is needed.</x:v>
      </x:c>
      <x:c r="N772" s="69" t="str">
        <x:v>Low</x:v>
      </x:c>
      <x:c r="O772" s="69" t="str">
        <x:v>Qualitative editorial draft; source fees and signing ages retained, not independently certified. Role is an assistant classification. Production components are unavailable.</x:v>
      </x:c>
      <x:c r="P772" s="69" t="str">
        <x:v>https://github.com/CopiousHighlights/football-transfer-market-analysis/blob/main/analysis/REMAINING_POSITION_RATINGS.md</x:v>
      </x:c>
    </x:row>
    <x:row r="773" ht="25" customHeight="1">
      <x:c r="A773" s="75" t="str">
        <x:v>historical-176</x:v>
      </x:c>
      <x:c r="B773" s="75" t="str">
        <x:v>Jules Koundé</x:v>
      </x:c>
      <x:c r="C773" s="75" t="str">
        <x:v>Barcelona</x:v>
      </x:c>
      <x:c r="D773" s="75" t="str">
        <x:v>Sevilla FC</x:v>
      </x:c>
      <x:c r="E773" s="77" t="d">
        <x:v>2022-07-28T00:00:00.000Z</x:v>
      </x:c>
      <x:c r="F773" s="75" t="str">
        <x:v>historical</x:v>
      </x:c>
      <x:c r="G773" s="75" t="str">
        <x:v>RB</x:v>
      </x:c>
      <x:c r="H773" s="79" t="n">
        <x:v>50000000</x:v>
      </x:c>
      <x:c r="I773" s="75" t="str">
        <x:v>EUR</x:v>
      </x:c>
      <x:c r="J773" s="81" t="n">
        <x:v>24</x:v>
      </x:c>
      <x:c r="K773" s="83" t="n">
        <x:v>9</x:v>
      </x:c>
      <x:c r="L773" s="75" t="str">
        <x:v>Assistant draft</x:v>
      </x:c>
      <x:c r="M773" s="75" t="str">
        <x:v>Right-sided defensive and possession versatility support outstanding Barcelona value at a lower fee than several comparable defensive purchases. Review covers his RB/CB utility without altering the source position.</x:v>
      </x:c>
      <x:c r="N773" s="75" t="str">
        <x:v>Low</x:v>
      </x:c>
      <x:c r="O773" s="75" t="str">
        <x:v>Qualitative editorial draft; source fees and signing ages retained, not independently certified. Role is an assistant classification. Production components are unavailable.</x:v>
      </x:c>
      <x:c r="P773" s="75" t="str">
        <x:v>https://github.com/CopiousHighlights/football-transfer-market-analysis/blob/main/analysis/REMAINING_POSITION_RATINGS.md</x:v>
      </x:c>
    </x:row>
    <x:row r="774" ht="25" customHeight="1">
      <x:c r="A774" s="69" t="str">
        <x:v>historical-181</x:v>
      </x:c>
      <x:c r="B774" s="69" t="str">
        <x:v>Éder Militão</x:v>
      </x:c>
      <x:c r="C774" s="69" t="str">
        <x:v>Real Madrid</x:v>
      </x:c>
      <x:c r="D774" s="69" t="str">
        <x:v>Porto</x:v>
      </x:c>
      <x:c r="E774" s="76" t="d">
        <x:v>2019-07-01T00:00:00.000Z</x:v>
      </x:c>
      <x:c r="F774" s="69" t="str">
        <x:v>historical</x:v>
      </x:c>
      <x:c r="G774" s="69" t="str">
        <x:v>CB</x:v>
      </x:c>
      <x:c r="H774" s="78" t="n">
        <x:v>50000000</x:v>
      </x:c>
      <x:c r="I774" s="69" t="str">
        <x:v>EUR</x:v>
      </x:c>
      <x:c r="J774" s="80" t="n">
        <x:v>21</x:v>
      </x:c>
      <x:c r="K774" s="82" t="n">
        <x:v>8.7</x:v>
      </x:c>
      <x:c r="L774" s="69" t="str">
        <x:v>Assistant draft</x:v>
      </x:c>
      <x:c r="M774" s="69" t="str">
        <x:v>Defensive and aerial ability plus a young signing profile support strong Madrid value. Consistent availability matters to the total return, preventing a higher draft.</x:v>
      </x:c>
      <x:c r="N774" s="69" t="str">
        <x:v>Low</x:v>
      </x:c>
      <x:c r="O774" s="69" t="str">
        <x:v>Qualitative editorial draft; source fees and signing ages retained, not independently certified. Role is an assistant classification. Production components are unavailable.</x:v>
      </x:c>
      <x:c r="P774" s="69" t="str">
        <x:v>https://github.com/CopiousHighlights/football-transfer-market-analysis/blob/main/analysis/REMAINING_POSITION_RATINGS.md</x:v>
      </x:c>
    </x:row>
    <x:row r="775" ht="25" customHeight="1">
      <x:c r="A775" s="75" t="str">
        <x:v>historical-185</x:v>
      </x:c>
      <x:c r="B775" s="75" t="str">
        <x:v>Gylfi Sigurdsson</x:v>
      </x:c>
      <x:c r="C775" s="75" t="str">
        <x:v>Everton</x:v>
      </x:c>
      <x:c r="D775" s="75" t="str">
        <x:v>Swansea</x:v>
      </x:c>
      <x:c r="E775" s="77" t="d">
        <x:v>2017-08-16T00:00:00.000Z</x:v>
      </x:c>
      <x:c r="F775" s="75" t="str">
        <x:v>historical</x:v>
      </x:c>
      <x:c r="G775" s="75" t="str">
        <x:v>CAM</x:v>
      </x:c>
      <x:c r="H775" s="79" t="n">
        <x:v>49400000</x:v>
      </x:c>
      <x:c r="I775" s="75" t="str">
        <x:v>EUR</x:v>
      </x:c>
      <x:c r="J775" s="81" t="n">
        <x:v>28</x:v>
      </x:c>
      <x:c r="K775" s="83" t="n">
        <x:v>5.8</x:v>
      </x:c>
      <x:c r="L775" s="75" t="str">
        <x:v>Assistant draft</x:v>
      </x:c>
      <x:c r="M775" s="75" t="str">
        <x:v>Useful creative contribution supports some value, but the high price and shorter useful runway make the deal less attractive than the top playmaker investments.</x:v>
      </x:c>
      <x:c r="N775" s="75" t="str">
        <x:v>Low</x:v>
      </x:c>
      <x:c r="O775" s="75" t="str">
        <x:v>Qualitative editorial draft; source fees and signing ages retained, not independently certified. Role is an assistant classification. Production components are unavailable.</x:v>
      </x:c>
      <x:c r="P775" s="75" t="str">
        <x:v>https://github.com/CopiousHighlights/football-transfer-market-analysis/blob/main/analysis/REMAINING_POSITION_RATINGS.md</x:v>
      </x:c>
    </x:row>
    <x:row r="776" ht="25" customHeight="1">
      <x:c r="A776" s="69" t="str">
        <x:v>historical-189</x:v>
      </x:c>
      <x:c r="B776" s="69" t="str">
        <x:v>Ferland Mendy</x:v>
      </x:c>
      <x:c r="C776" s="69" t="str">
        <x:v>Real Madrid</x:v>
      </x:c>
      <x:c r="D776" s="69" t="str">
        <x:v>Lyon</x:v>
      </x:c>
      <x:c r="E776" s="76" t="d">
        <x:v>2019-07-01T00:00:00.000Z</x:v>
      </x:c>
      <x:c r="F776" s="69" t="str">
        <x:v>historical</x:v>
      </x:c>
      <x:c r="G776" s="69" t="str">
        <x:v>LB</x:v>
      </x:c>
      <x:c r="H776" s="78" t="n">
        <x:v>48000000</x:v>
      </x:c>
      <x:c r="I776" s="69" t="str">
        <x:v>EUR</x:v>
      </x:c>
      <x:c r="J776" s="80" t="n">
        <x:v>24</x:v>
      </x:c>
      <x:c r="K776" s="82" t="n">
        <x:v>8.6</x:v>
      </x:c>
      <x:c r="L776" s="69" t="str">
        <x:v>Assistant draft</x:v>
      </x:c>
      <x:c r="M776" s="69" t="str">
        <x:v>Defensive balance and useful signing age support strong Madrid value. The significant fee and need to weigh availability keep the draft below exceptional value.</x:v>
      </x:c>
      <x:c r="N776" s="69" t="str">
        <x:v>Low</x:v>
      </x:c>
      <x:c r="O776" s="69" t="str">
        <x:v>Qualitative editorial draft; source fees and signing ages retained, not independently certified. Role is an assistant classification. Production components are unavailable.</x:v>
      </x:c>
      <x:c r="P776" s="69" t="str">
        <x:v>https://github.com/CopiousHighlights/football-transfer-market-analysis/blob/main/analysis/REMAINING_POSITION_RATINGS.md</x:v>
      </x:c>
    </x:row>
    <x:row r="777" ht="25" customHeight="1">
      <x:c r="A777" s="75" t="str">
        <x:v>historical-191</x:v>
      </x:c>
      <x:c r="B777" s="75" t="str">
        <x:v>Maximilian Kilman</x:v>
      </x:c>
      <x:c r="C777" s="75" t="str">
        <x:v>West Ham</x:v>
      </x:c>
      <x:c r="D777" s="75" t="str">
        <x:v>Wolves</x:v>
      </x:c>
      <x:c r="E777" s="77" t="d">
        <x:v>2024-07-06T00:00:00.000Z</x:v>
      </x:c>
      <x:c r="F777" s="75" t="str">
        <x:v>historical</x:v>
      </x:c>
      <x:c r="G777" s="75" t="str">
        <x:v>CB</x:v>
      </x:c>
      <x:c r="H777" s="79" t="n">
        <x:v>47500000</x:v>
      </x:c>
      <x:c r="I777" s="75" t="str">
        <x:v>EUR</x:v>
      </x:c>
      <x:c r="J777" s="81" t="n">
        <x:v>27</x:v>
      </x:c>
      <x:c r="K777" s="83" t="n">
        <x:v>6.8</x:v>
      </x:c>
      <x:c r="L777" s="75" t="str">
        <x:v>Assistant draft</x:v>
      </x:c>
      <x:c r="M777" s="75" t="str">
        <x:v>Premier League experience and defensive utility support some value, but the large fee bought less development runway. Buyer-specific defensive evidence is required to refine this cautious score.</x:v>
      </x:c>
      <x:c r="N777" s="75" t="str">
        <x:v>Low</x:v>
      </x:c>
      <x:c r="O777" s="75" t="str">
        <x:v>Qualitative editorial draft; source fees and signing ages retained, not independently certified. Role is an assistant classification. Production components are unavailable.</x:v>
      </x:c>
      <x:c r="P777" s="75" t="str">
        <x:v>https://github.com/CopiousHighlights/football-transfer-market-analysis/blob/main/analysis/REMAINING_POSITION_RATINGS.md</x:v>
      </x:c>
    </x:row>
    <x:row r="778" ht="25" customHeight="1">
      <x:c r="A778" s="69" t="str">
        <x:v>historical-192</x:v>
      </x:c>
      <x:c r="B778" s="69" t="str">
        <x:v>Matheus Nunes</x:v>
      </x:c>
      <x:c r="C778" s="69" t="str">
        <x:v>Wolves</x:v>
      </x:c>
      <x:c r="D778" s="69" t="str">
        <x:v>Sporting</x:v>
      </x:c>
      <x:c r="E778" s="76" t="d">
        <x:v>2022-08-18T00:00:00.000Z</x:v>
      </x:c>
      <x:c r="F778" s="69" t="str">
        <x:v>historical</x:v>
      </x:c>
      <x:c r="G778" s="69" t="str">
        <x:v>CM</x:v>
      </x:c>
      <x:c r="H778" s="78" t="n">
        <x:v>47400000</x:v>
      </x:c>
      <x:c r="I778" s="69" t="str">
        <x:v>EUR</x:v>
      </x:c>
      <x:c r="J778" s="80" t="n">
        <x:v>24</x:v>
      </x:c>
      <x:c r="K778" s="82" t="n">
        <x:v>7.4</x:v>
      </x:c>
      <x:c r="L778" s="69" t="str">
        <x:v>Assistant draft</x:v>
      </x:c>
      <x:c r="M778" s="69" t="str">
        <x:v>Carrying quality and age offered upside for Wolves. The sizeable fee requires the playing return and any independently verified resale benefit to be assessed separately.</x:v>
      </x:c>
      <x:c r="N778" s="69" t="str">
        <x:v>Low</x:v>
      </x:c>
      <x:c r="O778" s="69" t="str">
        <x:v>Qualitative editorial draft; source fees and signing ages retained, not independently certified. Role is an assistant classification. Production components are unavailable.</x:v>
      </x:c>
      <x:c r="P778" s="69" t="str">
        <x:v>https://github.com/CopiousHighlights/football-transfer-market-analysis/blob/main/analysis/REMAINING_POSITION_RATINGS.md</x:v>
      </x:c>
    </x:row>
    <x:row r="779" ht="25" customHeight="1">
      <x:c r="A779" s="75" t="str">
        <x:v>historical-193</x:v>
      </x:c>
      <x:c r="B779" s="75" t="str">
        <x:v>Cole Palmer</x:v>
      </x:c>
      <x:c r="C779" s="75" t="str">
        <x:v>Chelsea</x:v>
      </x:c>
      <x:c r="D779" s="75" t="str">
        <x:v>Man City</x:v>
      </x:c>
      <x:c r="E779" s="77" t="d">
        <x:v>2023-09-01T00:00:00.000Z</x:v>
      </x:c>
      <x:c r="F779" s="75" t="str">
        <x:v>historical</x:v>
      </x:c>
      <x:c r="G779" s="75" t="str">
        <x:v>CAM</x:v>
      </x:c>
      <x:c r="H779" s="79" t="n">
        <x:v>47000000</x:v>
      </x:c>
      <x:c r="I779" s="75" t="str">
        <x:v>EUR</x:v>
      </x:c>
      <x:c r="J779" s="81" t="n">
        <x:v>21</x:v>
      </x:c>
      <x:c r="K779" s="83" t="n">
        <x:v>9.8</x:v>
      </x:c>
      <x:c r="L779" s="75" t="str">
        <x:v>Assistant draft</x:v>
      </x:c>
      <x:c r="M779" s="75" t="str">
        <x:v>Scoring, creation and a young signing profile make the fee exceptional value. Chelsea confirms 22 league goals and 11 assists in 2023/24; later comparable production would refine the assessment.</x:v>
      </x:c>
      <x:c r="N779" s="75" t="str">
        <x:v>Low</x:v>
      </x:c>
      <x:c r="O779" s="75" t="str">
        <x:v>Qualitative editorial draft; source fees and signing ages retained, not independently certified. Role is an assistant classification. Production components are unavailable.</x:v>
      </x:c>
      <x:c r="P779" s="75" t="str">
        <x:v>https://www.chelseafc.com/en/news/article/in-numbers-palmers-incredible-first-year-as-a-blue</x:v>
      </x:c>
    </x:row>
    <x:row r="780" ht="25" customHeight="1">
      <x:c r="A780" s="69" t="str">
        <x:v>historical-194</x:v>
      </x:c>
      <x:c r="B780" s="69" t="str">
        <x:v>Milos Kerkez</x:v>
      </x:c>
      <x:c r="C780" s="69" t="str">
        <x:v>Liverpool</x:v>
      </x:c>
      <x:c r="D780" s="69" t="str">
        <x:v>Bournemouth</x:v>
      </x:c>
      <x:c r="E780" s="76" t="d">
        <x:v>2025-07-01T00:00:00.000Z</x:v>
      </x:c>
      <x:c r="F780" s="69" t="str">
        <x:v>historical</x:v>
      </x:c>
      <x:c r="G780" s="69" t="str">
        <x:v>LB</x:v>
      </x:c>
      <x:c r="H780" s="78" t="n">
        <x:v>46900000</x:v>
      </x:c>
      <x:c r="I780" s="69" t="str">
        <x:v>EUR</x:v>
      </x:c>
      <x:c r="J780" s="80" t="n">
        <x:v>22</x:v>
      </x:c>
      <x:c r="K780" s="82" t="n">
        <x:v>8.4</x:v>
      </x:c>
      <x:c r="L780" s="69" t="str">
        <x:v>Assistant draft</x:v>
      </x:c>
      <x:c r="M780" s="69" t="str">
        <x:v>Age, progression and attacking upside support strong Liverpool value. The meaningful price and incomplete buyer-specific review prevent an outstanding score.</x:v>
      </x:c>
      <x:c r="N780" s="69" t="str">
        <x:v>Low</x:v>
      </x:c>
      <x:c r="O780" s="69" t="str">
        <x:v>Qualitative editorial draft; source fees and signing ages retained, not independently certified. Role is an assistant classification. Production components are unavailable.</x:v>
      </x:c>
      <x:c r="P780" s="69" t="str">
        <x:v>https://github.com/CopiousHighlights/football-transfer-market-analysis/blob/main/analysis/REMAINING_POSITION_RATINGS.md</x:v>
      </x:c>
    </x:row>
    <x:row r="781" ht="25" customHeight="1">
      <x:c r="A781" s="75" t="str">
        <x:v>historical-197</x:v>
      </x:c>
      <x:c r="B781" s="75" t="str">
        <x:v>James Maddison</x:v>
      </x:c>
      <x:c r="C781" s="75" t="str">
        <x:v>Tottenham</x:v>
      </x:c>
      <x:c r="D781" s="75" t="str">
        <x:v>Leicester</x:v>
      </x:c>
      <x:c r="E781" s="77" t="d">
        <x:v>2023-07-01T00:00:00.000Z</x:v>
      </x:c>
      <x:c r="F781" s="75" t="str">
        <x:v>historical</x:v>
      </x:c>
      <x:c r="G781" s="75" t="str">
        <x:v>CAM</x:v>
      </x:c>
      <x:c r="H781" s="79" t="n">
        <x:v>46300000</x:v>
      </x:c>
      <x:c r="I781" s="75" t="str">
        <x:v>EUR</x:v>
      </x:c>
      <x:c r="J781" s="81" t="n">
        <x:v>27</x:v>
      </x:c>
      <x:c r="K781" s="83" t="n">
        <x:v>8</x:v>
      </x:c>
      <x:c r="L781" s="75" t="str">
        <x:v>Assistant draft</x:v>
      </x:c>
      <x:c r="M781" s="75" t="str">
        <x:v>Established chance creation at a comparatively moderate price supports good value. Shorter signing-age runway and the need for sustained availability limit the score.</x:v>
      </x:c>
      <x:c r="N781" s="75" t="str">
        <x:v>Low</x:v>
      </x:c>
      <x:c r="O781" s="75" t="str">
        <x:v>Qualitative editorial draft; source fees and signing ages retained, not independently certified. Role is an assistant classification. Production components are unavailable.</x:v>
      </x:c>
      <x:c r="P781" s="75" t="str">
        <x:v>https://github.com/CopiousHighlights/football-transfer-market-analysis/blob/main/analysis/REMAINING_POSITION_RATINGS.md</x:v>
      </x:c>
    </x:row>
    <x:row r="782" ht="25" customHeight="1">
      <x:c r="A782" s="69" t="str">
        <x:v>summer-S26-0001</x:v>
      </x:c>
      <x:c r="B782" s="69" t="str">
        <x:v>John Stones</x:v>
      </x:c>
      <x:c r="C782" s="69" t="str">
        <x:v>Inter</x:v>
      </x:c>
      <x:c r="D782" s="69" t="str">
        <x:v>Manchester City</x:v>
      </x:c>
      <x:c r="E782" s="76" t="d">
        <x:v>2026-07-30T00:00:00.000Z</x:v>
      </x:c>
      <x:c r="F782" s="69" t="str">
        <x:v>summer</x:v>
      </x:c>
      <x:c r="G782" s="69" t="str">
        <x:v>Defender — source label</x:v>
      </x:c>
      <x:c r="H782" s="78"/>
      <x:c r="I782" s="69" t="str">
        <x:v>GBP</x:v>
      </x:c>
      <x:c r="J782" s="80"/>
      <x:c r="K782" s="82"/>
      <x:c r="L782" s="69" t="str">
        <x:v>Evidence needed</x:v>
      </x:c>
      <x:c r="M782" s="69" t="str">
        <x:v>Buyer-specific role, production, availability, signing age and total fee evidence are needed before assigning a deal-value score. A zero base fee does not represent wages or signing costs.</x:v>
      </x:c>
      <x:c r="N782" s="69" t="str">
        <x:v>Not assessed</x:v>
      </x:c>
      <x:c r="O782" s="69" t="str">
        <x:v>Source broad position and transfer quote only; detailed role and buyer-specific production not validated.</x:v>
      </x:c>
      <x:c r="P782" s="69" t="str">
        <x:v>https://www.theguardian.com/football/ng-interactive/2026/sep/01/mens-transfer-window-summer-2026-all-deals-from-europes-top-five-leagues</x:v>
      </x:c>
    </x:row>
    <x:row r="783" ht="25" customHeight="1">
      <x:c r="A783" s="75" t="str">
        <x:v>summer-S26-0003</x:v>
      </x:c>
      <x:c r="B783" s="75" t="str">
        <x:v>Ismaïl Diallo</x:v>
      </x:c>
      <x:c r="C783" s="75" t="str">
        <x:v>Toulouse</x:v>
      </x:c>
      <x:c r="D783" s="75" t="str">
        <x:v>Dijon</x:v>
      </x:c>
      <x:c r="E783" s="77" t="d">
        <x:v>2026-05-22T00:00:00.000Z</x:v>
      </x:c>
      <x:c r="F783" s="75" t="str">
        <x:v>summer</x:v>
      </x:c>
      <x:c r="G783" s="75" t="str">
        <x:v>Defender — source label</x:v>
      </x:c>
      <x:c r="H783" s="79"/>
      <x:c r="I783" s="75" t="str">
        <x:v>GBP</x:v>
      </x:c>
      <x:c r="J783" s="81"/>
      <x:c r="K783" s="83"/>
      <x:c r="L783" s="75" t="str">
        <x:v>Evidence needed</x:v>
      </x:c>
      <x:c r="M783" s="75" t="str">
        <x:v>Buyer-specific role, production, availability, signing age and total fee evidence are needed before assigning a deal-value score. A zero base fee does not represent wages or signing costs.</x:v>
      </x:c>
      <x:c r="N783" s="75" t="str">
        <x:v>Not assessed</x:v>
      </x:c>
      <x:c r="O783" s="75" t="str">
        <x:v>Source broad position and transfer quote only; detailed role and buyer-specific production not validated.</x:v>
      </x:c>
      <x:c r="P783" s="75" t="str">
        <x:v>https://www.theguardian.com/football/ng-interactive/2026/sep/01/mens-transfer-window-summer-2026-all-deals-from-europes-top-five-leagues</x:v>
      </x:c>
    </x:row>
    <x:row r="784" ht="25" customHeight="1">
      <x:c r="A784" s="69" t="str">
        <x:v>summer-S26-0008</x:v>
      </x:c>
      <x:c r="B784" s="69" t="str">
        <x:v>Luka Duric</x:v>
      </x:c>
      <x:c r="C784" s="69" t="str">
        <x:v>Paderborn</x:v>
      </x:c>
      <x:c r="D784" s="69" t="str">
        <x:v>Hoffenheim</x:v>
      </x:c>
      <x:c r="E784" s="76" t="d">
        <x:v>2026-05-28T00:00:00.000Z</x:v>
      </x:c>
      <x:c r="F784" s="69" t="str">
        <x:v>summer</x:v>
      </x:c>
      <x:c r="G784" s="69" t="str">
        <x:v>Midfielder — source label</x:v>
      </x:c>
      <x:c r="H784" s="78"/>
      <x:c r="I784" s="69" t="str">
        <x:v>GBP</x:v>
      </x:c>
      <x:c r="J784" s="80"/>
      <x:c r="K784" s="82"/>
      <x:c r="L784" s="69" t="str">
        <x:v>Evidence needed</x:v>
      </x:c>
      <x:c r="M784" s="69" t="str">
        <x:v>Buyer-specific role, production, availability, signing age and total fee evidence are needed before assigning a deal-value score.</x:v>
      </x:c>
      <x:c r="N784" s="69" t="str">
        <x:v>Not assessed</x:v>
      </x:c>
      <x:c r="O784" s="69" t="str">
        <x:v>Source broad position and transfer quote only; detailed role and buyer-specific production not validated.</x:v>
      </x:c>
      <x:c r="P784" s="69" t="str">
        <x:v>https://www.theguardian.com/football/ng-interactive/2026/sep/01/mens-transfer-window-summer-2026-all-deals-from-europes-top-five-leagues</x:v>
      </x:c>
    </x:row>
    <x:row r="785" ht="25" customHeight="1">
      <x:c r="A785" s="75" t="str">
        <x:v>summer-S26-0009</x:v>
      </x:c>
      <x:c r="B785" s="75" t="str">
        <x:v>Bilal El Khannouss</x:v>
      </x:c>
      <x:c r="C785" s="75" t="str">
        <x:v>Stuttgart</x:v>
      </x:c>
      <x:c r="D785" s="75" t="str">
        <x:v>Leicester City</x:v>
      </x:c>
      <x:c r="E785" s="77" t="d">
        <x:v>2026-07-01T00:00:00.000Z</x:v>
      </x:c>
      <x:c r="F785" s="75" t="str">
        <x:v>summer</x:v>
      </x:c>
      <x:c r="G785" s="75" t="str">
        <x:v>Midfielder — source label</x:v>
      </x:c>
      <x:c r="H785" s="79" t="n">
        <x:v>14700000</x:v>
      </x:c>
      <x:c r="I785" s="75" t="str">
        <x:v>GBP</x:v>
      </x:c>
      <x:c r="J785" s="81"/>
      <x:c r="K785" s="83"/>
      <x:c r="L785" s="75" t="str">
        <x:v>Evidence needed</x:v>
      </x:c>
      <x:c r="M785" s="75" t="str">
        <x:v>Buyer-specific role, production, availability, signing age and total fee evidence are needed before assigning a deal-value score.</x:v>
      </x:c>
      <x:c r="N785" s="75" t="str">
        <x:v>Not assessed</x:v>
      </x:c>
      <x:c r="O785" s="75" t="str">
        <x:v>Source broad position and transfer quote only; detailed role and buyer-specific production not validated.</x:v>
      </x:c>
      <x:c r="P785" s="75" t="str">
        <x:v>https://www.theguardian.com/football/ng-interactive/2026/sep/01/mens-transfer-window-summer-2026-all-deals-from-europes-top-five-leagues</x:v>
      </x:c>
    </x:row>
    <x:row r="786" ht="25" customHeight="1">
      <x:c r="A786" s="69" t="str">
        <x:v>summer-S26-0011</x:v>
      </x:c>
      <x:c r="B786" s="69" t="str">
        <x:v>Arijanet Muric</x:v>
      </x:c>
      <x:c r="C786" s="69" t="str">
        <x:v>Sassuolo</x:v>
      </x:c>
      <x:c r="D786" s="69" t="str">
        <x:v>Ipswich Town</x:v>
      </x:c>
      <x:c r="E786" s="76" t="d">
        <x:v>2026-06-01T00:00:00.000Z</x:v>
      </x:c>
      <x:c r="F786" s="69" t="str">
        <x:v>summer</x:v>
      </x:c>
      <x:c r="G786" s="69" t="str">
        <x:v>Goalkeeper — source label</x:v>
      </x:c>
      <x:c r="H786" s="78" t="n">
        <x:v>6000000</x:v>
      </x:c>
      <x:c r="I786" s="69" t="str">
        <x:v>GBP</x:v>
      </x:c>
      <x:c r="J786" s="80"/>
      <x:c r="K786" s="82"/>
      <x:c r="L786" s="69" t="str">
        <x:v>Evidence needed</x:v>
      </x:c>
      <x:c r="M786" s="69" t="str">
        <x:v>Buyer-specific shot-stopping, distribution, aerial command, sweeping, signing age and total fee evidence are needed before scoring.</x:v>
      </x:c>
      <x:c r="N786" s="69" t="str">
        <x:v>Not assessed</x:v>
      </x:c>
      <x:c r="O786" s="69" t="str">
        <x:v>Source broad position and transfer quote only; detailed role and buyer-specific production not validated.</x:v>
      </x:c>
      <x:c r="P786" s="69" t="str">
        <x:v>https://www.theguardian.com/football/ng-interactive/2026/sep/01/mens-transfer-window-summer-2026-all-deals-from-europes-top-five-leagues</x:v>
      </x:c>
    </x:row>
    <x:row r="787" ht="25" customHeight="1">
      <x:c r="A787" s="75" t="str">
        <x:v>summer-S26-0014</x:v>
      </x:c>
      <x:c r="B787" s="75" t="str">
        <x:v>Issa Doumbia</x:v>
      </x:c>
      <x:c r="C787" s="75" t="str">
        <x:v>Sporting</x:v>
      </x:c>
      <x:c r="D787" s="75" t="str">
        <x:v>Venezia</x:v>
      </x:c>
      <x:c r="E787" s="77" t="d">
        <x:v>2026-06-01T00:00:00.000Z</x:v>
      </x:c>
      <x:c r="F787" s="75" t="str">
        <x:v>summer</x:v>
      </x:c>
      <x:c r="G787" s="75" t="str">
        <x:v>Midfielder — source label</x:v>
      </x:c>
      <x:c r="H787" s="79" t="n">
        <x:v>17800000</x:v>
      </x:c>
      <x:c r="I787" s="75" t="str">
        <x:v>GBP</x:v>
      </x:c>
      <x:c r="J787" s="81"/>
      <x:c r="K787" s="83"/>
      <x:c r="L787" s="75" t="str">
        <x:v>Evidence needed</x:v>
      </x:c>
      <x:c r="M787" s="75" t="str">
        <x:v>Buyer-specific role, production, availability, signing age and total fee evidence are needed before assigning a deal-value score.</x:v>
      </x:c>
      <x:c r="N787" s="75" t="str">
        <x:v>Not assessed</x:v>
      </x:c>
      <x:c r="O787" s="75" t="str">
        <x:v>Source broad position and transfer quote only; detailed role and buyer-specific production not validated.</x:v>
      </x:c>
      <x:c r="P787" s="75" t="str">
        <x:v>https://www.theguardian.com/football/ng-interactive/2026/sep/01/mens-transfer-window-summer-2026-all-deals-from-europes-top-five-leagues</x:v>
      </x:c>
    </x:row>
    <x:row r="788" ht="25" customHeight="1">
      <x:c r="A788" s="69" t="str">
        <x:v>summer-S26-0015</x:v>
      </x:c>
      <x:c r="B788" s="69" t="str">
        <x:v>Chuki</x:v>
      </x:c>
      <x:c r="C788" s="69" t="str">
        <x:v>Werder Bremen</x:v>
      </x:c>
      <x:c r="D788" s="69" t="str">
        <x:v>Real Valladolid</x:v>
      </x:c>
      <x:c r="E788" s="76" t="d">
        <x:v>2026-06-02T00:00:00.000Z</x:v>
      </x:c>
      <x:c r="F788" s="69" t="str">
        <x:v>summer</x:v>
      </x:c>
      <x:c r="G788" s="69" t="str">
        <x:v>Midfielder — source label</x:v>
      </x:c>
      <x:c r="H788" s="78"/>
      <x:c r="I788" s="69" t="str">
        <x:v>GBP</x:v>
      </x:c>
      <x:c r="J788" s="80"/>
      <x:c r="K788" s="82"/>
      <x:c r="L788" s="69" t="str">
        <x:v>Evidence needed</x:v>
      </x:c>
      <x:c r="M788" s="69" t="str">
        <x:v>Buyer-specific role, production, availability, signing age and total fee evidence are needed before assigning a deal-value score. A zero base fee does not represent wages or signing costs.</x:v>
      </x:c>
      <x:c r="N788" s="69" t="str">
        <x:v>Not assessed</x:v>
      </x:c>
      <x:c r="O788" s="69" t="str">
        <x:v>Source broad position and transfer quote only; detailed role and buyer-specific production not validated.</x:v>
      </x:c>
      <x:c r="P788" s="69" t="str">
        <x:v>https://www.theguardian.com/football/ng-interactive/2026/sep/01/mens-transfer-window-summer-2026-all-deals-from-europes-top-five-leagues</x:v>
      </x:c>
    </x:row>
    <x:row r="789" ht="25" customHeight="1">
      <x:c r="A789" s="75" t="str">
        <x:v>summer-S26-0016</x:v>
      </x:c>
      <x:c r="B789" s="75" t="str">
        <x:v>Buba Sangaré</x:v>
      </x:c>
      <x:c r="C789" s="75" t="str">
        <x:v>Elche</x:v>
      </x:c>
      <x:c r="D789" s="75" t="str">
        <x:v>Roma</x:v>
      </x:c>
      <x:c r="E789" s="77" t="d">
        <x:v>2026-06-03T00:00:00.000Z</x:v>
      </x:c>
      <x:c r="F789" s="75" t="str">
        <x:v>summer</x:v>
      </x:c>
      <x:c r="G789" s="75" t="str">
        <x:v>Defender — source label</x:v>
      </x:c>
      <x:c r="H789" s="79" t="n">
        <x:v>3900000</x:v>
      </x:c>
      <x:c r="I789" s="75" t="str">
        <x:v>GBP</x:v>
      </x:c>
      <x:c r="J789" s="81"/>
      <x:c r="K789" s="83"/>
      <x:c r="L789" s="75" t="str">
        <x:v>Evidence needed</x:v>
      </x:c>
      <x:c r="M789" s="75" t="str">
        <x:v>Buyer-specific role, production, availability, signing age and total fee evidence are needed before assigning a deal-value score.</x:v>
      </x:c>
      <x:c r="N789" s="75" t="str">
        <x:v>Not assessed</x:v>
      </x:c>
      <x:c r="O789" s="75" t="str">
        <x:v>Source broad position and transfer quote only; detailed role and buyer-specific production not validated.</x:v>
      </x:c>
      <x:c r="P789" s="75" t="str">
        <x:v>https://www.theguardian.com/football/ng-interactive/2026/sep/01/mens-transfer-window-summer-2026-all-deals-from-europes-top-five-leagues</x:v>
      </x:c>
    </x:row>
    <x:row r="790" ht="25" customHeight="1">
      <x:c r="A790" s="69" t="str">
        <x:v>summer-S26-0022</x:v>
      </x:c>
      <x:c r="B790" s="69" t="str">
        <x:v>Andy Robertson</x:v>
      </x:c>
      <x:c r="C790" s="69" t="str">
        <x:v>Tottenham Hotspur</x:v>
      </x:c>
      <x:c r="D790" s="69" t="str">
        <x:v>Liverpool</x:v>
      </x:c>
      <x:c r="E790" s="76" t="d">
        <x:v>2026-06-05T00:00:00.000Z</x:v>
      </x:c>
      <x:c r="F790" s="69" t="str">
        <x:v>summer</x:v>
      </x:c>
      <x:c r="G790" s="69" t="str">
        <x:v>Defender — source label</x:v>
      </x:c>
      <x:c r="H790" s="78"/>
      <x:c r="I790" s="69" t="str">
        <x:v>GBP</x:v>
      </x:c>
      <x:c r="J790" s="80"/>
      <x:c r="K790" s="82"/>
      <x:c r="L790" s="69" t="str">
        <x:v>Evidence needed</x:v>
      </x:c>
      <x:c r="M790" s="69" t="str">
        <x:v>Buyer-specific role, production, availability, signing age and total fee evidence are needed before assigning a deal-value score. A zero base fee does not represent wages or signing costs.</x:v>
      </x:c>
      <x:c r="N790" s="69" t="str">
        <x:v>Not assessed</x:v>
      </x:c>
      <x:c r="O790" s="69" t="str">
        <x:v>Source broad position and transfer quote only; detailed role and buyer-specific production not validated.</x:v>
      </x:c>
      <x:c r="P790" s="69" t="str">
        <x:v>https://www.theguardian.com/football/ng-interactive/2026/sep/01/mens-transfer-window-summer-2026-all-deals-from-europes-top-five-leagues</x:v>
      </x:c>
    </x:row>
    <x:row r="791" ht="25" customHeight="1">
      <x:c r="A791" s="75" t="str">
        <x:v>summer-S26-0023</x:v>
      </x:c>
      <x:c r="B791" s="75" t="str">
        <x:v>Jonas Omlin</x:v>
      </x:c>
      <x:c r="C791" s="75" t="str">
        <x:v>Basel</x:v>
      </x:c>
      <x:c r="D791" s="75" t="str">
        <x:v>Borussia Mönchengladbach</x:v>
      </x:c>
      <x:c r="E791" s="77" t="d">
        <x:v>2026-06-05T00:00:00.000Z</x:v>
      </x:c>
      <x:c r="F791" s="75" t="str">
        <x:v>summer</x:v>
      </x:c>
      <x:c r="G791" s="75" t="str">
        <x:v>Goalkeeper — source label</x:v>
      </x:c>
      <x:c r="H791" s="79"/>
      <x:c r="I791" s="75" t="str">
        <x:v>GBP</x:v>
      </x:c>
      <x:c r="J791" s="81"/>
      <x:c r="K791" s="83"/>
      <x:c r="L791" s="75" t="str">
        <x:v>Evidence needed</x:v>
      </x:c>
      <x:c r="M791" s="75" t="str">
        <x:v>Buyer-specific shot-stopping, distribution, aerial command, sweeping, signing age and total fee evidence are needed before scoring.</x:v>
      </x:c>
      <x:c r="N791" s="75" t="str">
        <x:v>Not assessed</x:v>
      </x:c>
      <x:c r="O791" s="75" t="str">
        <x:v>Source broad position and transfer quote only; detailed role and buyer-specific production not validated.</x:v>
      </x:c>
      <x:c r="P791" s="75" t="str">
        <x:v>https://www.theguardian.com/football/ng-interactive/2026/sep/01/mens-transfer-window-summer-2026-all-deals-from-europes-top-five-leagues</x:v>
      </x:c>
    </x:row>
    <x:row r="792" ht="25" customHeight="1">
      <x:c r="A792" s="69" t="str">
        <x:v>summer-S26-0025</x:v>
      </x:c>
      <x:c r="B792" s="69" t="str">
        <x:v>Albert Grønbaek</x:v>
      </x:c>
      <x:c r="C792" s="69" t="str">
        <x:v>Hamburg</x:v>
      </x:c>
      <x:c r="D792" s="69" t="str">
        <x:v>Rennes</x:v>
      </x:c>
      <x:c r="E792" s="76" t="d">
        <x:v>2026-06-05T00:00:00.000Z</x:v>
      </x:c>
      <x:c r="F792" s="69" t="str">
        <x:v>summer</x:v>
      </x:c>
      <x:c r="G792" s="69" t="str">
        <x:v>Midfielder — source label</x:v>
      </x:c>
      <x:c r="H792" s="78" t="n">
        <x:v>5200000</x:v>
      </x:c>
      <x:c r="I792" s="69" t="str">
        <x:v>GBP</x:v>
      </x:c>
      <x:c r="J792" s="80"/>
      <x:c r="K792" s="82"/>
      <x:c r="L792" s="69" t="str">
        <x:v>Evidence needed</x:v>
      </x:c>
      <x:c r="M792" s="69" t="str">
        <x:v>Buyer-specific role, production, availability, signing age and total fee evidence are needed before assigning a deal-value score.</x:v>
      </x:c>
      <x:c r="N792" s="69" t="str">
        <x:v>Not assessed</x:v>
      </x:c>
      <x:c r="O792" s="69" t="str">
        <x:v>Source broad position and transfer quote only; detailed role and buyer-specific production not validated.</x:v>
      </x:c>
      <x:c r="P792" s="69" t="str">
        <x:v>https://www.theguardian.com/football/ng-interactive/2026/sep/01/mens-transfer-window-summer-2026-all-deals-from-europes-top-five-leagues</x:v>
      </x:c>
    </x:row>
    <x:row r="793" ht="25" customHeight="1">
      <x:c r="A793" s="75" t="str">
        <x:v>summer-S26-0027</x:v>
      </x:c>
      <x:c r="B793" s="75" t="str">
        <x:v>Daniel Peretz</x:v>
      </x:c>
      <x:c r="C793" s="75" t="str">
        <x:v>Southampton</x:v>
      </x:c>
      <x:c r="D793" s="75" t="str">
        <x:v>Bayern Munich</x:v>
      </x:c>
      <x:c r="E793" s="77" t="d">
        <x:v>2026-06-05T00:00:00.000Z</x:v>
      </x:c>
      <x:c r="F793" s="75" t="str">
        <x:v>summer</x:v>
      </x:c>
      <x:c r="G793" s="75" t="str">
        <x:v>Goalkeeper — source label</x:v>
      </x:c>
      <x:c r="H793" s="79" t="n">
        <x:v>6000000</x:v>
      </x:c>
      <x:c r="I793" s="75" t="str">
        <x:v>GBP</x:v>
      </x:c>
      <x:c r="J793" s="81"/>
      <x:c r="K793" s="83"/>
      <x:c r="L793" s="75" t="str">
        <x:v>Evidence needed</x:v>
      </x:c>
      <x:c r="M793" s="75" t="str">
        <x:v>Buyer-specific shot-stopping, distribution, aerial command, sweeping, signing age and total fee evidence are needed before scoring.</x:v>
      </x:c>
      <x:c r="N793" s="75" t="str">
        <x:v>Not assessed</x:v>
      </x:c>
      <x:c r="O793" s="75" t="str">
        <x:v>Source broad position and transfer quote only; detailed role and buyer-specific production not validated.</x:v>
      </x:c>
      <x:c r="P793" s="75" t="str">
        <x:v>https://www.theguardian.com/football/ng-interactive/2026/sep/01/mens-transfer-window-summer-2026-all-deals-from-europes-top-five-leagues</x:v>
      </x:c>
    </x:row>
    <x:row r="794" ht="25" customHeight="1">
      <x:c r="A794" s="69" t="str">
        <x:v>summer-S26-0029</x:v>
      </x:c>
      <x:c r="B794" s="69" t="str">
        <x:v>Lukasz Poreba</x:v>
      </x:c>
      <x:c r="C794" s="69" t="str">
        <x:v>Elversberg</x:v>
      </x:c>
      <x:c r="D794" s="69" t="str">
        <x:v>Hamburg</x:v>
      </x:c>
      <x:c r="E794" s="76" t="d">
        <x:v>2026-06-06T00:00:00.000Z</x:v>
      </x:c>
      <x:c r="F794" s="69" t="str">
        <x:v>summer</x:v>
      </x:c>
      <x:c r="G794" s="69" t="str">
        <x:v>Midfielder — source label</x:v>
      </x:c>
      <x:c r="H794" s="78" t="n">
        <x:v>1400000</x:v>
      </x:c>
      <x:c r="I794" s="69" t="str">
        <x:v>GBP</x:v>
      </x:c>
      <x:c r="J794" s="80"/>
      <x:c r="K794" s="82"/>
      <x:c r="L794" s="69" t="str">
        <x:v>Evidence needed</x:v>
      </x:c>
      <x:c r="M794" s="69" t="str">
        <x:v>Buyer-specific role, production, availability, signing age and total fee evidence are needed before assigning a deal-value score.</x:v>
      </x:c>
      <x:c r="N794" s="69" t="str">
        <x:v>Not assessed</x:v>
      </x:c>
      <x:c r="O794" s="69" t="str">
        <x:v>Source broad position and transfer quote only; detailed role and buyer-specific production not validated.</x:v>
      </x:c>
      <x:c r="P794" s="69" t="str">
        <x:v>https://www.theguardian.com/football/ng-interactive/2026/sep/01/mens-transfer-window-summer-2026-all-deals-from-europes-top-five-leagues</x:v>
      </x:c>
    </x:row>
    <x:row r="795" ht="25" customHeight="1">
      <x:c r="A795" s="75" t="str">
        <x:v>summer-S26-0034</x:v>
      </x:c>
      <x:c r="B795" s="75" t="str">
        <x:v>Jakub Kiwior</x:v>
      </x:c>
      <x:c r="C795" s="75" t="str">
        <x:v>Porto</x:v>
      </x:c>
      <x:c r="D795" s="75" t="str">
        <x:v>Arsenal</x:v>
      </x:c>
      <x:c r="E795" s="77" t="d">
        <x:v>2026-05-08T00:00:00.000Z</x:v>
      </x:c>
      <x:c r="F795" s="75" t="str">
        <x:v>summer</x:v>
      </x:c>
      <x:c r="G795" s="75" t="str">
        <x:v>Defender — source label</x:v>
      </x:c>
      <x:c r="H795" s="79" t="n">
        <x:v>14500000</x:v>
      </x:c>
      <x:c r="I795" s="75" t="str">
        <x:v>GBP</x:v>
      </x:c>
      <x:c r="J795" s="81"/>
      <x:c r="K795" s="83"/>
      <x:c r="L795" s="75" t="str">
        <x:v>Evidence needed</x:v>
      </x:c>
      <x:c r="M795" s="75" t="str">
        <x:v>Buyer-specific role, production, availability, signing age and total fee evidence are needed before assigning a deal-value score.</x:v>
      </x:c>
      <x:c r="N795" s="75" t="str">
        <x:v>Not assessed</x:v>
      </x:c>
      <x:c r="O795" s="75" t="str">
        <x:v>Source broad position and transfer quote only; detailed role and buyer-specific production not validated.</x:v>
      </x:c>
      <x:c r="P795" s="75" t="str">
        <x:v>https://www.theguardian.com/football/ng-interactive/2026/sep/01/mens-transfer-window-summer-2026-all-deals-from-europes-top-five-leagues</x:v>
      </x:c>
    </x:row>
    <x:row r="796" ht="25" customHeight="1">
      <x:c r="A796" s="69" t="str">
        <x:v>summer-S26-0035</x:v>
      </x:c>
      <x:c r="B796" s="69" t="str">
        <x:v>Merlin Röhl</x:v>
      </x:c>
      <x:c r="C796" s="69" t="str">
        <x:v>Everton</x:v>
      </x:c>
      <x:c r="D796" s="69" t="str">
        <x:v>Freiburg</x:v>
      </x:c>
      <x:c r="E796" s="76" t="d">
        <x:v>2026-07-06T00:00:00.000Z</x:v>
      </x:c>
      <x:c r="F796" s="69" t="str">
        <x:v>summer</x:v>
      </x:c>
      <x:c r="G796" s="69" t="str">
        <x:v>Midfielder — source label</x:v>
      </x:c>
      <x:c r="H796" s="78" t="n">
        <x:v>17300000</x:v>
      </x:c>
      <x:c r="I796" s="69" t="str">
        <x:v>GBP</x:v>
      </x:c>
      <x:c r="J796" s="80"/>
      <x:c r="K796" s="82"/>
      <x:c r="L796" s="69" t="str">
        <x:v>Evidence needed</x:v>
      </x:c>
      <x:c r="M796" s="69" t="str">
        <x:v>Buyer-specific role, production, availability, signing age and total fee evidence are needed before assigning a deal-value score.</x:v>
      </x:c>
      <x:c r="N796" s="69" t="str">
        <x:v>Not assessed</x:v>
      </x:c>
      <x:c r="O796" s="69" t="str">
        <x:v>Source broad position and transfer quote only; detailed role and buyer-specific production not validated.</x:v>
      </x:c>
      <x:c r="P796" s="69" t="str">
        <x:v>https://www.theguardian.com/football/ng-interactive/2026/sep/01/mens-transfer-window-summer-2026-all-deals-from-europes-top-five-leagues</x:v>
      </x:c>
    </x:row>
    <x:row r="797" ht="25" customHeight="1">
      <x:c r="A797" s="75" t="str">
        <x:v>summer-S26-0036</x:v>
      </x:c>
      <x:c r="B797" s="75" t="str">
        <x:v>Patrick Zabi</x:v>
      </x:c>
      <x:c r="C797" s="75" t="str">
        <x:v>Paris FC</x:v>
      </x:c>
      <x:c r="D797" s="75" t="str">
        <x:v>Reims</x:v>
      </x:c>
      <x:c r="E797" s="77" t="d">
        <x:v>2026-06-01T00:00:00.000Z</x:v>
      </x:c>
      <x:c r="F797" s="75" t="str">
        <x:v>summer</x:v>
      </x:c>
      <x:c r="G797" s="75" t="str">
        <x:v>Midfielder — source label</x:v>
      </x:c>
      <x:c r="H797" s="79" t="n">
        <x:v>21600000</x:v>
      </x:c>
      <x:c r="I797" s="75" t="str">
        <x:v>GBP</x:v>
      </x:c>
      <x:c r="J797" s="81"/>
      <x:c r="K797" s="83"/>
      <x:c r="L797" s="75" t="str">
        <x:v>Evidence needed</x:v>
      </x:c>
      <x:c r="M797" s="75" t="str">
        <x:v>Buyer-specific role, production, availability, signing age and total fee evidence are needed before assigning a deal-value score.</x:v>
      </x:c>
      <x:c r="N797" s="75" t="str">
        <x:v>Not assessed</x:v>
      </x:c>
      <x:c r="O797" s="75" t="str">
        <x:v>Source broad position and transfer quote only; detailed role and buyer-specific production not validated.</x:v>
      </x:c>
      <x:c r="P797" s="75" t="str">
        <x:v>https://www.theguardian.com/football/ng-interactive/2026/sep/01/mens-transfer-window-summer-2026-all-deals-from-europes-top-five-leagues</x:v>
      </x:c>
    </x:row>
    <x:row r="798" ht="25" customHeight="1">
      <x:c r="A798" s="69" t="str">
        <x:v>summer-S26-0038</x:v>
      </x:c>
      <x:c r="B798" s="69" t="str">
        <x:v>Saud Abdulhamid</x:v>
      </x:c>
      <x:c r="C798" s="69" t="str">
        <x:v>Lens</x:v>
      </x:c>
      <x:c r="D798" s="69" t="str">
        <x:v>Roma</x:v>
      </x:c>
      <x:c r="E798" s="76" t="d">
        <x:v>2026-06-04T00:00:00.000Z</x:v>
      </x:c>
      <x:c r="F798" s="69" t="str">
        <x:v>summer</x:v>
      </x:c>
      <x:c r="G798" s="69" t="str">
        <x:v>Defender — source label</x:v>
      </x:c>
      <x:c r="H798" s="78" t="n">
        <x:v>3000000</x:v>
      </x:c>
      <x:c r="I798" s="69" t="str">
        <x:v>GBP</x:v>
      </x:c>
      <x:c r="J798" s="80"/>
      <x:c r="K798" s="82"/>
      <x:c r="L798" s="69" t="str">
        <x:v>Evidence needed</x:v>
      </x:c>
      <x:c r="M798" s="69" t="str">
        <x:v>Buyer-specific role, production, availability, signing age and total fee evidence are needed before assigning a deal-value score.</x:v>
      </x:c>
      <x:c r="N798" s="69" t="str">
        <x:v>Not assessed</x:v>
      </x:c>
      <x:c r="O798" s="69" t="str">
        <x:v>Source broad position and transfer quote only; detailed role and buyer-specific production not validated.</x:v>
      </x:c>
      <x:c r="P798" s="69" t="str">
        <x:v>https://www.theguardian.com/football/ng-interactive/2026/sep/01/mens-transfer-window-summer-2026-all-deals-from-europes-top-five-leagues</x:v>
      </x:c>
    </x:row>
    <x:row r="799" ht="25" customHeight="1">
      <x:c r="A799" s="75" t="str">
        <x:v>summer-S26-0039</x:v>
      </x:c>
      <x:c r="B799" s="75" t="str">
        <x:v>Kieran Trippier</x:v>
      </x:c>
      <x:c r="C799" s="75" t="str">
        <x:v>Wolverhampton Wanderers</x:v>
      </x:c>
      <x:c r="D799" s="75" t="str">
        <x:v>Newcastle United</x:v>
      </x:c>
      <x:c r="E799" s="77" t="d">
        <x:v>2026-06-08T00:00:00.000Z</x:v>
      </x:c>
      <x:c r="F799" s="75" t="str">
        <x:v>summer</x:v>
      </x:c>
      <x:c r="G799" s="75" t="str">
        <x:v>Defender — source label</x:v>
      </x:c>
      <x:c r="H799" s="79"/>
      <x:c r="I799" s="75" t="str">
        <x:v>GBP</x:v>
      </x:c>
      <x:c r="J799" s="81"/>
      <x:c r="K799" s="83"/>
      <x:c r="L799" s="75" t="str">
        <x:v>Evidence needed</x:v>
      </x:c>
      <x:c r="M799" s="75" t="str">
        <x:v>Buyer-specific role, production, availability, signing age and total fee evidence are needed before assigning a deal-value score. A zero base fee does not represent wages or signing costs.</x:v>
      </x:c>
      <x:c r="N799" s="75" t="str">
        <x:v>Not assessed</x:v>
      </x:c>
      <x:c r="O799" s="75" t="str">
        <x:v>Source broad position and transfer quote only; detailed role and buyer-specific production not validated.</x:v>
      </x:c>
      <x:c r="P799" s="75" t="str">
        <x:v>https://www.theguardian.com/football/ng-interactive/2026/sep/01/mens-transfer-window-summer-2026-all-deals-from-europes-top-five-leagues</x:v>
      </x:c>
    </x:row>
    <x:row r="800" ht="25" customHeight="1">
      <x:c r="A800" s="69" t="str">
        <x:v>summer-S26-0040</x:v>
      </x:c>
      <x:c r="B800" s="69" t="str">
        <x:v>Nikolas Veratschnig</x:v>
      </x:c>
      <x:c r="C800" s="69" t="str">
        <x:v>Red Bull Salzburg</x:v>
      </x:c>
      <x:c r="D800" s="69" t="str">
        <x:v>Mainz 05</x:v>
      </x:c>
      <x:c r="E800" s="76" t="d">
        <x:v>2026-06-09T00:00:00.000Z</x:v>
      </x:c>
      <x:c r="F800" s="69" t="str">
        <x:v>summer</x:v>
      </x:c>
      <x:c r="G800" s="69" t="str">
        <x:v>Midfielder — source label</x:v>
      </x:c>
      <x:c r="H800" s="78" t="n">
        <x:v>3000000</x:v>
      </x:c>
      <x:c r="I800" s="69" t="str">
        <x:v>GBP</x:v>
      </x:c>
      <x:c r="J800" s="80"/>
      <x:c r="K800" s="82"/>
      <x:c r="L800" s="69" t="str">
        <x:v>Evidence needed</x:v>
      </x:c>
      <x:c r="M800" s="69" t="str">
        <x:v>Buyer-specific role, production, availability, signing age and total fee evidence are needed before assigning a deal-value score.</x:v>
      </x:c>
      <x:c r="N800" s="69" t="str">
        <x:v>Not assessed</x:v>
      </x:c>
      <x:c r="O800" s="69" t="str">
        <x:v>Source broad position and transfer quote only; detailed role and buyer-specific production not validated.</x:v>
      </x:c>
      <x:c r="P800" s="69" t="str">
        <x:v>https://www.theguardian.com/football/ng-interactive/2026/sep/01/mens-transfer-window-summer-2026-all-deals-from-europes-top-five-leagues</x:v>
      </x:c>
    </x:row>
    <x:row r="801" ht="25" customHeight="1">
      <x:c r="A801" s="75" t="str">
        <x:v>summer-S26-0041</x:v>
      </x:c>
      <x:c r="B801" s="75" t="str">
        <x:v>Craig Farquhar</x:v>
      </x:c>
      <x:c r="C801" s="75" t="str">
        <x:v>Barnet</x:v>
      </x:c>
      <x:c r="D801" s="75" t="str">
        <x:v>Crystal Palace</x:v>
      </x:c>
      <x:c r="E801" s="77" t="d">
        <x:v>2026-06-05T00:00:00.000Z</x:v>
      </x:c>
      <x:c r="F801" s="75" t="str">
        <x:v>summer</x:v>
      </x:c>
      <x:c r="G801" s="75" t="str">
        <x:v>Defender — source label</x:v>
      </x:c>
      <x:c r="H801" s="79"/>
      <x:c r="I801" s="75" t="str">
        <x:v>GBP</x:v>
      </x:c>
      <x:c r="J801" s="81"/>
      <x:c r="K801" s="83"/>
      <x:c r="L801" s="75" t="str">
        <x:v>Evidence needed</x:v>
      </x:c>
      <x:c r="M801" s="75" t="str">
        <x:v>Buyer-specific role, production, availability, signing age and total fee evidence are needed before assigning a deal-value score. A zero base fee does not represent wages or signing costs.</x:v>
      </x:c>
      <x:c r="N801" s="75" t="str">
        <x:v>Not assessed</x:v>
      </x:c>
      <x:c r="O801" s="75" t="str">
        <x:v>Source broad position and transfer quote only; detailed role and buyer-specific production not validated.</x:v>
      </x:c>
      <x:c r="P801" s="75" t="str">
        <x:v>https://www.theguardian.com/football/ng-interactive/2026/sep/01/mens-transfer-window-summer-2026-all-deals-from-europes-top-five-leagues</x:v>
      </x:c>
    </x:row>
    <x:row r="802" ht="25" customHeight="1">
      <x:c r="A802" s="69" t="str">
        <x:v>summer-S26-0043</x:v>
      </x:c>
      <x:c r="B802" s="69" t="str">
        <x:v>Mats Rots</x:v>
      </x:c>
      <x:c r="C802" s="69" t="str">
        <x:v>Hoffenheim</x:v>
      </x:c>
      <x:c r="D802" s="69" t="str">
        <x:v>FC Twente</x:v>
      </x:c>
      <x:c r="E802" s="76" t="d">
        <x:v>2026-06-09T00:00:00.000Z</x:v>
      </x:c>
      <x:c r="F802" s="69" t="str">
        <x:v>summer</x:v>
      </x:c>
      <x:c r="G802" s="69" t="str">
        <x:v>Defender — source label</x:v>
      </x:c>
      <x:c r="H802" s="78" t="n">
        <x:v>10400000</x:v>
      </x:c>
      <x:c r="I802" s="69" t="str">
        <x:v>GBP</x:v>
      </x:c>
      <x:c r="J802" s="80"/>
      <x:c r="K802" s="82"/>
      <x:c r="L802" s="69" t="str">
        <x:v>Evidence needed</x:v>
      </x:c>
      <x:c r="M802" s="69" t="str">
        <x:v>Buyer-specific role, production, availability, signing age and total fee evidence are needed before assigning a deal-value score.</x:v>
      </x:c>
      <x:c r="N802" s="69" t="str">
        <x:v>Not assessed</x:v>
      </x:c>
      <x:c r="O802" s="69" t="str">
        <x:v>Source broad position and transfer quote only; detailed role and buyer-specific production not validated.</x:v>
      </x:c>
      <x:c r="P802" s="69" t="str">
        <x:v>https://www.theguardian.com/football/ng-interactive/2026/sep/01/mens-transfer-window-summer-2026-all-deals-from-europes-top-five-leagues</x:v>
      </x:c>
    </x:row>
    <x:row r="803" ht="25" customHeight="1">
      <x:c r="A803" s="75" t="str">
        <x:v>summer-S26-0044</x:v>
      </x:c>
      <x:c r="B803" s="75" t="str">
        <x:v>Ewen Jaouen</x:v>
      </x:c>
      <x:c r="C803" s="75" t="str">
        <x:v>Newcastle United</x:v>
      </x:c>
      <x:c r="D803" s="75" t="str">
        <x:v>Reims</x:v>
      </x:c>
      <x:c r="E803" s="77" t="d">
        <x:v>2026-06-10T00:00:00.000Z</x:v>
      </x:c>
      <x:c r="F803" s="75" t="str">
        <x:v>summer</x:v>
      </x:c>
      <x:c r="G803" s="75" t="str">
        <x:v>Goalkeeper — source label</x:v>
      </x:c>
      <x:c r="H803" s="79" t="n">
        <x:v>21600000</x:v>
      </x:c>
      <x:c r="I803" s="75" t="str">
        <x:v>GBP</x:v>
      </x:c>
      <x:c r="J803" s="81"/>
      <x:c r="K803" s="83"/>
      <x:c r="L803" s="75" t="str">
        <x:v>Evidence needed</x:v>
      </x:c>
      <x:c r="M803" s="75" t="str">
        <x:v>Buyer-specific shot-stopping, distribution, aerial command, sweeping, signing age and total fee evidence are needed before scoring.</x:v>
      </x:c>
      <x:c r="N803" s="75" t="str">
        <x:v>Not assessed</x:v>
      </x:c>
      <x:c r="O803" s="75" t="str">
        <x:v>Source broad position and transfer quote only; detailed role and buyer-specific production not validated.</x:v>
      </x:c>
      <x:c r="P803" s="75" t="str">
        <x:v>https://www.theguardian.com/football/ng-interactive/2026/sep/01/mens-transfer-window-summer-2026-all-deals-from-europes-top-five-leagues</x:v>
      </x:c>
    </x:row>
    <x:row r="804" ht="25" customHeight="1">
      <x:c r="A804" s="69" t="str">
        <x:v>summer-S26-0045</x:v>
      </x:c>
      <x:c r="B804" s="69" t="str">
        <x:v>Jon Guridi</x:v>
      </x:c>
      <x:c r="C804" s="69" t="str">
        <x:v>Sevilla</x:v>
      </x:c>
      <x:c r="D804" s="69" t="str">
        <x:v>Alavés</x:v>
      </x:c>
      <x:c r="E804" s="76" t="d">
        <x:v>2026-06-10T00:00:00.000Z</x:v>
      </x:c>
      <x:c r="F804" s="69" t="str">
        <x:v>summer</x:v>
      </x:c>
      <x:c r="G804" s="69" t="str">
        <x:v>Midfielder — source label</x:v>
      </x:c>
      <x:c r="H804" s="78"/>
      <x:c r="I804" s="69" t="str">
        <x:v>GBP</x:v>
      </x:c>
      <x:c r="J804" s="80"/>
      <x:c r="K804" s="82"/>
      <x:c r="L804" s="69" t="str">
        <x:v>Evidence needed</x:v>
      </x:c>
      <x:c r="M804" s="69" t="str">
        <x:v>Buyer-specific role, production, availability, signing age and total fee evidence are needed before assigning a deal-value score. A zero base fee does not represent wages or signing costs.</x:v>
      </x:c>
      <x:c r="N804" s="69" t="str">
        <x:v>Not assessed</x:v>
      </x:c>
      <x:c r="O804" s="69" t="str">
        <x:v>Source broad position and transfer quote only; detailed role and buyer-specific production not validated.</x:v>
      </x:c>
      <x:c r="P804" s="69" t="str">
        <x:v>https://www.theguardian.com/football/ng-interactive/2026/sep/01/mens-transfer-window-summer-2026-all-deals-from-europes-top-five-leagues</x:v>
      </x:c>
    </x:row>
    <x:row r="805" ht="25" customHeight="1">
      <x:c r="A805" s="75" t="str">
        <x:v>summer-S26-0046</x:v>
      </x:c>
      <x:c r="B805" s="75" t="str">
        <x:v>Marcos Senesi</x:v>
      </x:c>
      <x:c r="C805" s="75" t="str">
        <x:v>Tottenham Hotspur</x:v>
      </x:c>
      <x:c r="D805" s="75" t="str">
        <x:v>Bournemouth</x:v>
      </x:c>
      <x:c r="E805" s="77" t="d">
        <x:v>2026-06-10T00:00:00.000Z</x:v>
      </x:c>
      <x:c r="F805" s="75" t="str">
        <x:v>summer</x:v>
      </x:c>
      <x:c r="G805" s="75" t="str">
        <x:v>Defender — source label</x:v>
      </x:c>
      <x:c r="H805" s="79"/>
      <x:c r="I805" s="75" t="str">
        <x:v>GBP</x:v>
      </x:c>
      <x:c r="J805" s="81"/>
      <x:c r="K805" s="83"/>
      <x:c r="L805" s="75" t="str">
        <x:v>Evidence needed</x:v>
      </x:c>
      <x:c r="M805" s="75" t="str">
        <x:v>Buyer-specific role, production, availability, signing age and total fee evidence are needed before assigning a deal-value score. A zero base fee does not represent wages or signing costs.</x:v>
      </x:c>
      <x:c r="N805" s="75" t="str">
        <x:v>Not assessed</x:v>
      </x:c>
      <x:c r="O805" s="75" t="str">
        <x:v>Source broad position and transfer quote only; detailed role and buyer-specific production not validated.</x:v>
      </x:c>
      <x:c r="P805" s="75" t="str">
        <x:v>https://www.theguardian.com/football/ng-interactive/2026/sep/01/mens-transfer-window-summer-2026-all-deals-from-europes-top-five-leagues</x:v>
      </x:c>
    </x:row>
    <x:row r="806" ht="25" customHeight="1">
      <x:c r="A806" s="69" t="str">
        <x:v>summer-S26-0047</x:v>
      </x:c>
      <x:c r="B806" s="69" t="str">
        <x:v>Denis Huseinbasic</x:v>
      </x:c>
      <x:c r="C806" s="69" t="str">
        <x:v>Braga</x:v>
      </x:c>
      <x:c r="D806" s="69" t="str">
        <x:v>Cologne</x:v>
      </x:c>
      <x:c r="E806" s="76" t="d">
        <x:v>2026-06-10T00:00:00.000Z</x:v>
      </x:c>
      <x:c r="F806" s="69" t="str">
        <x:v>summer</x:v>
      </x:c>
      <x:c r="G806" s="69" t="str">
        <x:v>Midfielder — source label</x:v>
      </x:c>
      <x:c r="H806" s="78"/>
      <x:c r="I806" s="69" t="str">
        <x:v>GBP</x:v>
      </x:c>
      <x:c r="J806" s="80"/>
      <x:c r="K806" s="82"/>
      <x:c r="L806" s="69" t="str">
        <x:v>Evidence needed</x:v>
      </x:c>
      <x:c r="M806" s="69" t="str">
        <x:v>Buyer-specific role, production, availability, signing age and total fee evidence are needed before assigning a deal-value score. A zero base fee does not represent wages or signing costs.</x:v>
      </x:c>
      <x:c r="N806" s="69" t="str">
        <x:v>Not assessed</x:v>
      </x:c>
      <x:c r="O806" s="69" t="str">
        <x:v>Source broad position and transfer quote only; detailed role and buyer-specific production not validated.</x:v>
      </x:c>
      <x:c r="P806" s="69" t="str">
        <x:v>https://www.theguardian.com/football/ng-interactive/2026/sep/01/mens-transfer-window-summer-2026-all-deals-from-europes-top-five-leagues</x:v>
      </x:c>
    </x:row>
    <x:row r="807" ht="25" customHeight="1">
      <x:c r="A807" s="75" t="str">
        <x:v>summer-S26-0048</x:v>
      </x:c>
      <x:c r="B807" s="75" t="str">
        <x:v>Noham Kamara</x:v>
      </x:c>
      <x:c r="C807" s="75" t="str">
        <x:v>Lyon</x:v>
      </x:c>
      <x:c r="D807" s="75" t="str">
        <x:v>Paris Saint-Germain</x:v>
      </x:c>
      <x:c r="E807" s="77" t="d">
        <x:v>2026-06-10T00:00:00.000Z</x:v>
      </x:c>
      <x:c r="F807" s="75" t="str">
        <x:v>summer</x:v>
      </x:c>
      <x:c r="G807" s="75" t="str">
        <x:v>Defender — source label</x:v>
      </x:c>
      <x:c r="H807" s="79" t="n">
        <x:v>3500000</x:v>
      </x:c>
      <x:c r="I807" s="75" t="str">
        <x:v>GBP</x:v>
      </x:c>
      <x:c r="J807" s="81"/>
      <x:c r="K807" s="83"/>
      <x:c r="L807" s="75" t="str">
        <x:v>Evidence needed</x:v>
      </x:c>
      <x:c r="M807" s="75" t="str">
        <x:v>Buyer-specific role, production, availability, signing age and total fee evidence are needed before assigning a deal-value score.</x:v>
      </x:c>
      <x:c r="N807" s="75" t="str">
        <x:v>Not assessed</x:v>
      </x:c>
      <x:c r="O807" s="75" t="str">
        <x:v>Source broad position and transfer quote only; detailed role and buyer-specific production not validated.</x:v>
      </x:c>
      <x:c r="P807" s="75" t="str">
        <x:v>https://www.theguardian.com/football/ng-interactive/2026/sep/01/mens-transfer-window-summer-2026-all-deals-from-europes-top-five-leagues</x:v>
      </x:c>
    </x:row>
    <x:row r="808" ht="25" customHeight="1">
      <x:c r="A808" s="69" t="str">
        <x:v>summer-S26-0049</x:v>
      </x:c>
      <x:c r="B808" s="69" t="str">
        <x:v>Marvin Friedrich</x:v>
      </x:c>
      <x:c r="C808" s="69" t="str">
        <x:v>Union Berlin</x:v>
      </x:c>
      <x:c r="D808" s="69" t="str">
        <x:v>Borussia Mönchengladbach</x:v>
      </x:c>
      <x:c r="E808" s="76" t="d">
        <x:v>2026-06-10T00:00:00.000Z</x:v>
      </x:c>
      <x:c r="F808" s="69" t="str">
        <x:v>summer</x:v>
      </x:c>
      <x:c r="G808" s="69" t="str">
        <x:v>Defender — source label</x:v>
      </x:c>
      <x:c r="H808" s="78"/>
      <x:c r="I808" s="69" t="str">
        <x:v>GBP</x:v>
      </x:c>
      <x:c r="J808" s="80"/>
      <x:c r="K808" s="82"/>
      <x:c r="L808" s="69" t="str">
        <x:v>Evidence needed</x:v>
      </x:c>
      <x:c r="M808" s="69" t="str">
        <x:v>Buyer-specific role, production, availability, signing age and total fee evidence are needed before assigning a deal-value score. A zero base fee does not represent wages or signing costs.</x:v>
      </x:c>
      <x:c r="N808" s="69" t="str">
        <x:v>Not assessed</x:v>
      </x:c>
      <x:c r="O808" s="69" t="str">
        <x:v>Source broad position and transfer quote only; detailed role and buyer-specific production not validated.</x:v>
      </x:c>
      <x:c r="P808" s="69" t="str">
        <x:v>https://www.theguardian.com/football/ng-interactive/2026/sep/01/mens-transfer-window-summer-2026-all-deals-from-europes-top-five-leagues</x:v>
      </x:c>
    </x:row>
    <x:row r="809" ht="25" customHeight="1">
      <x:c r="A809" s="75" t="str">
        <x:v>summer-S26-0054</x:v>
      </x:c>
      <x:c r="B809" s="75" t="str">
        <x:v>Juan Iglesias</x:v>
      </x:c>
      <x:c r="C809" s="75" t="str">
        <x:v>Sevilla</x:v>
      </x:c>
      <x:c r="D809" s="75" t="str">
        <x:v>Getafe</x:v>
      </x:c>
      <x:c r="E809" s="77" t="d">
        <x:v>2026-06-11T00:00:00.000Z</x:v>
      </x:c>
      <x:c r="F809" s="75" t="str">
        <x:v>summer</x:v>
      </x:c>
      <x:c r="G809" s="75" t="str">
        <x:v>Defender — source label</x:v>
      </x:c>
      <x:c r="H809" s="79"/>
      <x:c r="I809" s="75" t="str">
        <x:v>GBP</x:v>
      </x:c>
      <x:c r="J809" s="81"/>
      <x:c r="K809" s="83"/>
      <x:c r="L809" s="75" t="str">
        <x:v>Evidence needed</x:v>
      </x:c>
      <x:c r="M809" s="75" t="str">
        <x:v>Buyer-specific role, production, availability, signing age and total fee evidence are needed before assigning a deal-value score. A zero base fee does not represent wages or signing costs.</x:v>
      </x:c>
      <x:c r="N809" s="75" t="str">
        <x:v>Not assessed</x:v>
      </x:c>
      <x:c r="O809" s="75" t="str">
        <x:v>Source broad position and transfer quote only; detailed role and buyer-specific production not validated.</x:v>
      </x:c>
      <x:c r="P809" s="75" t="str">
        <x:v>https://www.theguardian.com/football/ng-interactive/2026/sep/01/mens-transfer-window-summer-2026-all-deals-from-europes-top-five-leagues</x:v>
      </x:c>
    </x:row>
    <x:row r="810" ht="25" customHeight="1">
      <x:c r="A810" s="69" t="str">
        <x:v>summer-S26-0055</x:v>
      </x:c>
      <x:c r="B810" s="69" t="str">
        <x:v>Leonardo Bittencourt</x:v>
      </x:c>
      <x:c r="C810" s="69" t="str">
        <x:v>Energie Cottbus</x:v>
      </x:c>
      <x:c r="D810" s="69" t="str">
        <x:v>Werder Bremen</x:v>
      </x:c>
      <x:c r="E810" s="76" t="d">
        <x:v>2026-06-11T00:00:00.000Z</x:v>
      </x:c>
      <x:c r="F810" s="69" t="str">
        <x:v>summer</x:v>
      </x:c>
      <x:c r="G810" s="69" t="str">
        <x:v>Defender — source label</x:v>
      </x:c>
      <x:c r="H810" s="78"/>
      <x:c r="I810" s="69" t="str">
        <x:v>GBP</x:v>
      </x:c>
      <x:c r="J810" s="80"/>
      <x:c r="K810" s="82"/>
      <x:c r="L810" s="69" t="str">
        <x:v>Evidence needed</x:v>
      </x:c>
      <x:c r="M810" s="69" t="str">
        <x:v>Buyer-specific role, production, availability, signing age and total fee evidence are needed before assigning a deal-value score. A zero base fee does not represent wages or signing costs.</x:v>
      </x:c>
      <x:c r="N810" s="69" t="str">
        <x:v>Not assessed</x:v>
      </x:c>
      <x:c r="O810" s="69" t="str">
        <x:v>Source broad position and transfer quote only; detailed role and buyer-specific production not validated.</x:v>
      </x:c>
      <x:c r="P810" s="69" t="str">
        <x:v>https://www.theguardian.com/football/ng-interactive/2026/sep/01/mens-transfer-window-summer-2026-all-deals-from-europes-top-five-leagues</x:v>
      </x:c>
    </x:row>
    <x:row r="811" ht="25" customHeight="1">
      <x:c r="A811" s="75" t="str">
        <x:v>summer-S26-0057</x:v>
      </x:c>
      <x:c r="B811" s="75" t="str">
        <x:v>Enzo Bardeli</x:v>
      </x:c>
      <x:c r="C811" s="75" t="str">
        <x:v>Levante</x:v>
      </x:c>
      <x:c r="D811" s="75" t="str">
        <x:v>Dunkerque</x:v>
      </x:c>
      <x:c r="E811" s="77" t="d">
        <x:v>2026-06-11T00:00:00.000Z</x:v>
      </x:c>
      <x:c r="F811" s="75" t="str">
        <x:v>summer</x:v>
      </x:c>
      <x:c r="G811" s="75" t="str">
        <x:v>Midfielder — source label</x:v>
      </x:c>
      <x:c r="H811" s="79"/>
      <x:c r="I811" s="75" t="str">
        <x:v>GBP</x:v>
      </x:c>
      <x:c r="J811" s="81"/>
      <x:c r="K811" s="83"/>
      <x:c r="L811" s="75" t="str">
        <x:v>Evidence needed</x:v>
      </x:c>
      <x:c r="M811" s="75" t="str">
        <x:v>Buyer-specific role, production, availability, signing age and total fee evidence are needed before assigning a deal-value score. A zero base fee does not represent wages or signing costs.</x:v>
      </x:c>
      <x:c r="N811" s="75" t="str">
        <x:v>Not assessed</x:v>
      </x:c>
      <x:c r="O811" s="75" t="str">
        <x:v>Source broad position and transfer quote only; detailed role and buyer-specific production not validated.</x:v>
      </x:c>
      <x:c r="P811" s="75" t="str">
        <x:v>https://www.theguardian.com/football/ng-interactive/2026/sep/01/mens-transfer-window-summer-2026-all-deals-from-europes-top-five-leagues</x:v>
      </x:c>
    </x:row>
    <x:row r="812" ht="25" customHeight="1">
      <x:c r="A812" s="69" t="str">
        <x:v>summer-S26-0060</x:v>
      </x:c>
      <x:c r="B812" s="69" t="str">
        <x:v>Maurice Krattenmacher</x:v>
      </x:c>
      <x:c r="C812" s="69" t="str">
        <x:v>Elversberg</x:v>
      </x:c>
      <x:c r="D812" s="69" t="str">
        <x:v>Bayern Munich</x:v>
      </x:c>
      <x:c r="E812" s="76" t="d">
        <x:v>2026-06-12T00:00:00.000Z</x:v>
      </x:c>
      <x:c r="F812" s="69" t="str">
        <x:v>summer</x:v>
      </x:c>
      <x:c r="G812" s="69" t="str">
        <x:v>Midfielder — source label</x:v>
      </x:c>
      <x:c r="H812" s="78"/>
      <x:c r="I812" s="69" t="str">
        <x:v>GBP</x:v>
      </x:c>
      <x:c r="J812" s="80"/>
      <x:c r="K812" s="82"/>
      <x:c r="L812" s="69" t="str">
        <x:v>Evidence needed</x:v>
      </x:c>
      <x:c r="M812" s="69" t="str">
        <x:v>Buyer-specific role, production, availability, signing age and total fee evidence are needed before assigning a deal-value score.</x:v>
      </x:c>
      <x:c r="N812" s="69" t="str">
        <x:v>Not assessed</x:v>
      </x:c>
      <x:c r="O812" s="69" t="str">
        <x:v>Source broad position and transfer quote only; detailed role and buyer-specific production not validated.</x:v>
      </x:c>
      <x:c r="P812" s="69" t="str">
        <x:v>https://www.theguardian.com/football/ng-interactive/2026/sep/01/mens-transfer-window-summer-2026-all-deals-from-europes-top-five-leagues</x:v>
      </x:c>
    </x:row>
    <x:row r="813" ht="25" customHeight="1">
      <x:c r="A813" s="75" t="str">
        <x:v>summer-S26-0061</x:v>
      </x:c>
      <x:c r="B813" s="75" t="str">
        <x:v>Jahmai Simpson-Pusey</x:v>
      </x:c>
      <x:c r="C813" s="75" t="str">
        <x:v>Cologne</x:v>
      </x:c>
      <x:c r="D813" s="75" t="str">
        <x:v>Manchester City</x:v>
      </x:c>
      <x:c r="E813" s="77" t="d">
        <x:v>2026-06-12T00:00:00.000Z</x:v>
      </x:c>
      <x:c r="F813" s="75" t="str">
        <x:v>summer</x:v>
      </x:c>
      <x:c r="G813" s="75" t="str">
        <x:v>Defender — source label</x:v>
      </x:c>
      <x:c r="H813" s="79"/>
      <x:c r="I813" s="75" t="str">
        <x:v>GBP</x:v>
      </x:c>
      <x:c r="J813" s="81"/>
      <x:c r="K813" s="83"/>
      <x:c r="L813" s="75" t="str">
        <x:v>Evidence needed</x:v>
      </x:c>
      <x:c r="M813" s="75" t="str">
        <x:v>Buyer-specific role, production, availability, signing age and total fee evidence are needed before assigning a deal-value score.</x:v>
      </x:c>
      <x:c r="N813" s="75" t="str">
        <x:v>Not assessed</x:v>
      </x:c>
      <x:c r="O813" s="75" t="str">
        <x:v>Source broad position and transfer quote only; detailed role and buyer-specific production not validated.</x:v>
      </x:c>
      <x:c r="P813" s="75" t="str">
        <x:v>https://www.theguardian.com/football/ng-interactive/2026/sep/01/mens-transfer-window-summer-2026-all-deals-from-europes-top-five-leagues</x:v>
      </x:c>
    </x:row>
    <x:row r="814" ht="25" customHeight="1">
      <x:c r="A814" s="69" t="str">
        <x:v>summer-S26-0062</x:v>
      </x:c>
      <x:c r="B814" s="69" t="str">
        <x:v>Fabio Gruber</x:v>
      </x:c>
      <x:c r="C814" s="69" t="str">
        <x:v>Mainz 05</x:v>
      </x:c>
      <x:c r="D814" s="69" t="str">
        <x:v>Nuremberg</x:v>
      </x:c>
      <x:c r="E814" s="76" t="d">
        <x:v>2026-06-12T00:00:00.000Z</x:v>
      </x:c>
      <x:c r="F814" s="69" t="str">
        <x:v>summer</x:v>
      </x:c>
      <x:c r="G814" s="69" t="str">
        <x:v>Defender — source label</x:v>
      </x:c>
      <x:c r="H814" s="78"/>
      <x:c r="I814" s="69" t="str">
        <x:v>GBP</x:v>
      </x:c>
      <x:c r="J814" s="80"/>
      <x:c r="K814" s="82"/>
      <x:c r="L814" s="69" t="str">
        <x:v>Evidence needed</x:v>
      </x:c>
      <x:c r="M814" s="69" t="str">
        <x:v>Buyer-specific role, production, availability, signing age and total fee evidence are needed before assigning a deal-value score.</x:v>
      </x:c>
      <x:c r="N814" s="69" t="str">
        <x:v>Not assessed</x:v>
      </x:c>
      <x:c r="O814" s="69" t="str">
        <x:v>Source broad position and transfer quote only; detailed role and buyer-specific production not validated.</x:v>
      </x:c>
      <x:c r="P814" s="69" t="str">
        <x:v>https://www.theguardian.com/football/ng-interactive/2026/sep/01/mens-transfer-window-summer-2026-all-deals-from-europes-top-five-leagues</x:v>
      </x:c>
    </x:row>
    <x:row r="815" ht="25" customHeight="1">
      <x:c r="A815" s="75" t="str">
        <x:v>summer-S26-0065</x:v>
      </x:c>
      <x:c r="B815" s="75" t="str">
        <x:v>Ville Koski</x:v>
      </x:c>
      <x:c r="C815" s="75" t="str">
        <x:v>Alavés</x:v>
      </x:c>
      <x:c r="D815" s="75" t="str">
        <x:v>NK Istra</x:v>
      </x:c>
      <x:c r="E815" s="77" t="d">
        <x:v>2026-06-15T00:00:00.000Z</x:v>
      </x:c>
      <x:c r="F815" s="75" t="str">
        <x:v>summer</x:v>
      </x:c>
      <x:c r="G815" s="75" t="str">
        <x:v>Defender — source label</x:v>
      </x:c>
      <x:c r="H815" s="79"/>
      <x:c r="I815" s="75" t="str">
        <x:v>GBP</x:v>
      </x:c>
      <x:c r="J815" s="81"/>
      <x:c r="K815" s="83"/>
      <x:c r="L815" s="75" t="str">
        <x:v>Evidence needed</x:v>
      </x:c>
      <x:c r="M815" s="75" t="str">
        <x:v>Buyer-specific role, production, availability, signing age and total fee evidence are needed before assigning a deal-value score.</x:v>
      </x:c>
      <x:c r="N815" s="75" t="str">
        <x:v>Not assessed</x:v>
      </x:c>
      <x:c r="O815" s="75" t="str">
        <x:v>Source broad position and transfer quote only; detailed role and buyer-specific production not validated.</x:v>
      </x:c>
      <x:c r="P815" s="75" t="str">
        <x:v>https://www.theguardian.com/football/ng-interactive/2026/sep/01/mens-transfer-window-summer-2026-all-deals-from-europes-top-five-leagues</x:v>
      </x:c>
    </x:row>
    <x:row r="816" ht="25" customHeight="1">
      <x:c r="A816" s="69" t="str">
        <x:v>summer-S26-0066</x:v>
      </x:c>
      <x:c r="B816" s="69" t="str">
        <x:v>Zeno Van Den Bosch</x:v>
      </x:c>
      <x:c r="C816" s="69" t="str">
        <x:v>Union Berlin</x:v>
      </x:c>
      <x:c r="D816" s="69" t="str">
        <x:v>Royal Antwerp</x:v>
      </x:c>
      <x:c r="E816" s="76" t="d">
        <x:v>2026-06-15T00:00:00.000Z</x:v>
      </x:c>
      <x:c r="F816" s="69" t="str">
        <x:v>summer</x:v>
      </x:c>
      <x:c r="G816" s="69" t="str">
        <x:v>Defender — source label</x:v>
      </x:c>
      <x:c r="H816" s="78"/>
      <x:c r="I816" s="69" t="str">
        <x:v>GBP</x:v>
      </x:c>
      <x:c r="J816" s="80"/>
      <x:c r="K816" s="82"/>
      <x:c r="L816" s="69" t="str">
        <x:v>Evidence needed</x:v>
      </x:c>
      <x:c r="M816" s="69" t="str">
        <x:v>Buyer-specific role, production, availability, signing age and total fee evidence are needed before assigning a deal-value score. A zero base fee does not represent wages or signing costs.</x:v>
      </x:c>
      <x:c r="N816" s="69" t="str">
        <x:v>Not assessed</x:v>
      </x:c>
      <x:c r="O816" s="69" t="str">
        <x:v>Source broad position and transfer quote only; detailed role and buyer-specific production not validated.</x:v>
      </x:c>
      <x:c r="P816" s="69" t="str">
        <x:v>https://www.theguardian.com/football/ng-interactive/2026/sep/01/mens-transfer-window-summer-2026-all-deals-from-europes-top-five-leagues</x:v>
      </x:c>
    </x:row>
    <x:row r="817" ht="25" customHeight="1">
      <x:c r="A817" s="75" t="str">
        <x:v>summer-S26-0067</x:v>
      </x:c>
      <x:c r="B817" s="75" t="str">
        <x:v>Marc Cucurella</x:v>
      </x:c>
      <x:c r="C817" s="75" t="str">
        <x:v>Real Madrid</x:v>
      </x:c>
      <x:c r="D817" s="75" t="str">
        <x:v>Chelsea</x:v>
      </x:c>
      <x:c r="E817" s="77" t="d">
        <x:v>2026-06-15T00:00:00.000Z</x:v>
      </x:c>
      <x:c r="F817" s="75" t="str">
        <x:v>summer</x:v>
      </x:c>
      <x:c r="G817" s="75" t="str">
        <x:v>Defender — source label</x:v>
      </x:c>
      <x:c r="H817" s="79" t="n">
        <x:v>52000000</x:v>
      </x:c>
      <x:c r="I817" s="75" t="str">
        <x:v>GBP</x:v>
      </x:c>
      <x:c r="J817" s="81"/>
      <x:c r="K817" s="83"/>
      <x:c r="L817" s="75" t="str">
        <x:v>Evidence needed</x:v>
      </x:c>
      <x:c r="M817" s="75" t="str">
        <x:v>Buyer-specific role, production, availability, signing age and total fee evidence are needed before assigning a deal-value score.</x:v>
      </x:c>
      <x:c r="N817" s="75" t="str">
        <x:v>Not assessed</x:v>
      </x:c>
      <x:c r="O817" s="75" t="str">
        <x:v>Source broad position and transfer quote only; detailed role and buyer-specific production not validated.</x:v>
      </x:c>
      <x:c r="P817" s="75" t="str">
        <x:v>https://www.theguardian.com/football/ng-interactive/2026/sep/01/mens-transfer-window-summer-2026-all-deals-from-europes-top-five-leagues</x:v>
      </x:c>
    </x:row>
    <x:row r="818" ht="25" customHeight="1">
      <x:c r="A818" s="69" t="str">
        <x:v>summer-S26-0068</x:v>
      </x:c>
      <x:c r="B818" s="69" t="str">
        <x:v>Francis Onyeka</x:v>
      </x:c>
      <x:c r="C818" s="69" t="str">
        <x:v>Elversberg</x:v>
      </x:c>
      <x:c r="D818" s="69" t="str">
        <x:v>Bayer Leverkusen</x:v>
      </x:c>
      <x:c r="E818" s="76" t="d">
        <x:v>2026-06-15T00:00:00.000Z</x:v>
      </x:c>
      <x:c r="F818" s="69" t="str">
        <x:v>summer</x:v>
      </x:c>
      <x:c r="G818" s="69" t="str">
        <x:v>Midfielder — source label</x:v>
      </x:c>
      <x:c r="H818" s="78"/>
      <x:c r="I818" s="69" t="str">
        <x:v>GBP</x:v>
      </x:c>
      <x:c r="J818" s="80"/>
      <x:c r="K818" s="82"/>
      <x:c r="L818" s="69" t="str">
        <x:v>Evidence needed</x:v>
      </x:c>
      <x:c r="M818" s="69" t="str">
        <x:v>Buyer-specific role, production, availability, signing age and total fee evidence are needed before assigning a deal-value score. Loan/swap costs must be treated separately.</x:v>
      </x:c>
      <x:c r="N818" s="69" t="str">
        <x:v>Not assessed</x:v>
      </x:c>
      <x:c r="O818" s="69" t="str">
        <x:v>Source broad position and transfer quote only; detailed role and buyer-specific production not validated.</x:v>
      </x:c>
      <x:c r="P818" s="69" t="str">
        <x:v>https://www.theguardian.com/football/ng-interactive/2026/sep/01/mens-transfer-window-summer-2026-all-deals-from-europes-top-five-leagues</x:v>
      </x:c>
    </x:row>
    <x:row r="819" ht="25" customHeight="1">
      <x:c r="A819" s="75" t="str">
        <x:v>summer-S26-0070</x:v>
      </x:c>
      <x:c r="B819" s="75" t="str">
        <x:v>Anthony Lopes</x:v>
      </x:c>
      <x:c r="C819" s="75" t="str">
        <x:v>Angers</x:v>
      </x:c>
      <x:c r="D819" s="75" t="str">
        <x:v>Nantes</x:v>
      </x:c>
      <x:c r="E819" s="77" t="d">
        <x:v>2026-06-15T00:00:00.000Z</x:v>
      </x:c>
      <x:c r="F819" s="75" t="str">
        <x:v>summer</x:v>
      </x:c>
      <x:c r="G819" s="75" t="str">
        <x:v>Goalkeeper — source label</x:v>
      </x:c>
      <x:c r="H819" s="79"/>
      <x:c r="I819" s="75" t="str">
        <x:v>GBP</x:v>
      </x:c>
      <x:c r="J819" s="81"/>
      <x:c r="K819" s="83"/>
      <x:c r="L819" s="75" t="str">
        <x:v>Evidence needed</x:v>
      </x:c>
      <x:c r="M819" s="75" t="str">
        <x:v>Buyer-specific shot-stopping, distribution, aerial command, sweeping, signing age and total fee evidence are needed before scoring. A zero base fee does not represent wages or signing costs.</x:v>
      </x:c>
      <x:c r="N819" s="75" t="str">
        <x:v>Not assessed</x:v>
      </x:c>
      <x:c r="O819" s="75" t="str">
        <x:v>Source broad position and transfer quote only; detailed role and buyer-specific production not validated.</x:v>
      </x:c>
      <x:c r="P819" s="75" t="str">
        <x:v>https://www.theguardian.com/football/ng-interactive/2026/sep/01/mens-transfer-window-summer-2026-all-deals-from-europes-top-five-leagues</x:v>
      </x:c>
    </x:row>
    <x:row r="820" ht="25" customHeight="1">
      <x:c r="A820" s="69" t="str">
        <x:v>summer-S26-0071</x:v>
      </x:c>
      <x:c r="B820" s="69" t="str">
        <x:v>Costinha</x:v>
      </x:c>
      <x:c r="C820" s="69" t="str">
        <x:v>Brighton</x:v>
      </x:c>
      <x:c r="D820" s="69" t="str">
        <x:v>Olympiakos</x:v>
      </x:c>
      <x:c r="E820" s="76" t="d">
        <x:v>2026-06-15T00:00:00.000Z</x:v>
      </x:c>
      <x:c r="F820" s="69" t="str">
        <x:v>summer</x:v>
      </x:c>
      <x:c r="G820" s="69" t="str">
        <x:v>Defender — source label</x:v>
      </x:c>
      <x:c r="H820" s="78" t="n">
        <x:v>11000000</x:v>
      </x:c>
      <x:c r="I820" s="69" t="str">
        <x:v>GBP</x:v>
      </x:c>
      <x:c r="J820" s="80"/>
      <x:c r="K820" s="82"/>
      <x:c r="L820" s="69" t="str">
        <x:v>Evidence needed</x:v>
      </x:c>
      <x:c r="M820" s="69" t="str">
        <x:v>Buyer-specific role, production, availability, signing age and total fee evidence are needed before assigning a deal-value score.</x:v>
      </x:c>
      <x:c r="N820" s="69" t="str">
        <x:v>Not assessed</x:v>
      </x:c>
      <x:c r="O820" s="69" t="str">
        <x:v>Source broad position and transfer quote only; detailed role and buyer-specific production not validated.</x:v>
      </x:c>
      <x:c r="P820" s="69" t="str">
        <x:v>https://www.theguardian.com/football/ng-interactive/2026/sep/01/mens-transfer-window-summer-2026-all-deals-from-europes-top-five-leagues</x:v>
      </x:c>
    </x:row>
    <x:row r="821" ht="25" customHeight="1">
      <x:c r="A821" s="75" t="str">
        <x:v>summer-S26-0074</x:v>
      </x:c>
      <x:c r="B821" s="75" t="str">
        <x:v>Arouna Sangante</x:v>
      </x:c>
      <x:c r="C821" s="75" t="str">
        <x:v>Sevilla</x:v>
      </x:c>
      <x:c r="D821" s="75" t="str">
        <x:v>Le Havre</x:v>
      </x:c>
      <x:c r="E821" s="77" t="d">
        <x:v>2026-06-16T00:00:00.000Z</x:v>
      </x:c>
      <x:c r="F821" s="75" t="str">
        <x:v>summer</x:v>
      </x:c>
      <x:c r="G821" s="75" t="str">
        <x:v>Defender — source label</x:v>
      </x:c>
      <x:c r="H821" s="79"/>
      <x:c r="I821" s="75" t="str">
        <x:v>GBP</x:v>
      </x:c>
      <x:c r="J821" s="81"/>
      <x:c r="K821" s="83"/>
      <x:c r="L821" s="75" t="str">
        <x:v>Evidence needed</x:v>
      </x:c>
      <x:c r="M821" s="75" t="str">
        <x:v>Buyer-specific role, production, availability, signing age and total fee evidence are needed before assigning a deal-value score. A zero base fee does not represent wages or signing costs.</x:v>
      </x:c>
      <x:c r="N821" s="75" t="str">
        <x:v>Not assessed</x:v>
      </x:c>
      <x:c r="O821" s="75" t="str">
        <x:v>Source broad position and transfer quote only; detailed role and buyer-specific production not validated.</x:v>
      </x:c>
      <x:c r="P821" s="75" t="str">
        <x:v>https://www.theguardian.com/football/ng-interactive/2026/sep/01/mens-transfer-window-summer-2026-all-deals-from-europes-top-five-leagues</x:v>
      </x:c>
    </x:row>
    <x:row r="822" ht="25" customHeight="1">
      <x:c r="A822" s="69" t="str">
        <x:v>summer-S26-0075</x:v>
      </x:c>
      <x:c r="B822" s="69" t="str">
        <x:v>Florian Hellstern</x:v>
      </x:c>
      <x:c r="C822" s="69" t="str">
        <x:v>Greuther Fürth</x:v>
      </x:c>
      <x:c r="D822" s="69" t="str">
        <x:v>Stuttgart</x:v>
      </x:c>
      <x:c r="E822" s="76" t="d">
        <x:v>2026-06-16T00:00:00.000Z</x:v>
      </x:c>
      <x:c r="F822" s="69" t="str">
        <x:v>summer</x:v>
      </x:c>
      <x:c r="G822" s="69" t="str">
        <x:v>Goalkeeper — source label</x:v>
      </x:c>
      <x:c r="H822" s="78"/>
      <x:c r="I822" s="69" t="str">
        <x:v>GBP</x:v>
      </x:c>
      <x:c r="J822" s="80"/>
      <x:c r="K822" s="82"/>
      <x:c r="L822" s="69" t="str">
        <x:v>Evidence needed</x:v>
      </x:c>
      <x:c r="M822" s="69" t="str">
        <x:v>Buyer-specific shot-stopping, distribution, aerial command, sweeping, signing age and total fee evidence are needed before scoring. Loan/swap costs must be treated separately.</x:v>
      </x:c>
      <x:c r="N822" s="69" t="str">
        <x:v>Not assessed</x:v>
      </x:c>
      <x:c r="O822" s="69" t="str">
        <x:v>Source broad position and transfer quote only; detailed role and buyer-specific production not validated.</x:v>
      </x:c>
      <x:c r="P822" s="69" t="str">
        <x:v>https://www.theguardian.com/football/ng-interactive/2026/sep/01/mens-transfer-window-summer-2026-all-deals-from-europes-top-five-leagues</x:v>
      </x:c>
    </x:row>
    <x:row r="823" ht="25" customHeight="1">
      <x:c r="A823" s="75" t="str">
        <x:v>summer-S26-0080</x:v>
      </x:c>
      <x:c r="B823" s="75" t="str">
        <x:v>Bernardo Silva</x:v>
      </x:c>
      <x:c r="C823" s="75" t="str">
        <x:v>Real Madrid</x:v>
      </x:c>
      <x:c r="D823" s="75" t="str">
        <x:v>Manchester City</x:v>
      </x:c>
      <x:c r="E823" s="77" t="d">
        <x:v>2026-06-17T00:00:00.000Z</x:v>
      </x:c>
      <x:c r="F823" s="75" t="str">
        <x:v>summer</x:v>
      </x:c>
      <x:c r="G823" s="75" t="str">
        <x:v>Midfielder — source label</x:v>
      </x:c>
      <x:c r="H823" s="79"/>
      <x:c r="I823" s="75" t="str">
        <x:v>GBP</x:v>
      </x:c>
      <x:c r="J823" s="81"/>
      <x:c r="K823" s="83"/>
      <x:c r="L823" s="75" t="str">
        <x:v>Evidence needed</x:v>
      </x:c>
      <x:c r="M823" s="75" t="str">
        <x:v>Buyer-specific role, production, availability, signing age and total fee evidence are needed before assigning a deal-value score. A zero base fee does not represent wages or signing costs.</x:v>
      </x:c>
      <x:c r="N823" s="75" t="str">
        <x:v>Not assessed</x:v>
      </x:c>
      <x:c r="O823" s="75" t="str">
        <x:v>Source broad position and transfer quote only; detailed role and buyer-specific production not validated.</x:v>
      </x:c>
      <x:c r="P823" s="75" t="str">
        <x:v>https://www.theguardian.com/football/ng-interactive/2026/sep/01/mens-transfer-window-summer-2026-all-deals-from-europes-top-five-leagues</x:v>
      </x:c>
    </x:row>
    <x:row r="824" ht="25" customHeight="1">
      <x:c r="A824" s="69" t="str">
        <x:v>summer-S26-0082</x:v>
      </x:c>
      <x:c r="B824" s="69" t="str">
        <x:v>Sebastian Walukiewicz</x:v>
      </x:c>
      <x:c r="C824" s="69" t="str">
        <x:v>Sassuolo</x:v>
      </x:c>
      <x:c r="D824" s="69" t="str">
        <x:v>Torino</x:v>
      </x:c>
      <x:c r="E824" s="76" t="d">
        <x:v>2026-06-17T00:00:00.000Z</x:v>
      </x:c>
      <x:c r="F824" s="69" t="str">
        <x:v>summer</x:v>
      </x:c>
      <x:c r="G824" s="69" t="str">
        <x:v>Defender — source label</x:v>
      </x:c>
      <x:c r="H824" s="78" t="n">
        <x:v>4300000</x:v>
      </x:c>
      <x:c r="I824" s="69" t="str">
        <x:v>GBP</x:v>
      </x:c>
      <x:c r="J824" s="80"/>
      <x:c r="K824" s="82"/>
      <x:c r="L824" s="69" t="str">
        <x:v>Evidence needed</x:v>
      </x:c>
      <x:c r="M824" s="69" t="str">
        <x:v>Buyer-specific role, production, availability, signing age and total fee evidence are needed before assigning a deal-value score.</x:v>
      </x:c>
      <x:c r="N824" s="69" t="str">
        <x:v>Not assessed</x:v>
      </x:c>
      <x:c r="O824" s="69" t="str">
        <x:v>Source broad position and transfer quote only; detailed role and buyer-specific production not validated.</x:v>
      </x:c>
      <x:c r="P824" s="69" t="str">
        <x:v>https://www.theguardian.com/football/ng-interactive/2026/sep/01/mens-transfer-window-summer-2026-all-deals-from-europes-top-five-leagues</x:v>
      </x:c>
    </x:row>
    <x:row r="825" ht="25" customHeight="1">
      <x:c r="A825" s="75" t="str">
        <x:v>summer-S26-0083</x:v>
      </x:c>
      <x:c r="B825" s="75" t="str">
        <x:v>Ruan</x:v>
      </x:c>
      <x:c r="C825" s="75" t="str">
        <x:v>Atlético Mineiro</x:v>
      </x:c>
      <x:c r="D825" s="75" t="str">
        <x:v>Sassuolo</x:v>
      </x:c>
      <x:c r="E825" s="77" t="d">
        <x:v>2026-06-17T00:00:00.000Z</x:v>
      </x:c>
      <x:c r="F825" s="75" t="str">
        <x:v>summer</x:v>
      </x:c>
      <x:c r="G825" s="75" t="str">
        <x:v>Defender — source label</x:v>
      </x:c>
      <x:c r="H825" s="79" t="n">
        <x:v>3100000</x:v>
      </x:c>
      <x:c r="I825" s="75" t="str">
        <x:v>GBP</x:v>
      </x:c>
      <x:c r="J825" s="81"/>
      <x:c r="K825" s="83"/>
      <x:c r="L825" s="75" t="str">
        <x:v>Evidence needed</x:v>
      </x:c>
      <x:c r="M825" s="75" t="str">
        <x:v>Buyer-specific role, production, availability, signing age and total fee evidence are needed before assigning a deal-value score.</x:v>
      </x:c>
      <x:c r="N825" s="75" t="str">
        <x:v>Not assessed</x:v>
      </x:c>
      <x:c r="O825" s="75" t="str">
        <x:v>Source broad position and transfer quote only; detailed role and buyer-specific production not validated.</x:v>
      </x:c>
      <x:c r="P825" s="75" t="str">
        <x:v>https://www.theguardian.com/football/ng-interactive/2026/sep/01/mens-transfer-window-summer-2026-all-deals-from-europes-top-five-leagues</x:v>
      </x:c>
    </x:row>
    <x:row r="826" ht="25" customHeight="1">
      <x:c r="A826" s="69" t="str">
        <x:v>summer-S26-0085</x:v>
      </x:c>
      <x:c r="B826" s="69" t="str">
        <x:v>Sean Dulic</x:v>
      </x:c>
      <x:c r="C826" s="69" t="str">
        <x:v>Hoffenheim</x:v>
      </x:c>
      <x:c r="D826" s="69" t="str">
        <x:v>1860 Munich</x:v>
      </x:c>
      <x:c r="E826" s="76" t="d">
        <x:v>2026-06-17T00:00:00.000Z</x:v>
      </x:c>
      <x:c r="F826" s="69" t="str">
        <x:v>summer</x:v>
      </x:c>
      <x:c r="G826" s="69" t="str">
        <x:v>Defender — source label</x:v>
      </x:c>
      <x:c r="H826" s="78"/>
      <x:c r="I826" s="69" t="str">
        <x:v>GBP</x:v>
      </x:c>
      <x:c r="J826" s="80"/>
      <x:c r="K826" s="82"/>
      <x:c r="L826" s="69" t="str">
        <x:v>Evidence needed</x:v>
      </x:c>
      <x:c r="M826" s="69" t="str">
        <x:v>Buyer-specific role, production, availability, signing age and total fee evidence are needed before assigning a deal-value score. A zero base fee does not represent wages or signing costs.</x:v>
      </x:c>
      <x:c r="N826" s="69" t="str">
        <x:v>Not assessed</x:v>
      </x:c>
      <x:c r="O826" s="69" t="str">
        <x:v>Source broad position and transfer quote only; detailed role and buyer-specific production not validated.</x:v>
      </x:c>
      <x:c r="P826" s="69" t="str">
        <x:v>https://www.theguardian.com/football/ng-interactive/2026/sep/01/mens-transfer-window-summer-2026-all-deals-from-europes-top-five-leagues</x:v>
      </x:c>
    </x:row>
    <x:row r="827" ht="25" customHeight="1">
      <x:c r="A827" s="75" t="str">
        <x:v>summer-S26-0086</x:v>
      </x:c>
      <x:c r="B827" s="75" t="str">
        <x:v>Víctor Chust</x:v>
      </x:c>
      <x:c r="C827" s="75" t="str">
        <x:v>Elche</x:v>
      </x:c>
      <x:c r="D827" s="75" t="str">
        <x:v>Cádiz</x:v>
      </x:c>
      <x:c r="E827" s="77" t="d">
        <x:v>2026-06-17T00:00:00.000Z</x:v>
      </x:c>
      <x:c r="F827" s="75" t="str">
        <x:v>summer</x:v>
      </x:c>
      <x:c r="G827" s="75" t="str">
        <x:v>Defender — source label</x:v>
      </x:c>
      <x:c r="H827" s="79" t="n">
        <x:v>900000</x:v>
      </x:c>
      <x:c r="I827" s="75" t="str">
        <x:v>GBP</x:v>
      </x:c>
      <x:c r="J827" s="81"/>
      <x:c r="K827" s="83"/>
      <x:c r="L827" s="75" t="str">
        <x:v>Evidence needed</x:v>
      </x:c>
      <x:c r="M827" s="75" t="str">
        <x:v>Buyer-specific role, production, availability, signing age and total fee evidence are needed before assigning a deal-value score.</x:v>
      </x:c>
      <x:c r="N827" s="75" t="str">
        <x:v>Not assessed</x:v>
      </x:c>
      <x:c r="O827" s="75" t="str">
        <x:v>Source broad position and transfer quote only; detailed role and buyer-specific production not validated.</x:v>
      </x:c>
      <x:c r="P827" s="75" t="str">
        <x:v>https://www.theguardian.com/football/ng-interactive/2026/sep/01/mens-transfer-window-summer-2026-all-deals-from-europes-top-five-leagues</x:v>
      </x:c>
    </x:row>
    <x:row r="828" ht="25" customHeight="1">
      <x:c r="A828" s="69" t="str">
        <x:v>summer-S26-0087</x:v>
      </x:c>
      <x:c r="B828" s="69" t="str">
        <x:v>Emmanuel Chukwu</x:v>
      </x:c>
      <x:c r="C828" s="69" t="str">
        <x:v>Austria Lustenau</x:v>
      </x:c>
      <x:c r="D828" s="69" t="str">
        <x:v>Hoffenheim</x:v>
      </x:c>
      <x:c r="E828" s="76" t="d">
        <x:v>2026-06-16T00:00:00.000Z</x:v>
      </x:c>
      <x:c r="F828" s="69" t="str">
        <x:v>summer</x:v>
      </x:c>
      <x:c r="G828" s="69" t="str">
        <x:v>Defender — source label</x:v>
      </x:c>
      <x:c r="H828" s="78"/>
      <x:c r="I828" s="69" t="str">
        <x:v>GBP</x:v>
      </x:c>
      <x:c r="J828" s="80"/>
      <x:c r="K828" s="82"/>
      <x:c r="L828" s="69" t="str">
        <x:v>Evidence needed</x:v>
      </x:c>
      <x:c r="M828" s="69" t="str">
        <x:v>Buyer-specific role, production, availability, signing age and total fee evidence are needed before assigning a deal-value score. Loan/swap costs must be treated separately.</x:v>
      </x:c>
      <x:c r="N828" s="69" t="str">
        <x:v>Not assessed</x:v>
      </x:c>
      <x:c r="O828" s="69" t="str">
        <x:v>Source broad position and transfer quote only; detailed role and buyer-specific production not validated.</x:v>
      </x:c>
      <x:c r="P828" s="69" t="str">
        <x:v>https://www.theguardian.com/football/ng-interactive/2026/sep/01/mens-transfer-window-summer-2026-all-deals-from-europes-top-five-leagues</x:v>
      </x:c>
    </x:row>
    <x:row r="829" ht="25" customHeight="1">
      <x:c r="A829" s="75" t="str">
        <x:v>summer-S26-0088</x:v>
      </x:c>
      <x:c r="B829" s="75" t="str">
        <x:v>Mauro Arambarri</x:v>
      </x:c>
      <x:c r="C829" s="75" t="str">
        <x:v>River Plate</x:v>
      </x:c>
      <x:c r="D829" s="75" t="str">
        <x:v>Getafe</x:v>
      </x:c>
      <x:c r="E829" s="77" t="d">
        <x:v>2026-06-17T00:00:00.000Z</x:v>
      </x:c>
      <x:c r="F829" s="75" t="str">
        <x:v>summer</x:v>
      </x:c>
      <x:c r="G829" s="75" t="str">
        <x:v>Defender — source label</x:v>
      </x:c>
      <x:c r="H829" s="79" t="n">
        <x:v>2600000</x:v>
      </x:c>
      <x:c r="I829" s="75" t="str">
        <x:v>GBP</x:v>
      </x:c>
      <x:c r="J829" s="81"/>
      <x:c r="K829" s="83"/>
      <x:c r="L829" s="75" t="str">
        <x:v>Evidence needed</x:v>
      </x:c>
      <x:c r="M829" s="75" t="str">
        <x:v>Buyer-specific role, production, availability, signing age and total fee evidence are needed before assigning a deal-value score.</x:v>
      </x:c>
      <x:c r="N829" s="75" t="str">
        <x:v>Not assessed</x:v>
      </x:c>
      <x:c r="O829" s="75" t="str">
        <x:v>Source broad position and transfer quote only; detailed role and buyer-specific production not validated.</x:v>
      </x:c>
      <x:c r="P829" s="75" t="str">
        <x:v>https://www.theguardian.com/football/ng-interactive/2026/sep/01/mens-transfer-window-summer-2026-all-deals-from-europes-top-five-leagues</x:v>
      </x:c>
    </x:row>
    <x:row r="830" ht="25" customHeight="1">
      <x:c r="A830" s="69" t="str">
        <x:v>summer-S26-0089</x:v>
      </x:c>
      <x:c r="B830" s="69" t="str">
        <x:v>Ibrahima Konaté</x:v>
      </x:c>
      <x:c r="C830" s="69" t="str">
        <x:v>Real Madrid</x:v>
      </x:c>
      <x:c r="D830" s="69" t="str">
        <x:v>Liverpool</x:v>
      </x:c>
      <x:c r="E830" s="76" t="d">
        <x:v>2026-06-18T00:00:00.000Z</x:v>
      </x:c>
      <x:c r="F830" s="69" t="str">
        <x:v>summer</x:v>
      </x:c>
      <x:c r="G830" s="69" t="str">
        <x:v>Defender — source label</x:v>
      </x:c>
      <x:c r="H830" s="78"/>
      <x:c r="I830" s="69" t="str">
        <x:v>GBP</x:v>
      </x:c>
      <x:c r="J830" s="80"/>
      <x:c r="K830" s="82"/>
      <x:c r="L830" s="69" t="str">
        <x:v>Evidence needed</x:v>
      </x:c>
      <x:c r="M830" s="69" t="str">
        <x:v>Buyer-specific role, production, availability, signing age and total fee evidence are needed before assigning a deal-value score. A zero base fee does not represent wages or signing costs.</x:v>
      </x:c>
      <x:c r="N830" s="69" t="str">
        <x:v>Not assessed</x:v>
      </x:c>
      <x:c r="O830" s="69" t="str">
        <x:v>Source broad position and transfer quote only; detailed role and buyer-specific production not validated.</x:v>
      </x:c>
      <x:c r="P830" s="69" t="str">
        <x:v>https://www.theguardian.com/football/ng-interactive/2026/sep/01/mens-transfer-window-summer-2026-all-deals-from-europes-top-five-leagues</x:v>
      </x:c>
    </x:row>
    <x:row r="831" ht="25" customHeight="1">
      <x:c r="A831" s="75" t="str">
        <x:v>summer-S26-0090</x:v>
      </x:c>
      <x:c r="B831" s="75" t="str">
        <x:v>Zento Uno</x:v>
      </x:c>
      <x:c r="C831" s="75" t="str">
        <x:v>Borussia Mönchengladbach</x:v>
      </x:c>
      <x:c r="D831" s="75" t="str">
        <x:v>Shimizu S-Pulse</x:v>
      </x:c>
      <x:c r="E831" s="77" t="d">
        <x:v>2026-06-18T00:00:00.000Z</x:v>
      </x:c>
      <x:c r="F831" s="75" t="str">
        <x:v>summer</x:v>
      </x:c>
      <x:c r="G831" s="75" t="str">
        <x:v>Midfielder — source label</x:v>
      </x:c>
      <x:c r="H831" s="79" t="n">
        <x:v>400000</x:v>
      </x:c>
      <x:c r="I831" s="75" t="str">
        <x:v>GBP</x:v>
      </x:c>
      <x:c r="J831" s="81"/>
      <x:c r="K831" s="83"/>
      <x:c r="L831" s="75" t="str">
        <x:v>Evidence needed</x:v>
      </x:c>
      <x:c r="M831" s="75" t="str">
        <x:v>Buyer-specific role, production, availability, signing age and total fee evidence are needed before assigning a deal-value score.</x:v>
      </x:c>
      <x:c r="N831" s="75" t="str">
        <x:v>Not assessed</x:v>
      </x:c>
      <x:c r="O831" s="75" t="str">
        <x:v>Source broad position and transfer quote only; detailed role and buyer-specific production not validated.</x:v>
      </x:c>
      <x:c r="P831" s="75" t="str">
        <x:v>https://www.theguardian.com/football/ng-interactive/2026/sep/01/mens-transfer-window-summer-2026-all-deals-from-europes-top-five-leagues</x:v>
      </x:c>
    </x:row>
    <x:row r="832" ht="25" customHeight="1">
      <x:c r="A832" s="69" t="str">
        <x:v>summer-S26-0091</x:v>
      </x:c>
      <x:c r="B832" s="69" t="str">
        <x:v>Jano ter Horst</x:v>
      </x:c>
      <x:c r="C832" s="69" t="str">
        <x:v>Paderborn</x:v>
      </x:c>
      <x:c r="D832" s="69" t="str">
        <x:v>Preußen Münster</x:v>
      </x:c>
      <x:c r="E832" s="76" t="d">
        <x:v>2026-06-18T00:00:00.000Z</x:v>
      </x:c>
      <x:c r="F832" s="69" t="str">
        <x:v>summer</x:v>
      </x:c>
      <x:c r="G832" s="69" t="str">
        <x:v>Defender — source label</x:v>
      </x:c>
      <x:c r="H832" s="78" t="n">
        <x:v>200000</x:v>
      </x:c>
      <x:c r="I832" s="69" t="str">
        <x:v>GBP</x:v>
      </x:c>
      <x:c r="J832" s="80"/>
      <x:c r="K832" s="82"/>
      <x:c r="L832" s="69" t="str">
        <x:v>Evidence needed</x:v>
      </x:c>
      <x:c r="M832" s="69" t="str">
        <x:v>Buyer-specific role, production, availability, signing age and total fee evidence are needed before assigning a deal-value score.</x:v>
      </x:c>
      <x:c r="N832" s="69" t="str">
        <x:v>Not assessed</x:v>
      </x:c>
      <x:c r="O832" s="69" t="str">
        <x:v>Source broad position and transfer quote only; detailed role and buyer-specific production not validated.</x:v>
      </x:c>
      <x:c r="P832" s="69" t="str">
        <x:v>https://www.theguardian.com/football/ng-interactive/2026/sep/01/mens-transfer-window-summer-2026-all-deals-from-europes-top-five-leagues</x:v>
      </x:c>
    </x:row>
    <x:row r="833" ht="25" customHeight="1">
      <x:c r="A833" s="75" t="str">
        <x:v>summer-S26-0096</x:v>
      </x:c>
      <x:c r="B833" s="75" t="str">
        <x:v>Milan Aleksic</x:v>
      </x:c>
      <x:c r="C833" s="75" t="str">
        <x:v>Partizan Belgrade</x:v>
      </x:c>
      <x:c r="D833" s="75" t="str">
        <x:v>Sunderland</x:v>
      </x:c>
      <x:c r="E833" s="77" t="d">
        <x:v>2026-06-18T00:00:00.000Z</x:v>
      </x:c>
      <x:c r="F833" s="75" t="str">
        <x:v>summer</x:v>
      </x:c>
      <x:c r="G833" s="75" t="str">
        <x:v>Midfielder — source label</x:v>
      </x:c>
      <x:c r="H833" s="79"/>
      <x:c r="I833" s="75" t="str">
        <x:v>GBP</x:v>
      </x:c>
      <x:c r="J833" s="81"/>
      <x:c r="K833" s="83"/>
      <x:c r="L833" s="75" t="str">
        <x:v>Evidence needed</x:v>
      </x:c>
      <x:c r="M833" s="75" t="str">
        <x:v>Buyer-specific role, production, availability, signing age and total fee evidence are needed before assigning a deal-value score. Loan/swap costs must be treated separately.</x:v>
      </x:c>
      <x:c r="N833" s="75" t="str">
        <x:v>Not assessed</x:v>
      </x:c>
      <x:c r="O833" s="75" t="str">
        <x:v>Source broad position and transfer quote only; detailed role and buyer-specific production not validated.</x:v>
      </x:c>
      <x:c r="P833" s="75" t="str">
        <x:v>https://www.theguardian.com/football/ng-interactive/2026/sep/01/mens-transfer-window-summer-2026-all-deals-from-europes-top-five-leagues</x:v>
      </x:c>
    </x:row>
    <x:row r="834" ht="25" customHeight="1">
      <x:c r="A834" s="69" t="str">
        <x:v>summer-S26-0097</x:v>
      </x:c>
      <x:c r="B834" s="69" t="str">
        <x:v>Harrison Jones</x:v>
      </x:c>
      <x:c r="C834" s="69" t="str">
        <x:v>Peterborough</x:v>
      </x:c>
      <x:c r="D834" s="69" t="str">
        <x:v>Sunderland</x:v>
      </x:c>
      <x:c r="E834" s="76" t="d">
        <x:v>2026-06-18T00:00:00.000Z</x:v>
      </x:c>
      <x:c r="F834" s="69" t="str">
        <x:v>summer</x:v>
      </x:c>
      <x:c r="G834" s="69" t="str">
        <x:v>Midfielder — source label</x:v>
      </x:c>
      <x:c r="H834" s="78"/>
      <x:c r="I834" s="69" t="str">
        <x:v>GBP</x:v>
      </x:c>
      <x:c r="J834" s="80"/>
      <x:c r="K834" s="82"/>
      <x:c r="L834" s="69" t="str">
        <x:v>Evidence needed</x:v>
      </x:c>
      <x:c r="M834" s="69" t="str">
        <x:v>Buyer-specific role, production, availability, signing age and total fee evidence are needed before assigning a deal-value score.</x:v>
      </x:c>
      <x:c r="N834" s="69" t="str">
        <x:v>Not assessed</x:v>
      </x:c>
      <x:c r="O834" s="69" t="str">
        <x:v>Source broad position and transfer quote only; detailed role and buyer-specific production not validated.</x:v>
      </x:c>
      <x:c r="P834" s="69" t="str">
        <x:v>https://www.theguardian.com/football/ng-interactive/2026/sep/01/mens-transfer-window-summer-2026-all-deals-from-europes-top-five-leagues</x:v>
      </x:c>
    </x:row>
    <x:row r="835" ht="25" customHeight="1">
      <x:c r="A835" s="75" t="str">
        <x:v>summer-S26-0100</x:v>
      </x:c>
      <x:c r="B835" s="75" t="str">
        <x:v>Daouda Guindo</x:v>
      </x:c>
      <x:c r="C835" s="75" t="str">
        <x:v>Reims</x:v>
      </x:c>
      <x:c r="D835" s="75" t="str">
        <x:v>Brest</x:v>
      </x:c>
      <x:c r="E835" s="77" t="d">
        <x:v>2026-06-18T00:00:00.000Z</x:v>
      </x:c>
      <x:c r="F835" s="75" t="str">
        <x:v>summer</x:v>
      </x:c>
      <x:c r="G835" s="75" t="str">
        <x:v>Defender — source label</x:v>
      </x:c>
      <x:c r="H835" s="79"/>
      <x:c r="I835" s="75" t="str">
        <x:v>GBP</x:v>
      </x:c>
      <x:c r="J835" s="81"/>
      <x:c r="K835" s="83"/>
      <x:c r="L835" s="75" t="str">
        <x:v>Evidence needed</x:v>
      </x:c>
      <x:c r="M835" s="75" t="str">
        <x:v>Buyer-specific role, production, availability, signing age and total fee evidence are needed before assigning a deal-value score. A zero base fee does not represent wages or signing costs.</x:v>
      </x:c>
      <x:c r="N835" s="75" t="str">
        <x:v>Not assessed</x:v>
      </x:c>
      <x:c r="O835" s="75" t="str">
        <x:v>Source broad position and transfer quote only; detailed role and buyer-specific production not validated.</x:v>
      </x:c>
      <x:c r="P835" s="75" t="str">
        <x:v>https://www.theguardian.com/football/ng-interactive/2026/sep/01/mens-transfer-window-summer-2026-all-deals-from-europes-top-five-leagues</x:v>
      </x:c>
    </x:row>
    <x:row r="836" ht="25" customHeight="1">
      <x:c r="A836" s="69" t="str">
        <x:v>summer-S26-0101</x:v>
      </x:c>
      <x:c r="B836" s="69" t="str">
        <x:v>Dominique Heintz</x:v>
      </x:c>
      <x:c r="C836" s="69" t="str">
        <x:v>Fortuna Düsseldorf</x:v>
      </x:c>
      <x:c r="D836" s="69" t="str">
        <x:v>Cologne</x:v>
      </x:c>
      <x:c r="E836" s="76" t="d">
        <x:v>2026-06-19T00:00:00.000Z</x:v>
      </x:c>
      <x:c r="F836" s="69" t="str">
        <x:v>summer</x:v>
      </x:c>
      <x:c r="G836" s="69" t="str">
        <x:v>Defender — source label</x:v>
      </x:c>
      <x:c r="H836" s="78"/>
      <x:c r="I836" s="69" t="str">
        <x:v>GBP</x:v>
      </x:c>
      <x:c r="J836" s="80"/>
      <x:c r="K836" s="82"/>
      <x:c r="L836" s="69" t="str">
        <x:v>Evidence needed</x:v>
      </x:c>
      <x:c r="M836" s="69" t="str">
        <x:v>Buyer-specific role, production, availability, signing age and total fee evidence are needed before assigning a deal-value score. A zero base fee does not represent wages or signing costs.</x:v>
      </x:c>
      <x:c r="N836" s="69" t="str">
        <x:v>Not assessed</x:v>
      </x:c>
      <x:c r="O836" s="69" t="str">
        <x:v>Source broad position and transfer quote only; detailed role and buyer-specific production not validated.</x:v>
      </x:c>
      <x:c r="P836" s="69" t="str">
        <x:v>https://www.theguardian.com/football/ng-interactive/2026/sep/01/mens-transfer-window-summer-2026-all-deals-from-europes-top-five-leagues</x:v>
      </x:c>
    </x:row>
    <x:row r="837" ht="25" customHeight="1">
      <x:c r="A837" s="75" t="str">
        <x:v>summer-S26-0102</x:v>
      </x:c>
      <x:c r="B837" s="75" t="str">
        <x:v>Mateo Flores</x:v>
      </x:c>
      <x:c r="C837" s="75" t="str">
        <x:v>Arouca</x:v>
      </x:c>
      <x:c r="D837" s="75" t="str">
        <x:v>Real Betis</x:v>
      </x:c>
      <x:c r="E837" s="77" t="d">
        <x:v>2026-06-19T00:00:00.000Z</x:v>
      </x:c>
      <x:c r="F837" s="75" t="str">
        <x:v>summer</x:v>
      </x:c>
      <x:c r="G837" s="75" t="str">
        <x:v>Midfielder — source label</x:v>
      </x:c>
      <x:c r="H837" s="79" t="n">
        <x:v>1200000</x:v>
      </x:c>
      <x:c r="I837" s="75" t="str">
        <x:v>GBP</x:v>
      </x:c>
      <x:c r="J837" s="81"/>
      <x:c r="K837" s="83"/>
      <x:c r="L837" s="75" t="str">
        <x:v>Evidence needed</x:v>
      </x:c>
      <x:c r="M837" s="75" t="str">
        <x:v>Buyer-specific role, production, availability, signing age and total fee evidence are needed before assigning a deal-value score.</x:v>
      </x:c>
      <x:c r="N837" s="75" t="str">
        <x:v>Not assessed</x:v>
      </x:c>
      <x:c r="O837" s="75" t="str">
        <x:v>Source broad position and transfer quote only; detailed role and buyer-specific production not validated.</x:v>
      </x:c>
      <x:c r="P837" s="75" t="str">
        <x:v>https://www.theguardian.com/football/ng-interactive/2026/sep/01/mens-transfer-window-summer-2026-all-deals-from-europes-top-five-leagues</x:v>
      </x:c>
    </x:row>
    <x:row r="838" ht="25" customHeight="1">
      <x:c r="A838" s="69" t="str">
        <x:v>summer-S26-0103</x:v>
      </x:c>
      <x:c r="B838" s="69" t="str">
        <x:v>Razvan Sava</x:v>
      </x:c>
      <x:c r="C838" s="69" t="str">
        <x:v>Universitatea Craiova</x:v>
      </x:c>
      <x:c r="D838" s="69" t="str">
        <x:v>Udinese</x:v>
      </x:c>
      <x:c r="E838" s="76" t="d">
        <x:v>2026-06-19T00:00:00.000Z</x:v>
      </x:c>
      <x:c r="F838" s="69" t="str">
        <x:v>summer</x:v>
      </x:c>
      <x:c r="G838" s="69" t="str">
        <x:v>Goalkeeper — source label</x:v>
      </x:c>
      <x:c r="H838" s="78"/>
      <x:c r="I838" s="69" t="str">
        <x:v>GBP</x:v>
      </x:c>
      <x:c r="J838" s="80"/>
      <x:c r="K838" s="82"/>
      <x:c r="L838" s="69" t="str">
        <x:v>Evidence needed</x:v>
      </x:c>
      <x:c r="M838" s="69" t="str">
        <x:v>Buyer-specific shot-stopping, distribution, aerial command, sweeping, signing age and total fee evidence are needed before scoring.</x:v>
      </x:c>
      <x:c r="N838" s="69" t="str">
        <x:v>Not assessed</x:v>
      </x:c>
      <x:c r="O838" s="69" t="str">
        <x:v>Source broad position and transfer quote only; detailed role and buyer-specific production not validated.</x:v>
      </x:c>
      <x:c r="P838" s="69" t="str">
        <x:v>https://www.theguardian.com/football/ng-interactive/2026/sep/01/mens-transfer-window-summer-2026-all-deals-from-europes-top-five-leagues</x:v>
      </x:c>
    </x:row>
    <x:row r="839" ht="25" customHeight="1">
      <x:c r="A839" s="75" t="str">
        <x:v>summer-S26-0104</x:v>
      </x:c>
      <x:c r="B839" s="75" t="str">
        <x:v>Pele Arganese-McDermott</x:v>
      </x:c>
      <x:c r="C839" s="75" t="str">
        <x:v>Crawley Town</x:v>
      </x:c>
      <x:c r="D839" s="75" t="str">
        <x:v>Tottenham Hotspur</x:v>
      </x:c>
      <x:c r="E839" s="77" t="d">
        <x:v>2026-06-18T00:00:00.000Z</x:v>
      </x:c>
      <x:c r="F839" s="75" t="str">
        <x:v>summer</x:v>
      </x:c>
      <x:c r="G839" s="75" t="str">
        <x:v>Defender — source label</x:v>
      </x:c>
      <x:c r="H839" s="79"/>
      <x:c r="I839" s="75" t="str">
        <x:v>GBP</x:v>
      </x:c>
      <x:c r="J839" s="81"/>
      <x:c r="K839" s="83"/>
      <x:c r="L839" s="75" t="str">
        <x:v>Evidence needed</x:v>
      </x:c>
      <x:c r="M839" s="75" t="str">
        <x:v>Buyer-specific role, production, availability, signing age and total fee evidence are needed before assigning a deal-value score. A zero base fee does not represent wages or signing costs.</x:v>
      </x:c>
      <x:c r="N839" s="75" t="str">
        <x:v>Not assessed</x:v>
      </x:c>
      <x:c r="O839" s="75" t="str">
        <x:v>Source broad position and transfer quote only; detailed role and buyer-specific production not validated.</x:v>
      </x:c>
      <x:c r="P839" s="75" t="str">
        <x:v>https://www.theguardian.com/football/ng-interactive/2026/sep/01/mens-transfer-window-summer-2026-all-deals-from-europes-top-five-leagues</x:v>
      </x:c>
    </x:row>
    <x:row r="840" ht="25" customHeight="1">
      <x:c r="A840" s="69" t="str">
        <x:v>summer-S26-0105</x:v>
      </x:c>
      <x:c r="B840" s="69" t="str">
        <x:v>Giovanni Daffara</x:v>
      </x:c>
      <x:c r="C840" s="69" t="str">
        <x:v>Avellino</x:v>
      </x:c>
      <x:c r="D840" s="69" t="str">
        <x:v>Juventus</x:v>
      </x:c>
      <x:c r="E840" s="76" t="d">
        <x:v>2026-06-16T00:00:00.000Z</x:v>
      </x:c>
      <x:c r="F840" s="69" t="str">
        <x:v>summer</x:v>
      </x:c>
      <x:c r="G840" s="69" t="str">
        <x:v>Goalkeeper — source label</x:v>
      </x:c>
      <x:c r="H840" s="78" t="n">
        <x:v>400000</x:v>
      </x:c>
      <x:c r="I840" s="69" t="str">
        <x:v>GBP</x:v>
      </x:c>
      <x:c r="J840" s="80"/>
      <x:c r="K840" s="82"/>
      <x:c r="L840" s="69" t="str">
        <x:v>Evidence needed</x:v>
      </x:c>
      <x:c r="M840" s="69" t="str">
        <x:v>Buyer-specific shot-stopping, distribution, aerial command, sweeping, signing age and total fee evidence are needed before scoring.</x:v>
      </x:c>
      <x:c r="N840" s="69" t="str">
        <x:v>Not assessed</x:v>
      </x:c>
      <x:c r="O840" s="69" t="str">
        <x:v>Source broad position and transfer quote only; detailed role and buyer-specific production not validated.</x:v>
      </x:c>
      <x:c r="P840" s="69" t="str">
        <x:v>https://www.theguardian.com/football/ng-interactive/2026/sep/01/mens-transfer-window-summer-2026-all-deals-from-europes-top-five-leagues</x:v>
      </x:c>
    </x:row>
    <x:row r="841" ht="25" customHeight="1">
      <x:c r="A841" s="75" t="str">
        <x:v>summer-S26-0106</x:v>
      </x:c>
      <x:c r="B841" s="75" t="str">
        <x:v>Giovanni Daffara</x:v>
      </x:c>
      <x:c r="C841" s="75" t="str">
        <x:v>Juventus</x:v>
      </x:c>
      <x:c r="D841" s="75" t="str">
        <x:v>Avellino</x:v>
      </x:c>
      <x:c r="E841" s="77" t="d">
        <x:v>2026-06-20T00:00:00.000Z</x:v>
      </x:c>
      <x:c r="F841" s="75" t="str">
        <x:v>summer</x:v>
      </x:c>
      <x:c r="G841" s="75" t="str">
        <x:v>Goalkeeper — source label</x:v>
      </x:c>
      <x:c r="H841" s="79" t="n">
        <x:v>900000</x:v>
      </x:c>
      <x:c r="I841" s="75" t="str">
        <x:v>GBP</x:v>
      </x:c>
      <x:c r="J841" s="81"/>
      <x:c r="K841" s="83"/>
      <x:c r="L841" s="75" t="str">
        <x:v>Evidence needed</x:v>
      </x:c>
      <x:c r="M841" s="75" t="str">
        <x:v>Buyer-specific shot-stopping, distribution, aerial command, sweeping, signing age and total fee evidence are needed before scoring.</x:v>
      </x:c>
      <x:c r="N841" s="75" t="str">
        <x:v>Not assessed</x:v>
      </x:c>
      <x:c r="O841" s="75" t="str">
        <x:v>Source broad position and transfer quote only; detailed role and buyer-specific production not validated.</x:v>
      </x:c>
      <x:c r="P841" s="75" t="str">
        <x:v>https://www.theguardian.com/football/ng-interactive/2026/sep/01/mens-transfer-window-summer-2026-all-deals-from-europes-top-five-leagues</x:v>
      </x:c>
    </x:row>
    <x:row r="842" ht="25" customHeight="1">
      <x:c r="A842" s="69" t="str">
        <x:v>summer-S26-0107</x:v>
      </x:c>
      <x:c r="B842" s="69" t="str">
        <x:v>Gonçalo Oliveira</x:v>
      </x:c>
      <x:c r="C842" s="69" t="str">
        <x:v>Rennes</x:v>
      </x:c>
      <x:c r="D842" s="69" t="str">
        <x:v>Benfica</x:v>
      </x:c>
      <x:c r="E842" s="76" t="d">
        <x:v>2026-06-18T00:00:00.000Z</x:v>
      </x:c>
      <x:c r="F842" s="69" t="str">
        <x:v>summer</x:v>
      </x:c>
      <x:c r="G842" s="69" t="str">
        <x:v>Defender — source label</x:v>
      </x:c>
      <x:c r="H842" s="78" t="n">
        <x:v>3000000</x:v>
      </x:c>
      <x:c r="I842" s="69" t="str">
        <x:v>GBP</x:v>
      </x:c>
      <x:c r="J842" s="80"/>
      <x:c r="K842" s="82"/>
      <x:c r="L842" s="69" t="str">
        <x:v>Evidence needed</x:v>
      </x:c>
      <x:c r="M842" s="69" t="str">
        <x:v>Buyer-specific role, production, availability, signing age and total fee evidence are needed before assigning a deal-value score.</x:v>
      </x:c>
      <x:c r="N842" s="69" t="str">
        <x:v>Not assessed</x:v>
      </x:c>
      <x:c r="O842" s="69" t="str">
        <x:v>Source broad position and transfer quote only; detailed role and buyer-specific production not validated.</x:v>
      </x:c>
      <x:c r="P842" s="69" t="str">
        <x:v>https://www.theguardian.com/football/ng-interactive/2026/sep/01/mens-transfer-window-summer-2026-all-deals-from-europes-top-five-leagues</x:v>
      </x:c>
    </x:row>
    <x:row r="843" ht="25" customHeight="1">
      <x:c r="A843" s="75" t="str">
        <x:v>summer-S26-0108</x:v>
      </x:c>
      <x:c r="B843" s="75" t="str">
        <x:v>Alessandro Nunziante</x:v>
      </x:c>
      <x:c r="C843" s="75" t="str">
        <x:v>Arezzo</x:v>
      </x:c>
      <x:c r="D843" s="75" t="str">
        <x:v>Udinese</x:v>
      </x:c>
      <x:c r="E843" s="77" t="d">
        <x:v>2026-06-21T00:00:00.000Z</x:v>
      </x:c>
      <x:c r="F843" s="75" t="str">
        <x:v>summer</x:v>
      </x:c>
      <x:c r="G843" s="75" t="str">
        <x:v>Goalkeeper — source label</x:v>
      </x:c>
      <x:c r="H843" s="79"/>
      <x:c r="I843" s="75" t="str">
        <x:v>GBP</x:v>
      </x:c>
      <x:c r="J843" s="81"/>
      <x:c r="K843" s="83"/>
      <x:c r="L843" s="75" t="str">
        <x:v>Evidence needed</x:v>
      </x:c>
      <x:c r="M843" s="75" t="str">
        <x:v>Buyer-specific shot-stopping, distribution, aerial command, sweeping, signing age and total fee evidence are needed before scoring. Loan/swap costs must be treated separately.</x:v>
      </x:c>
      <x:c r="N843" s="75" t="str">
        <x:v>Not assessed</x:v>
      </x:c>
      <x:c r="O843" s="75" t="str">
        <x:v>Source broad position and transfer quote only; detailed role and buyer-specific production not validated.</x:v>
      </x:c>
      <x:c r="P843" s="75" t="str">
        <x:v>https://www.theguardian.com/football/ng-interactive/2026/sep/01/mens-transfer-window-summer-2026-all-deals-from-europes-top-five-leagues</x:v>
      </x:c>
    </x:row>
    <x:row r="844" ht="25" customHeight="1">
      <x:c r="A844" s="69" t="str">
        <x:v>summer-S26-0111</x:v>
      </x:c>
      <x:c r="B844" s="69" t="str">
        <x:v>Marcel Lubik</x:v>
      </x:c>
      <x:c r="C844" s="69" t="str">
        <x:v>Wisla Krakow</x:v>
      </x:c>
      <x:c r="D844" s="69" t="str">
        <x:v>Augsburg</x:v>
      </x:c>
      <x:c r="E844" s="76" t="d">
        <x:v>2026-06-21T00:00:00.000Z</x:v>
      </x:c>
      <x:c r="F844" s="69" t="str">
        <x:v>summer</x:v>
      </x:c>
      <x:c r="G844" s="69" t="str">
        <x:v>Goalkeeper — source label</x:v>
      </x:c>
      <x:c r="H844" s="78"/>
      <x:c r="I844" s="69" t="str">
        <x:v>GBP</x:v>
      </x:c>
      <x:c r="J844" s="80"/>
      <x:c r="K844" s="82"/>
      <x:c r="L844" s="69" t="str">
        <x:v>Evidence needed</x:v>
      </x:c>
      <x:c r="M844" s="69" t="str">
        <x:v>Buyer-specific shot-stopping, distribution, aerial command, sweeping, signing age and total fee evidence are needed before scoring. Loan/swap costs must be treated separately.</x:v>
      </x:c>
      <x:c r="N844" s="69" t="str">
        <x:v>Not assessed</x:v>
      </x:c>
      <x:c r="O844" s="69" t="str">
        <x:v>Source broad position and transfer quote only; detailed role and buyer-specific production not validated.</x:v>
      </x:c>
      <x:c r="P844" s="69" t="str">
        <x:v>https://www.theguardian.com/football/ng-interactive/2026/sep/01/mens-transfer-window-summer-2026-all-deals-from-europes-top-five-leagues</x:v>
      </x:c>
    </x:row>
    <x:row r="845" ht="25" customHeight="1">
      <x:c r="A845" s="75" t="str">
        <x:v>summer-S26-0112</x:v>
      </x:c>
      <x:c r="B845" s="75" t="str">
        <x:v>Karl Hein</x:v>
      </x:c>
      <x:c r="C845" s="75" t="str">
        <x:v>Werder Bremen</x:v>
      </x:c>
      <x:c r="D845" s="75" t="str">
        <x:v>Arsenal</x:v>
      </x:c>
      <x:c r="E845" s="77" t="d">
        <x:v>2026-05-23T00:00:00.000Z</x:v>
      </x:c>
      <x:c r="F845" s="75" t="str">
        <x:v>summer</x:v>
      </x:c>
      <x:c r="G845" s="75" t="str">
        <x:v>Goalkeeper — source label</x:v>
      </x:c>
      <x:c r="H845" s="79" t="n">
        <x:v>2600000</x:v>
      </x:c>
      <x:c r="I845" s="75" t="str">
        <x:v>GBP</x:v>
      </x:c>
      <x:c r="J845" s="81"/>
      <x:c r="K845" s="83"/>
      <x:c r="L845" s="75" t="str">
        <x:v>Evidence needed</x:v>
      </x:c>
      <x:c r="M845" s="75" t="str">
        <x:v>Buyer-specific shot-stopping, distribution, aerial command, sweeping, signing age and total fee evidence are needed before scoring.</x:v>
      </x:c>
      <x:c r="N845" s="75" t="str">
        <x:v>Not assessed</x:v>
      </x:c>
      <x:c r="O845" s="75" t="str">
        <x:v>Source broad position and transfer quote only; detailed role and buyer-specific production not validated.</x:v>
      </x:c>
      <x:c r="P845" s="75" t="str">
        <x:v>https://www.theguardian.com/football/ng-interactive/2026/sep/01/mens-transfer-window-summer-2026-all-deals-from-europes-top-five-leagues</x:v>
      </x:c>
    </x:row>
    <x:row r="846" ht="25" customHeight="1">
      <x:c r="A846" s="69" t="str">
        <x:v>summer-S26-0113</x:v>
      </x:c>
      <x:c r="B846" s="69" t="str">
        <x:v>Mio Backhaus</x:v>
      </x:c>
      <x:c r="C846" s="69" t="str">
        <x:v>Freiburg</x:v>
      </x:c>
      <x:c r="D846" s="69" t="str">
        <x:v>Werder Bremen</x:v>
      </x:c>
      <x:c r="E846" s="76" t="d">
        <x:v>2026-05-23T00:00:00.000Z</x:v>
      </x:c>
      <x:c r="F846" s="69" t="str">
        <x:v>summer</x:v>
      </x:c>
      <x:c r="G846" s="69" t="str">
        <x:v>Goalkeeper — source label</x:v>
      </x:c>
      <x:c r="H846" s="78" t="n">
        <x:v>12900000</x:v>
      </x:c>
      <x:c r="I846" s="69" t="str">
        <x:v>GBP</x:v>
      </x:c>
      <x:c r="J846" s="80"/>
      <x:c r="K846" s="82"/>
      <x:c r="L846" s="69" t="str">
        <x:v>Evidence needed</x:v>
      </x:c>
      <x:c r="M846" s="69" t="str">
        <x:v>Buyer-specific shot-stopping, distribution, aerial command, sweeping, signing age and total fee evidence are needed before scoring.</x:v>
      </x:c>
      <x:c r="N846" s="69" t="str">
        <x:v>Not assessed</x:v>
      </x:c>
      <x:c r="O846" s="69" t="str">
        <x:v>Source broad position and transfer quote only; detailed role and buyer-specific production not validated.</x:v>
      </x:c>
      <x:c r="P846" s="69" t="str">
        <x:v>https://www.theguardian.com/football/ng-interactive/2026/sep/01/mens-transfer-window-summer-2026-all-deals-from-europes-top-five-leagues</x:v>
      </x:c>
    </x:row>
    <x:row r="847" ht="25" customHeight="1">
      <x:c r="A847" s="75" t="str">
        <x:v>summer-S26-0115</x:v>
      </x:c>
      <x:c r="B847" s="75" t="str">
        <x:v>Jannik Schuster</x:v>
      </x:c>
      <x:c r="C847" s="75" t="str">
        <x:v>Brentford</x:v>
      </x:c>
      <x:c r="D847" s="75" t="str">
        <x:v>Red Bull Salzburg</x:v>
      </x:c>
      <x:c r="E847" s="77" t="d">
        <x:v>2026-05-15T00:00:00.000Z</x:v>
      </x:c>
      <x:c r="F847" s="75" t="str">
        <x:v>summer</x:v>
      </x:c>
      <x:c r="G847" s="75" t="str">
        <x:v>Defender — source label</x:v>
      </x:c>
      <x:c r="H847" s="79" t="n">
        <x:v>14000000</x:v>
      </x:c>
      <x:c r="I847" s="75" t="str">
        <x:v>GBP</x:v>
      </x:c>
      <x:c r="J847" s="81"/>
      <x:c r="K847" s="83"/>
      <x:c r="L847" s="75" t="str">
        <x:v>Evidence needed</x:v>
      </x:c>
      <x:c r="M847" s="75" t="str">
        <x:v>Buyer-specific role, production, availability, signing age and total fee evidence are needed before assigning a deal-value score.</x:v>
      </x:c>
      <x:c r="N847" s="75" t="str">
        <x:v>Not assessed</x:v>
      </x:c>
      <x:c r="O847" s="75" t="str">
        <x:v>Source broad position and transfer quote only; detailed role and buyer-specific production not validated.</x:v>
      </x:c>
      <x:c r="P847" s="75" t="str">
        <x:v>https://www.theguardian.com/football/ng-interactive/2026/sep/01/mens-transfer-window-summer-2026-all-deals-from-europes-top-five-leagues</x:v>
      </x:c>
    </x:row>
    <x:row r="848" ht="25" customHeight="1">
      <x:c r="A848" s="69" t="str">
        <x:v>summer-S26-0117</x:v>
      </x:c>
      <x:c r="B848" s="69" t="str">
        <x:v>Cédric Kipré</x:v>
      </x:c>
      <x:c r="C848" s="69" t="str">
        <x:v>Ipswich Town</x:v>
      </x:c>
      <x:c r="D848" s="69" t="str">
        <x:v>Reims</x:v>
      </x:c>
      <x:c r="E848" s="76" t="d">
        <x:v>2026-05-05T00:00:00.000Z</x:v>
      </x:c>
      <x:c r="F848" s="69" t="str">
        <x:v>summer</x:v>
      </x:c>
      <x:c r="G848" s="69" t="str">
        <x:v>Defender — source label</x:v>
      </x:c>
      <x:c r="H848" s="78" t="n">
        <x:v>1700000</x:v>
      </x:c>
      <x:c r="I848" s="69" t="str">
        <x:v>GBP</x:v>
      </x:c>
      <x:c r="J848" s="80"/>
      <x:c r="K848" s="82"/>
      <x:c r="L848" s="69" t="str">
        <x:v>Evidence needed</x:v>
      </x:c>
      <x:c r="M848" s="69" t="str">
        <x:v>Buyer-specific role, production, availability, signing age and total fee evidence are needed before assigning a deal-value score.</x:v>
      </x:c>
      <x:c r="N848" s="69" t="str">
        <x:v>Not assessed</x:v>
      </x:c>
      <x:c r="O848" s="69" t="str">
        <x:v>Source broad position and transfer quote only; detailed role and buyer-specific production not validated.</x:v>
      </x:c>
      <x:c r="P848" s="69" t="str">
        <x:v>https://www.theguardian.com/football/ng-interactive/2026/sep/01/mens-transfer-window-summer-2026-all-deals-from-europes-top-five-leagues</x:v>
      </x:c>
    </x:row>
    <x:row r="849" ht="25" customHeight="1">
      <x:c r="A849" s="75" t="str">
        <x:v>summer-S26-0120</x:v>
      </x:c>
      <x:c r="B849" s="75" t="str">
        <x:v>Illan Meslier</x:v>
      </x:c>
      <x:c r="C849" s="75" t="str">
        <x:v>Arsenal</x:v>
      </x:c>
      <x:c r="D849" s="75" t="str">
        <x:v>Leeds United</x:v>
      </x:c>
      <x:c r="E849" s="77" t="d">
        <x:v>2026-07-09T00:00:00.000Z</x:v>
      </x:c>
      <x:c r="F849" s="75" t="str">
        <x:v>summer</x:v>
      </x:c>
      <x:c r="G849" s="75" t="str">
        <x:v>Goalkeeper — source label</x:v>
      </x:c>
      <x:c r="H849" s="79"/>
      <x:c r="I849" s="75" t="str">
        <x:v>GBP</x:v>
      </x:c>
      <x:c r="J849" s="81"/>
      <x:c r="K849" s="83"/>
      <x:c r="L849" s="75" t="str">
        <x:v>Evidence needed</x:v>
      </x:c>
      <x:c r="M849" s="75" t="str">
        <x:v>Buyer-specific shot-stopping, distribution, aerial command, sweeping, signing age and total fee evidence are needed before scoring. A zero base fee does not represent wages or signing costs.</x:v>
      </x:c>
      <x:c r="N849" s="75" t="str">
        <x:v>Not assessed</x:v>
      </x:c>
      <x:c r="O849" s="75" t="str">
        <x:v>Source broad position and transfer quote only; detailed role and buyer-specific production not validated.</x:v>
      </x:c>
      <x:c r="P849" s="75" t="str">
        <x:v>https://www.theguardian.com/football/ng-interactive/2026/sep/01/mens-transfer-window-summer-2026-all-deals-from-europes-top-five-leagues</x:v>
      </x:c>
    </x:row>
    <x:row r="850" ht="25" customHeight="1">
      <x:c r="A850" s="69" t="str">
        <x:v>summer-S26-0121</x:v>
      </x:c>
      <x:c r="B850" s="69" t="str">
        <x:v>Carter Pinnington</x:v>
      </x:c>
      <x:c r="C850" s="69" t="str">
        <x:v>West Bromwich Albion</x:v>
      </x:c>
      <x:c r="D850" s="69" t="str">
        <x:v>Liverpool</x:v>
      </x:c>
      <x:c r="E850" s="76" t="d">
        <x:v>2026-06-18T00:00:00.000Z</x:v>
      </x:c>
      <x:c r="F850" s="69" t="str">
        <x:v>summer</x:v>
      </x:c>
      <x:c r="G850" s="69" t="str">
        <x:v>Defender — source label</x:v>
      </x:c>
      <x:c r="H850" s="78"/>
      <x:c r="I850" s="69" t="str">
        <x:v>GBP</x:v>
      </x:c>
      <x:c r="J850" s="80"/>
      <x:c r="K850" s="82"/>
      <x:c r="L850" s="69" t="str">
        <x:v>Evidence needed</x:v>
      </x:c>
      <x:c r="M850" s="69" t="str">
        <x:v>Buyer-specific role, production, availability, signing age and total fee evidence are needed before assigning a deal-value score.</x:v>
      </x:c>
      <x:c r="N850" s="69" t="str">
        <x:v>Not assessed</x:v>
      </x:c>
      <x:c r="O850" s="69" t="str">
        <x:v>Source broad position and transfer quote only; detailed role and buyer-specific production not validated.</x:v>
      </x:c>
      <x:c r="P850" s="69" t="str">
        <x:v>https://www.theguardian.com/football/ng-interactive/2026/sep/01/mens-transfer-window-summer-2026-all-deals-from-europes-top-five-leagues</x:v>
      </x:c>
    </x:row>
    <x:row r="851" ht="25" customHeight="1">
      <x:c r="A851" s="75" t="str">
        <x:v>summer-S26-0122</x:v>
      </x:c>
      <x:c r="B851" s="75" t="str">
        <x:v>Robert Wagner</x:v>
      </x:c>
      <x:c r="C851" s="75" t="str">
        <x:v>Dynamo Dresden</x:v>
      </x:c>
      <x:c r="D851" s="75" t="str">
        <x:v>Freiburg</x:v>
      </x:c>
      <x:c r="E851" s="77" t="d">
        <x:v>2026-06-23T00:00:00.000Z</x:v>
      </x:c>
      <x:c r="F851" s="75" t="str">
        <x:v>summer</x:v>
      </x:c>
      <x:c r="G851" s="75" t="str">
        <x:v>Midfielder — source label</x:v>
      </x:c>
      <x:c r="H851" s="79" t="n">
        <x:v>700000</x:v>
      </x:c>
      <x:c r="I851" s="75" t="str">
        <x:v>GBP</x:v>
      </x:c>
      <x:c r="J851" s="81"/>
      <x:c r="K851" s="83"/>
      <x:c r="L851" s="75" t="str">
        <x:v>Evidence needed</x:v>
      </x:c>
      <x:c r="M851" s="75" t="str">
        <x:v>Buyer-specific role, production, availability, signing age and total fee evidence are needed before assigning a deal-value score.</x:v>
      </x:c>
      <x:c r="N851" s="75" t="str">
        <x:v>Not assessed</x:v>
      </x:c>
      <x:c r="O851" s="75" t="str">
        <x:v>Source broad position and transfer quote only; detailed role and buyer-specific production not validated.</x:v>
      </x:c>
      <x:c r="P851" s="75" t="str">
        <x:v>https://www.theguardian.com/football/ng-interactive/2026/sep/01/mens-transfer-window-summer-2026-all-deals-from-europes-top-five-leagues</x:v>
      </x:c>
    </x:row>
    <x:row r="852" ht="25" customHeight="1">
      <x:c r="A852" s="69" t="str">
        <x:v>summer-S26-0123</x:v>
      </x:c>
      <x:c r="B852" s="69" t="str">
        <x:v>Iñaki Peña</x:v>
      </x:c>
      <x:c r="C852" s="69" t="str">
        <x:v>Panathinaikos</x:v>
      </x:c>
      <x:c r="D852" s="69" t="str">
        <x:v>Barcelona</x:v>
      </x:c>
      <x:c r="E852" s="76" t="d">
        <x:v>2026-06-23T00:00:00.000Z</x:v>
      </x:c>
      <x:c r="F852" s="69" t="str">
        <x:v>summer</x:v>
      </x:c>
      <x:c r="G852" s="69" t="str">
        <x:v>Goalkeeper — source label</x:v>
      </x:c>
      <x:c r="H852" s="78" t="n">
        <x:v>2600000</x:v>
      </x:c>
      <x:c r="I852" s="69" t="str">
        <x:v>GBP</x:v>
      </x:c>
      <x:c r="J852" s="80"/>
      <x:c r="K852" s="82"/>
      <x:c r="L852" s="69" t="str">
        <x:v>Evidence needed</x:v>
      </x:c>
      <x:c r="M852" s="69" t="str">
        <x:v>Buyer-specific shot-stopping, distribution, aerial command, sweeping, signing age and total fee evidence are needed before scoring.</x:v>
      </x:c>
      <x:c r="N852" s="69" t="str">
        <x:v>Not assessed</x:v>
      </x:c>
      <x:c r="O852" s="69" t="str">
        <x:v>Source broad position and transfer quote only; detailed role and buyer-specific production not validated.</x:v>
      </x:c>
      <x:c r="P852" s="69" t="str">
        <x:v>https://www.theguardian.com/football/ng-interactive/2026/sep/01/mens-transfer-window-summer-2026-all-deals-from-europes-top-five-leagues</x:v>
      </x:c>
    </x:row>
    <x:row r="853" ht="25" customHeight="1">
      <x:c r="A853" s="75" t="str">
        <x:v>summer-S26-0125</x:v>
      </x:c>
      <x:c r="B853" s="75" t="str">
        <x:v>Martin Dubravka</x:v>
      </x:c>
      <x:c r="C853" s="75" t="str">
        <x:v>Tottenham Hotspur</x:v>
      </x:c>
      <x:c r="D853" s="75" t="str">
        <x:v>Burnley</x:v>
      </x:c>
      <x:c r="E853" s="77" t="d">
        <x:v>2026-06-24T00:00:00.000Z</x:v>
      </x:c>
      <x:c r="F853" s="75" t="str">
        <x:v>summer</x:v>
      </x:c>
      <x:c r="G853" s="75" t="str">
        <x:v>Goalkeeper — source label</x:v>
      </x:c>
      <x:c r="H853" s="79"/>
      <x:c r="I853" s="75" t="str">
        <x:v>GBP</x:v>
      </x:c>
      <x:c r="J853" s="81"/>
      <x:c r="K853" s="83"/>
      <x:c r="L853" s="75" t="str">
        <x:v>Evidence needed</x:v>
      </x:c>
      <x:c r="M853" s="75" t="str">
        <x:v>Buyer-specific shot-stopping, distribution, aerial command, sweeping, signing age and total fee evidence are needed before scoring. A zero base fee does not represent wages or signing costs.</x:v>
      </x:c>
      <x:c r="N853" s="75" t="str">
        <x:v>Not assessed</x:v>
      </x:c>
      <x:c r="O853" s="75" t="str">
        <x:v>Source broad position and transfer quote only; detailed role and buyer-specific production not validated.</x:v>
      </x:c>
      <x:c r="P853" s="75" t="str">
        <x:v>https://www.theguardian.com/football/ng-interactive/2026/sep/01/mens-transfer-window-summer-2026-all-deals-from-europes-top-five-leagues</x:v>
      </x:c>
    </x:row>
    <x:row r="854" ht="25" customHeight="1">
      <x:c r="A854" s="69" t="str">
        <x:v>summer-S26-0126</x:v>
      </x:c>
      <x:c r="B854" s="69" t="str">
        <x:v>Maxime Dupé</x:v>
      </x:c>
      <x:c r="C854" s="69" t="str">
        <x:v>Nantes</x:v>
      </x:c>
      <x:c r="D854" s="69" t="str">
        <x:v>Nice</x:v>
      </x:c>
      <x:c r="E854" s="76" t="d">
        <x:v>2026-06-24T00:00:00.000Z</x:v>
      </x:c>
      <x:c r="F854" s="69" t="str">
        <x:v>summer</x:v>
      </x:c>
      <x:c r="G854" s="69" t="str">
        <x:v>Goalkeeper — source label</x:v>
      </x:c>
      <x:c r="H854" s="78"/>
      <x:c r="I854" s="69" t="str">
        <x:v>GBP</x:v>
      </x:c>
      <x:c r="J854" s="80"/>
      <x:c r="K854" s="82"/>
      <x:c r="L854" s="69" t="str">
        <x:v>Evidence needed</x:v>
      </x:c>
      <x:c r="M854" s="69" t="str">
        <x:v>Buyer-specific shot-stopping, distribution, aerial command, sweeping, signing age and total fee evidence are needed before scoring. A zero base fee does not represent wages or signing costs.</x:v>
      </x:c>
      <x:c r="N854" s="69" t="str">
        <x:v>Not assessed</x:v>
      </x:c>
      <x:c r="O854" s="69" t="str">
        <x:v>Source broad position and transfer quote only; detailed role and buyer-specific production not validated.</x:v>
      </x:c>
      <x:c r="P854" s="69" t="str">
        <x:v>https://www.theguardian.com/football/ng-interactive/2026/sep/01/mens-transfer-window-summer-2026-all-deals-from-europes-top-five-leagues</x:v>
      </x:c>
    </x:row>
    <x:row r="855" ht="25" customHeight="1">
      <x:c r="A855" s="75" t="str">
        <x:v>summer-S26-0128</x:v>
      </x:c>
      <x:c r="B855" s="75" t="str">
        <x:v>Diogo Sousa</x:v>
      </x:c>
      <x:c r="C855" s="75" t="str">
        <x:v>Strasbourg</x:v>
      </x:c>
      <x:c r="D855" s="75" t="str">
        <x:v>Vitória de Guimarães</x:v>
      </x:c>
      <x:c r="E855" s="77" t="d">
        <x:v>2026-06-24T00:00:00.000Z</x:v>
      </x:c>
      <x:c r="F855" s="75" t="str">
        <x:v>summer</x:v>
      </x:c>
      <x:c r="G855" s="75" t="str">
        <x:v>Midfielder — source label</x:v>
      </x:c>
      <x:c r="H855" s="79" t="n">
        <x:v>9500000</x:v>
      </x:c>
      <x:c r="I855" s="75" t="str">
        <x:v>GBP</x:v>
      </x:c>
      <x:c r="J855" s="81"/>
      <x:c r="K855" s="83"/>
      <x:c r="L855" s="75" t="str">
        <x:v>Evidence needed</x:v>
      </x:c>
      <x:c r="M855" s="75" t="str">
        <x:v>Buyer-specific role, production, availability, signing age and total fee evidence are needed before assigning a deal-value score.</x:v>
      </x:c>
      <x:c r="N855" s="75" t="str">
        <x:v>Not assessed</x:v>
      </x:c>
      <x:c r="O855" s="75" t="str">
        <x:v>Source broad position and transfer quote only; detailed role and buyer-specific production not validated.</x:v>
      </x:c>
      <x:c r="P855" s="75" t="str">
        <x:v>https://www.theguardian.com/football/ng-interactive/2026/sep/01/mens-transfer-window-summer-2026-all-deals-from-europes-top-five-leagues</x:v>
      </x:c>
    </x:row>
    <x:row r="856" ht="25" customHeight="1">
      <x:c r="A856" s="69" t="str">
        <x:v>summer-S26-0131</x:v>
      </x:c>
      <x:c r="B856" s="69" t="str">
        <x:v>Henri Koudossou</x:v>
      </x:c>
      <x:c r="C856" s="69" t="str">
        <x:v>Arminia Bielefeld</x:v>
      </x:c>
      <x:c r="D856" s="69" t="str">
        <x:v>Augsburg</x:v>
      </x:c>
      <x:c r="E856" s="76" t="d">
        <x:v>2026-06-25T00:00:00.000Z</x:v>
      </x:c>
      <x:c r="F856" s="69" t="str">
        <x:v>summer</x:v>
      </x:c>
      <x:c r="G856" s="69" t="str">
        <x:v>Defender — source label</x:v>
      </x:c>
      <x:c r="H856" s="78"/>
      <x:c r="I856" s="69" t="str">
        <x:v>GBP</x:v>
      </x:c>
      <x:c r="J856" s="80"/>
      <x:c r="K856" s="82"/>
      <x:c r="L856" s="69" t="str">
        <x:v>Evidence needed</x:v>
      </x:c>
      <x:c r="M856" s="69" t="str">
        <x:v>Buyer-specific role, production, availability, signing age and total fee evidence are needed before assigning a deal-value score. Loan/swap costs must be treated separately.</x:v>
      </x:c>
      <x:c r="N856" s="69" t="str">
        <x:v>Not assessed</x:v>
      </x:c>
      <x:c r="O856" s="69" t="str">
        <x:v>Source broad position and transfer quote only; detailed role and buyer-specific production not validated.</x:v>
      </x:c>
      <x:c r="P856" s="69" t="str">
        <x:v>https://www.theguardian.com/football/ng-interactive/2026/sep/01/mens-transfer-window-summer-2026-all-deals-from-europes-top-five-leagues</x:v>
      </x:c>
    </x:row>
    <x:row r="857" ht="25" customHeight="1">
      <x:c r="A857" s="75" t="str">
        <x:v>summer-S26-0132</x:v>
      </x:c>
      <x:c r="B857" s="75" t="str">
        <x:v>Matthew Craig</x:v>
      </x:c>
      <x:c r="C857" s="75" t="str">
        <x:v>Port Vale</x:v>
      </x:c>
      <x:c r="D857" s="75" t="str">
        <x:v>Tottenham Hotspur</x:v>
      </x:c>
      <x:c r="E857" s="77" t="d">
        <x:v>2026-06-25T00:00:00.000Z</x:v>
      </x:c>
      <x:c r="F857" s="75" t="str">
        <x:v>summer</x:v>
      </x:c>
      <x:c r="G857" s="75" t="str">
        <x:v>Midfielder — source label</x:v>
      </x:c>
      <x:c r="H857" s="79"/>
      <x:c r="I857" s="75" t="str">
        <x:v>GBP</x:v>
      </x:c>
      <x:c r="J857" s="81"/>
      <x:c r="K857" s="83"/>
      <x:c r="L857" s="75" t="str">
        <x:v>Evidence needed</x:v>
      </x:c>
      <x:c r="M857" s="75" t="str">
        <x:v>Buyer-specific role, production, availability, signing age and total fee evidence are needed before assigning a deal-value score.</x:v>
      </x:c>
      <x:c r="N857" s="75" t="str">
        <x:v>Not assessed</x:v>
      </x:c>
      <x:c r="O857" s="75" t="str">
        <x:v>Source broad position and transfer quote only; detailed role and buyer-specific production not validated.</x:v>
      </x:c>
      <x:c r="P857" s="75" t="str">
        <x:v>https://www.theguardian.com/football/ng-interactive/2026/sep/01/mens-transfer-window-summer-2026-all-deals-from-europes-top-five-leagues</x:v>
      </x:c>
    </x:row>
    <x:row r="858" ht="25" customHeight="1">
      <x:c r="A858" s="69" t="str">
        <x:v>summer-S26-0133</x:v>
      </x:c>
      <x:c r="B858" s="69" t="str">
        <x:v>Jacob Slater</x:v>
      </x:c>
      <x:c r="C858" s="69" t="str">
        <x:v>Tranmere Rovers</x:v>
      </x:c>
      <x:c r="D858" s="69" t="str">
        <x:v>Brighton</x:v>
      </x:c>
      <x:c r="E858" s="76" t="d">
        <x:v>2026-06-25T00:00:00.000Z</x:v>
      </x:c>
      <x:c r="F858" s="69" t="str">
        <x:v>summer</x:v>
      </x:c>
      <x:c r="G858" s="69" t="str">
        <x:v>Defender — source label</x:v>
      </x:c>
      <x:c r="H858" s="78"/>
      <x:c r="I858" s="69" t="str">
        <x:v>GBP</x:v>
      </x:c>
      <x:c r="J858" s="80"/>
      <x:c r="K858" s="82"/>
      <x:c r="L858" s="69" t="str">
        <x:v>Evidence needed</x:v>
      </x:c>
      <x:c r="M858" s="69" t="str">
        <x:v>Buyer-specific role, production, availability, signing age and total fee evidence are needed before assigning a deal-value score. A zero base fee does not represent wages or signing costs.</x:v>
      </x:c>
      <x:c r="N858" s="69" t="str">
        <x:v>Not assessed</x:v>
      </x:c>
      <x:c r="O858" s="69" t="str">
        <x:v>Source broad position and transfer quote only; detailed role and buyer-specific production not validated.</x:v>
      </x:c>
      <x:c r="P858" s="69" t="str">
        <x:v>https://www.theguardian.com/football/ng-interactive/2026/sep/01/mens-transfer-window-summer-2026-all-deals-from-europes-top-five-leagues</x:v>
      </x:c>
    </x:row>
    <x:row r="859" ht="25" customHeight="1">
      <x:c r="A859" s="75" t="str">
        <x:v>summer-S26-0134</x:v>
      </x:c>
      <x:c r="B859" s="75" t="str">
        <x:v>Noah Darvich</x:v>
      </x:c>
      <x:c r="C859" s="75" t="str">
        <x:v>Elversberg</x:v>
      </x:c>
      <x:c r="D859" s="75" t="str">
        <x:v>Stuttgart</x:v>
      </x:c>
      <x:c r="E859" s="77" t="d">
        <x:v>2026-06-25T00:00:00.000Z</x:v>
      </x:c>
      <x:c r="F859" s="75" t="str">
        <x:v>summer</x:v>
      </x:c>
      <x:c r="G859" s="75" t="str">
        <x:v>Midfielder — source label</x:v>
      </x:c>
      <x:c r="H859" s="79"/>
      <x:c r="I859" s="75" t="str">
        <x:v>GBP</x:v>
      </x:c>
      <x:c r="J859" s="81"/>
      <x:c r="K859" s="83"/>
      <x:c r="L859" s="75" t="str">
        <x:v>Evidence needed</x:v>
      </x:c>
      <x:c r="M859" s="75" t="str">
        <x:v>Buyer-specific role, production, availability, signing age and total fee evidence are needed before assigning a deal-value score. Loan/swap costs must be treated separately.</x:v>
      </x:c>
      <x:c r="N859" s="75" t="str">
        <x:v>Not assessed</x:v>
      </x:c>
      <x:c r="O859" s="75" t="str">
        <x:v>Source broad position and transfer quote only; detailed role and buyer-specific production not validated.</x:v>
      </x:c>
      <x:c r="P859" s="75" t="str">
        <x:v>https://www.theguardian.com/football/ng-interactive/2026/sep/01/mens-transfer-window-summer-2026-all-deals-from-europes-top-five-leagues</x:v>
      </x:c>
    </x:row>
    <x:row r="860" ht="25" customHeight="1">
      <x:c r="A860" s="69" t="str">
        <x:v>summer-S26-0136</x:v>
      </x:c>
      <x:c r="B860" s="69" t="str">
        <x:v>Alessio Besio</x:v>
      </x:c>
      <x:c r="C860" s="69" t="str">
        <x:v>Wolfsburg</x:v>
      </x:c>
      <x:c r="D860" s="69" t="str">
        <x:v>Freiburg</x:v>
      </x:c>
      <x:c r="E860" s="76" t="d">
        <x:v>2026-06-25T00:00:00.000Z</x:v>
      </x:c>
      <x:c r="F860" s="69" t="str">
        <x:v>summer</x:v>
      </x:c>
      <x:c r="G860" s="69" t="str">
        <x:v>Midfielder — source label</x:v>
      </x:c>
      <x:c r="H860" s="78"/>
      <x:c r="I860" s="69" t="str">
        <x:v>GBP</x:v>
      </x:c>
      <x:c r="J860" s="80"/>
      <x:c r="K860" s="82"/>
      <x:c r="L860" s="69" t="str">
        <x:v>Evidence needed</x:v>
      </x:c>
      <x:c r="M860" s="69" t="str">
        <x:v>Buyer-specific role, production, availability, signing age and total fee evidence are needed before assigning a deal-value score.</x:v>
      </x:c>
      <x:c r="N860" s="69" t="str">
        <x:v>Not assessed</x:v>
      </x:c>
      <x:c r="O860" s="69" t="str">
        <x:v>Source broad position and transfer quote only; detailed role and buyer-specific production not validated.</x:v>
      </x:c>
      <x:c r="P860" s="69" t="str">
        <x:v>https://www.theguardian.com/football/ng-interactive/2026/sep/01/mens-transfer-window-summer-2026-all-deals-from-europes-top-five-leagues</x:v>
      </x:c>
    </x:row>
    <x:row r="861" ht="25" customHeight="1">
      <x:c r="A861" s="75" t="str">
        <x:v>summer-S26-0137</x:v>
      </x:c>
      <x:c r="B861" s="75" t="str">
        <x:v>Michaël Cuisance</x:v>
      </x:c>
      <x:c r="C861" s="75" t="str">
        <x:v>Lens</x:v>
      </x:c>
      <x:c r="D861" s="75" t="str">
        <x:v>Hertha Berlin</x:v>
      </x:c>
      <x:c r="E861" s="77" t="d">
        <x:v>2026-06-26T00:00:00.000Z</x:v>
      </x:c>
      <x:c r="F861" s="75" t="str">
        <x:v>summer</x:v>
      </x:c>
      <x:c r="G861" s="75" t="str">
        <x:v>Midfielder — source label</x:v>
      </x:c>
      <x:c r="H861" s="79" t="n">
        <x:v>4300000</x:v>
      </x:c>
      <x:c r="I861" s="75" t="str">
        <x:v>GBP</x:v>
      </x:c>
      <x:c r="J861" s="81"/>
      <x:c r="K861" s="83"/>
      <x:c r="L861" s="75" t="str">
        <x:v>Evidence needed</x:v>
      </x:c>
      <x:c r="M861" s="75" t="str">
        <x:v>Buyer-specific role, production, availability, signing age and total fee evidence are needed before assigning a deal-value score.</x:v>
      </x:c>
      <x:c r="N861" s="75" t="str">
        <x:v>Not assessed</x:v>
      </x:c>
      <x:c r="O861" s="75" t="str">
        <x:v>Source broad position and transfer quote only; detailed role and buyer-specific production not validated.</x:v>
      </x:c>
      <x:c r="P861" s="75" t="str">
        <x:v>https://www.theguardian.com/football/ng-interactive/2026/sep/01/mens-transfer-window-summer-2026-all-deals-from-europes-top-five-leagues</x:v>
      </x:c>
    </x:row>
    <x:row r="862" ht="25" customHeight="1">
      <x:c r="A862" s="69" t="str">
        <x:v>summer-S26-0139</x:v>
      </x:c>
      <x:c r="B862" s="69" t="str">
        <x:v>Nicolas Lemaître</x:v>
      </x:c>
      <x:c r="C862" s="69" t="str">
        <x:v>Rennes</x:v>
      </x:c>
      <x:c r="D862" s="69" t="str">
        <x:v>Troyes</x:v>
      </x:c>
      <x:c r="E862" s="76" t="d">
        <x:v>2026-06-26T00:00:00.000Z</x:v>
      </x:c>
      <x:c r="F862" s="69" t="str">
        <x:v>summer</x:v>
      </x:c>
      <x:c r="G862" s="69" t="str">
        <x:v>Goalkeeper — source label</x:v>
      </x:c>
      <x:c r="H862" s="78"/>
      <x:c r="I862" s="69" t="str">
        <x:v>GBP</x:v>
      </x:c>
      <x:c r="J862" s="80"/>
      <x:c r="K862" s="82"/>
      <x:c r="L862" s="69" t="str">
        <x:v>Evidence needed</x:v>
      </x:c>
      <x:c r="M862" s="69" t="str">
        <x:v>Buyer-specific shot-stopping, distribution, aerial command, sweeping, signing age and total fee evidence are needed before scoring. A zero base fee does not represent wages or signing costs.</x:v>
      </x:c>
      <x:c r="N862" s="69" t="str">
        <x:v>Not assessed</x:v>
      </x:c>
      <x:c r="O862" s="69" t="str">
        <x:v>Source broad position and transfer quote only; detailed role and buyer-specific production not validated.</x:v>
      </x:c>
      <x:c r="P862" s="69" t="str">
        <x:v>https://www.theguardian.com/football/ng-interactive/2026/sep/01/mens-transfer-window-summer-2026-all-deals-from-europes-top-five-leagues</x:v>
      </x:c>
    </x:row>
    <x:row r="863" ht="25" customHeight="1">
      <x:c r="A863" s="75" t="str">
        <x:v>summer-S26-0141</x:v>
      </x:c>
      <x:c r="B863" s="75" t="str">
        <x:v>Dariusz Stalmach</x:v>
      </x:c>
      <x:c r="C863" s="75" t="str">
        <x:v>Werder Bremen</x:v>
      </x:c>
      <x:c r="D863" s="75" t="str">
        <x:v>Magdeburg</x:v>
      </x:c>
      <x:c r="E863" s="77" t="d">
        <x:v>2026-06-26T00:00:00.000Z</x:v>
      </x:c>
      <x:c r="F863" s="75" t="str">
        <x:v>summer</x:v>
      </x:c>
      <x:c r="G863" s="75" t="str">
        <x:v>Midfielder — source label</x:v>
      </x:c>
      <x:c r="H863" s="79"/>
      <x:c r="I863" s="75" t="str">
        <x:v>GBP</x:v>
      </x:c>
      <x:c r="J863" s="81"/>
      <x:c r="K863" s="83"/>
      <x:c r="L863" s="75" t="str">
        <x:v>Evidence needed</x:v>
      </x:c>
      <x:c r="M863" s="75" t="str">
        <x:v>Buyer-specific role, production, availability, signing age and total fee evidence are needed before assigning a deal-value score.</x:v>
      </x:c>
      <x:c r="N863" s="75" t="str">
        <x:v>Not assessed</x:v>
      </x:c>
      <x:c r="O863" s="75" t="str">
        <x:v>Source broad position and transfer quote only; detailed role and buyer-specific production not validated.</x:v>
      </x:c>
      <x:c r="P863" s="75" t="str">
        <x:v>https://www.theguardian.com/football/ng-interactive/2026/sep/01/mens-transfer-window-summer-2026-all-deals-from-europes-top-five-leagues</x:v>
      </x:c>
    </x:row>
    <x:row r="864" ht="25" customHeight="1">
      <x:c r="A864" s="69" t="str">
        <x:v>summer-S26-0142</x:v>
      </x:c>
      <x:c r="B864" s="69" t="str">
        <x:v>Leon Opitz</x:v>
      </x:c>
      <x:c r="C864" s="69" t="str">
        <x:v>Osnabrück</x:v>
      </x:c>
      <x:c r="D864" s="69" t="str">
        <x:v>Werder Bremen</x:v>
      </x:c>
      <x:c r="E864" s="76" t="d">
        <x:v>2026-06-26T00:00:00.000Z</x:v>
      </x:c>
      <x:c r="F864" s="69" t="str">
        <x:v>summer</x:v>
      </x:c>
      <x:c r="G864" s="69" t="str">
        <x:v>Midfielder — source label</x:v>
      </x:c>
      <x:c r="H864" s="78"/>
      <x:c r="I864" s="69" t="str">
        <x:v>GBP</x:v>
      </x:c>
      <x:c r="J864" s="80"/>
      <x:c r="K864" s="82"/>
      <x:c r="L864" s="69" t="str">
        <x:v>Evidence needed</x:v>
      </x:c>
      <x:c r="M864" s="69" t="str">
        <x:v>Buyer-specific role, production, availability, signing age and total fee evidence are needed before assigning a deal-value score. Loan/swap costs must be treated separately.</x:v>
      </x:c>
      <x:c r="N864" s="69" t="str">
        <x:v>Not assessed</x:v>
      </x:c>
      <x:c r="O864" s="69" t="str">
        <x:v>Source broad position and transfer quote only; detailed role and buyer-specific production not validated.</x:v>
      </x:c>
      <x:c r="P864" s="69" t="str">
        <x:v>https://www.theguardian.com/football/ng-interactive/2026/sep/01/mens-transfer-window-summer-2026-all-deals-from-europes-top-five-leagues</x:v>
      </x:c>
    </x:row>
    <x:row r="865" ht="25" customHeight="1">
      <x:c r="A865" s="75" t="str">
        <x:v>summer-S26-0144</x:v>
      </x:c>
      <x:c r="B865" s="75" t="str">
        <x:v>Nahuel Noll</x:v>
      </x:c>
      <x:c r="C865" s="75" t="str">
        <x:v>Paderborn</x:v>
      </x:c>
      <x:c r="D865" s="75" t="str">
        <x:v>Hoffenheim</x:v>
      </x:c>
      <x:c r="E865" s="77" t="d">
        <x:v>2026-06-26T00:00:00.000Z</x:v>
      </x:c>
      <x:c r="F865" s="75" t="str">
        <x:v>summer</x:v>
      </x:c>
      <x:c r="G865" s="75" t="str">
        <x:v>Goalkeeper — source label</x:v>
      </x:c>
      <x:c r="H865" s="79"/>
      <x:c r="I865" s="75" t="str">
        <x:v>GBP</x:v>
      </x:c>
      <x:c r="J865" s="81"/>
      <x:c r="K865" s="83"/>
      <x:c r="L865" s="75" t="str">
        <x:v>Evidence needed</x:v>
      </x:c>
      <x:c r="M865" s="75" t="str">
        <x:v>Buyer-specific shot-stopping, distribution, aerial command, sweeping, signing age and total fee evidence are needed before scoring. Loan/swap costs must be treated separately.</x:v>
      </x:c>
      <x:c r="N865" s="75" t="str">
        <x:v>Not assessed</x:v>
      </x:c>
      <x:c r="O865" s="75" t="str">
        <x:v>Source broad position and transfer quote only; detailed role and buyer-specific production not validated.</x:v>
      </x:c>
      <x:c r="P865" s="75" t="str">
        <x:v>https://www.theguardian.com/football/ng-interactive/2026/sep/01/mens-transfer-window-summer-2026-all-deals-from-europes-top-five-leagues</x:v>
      </x:c>
    </x:row>
    <x:row r="866" ht="25" customHeight="1">
      <x:c r="A866" s="69" t="str">
        <x:v>summer-S26-0149</x:v>
      </x:c>
      <x:c r="B866" s="69" t="str">
        <x:v>Charlie McArthur</x:v>
      </x:c>
      <x:c r="C866" s="69" t="str">
        <x:v>York City</x:v>
      </x:c>
      <x:c r="D866" s="69" t="str">
        <x:v>Newcastle United</x:v>
      </x:c>
      <x:c r="E866" s="76" t="d">
        <x:v>2026-06-26T00:00:00.000Z</x:v>
      </x:c>
      <x:c r="F866" s="69" t="str">
        <x:v>summer</x:v>
      </x:c>
      <x:c r="G866" s="69" t="str">
        <x:v>Defender — source label</x:v>
      </x:c>
      <x:c r="H866" s="78"/>
      <x:c r="I866" s="69" t="str">
        <x:v>GBP</x:v>
      </x:c>
      <x:c r="J866" s="80"/>
      <x:c r="K866" s="82"/>
      <x:c r="L866" s="69" t="str">
        <x:v>Evidence needed</x:v>
      </x:c>
      <x:c r="M866" s="69" t="str">
        <x:v>Buyer-specific role, production, availability, signing age and total fee evidence are needed before assigning a deal-value score. A zero base fee does not represent wages or signing costs.</x:v>
      </x:c>
      <x:c r="N866" s="69" t="str">
        <x:v>Not assessed</x:v>
      </x:c>
      <x:c r="O866" s="69" t="str">
        <x:v>Source broad position and transfer quote only; detailed role and buyer-specific production not validated.</x:v>
      </x:c>
      <x:c r="P866" s="69" t="str">
        <x:v>https://www.theguardian.com/football/ng-interactive/2026/sep/01/mens-transfer-window-summer-2026-all-deals-from-europes-top-five-leagues</x:v>
      </x:c>
    </x:row>
    <x:row r="867" ht="25" customHeight="1">
      <x:c r="A867" s="75" t="str">
        <x:v>summer-S26-0150</x:v>
      </x:c>
      <x:c r="B867" s="75" t="str">
        <x:v>Zak Johnson</x:v>
      </x:c>
      <x:c r="C867" s="75" t="str">
        <x:v>York City</x:v>
      </x:c>
      <x:c r="D867" s="75" t="str">
        <x:v>Sunderland</x:v>
      </x:c>
      <x:c r="E867" s="77" t="d">
        <x:v>2026-06-26T00:00:00.000Z</x:v>
      </x:c>
      <x:c r="F867" s="75" t="str">
        <x:v>summer</x:v>
      </x:c>
      <x:c r="G867" s="75" t="str">
        <x:v>Defender — source label</x:v>
      </x:c>
      <x:c r="H867" s="79"/>
      <x:c r="I867" s="75" t="str">
        <x:v>GBP</x:v>
      </x:c>
      <x:c r="J867" s="81"/>
      <x:c r="K867" s="83"/>
      <x:c r="L867" s="75" t="str">
        <x:v>Evidence needed</x:v>
      </x:c>
      <x:c r="M867" s="75" t="str">
        <x:v>Buyer-specific role, production, availability, signing age and total fee evidence are needed before assigning a deal-value score.</x:v>
      </x:c>
      <x:c r="N867" s="75" t="str">
        <x:v>Not assessed</x:v>
      </x:c>
      <x:c r="O867" s="75" t="str">
        <x:v>Source broad position and transfer quote only; detailed role and buyer-specific production not validated.</x:v>
      </x:c>
      <x:c r="P867" s="75" t="str">
        <x:v>https://www.theguardian.com/football/ng-interactive/2026/sep/01/mens-transfer-window-summer-2026-all-deals-from-europes-top-five-leagues</x:v>
      </x:c>
    </x:row>
    <x:row r="868" ht="25" customHeight="1">
      <x:c r="A868" s="69" t="str">
        <x:v>summer-S26-0151</x:v>
      </x:c>
      <x:c r="B868" s="69" t="str">
        <x:v>Tiago Pereira Cardoso</x:v>
      </x:c>
      <x:c r="C868" s="69" t="str">
        <x:v>La Louvière</x:v>
      </x:c>
      <x:c r="D868" s="69" t="str">
        <x:v>Borussia Mönchengladbach</x:v>
      </x:c>
      <x:c r="E868" s="76" t="d">
        <x:v>2026-06-27T00:00:00.000Z</x:v>
      </x:c>
      <x:c r="F868" s="69" t="str">
        <x:v>summer</x:v>
      </x:c>
      <x:c r="G868" s="69" t="str">
        <x:v>Goalkeeper — source label</x:v>
      </x:c>
      <x:c r="H868" s="78"/>
      <x:c r="I868" s="69" t="str">
        <x:v>GBP</x:v>
      </x:c>
      <x:c r="J868" s="80"/>
      <x:c r="K868" s="82"/>
      <x:c r="L868" s="69" t="str">
        <x:v>Evidence needed</x:v>
      </x:c>
      <x:c r="M868" s="69" t="str">
        <x:v>Buyer-specific shot-stopping, distribution, aerial command, sweeping, signing age and total fee evidence are needed before scoring. Loan/swap costs must be treated separately.</x:v>
      </x:c>
      <x:c r="N868" s="69" t="str">
        <x:v>Not assessed</x:v>
      </x:c>
      <x:c r="O868" s="69" t="str">
        <x:v>Source broad position and transfer quote only; detailed role and buyer-specific production not validated.</x:v>
      </x:c>
      <x:c r="P868" s="69" t="str">
        <x:v>https://www.theguardian.com/football/ng-interactive/2026/sep/01/mens-transfer-window-summer-2026-all-deals-from-europes-top-five-leagues</x:v>
      </x:c>
    </x:row>
    <x:row r="869" ht="25" customHeight="1">
      <x:c r="A869" s="75" t="str">
        <x:v>summer-S26-0155</x:v>
      </x:c>
      <x:c r="B869" s="75" t="str">
        <x:v>Benjamin Cremaschi</x:v>
      </x:c>
      <x:c r="C869" s="75" t="str">
        <x:v>Parma</x:v>
      </x:c>
      <x:c r="D869" s="75" t="str">
        <x:v>Inter Miami</x:v>
      </x:c>
      <x:c r="E869" s="77" t="d">
        <x:v>2026-06-27T00:00:00.000Z</x:v>
      </x:c>
      <x:c r="F869" s="75" t="str">
        <x:v>summer</x:v>
      </x:c>
      <x:c r="G869" s="75" t="str">
        <x:v>Midfielder — source label</x:v>
      </x:c>
      <x:c r="H869" s="79" t="n">
        <x:v>3900000</x:v>
      </x:c>
      <x:c r="I869" s="75" t="str">
        <x:v>GBP</x:v>
      </x:c>
      <x:c r="J869" s="81"/>
      <x:c r="K869" s="83"/>
      <x:c r="L869" s="75" t="str">
        <x:v>Evidence needed</x:v>
      </x:c>
      <x:c r="M869" s="75" t="str">
        <x:v>Buyer-specific role, production, availability, signing age and total fee evidence are needed before assigning a deal-value score.</x:v>
      </x:c>
      <x:c r="N869" s="75" t="str">
        <x:v>Not assessed</x:v>
      </x:c>
      <x:c r="O869" s="75" t="str">
        <x:v>Source broad position and transfer quote only; detailed role and buyer-specific production not validated.</x:v>
      </x:c>
      <x:c r="P869" s="75" t="str">
        <x:v>https://www.theguardian.com/football/ng-interactive/2026/sep/01/mens-transfer-window-summer-2026-all-deals-from-europes-top-five-leagues</x:v>
      </x:c>
    </x:row>
    <x:row r="870" ht="25" customHeight="1">
      <x:c r="A870" s="69" t="str">
        <x:v>summer-S26-0156</x:v>
      </x:c>
      <x:c r="B870" s="69" t="str">
        <x:v>Ben Godfrey</x:v>
      </x:c>
      <x:c r="C870" s="69" t="str">
        <x:v>Rangers</x:v>
      </x:c>
      <x:c r="D870" s="69" t="str">
        <x:v>Atalanta</x:v>
      </x:c>
      <x:c r="E870" s="76" t="d">
        <x:v>2026-06-29T00:00:00.000Z</x:v>
      </x:c>
      <x:c r="F870" s="69" t="str">
        <x:v>summer</x:v>
      </x:c>
      <x:c r="G870" s="69" t="str">
        <x:v>Defender — source label</x:v>
      </x:c>
      <x:c r="H870" s="78"/>
      <x:c r="I870" s="69" t="str">
        <x:v>GBP</x:v>
      </x:c>
      <x:c r="J870" s="80"/>
      <x:c r="K870" s="82"/>
      <x:c r="L870" s="69" t="str">
        <x:v>Evidence needed</x:v>
      </x:c>
      <x:c r="M870" s="69" t="str">
        <x:v>Buyer-specific role, production, availability, signing age and total fee evidence are needed before assigning a deal-value score. Loan/swap costs must be treated separately.</x:v>
      </x:c>
      <x:c r="N870" s="69" t="str">
        <x:v>Not assessed</x:v>
      </x:c>
      <x:c r="O870" s="69" t="str">
        <x:v>Source broad position and transfer quote only; detailed role and buyer-specific production not validated.</x:v>
      </x:c>
      <x:c r="P870" s="69" t="str">
        <x:v>https://www.theguardian.com/football/ng-interactive/2026/sep/01/mens-transfer-window-summer-2026-all-deals-from-europes-top-five-leagues</x:v>
      </x:c>
    </x:row>
    <x:row r="871" ht="25" customHeight="1">
      <x:c r="A871" s="75" t="str">
        <x:v>summer-S26-0157</x:v>
      </x:c>
      <x:c r="B871" s="75" t="str">
        <x:v>Laszlo Benes</x:v>
      </x:c>
      <x:c r="C871" s="75" t="str">
        <x:v>KAA Gent</x:v>
      </x:c>
      <x:c r="D871" s="75" t="str">
        <x:v>Union Berlin</x:v>
      </x:c>
      <x:c r="E871" s="77" t="d">
        <x:v>2026-06-29T00:00:00.000Z</x:v>
      </x:c>
      <x:c r="F871" s="75" t="str">
        <x:v>summer</x:v>
      </x:c>
      <x:c r="G871" s="75" t="str">
        <x:v>Midfielder — source label</x:v>
      </x:c>
      <x:c r="H871" s="79"/>
      <x:c r="I871" s="75" t="str">
        <x:v>GBP</x:v>
      </x:c>
      <x:c r="J871" s="81"/>
      <x:c r="K871" s="83"/>
      <x:c r="L871" s="75" t="str">
        <x:v>Evidence needed</x:v>
      </x:c>
      <x:c r="M871" s="75" t="str">
        <x:v>Buyer-specific role, production, availability, signing age and total fee evidence are needed before assigning a deal-value score.</x:v>
      </x:c>
      <x:c r="N871" s="75" t="str">
        <x:v>Not assessed</x:v>
      </x:c>
      <x:c r="O871" s="75" t="str">
        <x:v>Source broad position and transfer quote only; detailed role and buyer-specific production not validated.</x:v>
      </x:c>
      <x:c r="P871" s="75" t="str">
        <x:v>https://www.theguardian.com/football/ng-interactive/2026/sep/01/mens-transfer-window-summer-2026-all-deals-from-europes-top-five-leagues</x:v>
      </x:c>
    </x:row>
    <x:row r="872" ht="25" customHeight="1">
      <x:c r="A872" s="69" t="str">
        <x:v>summer-S26-0160</x:v>
      </x:c>
      <x:c r="B872" s="69" t="str">
        <x:v>Alejandro Grimaldo</x:v>
      </x:c>
      <x:c r="C872" s="69" t="str">
        <x:v>Atlético Madrid</x:v>
      </x:c>
      <x:c r="D872" s="69" t="str">
        <x:v>Bayer Leverkusen</x:v>
      </x:c>
      <x:c r="E872" s="76" t="d">
        <x:v>2026-06-30T00:00:00.000Z</x:v>
      </x:c>
      <x:c r="F872" s="69" t="str">
        <x:v>summer</x:v>
      </x:c>
      <x:c r="G872" s="69" t="str">
        <x:v>Defender — source label</x:v>
      </x:c>
      <x:c r="H872" s="78" t="n">
        <x:v>19000000</x:v>
      </x:c>
      <x:c r="I872" s="69" t="str">
        <x:v>GBP</x:v>
      </x:c>
      <x:c r="J872" s="80"/>
      <x:c r="K872" s="82"/>
      <x:c r="L872" s="69" t="str">
        <x:v>Evidence needed</x:v>
      </x:c>
      <x:c r="M872" s="69" t="str">
        <x:v>Buyer-specific role, production, availability, signing age and total fee evidence are needed before assigning a deal-value score.</x:v>
      </x:c>
      <x:c r="N872" s="69" t="str">
        <x:v>Not assessed</x:v>
      </x:c>
      <x:c r="O872" s="69" t="str">
        <x:v>Source broad position and transfer quote only; detailed role and buyer-specific production not validated.</x:v>
      </x:c>
      <x:c r="P872" s="69" t="str">
        <x:v>https://www.theguardian.com/football/ng-interactive/2026/sep/01/mens-transfer-window-summer-2026-all-deals-from-europes-top-five-leagues</x:v>
      </x:c>
    </x:row>
    <x:row r="873" ht="25" customHeight="1">
      <x:c r="A873" s="75" t="str">
        <x:v>summer-S26-0161</x:v>
      </x:c>
      <x:c r="B873" s="75" t="str">
        <x:v>Noah Katterbach</x:v>
      </x:c>
      <x:c r="C873" s="75" t="str">
        <x:v>Eintracht Frankfurt</x:v>
      </x:c>
      <x:c r="D873" s="75" t="str">
        <x:v>Hamburg</x:v>
      </x:c>
      <x:c r="E873" s="77" t="d">
        <x:v>2026-06-30T00:00:00.000Z</x:v>
      </x:c>
      <x:c r="F873" s="75" t="str">
        <x:v>summer</x:v>
      </x:c>
      <x:c r="G873" s="75" t="str">
        <x:v>Defender — source label</x:v>
      </x:c>
      <x:c r="H873" s="79"/>
      <x:c r="I873" s="75" t="str">
        <x:v>GBP</x:v>
      </x:c>
      <x:c r="J873" s="81"/>
      <x:c r="K873" s="83"/>
      <x:c r="L873" s="75" t="str">
        <x:v>Evidence needed</x:v>
      </x:c>
      <x:c r="M873" s="75" t="str">
        <x:v>Buyer-specific role, production, availability, signing age and total fee evidence are needed before assigning a deal-value score. Loan/swap costs must be treated separately.</x:v>
      </x:c>
      <x:c r="N873" s="75" t="str">
        <x:v>Not assessed</x:v>
      </x:c>
      <x:c r="O873" s="75" t="str">
        <x:v>Source broad position and transfer quote only; detailed role and buyer-specific production not validated.</x:v>
      </x:c>
      <x:c r="P873" s="75" t="str">
        <x:v>https://www.theguardian.com/football/ng-interactive/2026/sep/01/mens-transfer-window-summer-2026-all-deals-from-europes-top-five-leagues</x:v>
      </x:c>
    </x:row>
    <x:row r="874" ht="25" customHeight="1">
      <x:c r="A874" s="69" t="str">
        <x:v>summer-S26-0163</x:v>
      </x:c>
      <x:c r="B874" s="69" t="str">
        <x:v>Javi Galán</x:v>
      </x:c>
      <x:c r="C874" s="69" t="str">
        <x:v>Celta Vigo</x:v>
      </x:c>
      <x:c r="D874" s="69" t="str">
        <x:v>Osasuna</x:v>
      </x:c>
      <x:c r="E874" s="76" t="d">
        <x:v>2026-06-30T00:00:00.000Z</x:v>
      </x:c>
      <x:c r="F874" s="69" t="str">
        <x:v>summer</x:v>
      </x:c>
      <x:c r="G874" s="69" t="str">
        <x:v>Defender — source label</x:v>
      </x:c>
      <x:c r="H874" s="78"/>
      <x:c r="I874" s="69" t="str">
        <x:v>GBP</x:v>
      </x:c>
      <x:c r="J874" s="80"/>
      <x:c r="K874" s="82"/>
      <x:c r="L874" s="69" t="str">
        <x:v>Evidence needed</x:v>
      </x:c>
      <x:c r="M874" s="69" t="str">
        <x:v>Buyer-specific role, production, availability, signing age and total fee evidence are needed before assigning a deal-value score. A zero base fee does not represent wages or signing costs.</x:v>
      </x:c>
      <x:c r="N874" s="69" t="str">
        <x:v>Not assessed</x:v>
      </x:c>
      <x:c r="O874" s="69" t="str">
        <x:v>Source broad position and transfer quote only; detailed role and buyer-specific production not validated.</x:v>
      </x:c>
      <x:c r="P874" s="69" t="str">
        <x:v>https://www.theguardian.com/football/ng-interactive/2026/sep/01/mens-transfer-window-summer-2026-all-deals-from-europes-top-five-leagues</x:v>
      </x:c>
    </x:row>
    <x:row r="875" ht="25" customHeight="1">
      <x:c r="A875" s="75" t="str">
        <x:v>summer-S26-0165</x:v>
      </x:c>
      <x:c r="B875" s="75" t="str">
        <x:v>Pascal Struijk</x:v>
      </x:c>
      <x:c r="C875" s="75" t="str">
        <x:v>Brighton</x:v>
      </x:c>
      <x:c r="D875" s="75" t="str">
        <x:v>Leeds United</x:v>
      </x:c>
      <x:c r="E875" s="77" t="d">
        <x:v>2026-06-30T00:00:00.000Z</x:v>
      </x:c>
      <x:c r="F875" s="75" t="str">
        <x:v>summer</x:v>
      </x:c>
      <x:c r="G875" s="75" t="str">
        <x:v>Defender — source label</x:v>
      </x:c>
      <x:c r="H875" s="79" t="n">
        <x:v>18000000</x:v>
      </x:c>
      <x:c r="I875" s="75" t="str">
        <x:v>GBP</x:v>
      </x:c>
      <x:c r="J875" s="81"/>
      <x:c r="K875" s="83"/>
      <x:c r="L875" s="75" t="str">
        <x:v>Evidence needed</x:v>
      </x:c>
      <x:c r="M875" s="75" t="str">
        <x:v>Buyer-specific role, production, availability, signing age and total fee evidence are needed before assigning a deal-value score.</x:v>
      </x:c>
      <x:c r="N875" s="75" t="str">
        <x:v>Not assessed</x:v>
      </x:c>
      <x:c r="O875" s="75" t="str">
        <x:v>Source broad position and transfer quote only; detailed role and buyer-specific production not validated.</x:v>
      </x:c>
      <x:c r="P875" s="75" t="str">
        <x:v>https://www.theguardian.com/football/ng-interactive/2026/sep/01/mens-transfer-window-summer-2026-all-deals-from-europes-top-five-leagues</x:v>
      </x:c>
    </x:row>
    <x:row r="876" ht="25" customHeight="1">
      <x:c r="A876" s="69" t="str">
        <x:v>summer-S26-0166</x:v>
      </x:c>
      <x:c r="B876" s="69" t="str">
        <x:v>Marco Palestra</x:v>
      </x:c>
      <x:c r="C876" s="69" t="str">
        <x:v>Chelsea</x:v>
      </x:c>
      <x:c r="D876" s="69" t="str">
        <x:v>Atalanta</x:v>
      </x:c>
      <x:c r="E876" s="76" t="d">
        <x:v>2026-07-01T00:00:00.000Z</x:v>
      </x:c>
      <x:c r="F876" s="69" t="str">
        <x:v>summer</x:v>
      </x:c>
      <x:c r="G876" s="69" t="str">
        <x:v>Defender — source label</x:v>
      </x:c>
      <x:c r="H876" s="78" t="n">
        <x:v>47000000</x:v>
      </x:c>
      <x:c r="I876" s="69" t="str">
        <x:v>GBP</x:v>
      </x:c>
      <x:c r="J876" s="80"/>
      <x:c r="K876" s="82"/>
      <x:c r="L876" s="69" t="str">
        <x:v>Evidence needed</x:v>
      </x:c>
      <x:c r="M876" s="69" t="str">
        <x:v>Buyer-specific role, production, availability, signing age and total fee evidence are needed before assigning a deal-value score.</x:v>
      </x:c>
      <x:c r="N876" s="69" t="str">
        <x:v>Not assessed</x:v>
      </x:c>
      <x:c r="O876" s="69" t="str">
        <x:v>Source broad position and transfer quote only; detailed role and buyer-specific production not validated.</x:v>
      </x:c>
      <x:c r="P876" s="69" t="str">
        <x:v>https://www.theguardian.com/football/ng-interactive/2026/sep/01/mens-transfer-window-summer-2026-all-deals-from-europes-top-five-leagues</x:v>
      </x:c>
    </x:row>
    <x:row r="877" ht="25" customHeight="1">
      <x:c r="A877" s="75" t="str">
        <x:v>summer-S26-0170</x:v>
      </x:c>
      <x:c r="B877" s="75" t="str">
        <x:v>Arthur Piedfort</x:v>
      </x:c>
      <x:c r="C877" s="75" t="str">
        <x:v>Auxerre</x:v>
      </x:c>
      <x:c r="D877" s="75" t="str">
        <x:v>Westerlo</x:v>
      </x:c>
      <x:c r="E877" s="77" t="d">
        <x:v>2026-07-01T00:00:00.000Z</x:v>
      </x:c>
      <x:c r="F877" s="75" t="str">
        <x:v>summer</x:v>
      </x:c>
      <x:c r="G877" s="75" t="str">
        <x:v>Midfielder — source label</x:v>
      </x:c>
      <x:c r="H877" s="79" t="n">
        <x:v>4300000</x:v>
      </x:c>
      <x:c r="I877" s="75" t="str">
        <x:v>GBP</x:v>
      </x:c>
      <x:c r="J877" s="81"/>
      <x:c r="K877" s="83"/>
      <x:c r="L877" s="75" t="str">
        <x:v>Evidence needed</x:v>
      </x:c>
      <x:c r="M877" s="75" t="str">
        <x:v>Buyer-specific role, production, availability, signing age and total fee evidence are needed before assigning a deal-value score.</x:v>
      </x:c>
      <x:c r="N877" s="75" t="str">
        <x:v>Not assessed</x:v>
      </x:c>
      <x:c r="O877" s="75" t="str">
        <x:v>Source broad position and transfer quote only; detailed role and buyer-specific production not validated.</x:v>
      </x:c>
      <x:c r="P877" s="75" t="str">
        <x:v>https://www.theguardian.com/football/ng-interactive/2026/sep/01/mens-transfer-window-summer-2026-all-deals-from-europes-top-five-leagues</x:v>
      </x:c>
    </x:row>
    <x:row r="878" ht="25" customHeight="1">
      <x:c r="A878" s="69" t="str">
        <x:v>summer-S26-0172</x:v>
      </x:c>
      <x:c r="B878" s="69" t="str">
        <x:v>Hrvoje Smolcic</x:v>
      </x:c>
      <x:c r="C878" s="69" t="str">
        <x:v>Corum</x:v>
      </x:c>
      <x:c r="D878" s="69" t="str">
        <x:v>Eintracht Frankfurt</x:v>
      </x:c>
      <x:c r="E878" s="76" t="d">
        <x:v>2026-07-01T00:00:00.000Z</x:v>
      </x:c>
      <x:c r="F878" s="69" t="str">
        <x:v>summer</x:v>
      </x:c>
      <x:c r="G878" s="69" t="str">
        <x:v>Defender — source label</x:v>
      </x:c>
      <x:c r="H878" s="78" t="n">
        <x:v>1300000</x:v>
      </x:c>
      <x:c r="I878" s="69" t="str">
        <x:v>GBP</x:v>
      </x:c>
      <x:c r="J878" s="80"/>
      <x:c r="K878" s="82"/>
      <x:c r="L878" s="69" t="str">
        <x:v>Evidence needed</x:v>
      </x:c>
      <x:c r="M878" s="69" t="str">
        <x:v>Buyer-specific role, production, availability, signing age and total fee evidence are needed before assigning a deal-value score.</x:v>
      </x:c>
      <x:c r="N878" s="69" t="str">
        <x:v>Not assessed</x:v>
      </x:c>
      <x:c r="O878" s="69" t="str">
        <x:v>Source broad position and transfer quote only; detailed role and buyer-specific production not validated.</x:v>
      </x:c>
      <x:c r="P878" s="69" t="str">
        <x:v>https://www.theguardian.com/football/ng-interactive/2026/sep/01/mens-transfer-window-summer-2026-all-deals-from-europes-top-five-leagues</x:v>
      </x:c>
    </x:row>
    <x:row r="879" ht="25" customHeight="1">
      <x:c r="A879" s="75" t="str">
        <x:v>summer-S26-0174</x:v>
      </x:c>
      <x:c r="B879" s="75" t="str">
        <x:v>Giovanni Daffara</x:v>
      </x:c>
      <x:c r="C879" s="75" t="str">
        <x:v>Parma</x:v>
      </x:c>
      <x:c r="D879" s="75" t="str">
        <x:v>Juventus</x:v>
      </x:c>
      <x:c r="E879" s="77" t="d">
        <x:v>2026-07-01T00:00:00.000Z</x:v>
      </x:c>
      <x:c r="F879" s="75" t="str">
        <x:v>summer</x:v>
      </x:c>
      <x:c r="G879" s="75" t="str">
        <x:v>Goalkeeper — source label</x:v>
      </x:c>
      <x:c r="H879" s="79" t="n">
        <x:v>5100000</x:v>
      </x:c>
      <x:c r="I879" s="75" t="str">
        <x:v>GBP</x:v>
      </x:c>
      <x:c r="J879" s="81"/>
      <x:c r="K879" s="83"/>
      <x:c r="L879" s="75" t="str">
        <x:v>Evidence needed</x:v>
      </x:c>
      <x:c r="M879" s="75" t="str">
        <x:v>Buyer-specific shot-stopping, distribution, aerial command, sweeping, signing age and total fee evidence are needed before scoring.</x:v>
      </x:c>
      <x:c r="N879" s="75" t="str">
        <x:v>Not assessed</x:v>
      </x:c>
      <x:c r="O879" s="75" t="str">
        <x:v>Source broad position and transfer quote only; detailed role and buyer-specific production not validated.</x:v>
      </x:c>
      <x:c r="P879" s="75" t="str">
        <x:v>https://www.theguardian.com/football/ng-interactive/2026/sep/01/mens-transfer-window-summer-2026-all-deals-from-europes-top-five-leagues</x:v>
      </x:c>
    </x:row>
    <x:row r="880" ht="25" customHeight="1">
      <x:c r="A880" s="69" t="str">
        <x:v>summer-S26-0175</x:v>
      </x:c>
      <x:c r="B880" s="69" t="str">
        <x:v>Armel Bella-Kotchap</x:v>
      </x:c>
      <x:c r="C880" s="69" t="str">
        <x:v>Venezia</x:v>
      </x:c>
      <x:c r="D880" s="69" t="str">
        <x:v>Verona</x:v>
      </x:c>
      <x:c r="E880" s="76" t="d">
        <x:v>2026-06-29T00:00:00.000Z</x:v>
      </x:c>
      <x:c r="F880" s="69" t="str">
        <x:v>summer</x:v>
      </x:c>
      <x:c r="G880" s="69" t="str">
        <x:v>Defender — source label</x:v>
      </x:c>
      <x:c r="H880" s="78" t="n">
        <x:v>7000000</x:v>
      </x:c>
      <x:c r="I880" s="69" t="str">
        <x:v>GBP</x:v>
      </x:c>
      <x:c r="J880" s="80"/>
      <x:c r="K880" s="82"/>
      <x:c r="L880" s="69" t="str">
        <x:v>Evidence needed</x:v>
      </x:c>
      <x:c r="M880" s="69" t="str">
        <x:v>Buyer-specific role, production, availability, signing age and total fee evidence are needed before assigning a deal-value score.</x:v>
      </x:c>
      <x:c r="N880" s="69" t="str">
        <x:v>Not assessed</x:v>
      </x:c>
      <x:c r="O880" s="69" t="str">
        <x:v>Source broad position and transfer quote only; detailed role and buyer-specific production not validated.</x:v>
      </x:c>
      <x:c r="P880" s="69" t="str">
        <x:v>https://www.theguardian.com/football/ng-interactive/2026/sep/01/mens-transfer-window-summer-2026-all-deals-from-europes-top-five-leagues</x:v>
      </x:c>
    </x:row>
    <x:row r="881" ht="25" customHeight="1">
      <x:c r="A881" s="75" t="str">
        <x:v>summer-S26-0176</x:v>
      </x:c>
      <x:c r="B881" s="75" t="str">
        <x:v>Rasmus Kristensen</x:v>
      </x:c>
      <x:c r="C881" s="75" t="str">
        <x:v>FC Midtjylland</x:v>
      </x:c>
      <x:c r="D881" s="75" t="str">
        <x:v>Eintracht Frankfurt</x:v>
      </x:c>
      <x:c r="E881" s="77" t="d">
        <x:v>2026-06-30T00:00:00.000Z</x:v>
      </x:c>
      <x:c r="F881" s="75" t="str">
        <x:v>summer</x:v>
      </x:c>
      <x:c r="G881" s="75" t="str">
        <x:v>Defender — source label</x:v>
      </x:c>
      <x:c r="H881" s="79" t="n">
        <x:v>5100000</x:v>
      </x:c>
      <x:c r="I881" s="75" t="str">
        <x:v>GBP</x:v>
      </x:c>
      <x:c r="J881" s="81"/>
      <x:c r="K881" s="83"/>
      <x:c r="L881" s="75" t="str">
        <x:v>Evidence needed</x:v>
      </x:c>
      <x:c r="M881" s="75" t="str">
        <x:v>Buyer-specific role, production, availability, signing age and total fee evidence are needed before assigning a deal-value score.</x:v>
      </x:c>
      <x:c r="N881" s="75" t="str">
        <x:v>Not assessed</x:v>
      </x:c>
      <x:c r="O881" s="75" t="str">
        <x:v>Source broad position and transfer quote only; detailed role and buyer-specific production not validated.</x:v>
      </x:c>
      <x:c r="P881" s="75" t="str">
        <x:v>https://www.theguardian.com/football/ng-interactive/2026/sep/01/mens-transfer-window-summer-2026-all-deals-from-europes-top-five-leagues</x:v>
      </x:c>
    </x:row>
    <x:row r="882" ht="25" customHeight="1">
      <x:c r="A882" s="69" t="str">
        <x:v>summer-S26-0177</x:v>
      </x:c>
      <x:c r="B882" s="69" t="str">
        <x:v>Caio Henrique</x:v>
      </x:c>
      <x:c r="C882" s="69" t="str">
        <x:v>Ajax</x:v>
      </x:c>
      <x:c r="D882" s="69" t="str">
        <x:v>Monaco</x:v>
      </x:c>
      <x:c r="E882" s="76" t="d">
        <x:v>2026-06-30T00:00:00.000Z</x:v>
      </x:c>
      <x:c r="F882" s="69" t="str">
        <x:v>summer</x:v>
      </x:c>
      <x:c r="G882" s="69" t="str">
        <x:v>Defender — source label</x:v>
      </x:c>
      <x:c r="H882" s="78" t="n">
        <x:v>9000000</x:v>
      </x:c>
      <x:c r="I882" s="69" t="str">
        <x:v>GBP</x:v>
      </x:c>
      <x:c r="J882" s="80"/>
      <x:c r="K882" s="82"/>
      <x:c r="L882" s="69" t="str">
        <x:v>Evidence needed</x:v>
      </x:c>
      <x:c r="M882" s="69" t="str">
        <x:v>Buyer-specific role, production, availability, signing age and total fee evidence are needed before assigning a deal-value score.</x:v>
      </x:c>
      <x:c r="N882" s="69" t="str">
        <x:v>Not assessed</x:v>
      </x:c>
      <x:c r="O882" s="69" t="str">
        <x:v>Source broad position and transfer quote only; detailed role and buyer-specific production not validated.</x:v>
      </x:c>
      <x:c r="P882" s="69" t="str">
        <x:v>https://www.theguardian.com/football/ng-interactive/2026/sep/01/mens-transfer-window-summer-2026-all-deals-from-europes-top-five-leagues</x:v>
      </x:c>
    </x:row>
    <x:row r="883" ht="25" customHeight="1">
      <x:c r="A883" s="75" t="str">
        <x:v>summer-S26-0178</x:v>
      </x:c>
      <x:c r="B883" s="75" t="str">
        <x:v>Flávio Nazinho</x:v>
      </x:c>
      <x:c r="C883" s="75" t="str">
        <x:v>Monaco</x:v>
      </x:c>
      <x:c r="D883" s="75" t="str">
        <x:v>Cercle Brugge</x:v>
      </x:c>
      <x:c r="E883" s="77" t="d">
        <x:v>2026-06-30T00:00:00.000Z</x:v>
      </x:c>
      <x:c r="F883" s="75" t="str">
        <x:v>summer</x:v>
      </x:c>
      <x:c r="G883" s="75" t="str">
        <x:v>Defender — source label</x:v>
      </x:c>
      <x:c r="H883" s="79" t="n">
        <x:v>4300000</x:v>
      </x:c>
      <x:c r="I883" s="75" t="str">
        <x:v>GBP</x:v>
      </x:c>
      <x:c r="J883" s="81"/>
      <x:c r="K883" s="83"/>
      <x:c r="L883" s="75" t="str">
        <x:v>Evidence needed</x:v>
      </x:c>
      <x:c r="M883" s="75" t="str">
        <x:v>Buyer-specific role, production, availability, signing age and total fee evidence are needed before assigning a deal-value score.</x:v>
      </x:c>
      <x:c r="N883" s="75" t="str">
        <x:v>Not assessed</x:v>
      </x:c>
      <x:c r="O883" s="75" t="str">
        <x:v>Source broad position and transfer quote only; detailed role and buyer-specific production not validated.</x:v>
      </x:c>
      <x:c r="P883" s="75" t="str">
        <x:v>https://www.theguardian.com/football/ng-interactive/2026/sep/01/mens-transfer-window-summer-2026-all-deals-from-europes-top-five-leagues</x:v>
      </x:c>
    </x:row>
    <x:row r="884" ht="25" customHeight="1">
      <x:c r="A884" s="69" t="str">
        <x:v>summer-S26-0180</x:v>
      </x:c>
      <x:c r="B884" s="69" t="str">
        <x:v>Stefan de Vrij</x:v>
      </x:c>
      <x:c r="C884" s="69" t="str">
        <x:v>Panathinaikos</x:v>
      </x:c>
      <x:c r="D884" s="69" t="str">
        <x:v>Inter</x:v>
      </x:c>
      <x:c r="E884" s="76" t="d">
        <x:v>2026-06-30T00:00:00.000Z</x:v>
      </x:c>
      <x:c r="F884" s="69" t="str">
        <x:v>summer</x:v>
      </x:c>
      <x:c r="G884" s="69" t="str">
        <x:v>Defender — source label</x:v>
      </x:c>
      <x:c r="H884" s="78"/>
      <x:c r="I884" s="69" t="str">
        <x:v>GBP</x:v>
      </x:c>
      <x:c r="J884" s="80"/>
      <x:c r="K884" s="82"/>
      <x:c r="L884" s="69" t="str">
        <x:v>Evidence needed</x:v>
      </x:c>
      <x:c r="M884" s="69" t="str">
        <x:v>Buyer-specific role, production, availability, signing age and total fee evidence are needed before assigning a deal-value score. A zero base fee does not represent wages or signing costs.</x:v>
      </x:c>
      <x:c r="N884" s="69" t="str">
        <x:v>Not assessed</x:v>
      </x:c>
      <x:c r="O884" s="69" t="str">
        <x:v>Source broad position and transfer quote only; detailed role and buyer-specific production not validated.</x:v>
      </x:c>
      <x:c r="P884" s="69" t="str">
        <x:v>https://www.theguardian.com/football/ng-interactive/2026/sep/01/mens-transfer-window-summer-2026-all-deals-from-europes-top-five-leagues</x:v>
      </x:c>
    </x:row>
    <x:row r="885" ht="25" customHeight="1">
      <x:c r="A885" s="75" t="str">
        <x:v>summer-S26-0181</x:v>
      </x:c>
      <x:c r="B885" s="75" t="str">
        <x:v>Clément Lenglet</x:v>
      </x:c>
      <x:c r="C885" s="75" t="str">
        <x:v>Benfica</x:v>
      </x:c>
      <x:c r="D885" s="75" t="str">
        <x:v>Atlético Madrid</x:v>
      </x:c>
      <x:c r="E885" s="77" t="d">
        <x:v>2026-07-01T00:00:00.000Z</x:v>
      </x:c>
      <x:c r="F885" s="75" t="str">
        <x:v>summer</x:v>
      </x:c>
      <x:c r="G885" s="75" t="str">
        <x:v>Defender — source label</x:v>
      </x:c>
      <x:c r="H885" s="79"/>
      <x:c r="I885" s="75" t="str">
        <x:v>GBP</x:v>
      </x:c>
      <x:c r="J885" s="81"/>
      <x:c r="K885" s="83"/>
      <x:c r="L885" s="75" t="str">
        <x:v>Evidence needed</x:v>
      </x:c>
      <x:c r="M885" s="75" t="str">
        <x:v>Buyer-specific role, production, availability, signing age and total fee evidence are needed before assigning a deal-value score. Loan/swap costs must be treated separately.</x:v>
      </x:c>
      <x:c r="N885" s="75" t="str">
        <x:v>Not assessed</x:v>
      </x:c>
      <x:c r="O885" s="75" t="str">
        <x:v>Source broad position and transfer quote only; detailed role and buyer-specific production not validated.</x:v>
      </x:c>
      <x:c r="P885" s="75" t="str">
        <x:v>https://www.theguardian.com/football/ng-interactive/2026/sep/01/mens-transfer-window-summer-2026-all-deals-from-europes-top-five-leagues</x:v>
      </x:c>
    </x:row>
    <x:row r="886" ht="25" customHeight="1">
      <x:c r="A886" s="69" t="str">
        <x:v>summer-S26-0184</x:v>
      </x:c>
      <x:c r="B886" s="69" t="str">
        <x:v>Oliver Whatmuff</x:v>
      </x:c>
      <x:c r="C886" s="69" t="str">
        <x:v>Stockport County</x:v>
      </x:c>
      <x:c r="D886" s="69" t="str">
        <x:v>Manchester City</x:v>
      </x:c>
      <x:c r="E886" s="76" t="d">
        <x:v>2026-07-01T00:00:00.000Z</x:v>
      </x:c>
      <x:c r="F886" s="69" t="str">
        <x:v>summer</x:v>
      </x:c>
      <x:c r="G886" s="69" t="str">
        <x:v>Goalkeeper — source label</x:v>
      </x:c>
      <x:c r="H886" s="78"/>
      <x:c r="I886" s="69" t="str">
        <x:v>GBP</x:v>
      </x:c>
      <x:c r="J886" s="80"/>
      <x:c r="K886" s="82"/>
      <x:c r="L886" s="69" t="str">
        <x:v>Evidence needed</x:v>
      </x:c>
      <x:c r="M886" s="69" t="str">
        <x:v>Buyer-specific shot-stopping, distribution, aerial command, sweeping, signing age and total fee evidence are needed before scoring. Loan/swap costs must be treated separately.</x:v>
      </x:c>
      <x:c r="N886" s="69" t="str">
        <x:v>Not assessed</x:v>
      </x:c>
      <x:c r="O886" s="69" t="str">
        <x:v>Source broad position and transfer quote only; detailed role and buyer-specific production not validated.</x:v>
      </x:c>
      <x:c r="P886" s="69" t="str">
        <x:v>https://www.theguardian.com/football/ng-interactive/2026/sep/01/mens-transfer-window-summer-2026-all-deals-from-europes-top-five-leagues</x:v>
      </x:c>
    </x:row>
    <x:row r="887" ht="25" customHeight="1">
      <x:c r="A887" s="75" t="str">
        <x:v>summer-S26-0185</x:v>
      </x:c>
      <x:c r="B887" s="75" t="str">
        <x:v>Ethan Brierley</x:v>
      </x:c>
      <x:c r="C887" s="75" t="str">
        <x:v>Huddersfield</x:v>
      </x:c>
      <x:c r="D887" s="75" t="str">
        <x:v>Brentford</x:v>
      </x:c>
      <x:c r="E887" s="77" t="d">
        <x:v>2026-06-30T00:00:00.000Z</x:v>
      </x:c>
      <x:c r="F887" s="75" t="str">
        <x:v>summer</x:v>
      </x:c>
      <x:c r="G887" s="75" t="str">
        <x:v>Midfielder — source label</x:v>
      </x:c>
      <x:c r="H887" s="79"/>
      <x:c r="I887" s="75" t="str">
        <x:v>GBP</x:v>
      </x:c>
      <x:c r="J887" s="81"/>
      <x:c r="K887" s="83"/>
      <x:c r="L887" s="75" t="str">
        <x:v>Evidence needed</x:v>
      </x:c>
      <x:c r="M887" s="75" t="str">
        <x:v>Buyer-specific role, production, availability, signing age and total fee evidence are needed before assigning a deal-value score.</x:v>
      </x:c>
      <x:c r="N887" s="75" t="str">
        <x:v>Not assessed</x:v>
      </x:c>
      <x:c r="O887" s="75" t="str">
        <x:v>Source broad position and transfer quote only; detailed role and buyer-specific production not validated.</x:v>
      </x:c>
      <x:c r="P887" s="75" t="str">
        <x:v>https://www.theguardian.com/football/ng-interactive/2026/sep/01/mens-transfer-window-summer-2026-all-deals-from-europes-top-five-leagues</x:v>
      </x:c>
    </x:row>
    <x:row r="888" ht="25" customHeight="1">
      <x:c r="A888" s="69" t="str">
        <x:v>summer-S26-0186</x:v>
      </x:c>
      <x:c r="B888" s="69" t="str">
        <x:v>Matty Young</x:v>
      </x:c>
      <x:c r="C888" s="69" t="str">
        <x:v>Huddersfield</x:v>
      </x:c>
      <x:c r="D888" s="69" t="str">
        <x:v>Sunderland</x:v>
      </x:c>
      <x:c r="E888" s="76" t="d">
        <x:v>2026-06-30T00:00:00.000Z</x:v>
      </x:c>
      <x:c r="F888" s="69" t="str">
        <x:v>summer</x:v>
      </x:c>
      <x:c r="G888" s="69" t="str">
        <x:v>Goalkeeper — source label</x:v>
      </x:c>
      <x:c r="H888" s="78"/>
      <x:c r="I888" s="69" t="str">
        <x:v>GBP</x:v>
      </x:c>
      <x:c r="J888" s="80"/>
      <x:c r="K888" s="82"/>
      <x:c r="L888" s="69" t="str">
        <x:v>Evidence needed</x:v>
      </x:c>
      <x:c r="M888" s="69" t="str">
        <x:v>Buyer-specific shot-stopping, distribution, aerial command, sweeping, signing age and total fee evidence are needed before scoring. Loan/swap costs must be treated separately.</x:v>
      </x:c>
      <x:c r="N888" s="69" t="str">
        <x:v>Not assessed</x:v>
      </x:c>
      <x:c r="O888" s="69" t="str">
        <x:v>Source broad position and transfer quote only; detailed role and buyer-specific production not validated.</x:v>
      </x:c>
      <x:c r="P888" s="69" t="str">
        <x:v>https://www.theguardian.com/football/ng-interactive/2026/sep/01/mens-transfer-window-summer-2026-all-deals-from-europes-top-five-leagues</x:v>
      </x:c>
    </x:row>
    <x:row r="889" ht="25" customHeight="1">
      <x:c r="A889" s="75" t="str">
        <x:v>summer-S26-0187</x:v>
      </x:c>
      <x:c r="B889" s="75" t="str">
        <x:v>Stanley Nsoki</x:v>
      </x:c>
      <x:c r="C889" s="75" t="str">
        <x:v>Union Berlin</x:v>
      </x:c>
      <x:c r="D889" s="75" t="str">
        <x:v>Hoffenheim</x:v>
      </x:c>
      <x:c r="E889" s="77" t="d">
        <x:v>2026-07-01T00:00:00.000Z</x:v>
      </x:c>
      <x:c r="F889" s="75" t="str">
        <x:v>summer</x:v>
      </x:c>
      <x:c r="G889" s="75" t="str">
        <x:v>Defender — source label</x:v>
      </x:c>
      <x:c r="H889" s="79"/>
      <x:c r="I889" s="75" t="str">
        <x:v>GBP</x:v>
      </x:c>
      <x:c r="J889" s="81"/>
      <x:c r="K889" s="83"/>
      <x:c r="L889" s="75" t="str">
        <x:v>Evidence needed</x:v>
      </x:c>
      <x:c r="M889" s="75" t="str">
        <x:v>Buyer-specific role, production, availability, signing age and total fee evidence are needed before assigning a deal-value score.</x:v>
      </x:c>
      <x:c r="N889" s="75" t="str">
        <x:v>Not assessed</x:v>
      </x:c>
      <x:c r="O889" s="75" t="str">
        <x:v>Source broad position and transfer quote only; detailed role and buyer-specific production not validated.</x:v>
      </x:c>
      <x:c r="P889" s="75" t="str">
        <x:v>https://www.theguardian.com/football/ng-interactive/2026/sep/01/mens-transfer-window-summer-2026-all-deals-from-europes-top-five-leagues</x:v>
      </x:c>
    </x:row>
    <x:row r="890" ht="25" customHeight="1">
      <x:c r="A890" s="69" t="str">
        <x:v>summer-S26-0188</x:v>
      </x:c>
      <x:c r="B890" s="69" t="str">
        <x:v>Alessandro Romano</x:v>
      </x:c>
      <x:c r="C890" s="69" t="str">
        <x:v>Cagliari</x:v>
      </x:c>
      <x:c r="D890" s="69" t="str">
        <x:v>Roma</x:v>
      </x:c>
      <x:c r="E890" s="76" t="d">
        <x:v>2026-07-01T00:00:00.000Z</x:v>
      </x:c>
      <x:c r="F890" s="69" t="str">
        <x:v>summer</x:v>
      </x:c>
      <x:c r="G890" s="69" t="str">
        <x:v>Midfielder — source label</x:v>
      </x:c>
      <x:c r="H890" s="78"/>
      <x:c r="I890" s="69" t="str">
        <x:v>GBP</x:v>
      </x:c>
      <x:c r="J890" s="80"/>
      <x:c r="K890" s="82"/>
      <x:c r="L890" s="69" t="str">
        <x:v>Evidence needed</x:v>
      </x:c>
      <x:c r="M890" s="69" t="str">
        <x:v>Buyer-specific role, production, availability, signing age and total fee evidence are needed before assigning a deal-value score. Loan/swap costs must be treated separately.</x:v>
      </x:c>
      <x:c r="N890" s="69" t="str">
        <x:v>Not assessed</x:v>
      </x:c>
      <x:c r="O890" s="69" t="str">
        <x:v>Source broad position and transfer quote only; detailed role and buyer-specific production not validated.</x:v>
      </x:c>
      <x:c r="P890" s="69" t="str">
        <x:v>https://www.theguardian.com/football/ng-interactive/2026/sep/01/mens-transfer-window-summer-2026-all-deals-from-europes-top-five-leagues</x:v>
      </x:c>
    </x:row>
    <x:row r="891" ht="25" customHeight="1">
      <x:c r="A891" s="75" t="str">
        <x:v>summer-S26-0189</x:v>
      </x:c>
      <x:c r="B891" s="75" t="str">
        <x:v>Fodé Sylla</x:v>
      </x:c>
      <x:c r="C891" s="75" t="str">
        <x:v>Sion</x:v>
      </x:c>
      <x:c r="D891" s="75" t="str">
        <x:v>Lens</x:v>
      </x:c>
      <x:c r="E891" s="77" t="d">
        <x:v>2026-07-01T00:00:00.000Z</x:v>
      </x:c>
      <x:c r="F891" s="75" t="str">
        <x:v>summer</x:v>
      </x:c>
      <x:c r="G891" s="75" t="str">
        <x:v>Midfielder — source label</x:v>
      </x:c>
      <x:c r="H891" s="79"/>
      <x:c r="I891" s="75" t="str">
        <x:v>GBP</x:v>
      </x:c>
      <x:c r="J891" s="81"/>
      <x:c r="K891" s="83"/>
      <x:c r="L891" s="75" t="str">
        <x:v>Evidence needed</x:v>
      </x:c>
      <x:c r="M891" s="75" t="str">
        <x:v>Buyer-specific role, production, availability, signing age and total fee evidence are needed before assigning a deal-value score.</x:v>
      </x:c>
      <x:c r="N891" s="75" t="str">
        <x:v>Not assessed</x:v>
      </x:c>
      <x:c r="O891" s="75" t="str">
        <x:v>Source broad position and transfer quote only; detailed role and buyer-specific production not validated.</x:v>
      </x:c>
      <x:c r="P891" s="75" t="str">
        <x:v>https://www.theguardian.com/football/ng-interactive/2026/sep/01/mens-transfer-window-summer-2026-all-deals-from-europes-top-five-leagues</x:v>
      </x:c>
    </x:row>
    <x:row r="892" ht="25" customHeight="1">
      <x:c r="A892" s="69" t="str">
        <x:v>summer-S26-0190</x:v>
      </x:c>
      <x:c r="B892" s="69" t="str">
        <x:v>Thórir Jóhann Helgason</x:v>
      </x:c>
      <x:c r="C892" s="69" t="str">
        <x:v>Venezia</x:v>
      </x:c>
      <x:c r="D892" s="69" t="str">
        <x:v>Lecce</x:v>
      </x:c>
      <x:c r="E892" s="76" t="d">
        <x:v>2026-07-01T00:00:00.000Z</x:v>
      </x:c>
      <x:c r="F892" s="69" t="str">
        <x:v>summer</x:v>
      </x:c>
      <x:c r="G892" s="69" t="str">
        <x:v>Midfielder — source label</x:v>
      </x:c>
      <x:c r="H892" s="78"/>
      <x:c r="I892" s="69" t="str">
        <x:v>GBP</x:v>
      </x:c>
      <x:c r="J892" s="80"/>
      <x:c r="K892" s="82"/>
      <x:c r="L892" s="69" t="str">
        <x:v>Evidence needed</x:v>
      </x:c>
      <x:c r="M892" s="69" t="str">
        <x:v>Buyer-specific role, production, availability, signing age and total fee evidence are needed before assigning a deal-value score. A zero base fee does not represent wages or signing costs.</x:v>
      </x:c>
      <x:c r="N892" s="69" t="str">
        <x:v>Not assessed</x:v>
      </x:c>
      <x:c r="O892" s="69" t="str">
        <x:v>Source broad position and transfer quote only; detailed role and buyer-specific production not validated.</x:v>
      </x:c>
      <x:c r="P892" s="69" t="str">
        <x:v>https://www.theguardian.com/football/ng-interactive/2026/sep/01/mens-transfer-window-summer-2026-all-deals-from-europes-top-five-leagues</x:v>
      </x:c>
    </x:row>
    <x:row r="893" ht="25" customHeight="1">
      <x:c r="A893" s="75" t="str">
        <x:v>summer-S26-0191</x:v>
      </x:c>
      <x:c r="B893" s="75" t="str">
        <x:v>Akin Famewo</x:v>
      </x:c>
      <x:c r="C893" s="75" t="str">
        <x:v>Bolton</x:v>
      </x:c>
      <x:c r="D893" s="75" t="str">
        <x:v>Hull City</x:v>
      </x:c>
      <x:c r="E893" s="77" t="d">
        <x:v>2026-06-30T00:00:00.000Z</x:v>
      </x:c>
      <x:c r="F893" s="75" t="str">
        <x:v>summer</x:v>
      </x:c>
      <x:c r="G893" s="75" t="str">
        <x:v>Defender — source label</x:v>
      </x:c>
      <x:c r="H893" s="79"/>
      <x:c r="I893" s="75" t="str">
        <x:v>GBP</x:v>
      </x:c>
      <x:c r="J893" s="81"/>
      <x:c r="K893" s="83"/>
      <x:c r="L893" s="75" t="str">
        <x:v>Evidence needed</x:v>
      </x:c>
      <x:c r="M893" s="75" t="str">
        <x:v>Buyer-specific role, production, availability, signing age and total fee evidence are needed before assigning a deal-value score.</x:v>
      </x:c>
      <x:c r="N893" s="75" t="str">
        <x:v>Not assessed</x:v>
      </x:c>
      <x:c r="O893" s="75" t="str">
        <x:v>Source broad position and transfer quote only; detailed role and buyer-specific production not validated.</x:v>
      </x:c>
      <x:c r="P893" s="75" t="str">
        <x:v>https://www.theguardian.com/football/ng-interactive/2026/sep/01/mens-transfer-window-summer-2026-all-deals-from-europes-top-five-leagues</x:v>
      </x:c>
    </x:row>
    <x:row r="894" ht="25" customHeight="1">
      <x:c r="A894" s="69" t="str">
        <x:v>summer-S26-0193</x:v>
      </x:c>
      <x:c r="B894" s="69" t="str">
        <x:v>Ivor Pandur</x:v>
      </x:c>
      <x:c r="C894" s="69" t="str">
        <x:v>Rangers</x:v>
      </x:c>
      <x:c r="D894" s="69" t="str">
        <x:v>Hull City</x:v>
      </x:c>
      <x:c r="E894" s="76" t="d">
        <x:v>2026-06-30T00:00:00.000Z</x:v>
      </x:c>
      <x:c r="F894" s="69" t="str">
        <x:v>summer</x:v>
      </x:c>
      <x:c r="G894" s="69" t="str">
        <x:v>Goalkeeper — source label</x:v>
      </x:c>
      <x:c r="H894" s="78" t="n">
        <x:v>6000000</x:v>
      </x:c>
      <x:c r="I894" s="69" t="str">
        <x:v>GBP</x:v>
      </x:c>
      <x:c r="J894" s="80"/>
      <x:c r="K894" s="82"/>
      <x:c r="L894" s="69" t="str">
        <x:v>Evidence needed</x:v>
      </x:c>
      <x:c r="M894" s="69" t="str">
        <x:v>Buyer-specific shot-stopping, distribution, aerial command, sweeping, signing age and total fee evidence are needed before scoring.</x:v>
      </x:c>
      <x:c r="N894" s="69" t="str">
        <x:v>Not assessed</x:v>
      </x:c>
      <x:c r="O894" s="69" t="str">
        <x:v>Source broad position and transfer quote only; detailed role and buyer-specific production not validated.</x:v>
      </x:c>
      <x:c r="P894" s="69" t="str">
        <x:v>https://www.theguardian.com/football/ng-interactive/2026/sep/01/mens-transfer-window-summer-2026-all-deals-from-europes-top-five-leagues</x:v>
      </x:c>
    </x:row>
    <x:row r="895" ht="25" customHeight="1">
      <x:c r="A895" s="75" t="str">
        <x:v>summer-S26-0194</x:v>
      </x:c>
      <x:c r="B895" s="75" t="str">
        <x:v>Franz-Ethan Meichtry</x:v>
      </x:c>
      <x:c r="C895" s="75" t="str">
        <x:v>Genoa</x:v>
      </x:c>
      <x:c r="D895" s="75" t="str">
        <x:v>Thun</x:v>
      </x:c>
      <x:c r="E895" s="77" t="d">
        <x:v>2026-06-30T00:00:00.000Z</x:v>
      </x:c>
      <x:c r="F895" s="75" t="str">
        <x:v>summer</x:v>
      </x:c>
      <x:c r="G895" s="75" t="str">
        <x:v>Midfielder — source label</x:v>
      </x:c>
      <x:c r="H895" s="79" t="n">
        <x:v>3400000</x:v>
      </x:c>
      <x:c r="I895" s="75" t="str">
        <x:v>GBP</x:v>
      </x:c>
      <x:c r="J895" s="81"/>
      <x:c r="K895" s="83"/>
      <x:c r="L895" s="75" t="str">
        <x:v>Evidence needed</x:v>
      </x:c>
      <x:c r="M895" s="75" t="str">
        <x:v>Buyer-specific role, production, availability, signing age and total fee evidence are needed before assigning a deal-value score.</x:v>
      </x:c>
      <x:c r="N895" s="75" t="str">
        <x:v>Not assessed</x:v>
      </x:c>
      <x:c r="O895" s="75" t="str">
        <x:v>Source broad position and transfer quote only; detailed role and buyer-specific production not validated.</x:v>
      </x:c>
      <x:c r="P895" s="75" t="str">
        <x:v>https://www.theguardian.com/football/ng-interactive/2026/sep/01/mens-transfer-window-summer-2026-all-deals-from-europes-top-five-leagues</x:v>
      </x:c>
    </x:row>
    <x:row r="896" ht="25" customHeight="1">
      <x:c r="A896" s="69" t="str">
        <x:v>summer-S26-0197</x:v>
      </x:c>
      <x:c r="B896" s="69" t="str">
        <x:v>Jack Butland</x:v>
      </x:c>
      <x:c r="C896" s="69" t="str">
        <x:v>Hull City</x:v>
      </x:c>
      <x:c r="D896" s="69" t="str">
        <x:v>Rangers</x:v>
      </x:c>
      <x:c r="E896" s="76" t="d">
        <x:v>2026-07-02T00:00:00.000Z</x:v>
      </x:c>
      <x:c r="F896" s="69" t="str">
        <x:v>summer</x:v>
      </x:c>
      <x:c r="G896" s="69" t="str">
        <x:v>Goalkeeper — source label</x:v>
      </x:c>
      <x:c r="H896" s="78" t="n">
        <x:v>3500000</x:v>
      </x:c>
      <x:c r="I896" s="69" t="str">
        <x:v>GBP</x:v>
      </x:c>
      <x:c r="J896" s="80"/>
      <x:c r="K896" s="82"/>
      <x:c r="L896" s="69" t="str">
        <x:v>Evidence needed</x:v>
      </x:c>
      <x:c r="M896" s="69" t="str">
        <x:v>Buyer-specific shot-stopping, distribution, aerial command, sweeping, signing age and total fee evidence are needed before scoring.</x:v>
      </x:c>
      <x:c r="N896" s="69" t="str">
        <x:v>Not assessed</x:v>
      </x:c>
      <x:c r="O896" s="69" t="str">
        <x:v>Source broad position and transfer quote only; detailed role and buyer-specific production not validated.</x:v>
      </x:c>
      <x:c r="P896" s="69" t="str">
        <x:v>https://www.theguardian.com/football/ng-interactive/2026/sep/01/mens-transfer-window-summer-2026-all-deals-from-europes-top-five-leagues</x:v>
      </x:c>
    </x:row>
    <x:row r="897" ht="25" customHeight="1">
      <x:c r="A897" s="75" t="str">
        <x:v>summer-S26-0198</x:v>
      </x:c>
      <x:c r="B897" s="75" t="str">
        <x:v>Thierry Correia</x:v>
      </x:c>
      <x:c r="C897" s="75" t="str">
        <x:v>Venezia</x:v>
      </x:c>
      <x:c r="D897" s="75" t="str">
        <x:v>Valencia</x:v>
      </x:c>
      <x:c r="E897" s="77" t="d">
        <x:v>2026-07-02T00:00:00.000Z</x:v>
      </x:c>
      <x:c r="F897" s="75" t="str">
        <x:v>summer</x:v>
      </x:c>
      <x:c r="G897" s="75" t="str">
        <x:v>Defender — source label</x:v>
      </x:c>
      <x:c r="H897" s="79"/>
      <x:c r="I897" s="75" t="str">
        <x:v>GBP</x:v>
      </x:c>
      <x:c r="J897" s="81"/>
      <x:c r="K897" s="83"/>
      <x:c r="L897" s="75" t="str">
        <x:v>Evidence needed</x:v>
      </x:c>
      <x:c r="M897" s="75" t="str">
        <x:v>Buyer-specific role, production, availability, signing age and total fee evidence are needed before assigning a deal-value score. A zero base fee does not represent wages or signing costs.</x:v>
      </x:c>
      <x:c r="N897" s="75" t="str">
        <x:v>Not assessed</x:v>
      </x:c>
      <x:c r="O897" s="75" t="str">
        <x:v>Source broad position and transfer quote only; detailed role and buyer-specific production not validated.</x:v>
      </x:c>
      <x:c r="P897" s="75" t="str">
        <x:v>https://www.theguardian.com/football/ng-interactive/2026/sep/01/mens-transfer-window-summer-2026-all-deals-from-europes-top-five-leagues</x:v>
      </x:c>
    </x:row>
    <x:row r="898" ht="25" customHeight="1">
      <x:c r="A898" s="69" t="str">
        <x:v>summer-S26-0201</x:v>
      </x:c>
      <x:c r="B898" s="69" t="str">
        <x:v>Michael Svoboda</x:v>
      </x:c>
      <x:c r="C898" s="69" t="str">
        <x:v>Brighton</x:v>
      </x:c>
      <x:c r="D898" s="69" t="str">
        <x:v>Venezia</x:v>
      </x:c>
      <x:c r="E898" s="76" t="d">
        <x:v>2026-07-02T00:00:00.000Z</x:v>
      </x:c>
      <x:c r="F898" s="69" t="str">
        <x:v>summer</x:v>
      </x:c>
      <x:c r="G898" s="69" t="str">
        <x:v>Defender — source label</x:v>
      </x:c>
      <x:c r="H898" s="78" t="n">
        <x:v>4300000</x:v>
      </x:c>
      <x:c r="I898" s="69" t="str">
        <x:v>GBP</x:v>
      </x:c>
      <x:c r="J898" s="80"/>
      <x:c r="K898" s="82"/>
      <x:c r="L898" s="69" t="str">
        <x:v>Evidence needed</x:v>
      </x:c>
      <x:c r="M898" s="69" t="str">
        <x:v>Buyer-specific role, production, availability, signing age and total fee evidence are needed before assigning a deal-value score.</x:v>
      </x:c>
      <x:c r="N898" s="69" t="str">
        <x:v>Not assessed</x:v>
      </x:c>
      <x:c r="O898" s="69" t="str">
        <x:v>Source broad position and transfer quote only; detailed role and buyer-specific production not validated.</x:v>
      </x:c>
      <x:c r="P898" s="69" t="str">
        <x:v>https://www.theguardian.com/football/ng-interactive/2026/sep/01/mens-transfer-window-summer-2026-all-deals-from-europes-top-five-leagues</x:v>
      </x:c>
    </x:row>
    <x:row r="899" ht="25" customHeight="1">
      <x:c r="A899" s="75" t="str">
        <x:v>summer-S26-0202</x:v>
      </x:c>
      <x:c r="B899" s="75" t="str">
        <x:v>Kaiki</x:v>
      </x:c>
      <x:c r="C899" s="75" t="str">
        <x:v>Como 1907</x:v>
      </x:c>
      <x:c r="D899" s="75" t="str">
        <x:v>Cruzeiro</x:v>
      </x:c>
      <x:c r="E899" s="77" t="d">
        <x:v>2026-07-02T00:00:00.000Z</x:v>
      </x:c>
      <x:c r="F899" s="75" t="str">
        <x:v>summer</x:v>
      </x:c>
      <x:c r="G899" s="75" t="str">
        <x:v>Defender — source label</x:v>
      </x:c>
      <x:c r="H899" s="79"/>
      <x:c r="I899" s="75" t="str">
        <x:v>GBP</x:v>
      </x:c>
      <x:c r="J899" s="81"/>
      <x:c r="K899" s="83"/>
      <x:c r="L899" s="75" t="str">
        <x:v>Evidence needed</x:v>
      </x:c>
      <x:c r="M899" s="75" t="str">
        <x:v>Buyer-specific role, production, availability, signing age and total fee evidence are needed before assigning a deal-value score. Loan/swap costs must be treated separately.</x:v>
      </x:c>
      <x:c r="N899" s="75" t="str">
        <x:v>Not assessed</x:v>
      </x:c>
      <x:c r="O899" s="75" t="str">
        <x:v>Source broad position and transfer quote only; detailed role and buyer-specific production not validated.</x:v>
      </x:c>
      <x:c r="P899" s="75" t="str">
        <x:v>https://www.theguardian.com/football/ng-interactive/2026/sep/01/mens-transfer-window-summer-2026-all-deals-from-europes-top-five-leagues</x:v>
      </x:c>
    </x:row>
    <x:row r="900" ht="25" customHeight="1">
      <x:c r="A900" s="69" t="str">
        <x:v>summer-S26-0203</x:v>
      </x:c>
      <x:c r="B900" s="69" t="str">
        <x:v>Luca Stephenson</x:v>
      </x:c>
      <x:c r="C900" s="69" t="str">
        <x:v>Bolton</x:v>
      </x:c>
      <x:c r="D900" s="69" t="str">
        <x:v>Liverpool</x:v>
      </x:c>
      <x:c r="E900" s="76" t="d">
        <x:v>2026-07-02T00:00:00.000Z</x:v>
      </x:c>
      <x:c r="F900" s="69" t="str">
        <x:v>summer</x:v>
      </x:c>
      <x:c r="G900" s="69" t="str">
        <x:v>Defender — source label</x:v>
      </x:c>
      <x:c r="H900" s="78"/>
      <x:c r="I900" s="69" t="str">
        <x:v>GBP</x:v>
      </x:c>
      <x:c r="J900" s="80"/>
      <x:c r="K900" s="82"/>
      <x:c r="L900" s="69" t="str">
        <x:v>Evidence needed</x:v>
      </x:c>
      <x:c r="M900" s="69" t="str">
        <x:v>Buyer-specific role, production, availability, signing age and total fee evidence are needed before assigning a deal-value score.</x:v>
      </x:c>
      <x:c r="N900" s="69" t="str">
        <x:v>Not assessed</x:v>
      </x:c>
      <x:c r="O900" s="69" t="str">
        <x:v>Source broad position and transfer quote only; detailed role and buyer-specific production not validated.</x:v>
      </x:c>
      <x:c r="P900" s="69" t="str">
        <x:v>https://www.theguardian.com/football/ng-interactive/2026/sep/01/mens-transfer-window-summer-2026-all-deals-from-europes-top-five-leagues</x:v>
      </x:c>
    </x:row>
    <x:row r="901" ht="25" customHeight="1">
      <x:c r="A901" s="75" t="str">
        <x:v>summer-S26-0204</x:v>
      </x:c>
      <x:c r="B901" s="75" t="str">
        <x:v>Sil Swinkels</x:v>
      </x:c>
      <x:c r="C901" s="75" t="str">
        <x:v>Sheffield Wednesday</x:v>
      </x:c>
      <x:c r="D901" s="75" t="str">
        <x:v>Aston Villa</x:v>
      </x:c>
      <x:c r="E901" s="77" t="d">
        <x:v>2026-07-02T00:00:00.000Z</x:v>
      </x:c>
      <x:c r="F901" s="75" t="str">
        <x:v>summer</x:v>
      </x:c>
      <x:c r="G901" s="75" t="str">
        <x:v>Defender — source label</x:v>
      </x:c>
      <x:c r="H901" s="79"/>
      <x:c r="I901" s="75" t="str">
        <x:v>GBP</x:v>
      </x:c>
      <x:c r="J901" s="81"/>
      <x:c r="K901" s="83"/>
      <x:c r="L901" s="75" t="str">
        <x:v>Evidence needed</x:v>
      </x:c>
      <x:c r="M901" s="75" t="str">
        <x:v>Buyer-specific role, production, availability, signing age and total fee evidence are needed before assigning a deal-value score.</x:v>
      </x:c>
      <x:c r="N901" s="75" t="str">
        <x:v>Not assessed</x:v>
      </x:c>
      <x:c r="O901" s="75" t="str">
        <x:v>Source broad position and transfer quote only; detailed role and buyer-specific production not validated.</x:v>
      </x:c>
      <x:c r="P901" s="75" t="str">
        <x:v>https://www.theguardian.com/football/ng-interactive/2026/sep/01/mens-transfer-window-summer-2026-all-deals-from-europes-top-five-leagues</x:v>
      </x:c>
    </x:row>
    <x:row r="902" ht="25" customHeight="1">
      <x:c r="A902" s="69" t="str">
        <x:v>summer-S26-0205</x:v>
      </x:c>
      <x:c r="B902" s="69" t="str">
        <x:v>Isaac Smith</x:v>
      </x:c>
      <x:c r="C902" s="69" t="str">
        <x:v>Barnsley</x:v>
      </x:c>
      <x:c r="D902" s="69" t="str">
        <x:v>Manchester City</x:v>
      </x:c>
      <x:c r="E902" s="76" t="d">
        <x:v>2026-07-02T00:00:00.000Z</x:v>
      </x:c>
      <x:c r="F902" s="69" t="str">
        <x:v>summer</x:v>
      </x:c>
      <x:c r="G902" s="69" t="str">
        <x:v>Defender — source label</x:v>
      </x:c>
      <x:c r="H902" s="78"/>
      <x:c r="I902" s="69" t="str">
        <x:v>GBP</x:v>
      </x:c>
      <x:c r="J902" s="80"/>
      <x:c r="K902" s="82"/>
      <x:c r="L902" s="69" t="str">
        <x:v>Evidence needed</x:v>
      </x:c>
      <x:c r="M902" s="69" t="str">
        <x:v>Buyer-specific role, production, availability, signing age and total fee evidence are needed before assigning a deal-value score.</x:v>
      </x:c>
      <x:c r="N902" s="69" t="str">
        <x:v>Not assessed</x:v>
      </x:c>
      <x:c r="O902" s="69" t="str">
        <x:v>Source broad position and transfer quote only; detailed role and buyer-specific production not validated.</x:v>
      </x:c>
      <x:c r="P902" s="69" t="str">
        <x:v>https://www.theguardian.com/football/ng-interactive/2026/sep/01/mens-transfer-window-summer-2026-all-deals-from-europes-top-five-leagues</x:v>
      </x:c>
    </x:row>
    <x:row r="903" ht="25" customHeight="1">
      <x:c r="A903" s="75" t="str">
        <x:v>summer-S26-0212</x:v>
      </x:c>
      <x:c r="B903" s="75" t="str">
        <x:v>Léo Pétrot</x:v>
      </x:c>
      <x:c r="C903" s="75" t="str">
        <x:v>Anderlecht</x:v>
      </x:c>
      <x:c r="D903" s="75" t="str">
        <x:v>Elche</x:v>
      </x:c>
      <x:c r="E903" s="77" t="d">
        <x:v>2026-07-02T00:00:00.000Z</x:v>
      </x:c>
      <x:c r="F903" s="75" t="str">
        <x:v>summer</x:v>
      </x:c>
      <x:c r="G903" s="75" t="str">
        <x:v>Defender — source label</x:v>
      </x:c>
      <x:c r="H903" s="79"/>
      <x:c r="I903" s="75" t="str">
        <x:v>GBP</x:v>
      </x:c>
      <x:c r="J903" s="81"/>
      <x:c r="K903" s="83"/>
      <x:c r="L903" s="75" t="str">
        <x:v>Evidence needed</x:v>
      </x:c>
      <x:c r="M903" s="75" t="str">
        <x:v>Buyer-specific role, production, availability, signing age and total fee evidence are needed before assigning a deal-value score. A zero base fee does not represent wages or signing costs.</x:v>
      </x:c>
      <x:c r="N903" s="75" t="str">
        <x:v>Not assessed</x:v>
      </x:c>
      <x:c r="O903" s="75" t="str">
        <x:v>Source broad position and transfer quote only; detailed role and buyer-specific production not validated.</x:v>
      </x:c>
      <x:c r="P903" s="75" t="str">
        <x:v>https://www.theguardian.com/football/ng-interactive/2026/sep/01/mens-transfer-window-summer-2026-all-deals-from-europes-top-five-leagues</x:v>
      </x:c>
    </x:row>
    <x:row r="904" ht="25" customHeight="1">
      <x:c r="A904" s="69" t="str">
        <x:v>summer-S26-0213</x:v>
      </x:c>
      <x:c r="B904" s="69" t="str">
        <x:v>Samuel Wiafe</x:v>
      </x:c>
      <x:c r="C904" s="69" t="str">
        <x:v>Genoa</x:v>
      </x:c>
      <x:c r="D904" s="69" t="str">
        <x:v>Modena</x:v>
      </x:c>
      <x:c r="E904" s="76" t="d">
        <x:v>2026-07-02T00:00:00.000Z</x:v>
      </x:c>
      <x:c r="F904" s="69" t="str">
        <x:v>summer</x:v>
      </x:c>
      <x:c r="G904" s="69" t="str">
        <x:v>Midfielder — source label</x:v>
      </x:c>
      <x:c r="H904" s="78" t="n">
        <x:v>2100000</x:v>
      </x:c>
      <x:c r="I904" s="69" t="str">
        <x:v>GBP</x:v>
      </x:c>
      <x:c r="J904" s="80"/>
      <x:c r="K904" s="82"/>
      <x:c r="L904" s="69" t="str">
        <x:v>Evidence needed</x:v>
      </x:c>
      <x:c r="M904" s="69" t="str">
        <x:v>Buyer-specific role, production, availability, signing age and total fee evidence are needed before assigning a deal-value score.</x:v>
      </x:c>
      <x:c r="N904" s="69" t="str">
        <x:v>Not assessed</x:v>
      </x:c>
      <x:c r="O904" s="69" t="str">
        <x:v>Source broad position and transfer quote only; detailed role and buyer-specific production not validated.</x:v>
      </x:c>
      <x:c r="P904" s="69" t="str">
        <x:v>https://www.theguardian.com/football/ng-interactive/2026/sep/01/mens-transfer-window-summer-2026-all-deals-from-europes-top-five-leagues</x:v>
      </x:c>
    </x:row>
    <x:row r="905" ht="25" customHeight="1">
      <x:c r="A905" s="75" t="str">
        <x:v>summer-S26-0214</x:v>
      </x:c>
      <x:c r="B905" s="75" t="str">
        <x:v>David Puczka</x:v>
      </x:c>
      <x:c r="C905" s="75" t="str">
        <x:v>Genoa</x:v>
      </x:c>
      <x:c r="D905" s="75" t="str">
        <x:v>Juventus</x:v>
      </x:c>
      <x:c r="E905" s="77" t="d">
        <x:v>2026-07-02T00:00:00.000Z</x:v>
      </x:c>
      <x:c r="F905" s="75" t="str">
        <x:v>summer</x:v>
      </x:c>
      <x:c r="G905" s="75" t="str">
        <x:v>Defender — source label</x:v>
      </x:c>
      <x:c r="H905" s="79" t="n">
        <x:v>5100000</x:v>
      </x:c>
      <x:c r="I905" s="75" t="str">
        <x:v>GBP</x:v>
      </x:c>
      <x:c r="J905" s="81"/>
      <x:c r="K905" s="83"/>
      <x:c r="L905" s="75" t="str">
        <x:v>Evidence needed</x:v>
      </x:c>
      <x:c r="M905" s="75" t="str">
        <x:v>Buyer-specific role, production, availability, signing age and total fee evidence are needed before assigning a deal-value score.</x:v>
      </x:c>
      <x:c r="N905" s="75" t="str">
        <x:v>Not assessed</x:v>
      </x:c>
      <x:c r="O905" s="75" t="str">
        <x:v>Source broad position and transfer quote only; detailed role and buyer-specific production not validated.</x:v>
      </x:c>
      <x:c r="P905" s="75" t="str">
        <x:v>https://www.theguardian.com/football/ng-interactive/2026/sep/01/mens-transfer-window-summer-2026-all-deals-from-europes-top-five-leagues</x:v>
      </x:c>
    </x:row>
    <x:row r="906" ht="25" customHeight="1">
      <x:c r="A906" s="69" t="str">
        <x:v>summer-S26-0215</x:v>
      </x:c>
      <x:c r="B906" s="69" t="str">
        <x:v>Leonardo Consiglio</x:v>
      </x:c>
      <x:c r="C906" s="69" t="str">
        <x:v>Modena</x:v>
      </x:c>
      <x:c r="D906" s="69" t="str">
        <x:v>Genoa</x:v>
      </x:c>
      <x:c r="E906" s="76" t="d">
        <x:v>2026-07-02T00:00:00.000Z</x:v>
      </x:c>
      <x:c r="F906" s="69" t="str">
        <x:v>summer</x:v>
      </x:c>
      <x:c r="G906" s="69" t="str">
        <x:v>Goalkeeper — source label</x:v>
      </x:c>
      <x:c r="H906" s="78"/>
      <x:c r="I906" s="69" t="str">
        <x:v>GBP</x:v>
      </x:c>
      <x:c r="J906" s="80"/>
      <x:c r="K906" s="82"/>
      <x:c r="L906" s="69" t="str">
        <x:v>Evidence needed</x:v>
      </x:c>
      <x:c r="M906" s="69" t="str">
        <x:v>Buyer-specific shot-stopping, distribution, aerial command, sweeping, signing age and total fee evidence are needed before scoring.</x:v>
      </x:c>
      <x:c r="N906" s="69" t="str">
        <x:v>Not assessed</x:v>
      </x:c>
      <x:c r="O906" s="69" t="str">
        <x:v>Source broad position and transfer quote only; detailed role and buyer-specific production not validated.</x:v>
      </x:c>
      <x:c r="P906" s="69" t="str">
        <x:v>https://www.theguardian.com/football/ng-interactive/2026/sep/01/mens-transfer-window-summer-2026-all-deals-from-europes-top-five-leagues</x:v>
      </x:c>
    </x:row>
    <x:row r="907" ht="25" customHeight="1">
      <x:c r="A907" s="75" t="str">
        <x:v>summer-S26-0216</x:v>
      </x:c>
      <x:c r="B907" s="75" t="str">
        <x:v>Martino Odero</x:v>
      </x:c>
      <x:c r="C907" s="75" t="str">
        <x:v>Modena</x:v>
      </x:c>
      <x:c r="D907" s="75" t="str">
        <x:v>Genoa</x:v>
      </x:c>
      <x:c r="E907" s="77" t="d">
        <x:v>2026-07-02T00:00:00.000Z</x:v>
      </x:c>
      <x:c r="F907" s="75" t="str">
        <x:v>summer</x:v>
      </x:c>
      <x:c r="G907" s="75" t="str">
        <x:v>Defender — source label</x:v>
      </x:c>
      <x:c r="H907" s="79"/>
      <x:c r="I907" s="75" t="str">
        <x:v>GBP</x:v>
      </x:c>
      <x:c r="J907" s="81"/>
      <x:c r="K907" s="83"/>
      <x:c r="L907" s="75" t="str">
        <x:v>Evidence needed</x:v>
      </x:c>
      <x:c r="M907" s="75" t="str">
        <x:v>Buyer-specific role, production, availability, signing age and total fee evidence are needed before assigning a deal-value score.</x:v>
      </x:c>
      <x:c r="N907" s="75" t="str">
        <x:v>Not assessed</x:v>
      </x:c>
      <x:c r="O907" s="75" t="str">
        <x:v>Source broad position and transfer quote only; detailed role and buyer-specific production not validated.</x:v>
      </x:c>
      <x:c r="P907" s="75" t="str">
        <x:v>https://www.theguardian.com/football/ng-interactive/2026/sep/01/mens-transfer-window-summer-2026-all-deals-from-europes-top-five-leagues</x:v>
      </x:c>
    </x:row>
    <x:row r="908" ht="25" customHeight="1">
      <x:c r="A908" s="69" t="str">
        <x:v>summer-S26-0217</x:v>
      </x:c>
      <x:c r="B908" s="69" t="str">
        <x:v>Brais Méndez</x:v>
      </x:c>
      <x:c r="C908" s="69" t="str">
        <x:v>Columbus Crew</x:v>
      </x:c>
      <x:c r="D908" s="69" t="str">
        <x:v>Real Sociedad</x:v>
      </x:c>
      <x:c r="E908" s="76" t="d">
        <x:v>2026-07-02T00:00:00.000Z</x:v>
      </x:c>
      <x:c r="F908" s="69" t="str">
        <x:v>summer</x:v>
      </x:c>
      <x:c r="G908" s="69" t="str">
        <x:v>Midfielder — source label</x:v>
      </x:c>
      <x:c r="H908" s="78" t="n">
        <x:v>5100000</x:v>
      </x:c>
      <x:c r="I908" s="69" t="str">
        <x:v>GBP</x:v>
      </x:c>
      <x:c r="J908" s="80"/>
      <x:c r="K908" s="82"/>
      <x:c r="L908" s="69" t="str">
        <x:v>Evidence needed</x:v>
      </x:c>
      <x:c r="M908" s="69" t="str">
        <x:v>Buyer-specific role, production, availability, signing age and total fee evidence are needed before assigning a deal-value score.</x:v>
      </x:c>
      <x:c r="N908" s="69" t="str">
        <x:v>Not assessed</x:v>
      </x:c>
      <x:c r="O908" s="69" t="str">
        <x:v>Source broad position and transfer quote only; detailed role and buyer-specific production not validated.</x:v>
      </x:c>
      <x:c r="P908" s="69" t="str">
        <x:v>https://www.theguardian.com/football/ng-interactive/2026/sep/01/mens-transfer-window-summer-2026-all-deals-from-europes-top-five-leagues</x:v>
      </x:c>
    </x:row>
    <x:row r="909" ht="25" customHeight="1">
      <x:c r="A909" s="75" t="str">
        <x:v>summer-S26-0219</x:v>
      </x:c>
      <x:c r="B909" s="75" t="str">
        <x:v>Luka Lochoshvili</x:v>
      </x:c>
      <x:c r="C909" s="75" t="str">
        <x:v>Cologne</x:v>
      </x:c>
      <x:c r="D909" s="75" t="str">
        <x:v>Nuremberg</x:v>
      </x:c>
      <x:c r="E909" s="77" t="d">
        <x:v>2026-07-02T00:00:00.000Z</x:v>
      </x:c>
      <x:c r="F909" s="75" t="str">
        <x:v>summer</x:v>
      </x:c>
      <x:c r="G909" s="75" t="str">
        <x:v>Defender — source label</x:v>
      </x:c>
      <x:c r="H909" s="79" t="n">
        <x:v>3900000</x:v>
      </x:c>
      <x:c r="I909" s="75" t="str">
        <x:v>GBP</x:v>
      </x:c>
      <x:c r="J909" s="81"/>
      <x:c r="K909" s="83"/>
      <x:c r="L909" s="75" t="str">
        <x:v>Evidence needed</x:v>
      </x:c>
      <x:c r="M909" s="75" t="str">
        <x:v>Buyer-specific role, production, availability, signing age and total fee evidence are needed before assigning a deal-value score.</x:v>
      </x:c>
      <x:c r="N909" s="75" t="str">
        <x:v>Not assessed</x:v>
      </x:c>
      <x:c r="O909" s="75" t="str">
        <x:v>Source broad position and transfer quote only; detailed role and buyer-specific production not validated.</x:v>
      </x:c>
      <x:c r="P909" s="75" t="str">
        <x:v>https://www.theguardian.com/football/ng-interactive/2026/sep/01/mens-transfer-window-summer-2026-all-deals-from-europes-top-five-leagues</x:v>
      </x:c>
    </x:row>
    <x:row r="910" ht="25" customHeight="1">
      <x:c r="A910" s="69" t="str">
        <x:v>summer-S26-0220</x:v>
      </x:c>
      <x:c r="B910" s="69" t="str">
        <x:v>Franco Carboni</x:v>
      </x:c>
      <x:c r="C910" s="69" t="str">
        <x:v>Parma</x:v>
      </x:c>
      <x:c r="D910" s="69" t="str">
        <x:v>Inter</x:v>
      </x:c>
      <x:c r="E910" s="76" t="d">
        <x:v>2026-07-02T00:00:00.000Z</x:v>
      </x:c>
      <x:c r="F910" s="69" t="str">
        <x:v>summer</x:v>
      </x:c>
      <x:c r="G910" s="69" t="str">
        <x:v>Defender — source label</x:v>
      </x:c>
      <x:c r="H910" s="78"/>
      <x:c r="I910" s="69" t="str">
        <x:v>GBP</x:v>
      </x:c>
      <x:c r="J910" s="80"/>
      <x:c r="K910" s="82"/>
      <x:c r="L910" s="69" t="str">
        <x:v>Evidence needed</x:v>
      </x:c>
      <x:c r="M910" s="69" t="str">
        <x:v>Buyer-specific role, production, availability, signing age and total fee evidence are needed before assigning a deal-value score.</x:v>
      </x:c>
      <x:c r="N910" s="69" t="str">
        <x:v>Not assessed</x:v>
      </x:c>
      <x:c r="O910" s="69" t="str">
        <x:v>Source broad position and transfer quote only; detailed role and buyer-specific production not validated.</x:v>
      </x:c>
      <x:c r="P910" s="69" t="str">
        <x:v>https://www.theguardian.com/football/ng-interactive/2026/sep/01/mens-transfer-window-summer-2026-all-deals-from-europes-top-five-leagues</x:v>
      </x:c>
    </x:row>
    <x:row r="911" ht="25" customHeight="1">
      <x:c r="A911" s="75" t="str">
        <x:v>summer-S26-0221</x:v>
      </x:c>
      <x:c r="B911" s="75" t="str">
        <x:v>Kassoum Ouattara</x:v>
      </x:c>
      <x:c r="C911" s="75" t="str">
        <x:v>Besiktas</x:v>
      </x:c>
      <x:c r="D911" s="75" t="str">
        <x:v>Monaco</x:v>
      </x:c>
      <x:c r="E911" s="77" t="d">
        <x:v>2026-07-02T00:00:00.000Z</x:v>
      </x:c>
      <x:c r="F911" s="75" t="str">
        <x:v>summer</x:v>
      </x:c>
      <x:c r="G911" s="75" t="str">
        <x:v>Defender — source label</x:v>
      </x:c>
      <x:c r="H911" s="79" t="n">
        <x:v>6900000</x:v>
      </x:c>
      <x:c r="I911" s="75" t="str">
        <x:v>GBP</x:v>
      </x:c>
      <x:c r="J911" s="81"/>
      <x:c r="K911" s="83"/>
      <x:c r="L911" s="75" t="str">
        <x:v>Evidence needed</x:v>
      </x:c>
      <x:c r="M911" s="75" t="str">
        <x:v>Buyer-specific role, production, availability, signing age and total fee evidence are needed before assigning a deal-value score.</x:v>
      </x:c>
      <x:c r="N911" s="75" t="str">
        <x:v>Not assessed</x:v>
      </x:c>
      <x:c r="O911" s="75" t="str">
        <x:v>Source broad position and transfer quote only; detailed role and buyer-specific production not validated.</x:v>
      </x:c>
      <x:c r="P911" s="75" t="str">
        <x:v>https://www.theguardian.com/football/ng-interactive/2026/sep/01/mens-transfer-window-summer-2026-all-deals-from-europes-top-five-leagues</x:v>
      </x:c>
    </x:row>
    <x:row r="912" ht="25" customHeight="1">
      <x:c r="A912" s="69" t="str">
        <x:v>summer-S26-0222</x:v>
      </x:c>
      <x:c r="B912" s="69" t="str">
        <x:v>Luis Milla</x:v>
      </x:c>
      <x:c r="C912" s="69" t="str">
        <x:v>Como 1907</x:v>
      </x:c>
      <x:c r="D912" s="69" t="str">
        <x:v>Getafe</x:v>
      </x:c>
      <x:c r="E912" s="76" t="d">
        <x:v>2026-07-02T00:00:00.000Z</x:v>
      </x:c>
      <x:c r="F912" s="69" t="str">
        <x:v>summer</x:v>
      </x:c>
      <x:c r="G912" s="69" t="str">
        <x:v>Midfielder — source label</x:v>
      </x:c>
      <x:c r="H912" s="78" t="n">
        <x:v>5100000</x:v>
      </x:c>
      <x:c r="I912" s="69" t="str">
        <x:v>GBP</x:v>
      </x:c>
      <x:c r="J912" s="80"/>
      <x:c r="K912" s="82"/>
      <x:c r="L912" s="69" t="str">
        <x:v>Evidence needed</x:v>
      </x:c>
      <x:c r="M912" s="69" t="str">
        <x:v>Buyer-specific role, production, availability, signing age and total fee evidence are needed before assigning a deal-value score.</x:v>
      </x:c>
      <x:c r="N912" s="69" t="str">
        <x:v>Not assessed</x:v>
      </x:c>
      <x:c r="O912" s="69" t="str">
        <x:v>Source broad position and transfer quote only; detailed role and buyer-specific production not validated.</x:v>
      </x:c>
      <x:c r="P912" s="69" t="str">
        <x:v>https://www.theguardian.com/football/ng-interactive/2026/sep/01/mens-transfer-window-summer-2026-all-deals-from-europes-top-five-leagues</x:v>
      </x:c>
    </x:row>
    <x:row r="913" ht="25" customHeight="1">
      <x:c r="A913" s="75" t="str">
        <x:v>summer-S26-0224</x:v>
      </x:c>
      <x:c r="B913" s="75" t="str">
        <x:v>Rafael Fernandes</x:v>
      </x:c>
      <x:c r="C913" s="75" t="str">
        <x:v>Marítimo</x:v>
      </x:c>
      <x:c r="D913" s="75" t="str">
        <x:v>Lille</x:v>
      </x:c>
      <x:c r="E913" s="77" t="d">
        <x:v>2026-07-02T00:00:00.000Z</x:v>
      </x:c>
      <x:c r="F913" s="75" t="str">
        <x:v>summer</x:v>
      </x:c>
      <x:c r="G913" s="75" t="str">
        <x:v>Defender — source label</x:v>
      </x:c>
      <x:c r="H913" s="79"/>
      <x:c r="I913" s="75" t="str">
        <x:v>GBP</x:v>
      </x:c>
      <x:c r="J913" s="81"/>
      <x:c r="K913" s="83"/>
      <x:c r="L913" s="75" t="str">
        <x:v>Evidence needed</x:v>
      </x:c>
      <x:c r="M913" s="75" t="str">
        <x:v>Buyer-specific role, production, availability, signing age and total fee evidence are needed before assigning a deal-value score. Loan/swap costs must be treated separately.</x:v>
      </x:c>
      <x:c r="N913" s="75" t="str">
        <x:v>Not assessed</x:v>
      </x:c>
      <x:c r="O913" s="75" t="str">
        <x:v>Source broad position and transfer quote only; detailed role and buyer-specific production not validated.</x:v>
      </x:c>
      <x:c r="P913" s="75" t="str">
        <x:v>https://www.theguardian.com/football/ng-interactive/2026/sep/01/mens-transfer-window-summer-2026-all-deals-from-europes-top-five-leagues</x:v>
      </x:c>
    </x:row>
    <x:row r="914" ht="25" customHeight="1">
      <x:c r="A914" s="69" t="str">
        <x:v>summer-S26-0225</x:v>
      </x:c>
      <x:c r="B914" s="69" t="str">
        <x:v>Alfonso Espino</x:v>
      </x:c>
      <x:c r="C914" s="69" t="str">
        <x:v>Racing Club</x:v>
      </x:c>
      <x:c r="D914" s="69" t="str">
        <x:v>Rayo Vallecano</x:v>
      </x:c>
      <x:c r="E914" s="76" t="d">
        <x:v>2026-07-02T00:00:00.000Z</x:v>
      </x:c>
      <x:c r="F914" s="69" t="str">
        <x:v>summer</x:v>
      </x:c>
      <x:c r="G914" s="69" t="str">
        <x:v>Defender — source label</x:v>
      </x:c>
      <x:c r="H914" s="78"/>
      <x:c r="I914" s="69" t="str">
        <x:v>GBP</x:v>
      </x:c>
      <x:c r="J914" s="80"/>
      <x:c r="K914" s="82"/>
      <x:c r="L914" s="69" t="str">
        <x:v>Evidence needed</x:v>
      </x:c>
      <x:c r="M914" s="69" t="str">
        <x:v>Buyer-specific role, production, availability, signing age and total fee evidence are needed before assigning a deal-value score. A zero base fee does not represent wages or signing costs.</x:v>
      </x:c>
      <x:c r="N914" s="69" t="str">
        <x:v>Not assessed</x:v>
      </x:c>
      <x:c r="O914" s="69" t="str">
        <x:v>Source broad position and transfer quote only; detailed role and buyer-specific production not validated.</x:v>
      </x:c>
      <x:c r="P914" s="69" t="str">
        <x:v>https://www.theguardian.com/football/ng-interactive/2026/sep/01/mens-transfer-window-summer-2026-all-deals-from-europes-top-five-leagues</x:v>
      </x:c>
    </x:row>
    <x:row r="915" ht="25" customHeight="1">
      <x:c r="A915" s="75" t="str">
        <x:v>summer-S26-0226</x:v>
      </x:c>
      <x:c r="B915" s="75" t="str">
        <x:v>Ota Yamamoto</x:v>
      </x:c>
      <x:c r="C915" s="75" t="str">
        <x:v>RB Leipzig</x:v>
      </x:c>
      <x:c r="D915" s="75" t="str">
        <x:v>Kashiwa Reysol</x:v>
      </x:c>
      <x:c r="E915" s="77" t="d">
        <x:v>2026-06-30T00:00:00.000Z</x:v>
      </x:c>
      <x:c r="F915" s="75" t="str">
        <x:v>summer</x:v>
      </x:c>
      <x:c r="G915" s="75" t="str">
        <x:v>Midfielder — source label</x:v>
      </x:c>
      <x:c r="H915" s="79" t="n">
        <x:v>400000</x:v>
      </x:c>
      <x:c r="I915" s="75" t="str">
        <x:v>GBP</x:v>
      </x:c>
      <x:c r="J915" s="81"/>
      <x:c r="K915" s="83"/>
      <x:c r="L915" s="75" t="str">
        <x:v>Evidence needed</x:v>
      </x:c>
      <x:c r="M915" s="75" t="str">
        <x:v>Buyer-specific role, production, availability, signing age and total fee evidence are needed before assigning a deal-value score.</x:v>
      </x:c>
      <x:c r="N915" s="75" t="str">
        <x:v>Not assessed</x:v>
      </x:c>
      <x:c r="O915" s="75" t="str">
        <x:v>Source broad position and transfer quote only; detailed role and buyer-specific production not validated.</x:v>
      </x:c>
      <x:c r="P915" s="75" t="str">
        <x:v>https://www.theguardian.com/football/ng-interactive/2026/sep/01/mens-transfer-window-summer-2026-all-deals-from-europes-top-five-leagues</x:v>
      </x:c>
    </x:row>
    <x:row r="916" ht="25" customHeight="1">
      <x:c r="A916" s="69" t="str">
        <x:v>summer-S26-0227</x:v>
      </x:c>
      <x:c r="B916" s="69" t="str">
        <x:v>Ota Yamamoto</x:v>
      </x:c>
      <x:c r="C916" s="69" t="str">
        <x:v>RB Omiya Ardija</x:v>
      </x:c>
      <x:c r="D916" s="69" t="str">
        <x:v>RB Leipzig</x:v>
      </x:c>
      <x:c r="E916" s="76" t="d">
        <x:v>2026-06-30T00:00:00.000Z</x:v>
      </x:c>
      <x:c r="F916" s="69" t="str">
        <x:v>summer</x:v>
      </x:c>
      <x:c r="G916" s="69" t="str">
        <x:v>Midfielder — source label</x:v>
      </x:c>
      <x:c r="H916" s="78"/>
      <x:c r="I916" s="69" t="str">
        <x:v>GBP</x:v>
      </x:c>
      <x:c r="J916" s="80"/>
      <x:c r="K916" s="82"/>
      <x:c r="L916" s="69" t="str">
        <x:v>Evidence needed</x:v>
      </x:c>
      <x:c r="M916" s="69" t="str">
        <x:v>Buyer-specific role, production, availability, signing age and total fee evidence are needed before assigning a deal-value score. Loan/swap costs must be treated separately.</x:v>
      </x:c>
      <x:c r="N916" s="69" t="str">
        <x:v>Not assessed</x:v>
      </x:c>
      <x:c r="O916" s="69" t="str">
        <x:v>Source broad position and transfer quote only; detailed role and buyer-specific production not validated.</x:v>
      </x:c>
      <x:c r="P916" s="69" t="str">
        <x:v>https://www.theguardian.com/football/ng-interactive/2026/sep/01/mens-transfer-window-summer-2026-all-deals-from-europes-top-five-leagues</x:v>
      </x:c>
    </x:row>
    <x:row r="917" ht="25" customHeight="1">
      <x:c r="A917" s="75" t="str">
        <x:v>summer-S26-0230</x:v>
      </x:c>
      <x:c r="B917" s="75" t="str">
        <x:v>Dani Pérez</x:v>
      </x:c>
      <x:c r="C917" s="75" t="str">
        <x:v>Real Valladolid</x:v>
      </x:c>
      <x:c r="D917" s="75" t="str">
        <x:v>Real Betis</x:v>
      </x:c>
      <x:c r="E917" s="77" t="d">
        <x:v>2026-07-02T00:00:00.000Z</x:v>
      </x:c>
      <x:c r="F917" s="75" t="str">
        <x:v>summer</x:v>
      </x:c>
      <x:c r="G917" s="75" t="str">
        <x:v>Midfielder — source label</x:v>
      </x:c>
      <x:c r="H917" s="79"/>
      <x:c r="I917" s="75" t="str">
        <x:v>GBP</x:v>
      </x:c>
      <x:c r="J917" s="81"/>
      <x:c r="K917" s="83"/>
      <x:c r="L917" s="75" t="str">
        <x:v>Evidence needed</x:v>
      </x:c>
      <x:c r="M917" s="75" t="str">
        <x:v>Buyer-specific role, production, availability, signing age and total fee evidence are needed before assigning a deal-value score. A zero base fee does not represent wages or signing costs.</x:v>
      </x:c>
      <x:c r="N917" s="75" t="str">
        <x:v>Not assessed</x:v>
      </x:c>
      <x:c r="O917" s="75" t="str">
        <x:v>Source broad position and transfer quote only; detailed role and buyer-specific production not validated.</x:v>
      </x:c>
      <x:c r="P917" s="75" t="str">
        <x:v>https://www.theguardian.com/football/ng-interactive/2026/sep/01/mens-transfer-window-summer-2026-all-deals-from-europes-top-five-leagues</x:v>
      </x:c>
    </x:row>
    <x:row r="918" ht="25" customHeight="1">
      <x:c r="A918" s="69" t="str">
        <x:v>summer-S26-0231</x:v>
      </x:c>
      <x:c r="B918" s="69" t="str">
        <x:v>James Debayo</x:v>
      </x:c>
      <x:c r="C918" s="69" t="str">
        <x:v>Swindon Town</x:v>
      </x:c>
      <x:c r="D918" s="69" t="str">
        <x:v>Hull City</x:v>
      </x:c>
      <x:c r="E918" s="76" t="d">
        <x:v>2026-07-02T00:00:00.000Z</x:v>
      </x:c>
      <x:c r="F918" s="69" t="str">
        <x:v>summer</x:v>
      </x:c>
      <x:c r="G918" s="69" t="str">
        <x:v>Defender — source label</x:v>
      </x:c>
      <x:c r="H918" s="78"/>
      <x:c r="I918" s="69" t="str">
        <x:v>GBP</x:v>
      </x:c>
      <x:c r="J918" s="80"/>
      <x:c r="K918" s="82"/>
      <x:c r="L918" s="69" t="str">
        <x:v>Evidence needed</x:v>
      </x:c>
      <x:c r="M918" s="69" t="str">
        <x:v>Buyer-specific role, production, availability, signing age and total fee evidence are needed before assigning a deal-value score. Loan/swap costs must be treated separately.</x:v>
      </x:c>
      <x:c r="N918" s="69" t="str">
        <x:v>Not assessed</x:v>
      </x:c>
      <x:c r="O918" s="69" t="str">
        <x:v>Source broad position and transfer quote only; detailed role and buyer-specific production not validated.</x:v>
      </x:c>
      <x:c r="P918" s="69" t="str">
        <x:v>https://www.theguardian.com/football/ng-interactive/2026/sep/01/mens-transfer-window-summer-2026-all-deals-from-europes-top-five-leagues</x:v>
      </x:c>
    </x:row>
    <x:row r="919" ht="25" customHeight="1">
      <x:c r="A919" s="75" t="str">
        <x:v>summer-S26-0232</x:v>
      </x:c>
      <x:c r="B919" s="75" t="str">
        <x:v>Nathaniel Brown</x:v>
      </x:c>
      <x:c r="C919" s="75" t="str">
        <x:v>Bayern Munich</x:v>
      </x:c>
      <x:c r="D919" s="75" t="str">
        <x:v>Eintracht Frankfurt</x:v>
      </x:c>
      <x:c r="E919" s="77" t="d">
        <x:v>2026-07-03T00:00:00.000Z</x:v>
      </x:c>
      <x:c r="F919" s="75" t="str">
        <x:v>summer</x:v>
      </x:c>
      <x:c r="G919" s="75" t="str">
        <x:v>Defender — source label</x:v>
      </x:c>
      <x:c r="H919" s="79" t="n">
        <x:v>42900000</x:v>
      </x:c>
      <x:c r="I919" s="75" t="str">
        <x:v>GBP</x:v>
      </x:c>
      <x:c r="J919" s="81"/>
      <x:c r="K919" s="83"/>
      <x:c r="L919" s="75" t="str">
        <x:v>Evidence needed</x:v>
      </x:c>
      <x:c r="M919" s="75" t="str">
        <x:v>Buyer-specific role, production, availability, signing age and total fee evidence are needed before assigning a deal-value score.</x:v>
      </x:c>
      <x:c r="N919" s="75" t="str">
        <x:v>Not assessed</x:v>
      </x:c>
      <x:c r="O919" s="75" t="str">
        <x:v>Source broad position and transfer quote only; detailed role and buyer-specific production not validated.</x:v>
      </x:c>
      <x:c r="P919" s="75" t="str">
        <x:v>https://www.theguardian.com/football/ng-interactive/2026/sep/01/mens-transfer-window-summer-2026-all-deals-from-europes-top-five-leagues</x:v>
      </x:c>
    </x:row>
    <x:row r="920" ht="25" customHeight="1">
      <x:c r="A920" s="69" t="str">
        <x:v>summer-S26-0233</x:v>
      </x:c>
      <x:c r="B920" s="69" t="str">
        <x:v>Alfonso Pedraza</x:v>
      </x:c>
      <x:c r="C920" s="69" t="str">
        <x:v>Lazio</x:v>
      </x:c>
      <x:c r="D920" s="69" t="str">
        <x:v>Villarreal</x:v>
      </x:c>
      <x:c r="E920" s="76" t="d">
        <x:v>2026-07-03T00:00:00.000Z</x:v>
      </x:c>
      <x:c r="F920" s="69" t="str">
        <x:v>summer</x:v>
      </x:c>
      <x:c r="G920" s="69" t="str">
        <x:v>Defender — source label</x:v>
      </x:c>
      <x:c r="H920" s="78"/>
      <x:c r="I920" s="69" t="str">
        <x:v>GBP</x:v>
      </x:c>
      <x:c r="J920" s="80"/>
      <x:c r="K920" s="82"/>
      <x:c r="L920" s="69" t="str">
        <x:v>Evidence needed</x:v>
      </x:c>
      <x:c r="M920" s="69" t="str">
        <x:v>Buyer-specific role, production, availability, signing age and total fee evidence are needed before assigning a deal-value score. A zero base fee does not represent wages or signing costs.</x:v>
      </x:c>
      <x:c r="N920" s="69" t="str">
        <x:v>Not assessed</x:v>
      </x:c>
      <x:c r="O920" s="69" t="str">
        <x:v>Source broad position and transfer quote only; detailed role and buyer-specific production not validated.</x:v>
      </x:c>
      <x:c r="P920" s="69" t="str">
        <x:v>https://www.theguardian.com/football/ng-interactive/2026/sep/01/mens-transfer-window-summer-2026-all-deals-from-europes-top-five-leagues</x:v>
      </x:c>
    </x:row>
    <x:row r="921" ht="25" customHeight="1">
      <x:c r="A921" s="75" t="str">
        <x:v>summer-S26-0234</x:v>
      </x:c>
      <x:c r="B921" s="75" t="str">
        <x:v>Cédric Zesiger</x:v>
      </x:c>
      <x:c r="C921" s="75" t="str">
        <x:v>Young Boys</x:v>
      </x:c>
      <x:c r="D921" s="75" t="str">
        <x:v>Augsburg</x:v>
      </x:c>
      <x:c r="E921" s="77" t="d">
        <x:v>2026-07-03T00:00:00.000Z</x:v>
      </x:c>
      <x:c r="F921" s="75" t="str">
        <x:v>summer</x:v>
      </x:c>
      <x:c r="G921" s="75" t="str">
        <x:v>Defender — source label</x:v>
      </x:c>
      <x:c r="H921" s="79" t="n">
        <x:v>4300000</x:v>
      </x:c>
      <x:c r="I921" s="75" t="str">
        <x:v>GBP</x:v>
      </x:c>
      <x:c r="J921" s="81"/>
      <x:c r="K921" s="83"/>
      <x:c r="L921" s="75" t="str">
        <x:v>Evidence needed</x:v>
      </x:c>
      <x:c r="M921" s="75" t="str">
        <x:v>Buyer-specific role, production, availability, signing age and total fee evidence are needed before assigning a deal-value score.</x:v>
      </x:c>
      <x:c r="N921" s="75" t="str">
        <x:v>Not assessed</x:v>
      </x:c>
      <x:c r="O921" s="75" t="str">
        <x:v>Source broad position and transfer quote only; detailed role and buyer-specific production not validated.</x:v>
      </x:c>
      <x:c r="P921" s="75" t="str">
        <x:v>https://www.theguardian.com/football/ng-interactive/2026/sep/01/mens-transfer-window-summer-2026-all-deals-from-europes-top-five-leagues</x:v>
      </x:c>
    </x:row>
    <x:row r="922" ht="25" customHeight="1">
      <x:c r="A922" s="69" t="str">
        <x:v>summer-S26-0236</x:v>
      </x:c>
      <x:c r="B922" s="69" t="str">
        <x:v>David Colina</x:v>
      </x:c>
      <x:c r="C922" s="69" t="str">
        <x:v>Zaglebie Lubin</x:v>
      </x:c>
      <x:c r="D922" s="69" t="str">
        <x:v>Augsburg</x:v>
      </x:c>
      <x:c r="E922" s="76" t="d">
        <x:v>2026-07-03T00:00:00.000Z</x:v>
      </x:c>
      <x:c r="F922" s="69" t="str">
        <x:v>summer</x:v>
      </x:c>
      <x:c r="G922" s="69" t="str">
        <x:v>Defender — source label</x:v>
      </x:c>
      <x:c r="H922" s="78" t="n">
        <x:v>300000</x:v>
      </x:c>
      <x:c r="I922" s="69" t="str">
        <x:v>GBP</x:v>
      </x:c>
      <x:c r="J922" s="80"/>
      <x:c r="K922" s="82"/>
      <x:c r="L922" s="69" t="str">
        <x:v>Evidence needed</x:v>
      </x:c>
      <x:c r="M922" s="69" t="str">
        <x:v>Buyer-specific role, production, availability, signing age and total fee evidence are needed before assigning a deal-value score.</x:v>
      </x:c>
      <x:c r="N922" s="69" t="str">
        <x:v>Not assessed</x:v>
      </x:c>
      <x:c r="O922" s="69" t="str">
        <x:v>Source broad position and transfer quote only; detailed role and buyer-specific production not validated.</x:v>
      </x:c>
      <x:c r="P922" s="69" t="str">
        <x:v>https://www.theguardian.com/football/ng-interactive/2026/sep/01/mens-transfer-window-summer-2026-all-deals-from-europes-top-five-leagues</x:v>
      </x:c>
    </x:row>
    <x:row r="923" ht="25" customHeight="1">
      <x:c r="A923" s="75" t="str">
        <x:v>summer-S26-0238</x:v>
      </x:c>
      <x:c r="B923" s="75" t="str">
        <x:v>Bennit Bröger</x:v>
      </x:c>
      <x:c r="C923" s="75" t="str">
        <x:v>Fortuna Cologne</x:v>
      </x:c>
      <x:c r="D923" s="75" t="str">
        <x:v>Paderborn</x:v>
      </x:c>
      <x:c r="E923" s="77" t="d">
        <x:v>2026-07-03T00:00:00.000Z</x:v>
      </x:c>
      <x:c r="F923" s="75" t="str">
        <x:v>summer</x:v>
      </x:c>
      <x:c r="G923" s="75" t="str">
        <x:v>Midfielder — source label</x:v>
      </x:c>
      <x:c r="H923" s="79"/>
      <x:c r="I923" s="75" t="str">
        <x:v>GBP</x:v>
      </x:c>
      <x:c r="J923" s="81"/>
      <x:c r="K923" s="83"/>
      <x:c r="L923" s="75" t="str">
        <x:v>Evidence needed</x:v>
      </x:c>
      <x:c r="M923" s="75" t="str">
        <x:v>Buyer-specific role, production, availability, signing age and total fee evidence are needed before assigning a deal-value score. Loan/swap costs must be treated separately.</x:v>
      </x:c>
      <x:c r="N923" s="75" t="str">
        <x:v>Not assessed</x:v>
      </x:c>
      <x:c r="O923" s="75" t="str">
        <x:v>Source broad position and transfer quote only; detailed role and buyer-specific production not validated.</x:v>
      </x:c>
      <x:c r="P923" s="75" t="str">
        <x:v>https://www.theguardian.com/football/ng-interactive/2026/sep/01/mens-transfer-window-summer-2026-all-deals-from-europes-top-five-leagues</x:v>
      </x:c>
    </x:row>
    <x:row r="924" ht="25" customHeight="1">
      <x:c r="A924" s="69" t="str">
        <x:v>summer-S26-0239</x:v>
      </x:c>
      <x:c r="B924" s="69" t="str">
        <x:v>Jacopo Mirra</x:v>
      </x:c>
      <x:c r="C924" s="69" t="str">
        <x:v>Atalanta</x:v>
      </x:c>
      <x:c r="D924" s="69" t="str">
        <x:v>Roma</x:v>
      </x:c>
      <x:c r="E924" s="76" t="d">
        <x:v>2026-07-03T00:00:00.000Z</x:v>
      </x:c>
      <x:c r="F924" s="69" t="str">
        <x:v>summer</x:v>
      </x:c>
      <x:c r="G924" s="69" t="str">
        <x:v>Defender — source label</x:v>
      </x:c>
      <x:c r="H924" s="78"/>
      <x:c r="I924" s="69" t="str">
        <x:v>GBP</x:v>
      </x:c>
      <x:c r="J924" s="80"/>
      <x:c r="K924" s="82"/>
      <x:c r="L924" s="69" t="str">
        <x:v>Evidence needed</x:v>
      </x:c>
      <x:c r="M924" s="69" t="str">
        <x:v>Buyer-specific role, production, availability, signing age and total fee evidence are needed before assigning a deal-value score. A zero base fee does not represent wages or signing costs.</x:v>
      </x:c>
      <x:c r="N924" s="69" t="str">
        <x:v>Not assessed</x:v>
      </x:c>
      <x:c r="O924" s="69" t="str">
        <x:v>Source broad position and transfer quote only; detailed role and buyer-specific production not validated.</x:v>
      </x:c>
      <x:c r="P924" s="69" t="str">
        <x:v>https://www.theguardian.com/football/ng-interactive/2026/sep/01/mens-transfer-window-summer-2026-all-deals-from-europes-top-five-leagues</x:v>
      </x:c>
    </x:row>
    <x:row r="925" ht="25" customHeight="1">
      <x:c r="A925" s="75" t="str">
        <x:v>summer-S26-0240</x:v>
      </x:c>
      <x:c r="B925" s="75" t="str">
        <x:v>Mohamed Ouédraogo</x:v>
      </x:c>
      <x:c r="C925" s="75" t="str">
        <x:v>Lyon</x:v>
      </x:c>
      <x:c r="D925" s="75" t="str">
        <x:v>SCR Altach</x:v>
      </x:c>
      <x:c r="E925" s="77" t="d">
        <x:v>2026-07-03T00:00:00.000Z</x:v>
      </x:c>
      <x:c r="F925" s="75" t="str">
        <x:v>summer</x:v>
      </x:c>
      <x:c r="G925" s="75" t="str">
        <x:v>Defender — source label</x:v>
      </x:c>
      <x:c r="H925" s="79" t="n">
        <x:v>1900000</x:v>
      </x:c>
      <x:c r="I925" s="75" t="str">
        <x:v>GBP</x:v>
      </x:c>
      <x:c r="J925" s="81"/>
      <x:c r="K925" s="83"/>
      <x:c r="L925" s="75" t="str">
        <x:v>Evidence needed</x:v>
      </x:c>
      <x:c r="M925" s="75" t="str">
        <x:v>Buyer-specific role, production, availability, signing age and total fee evidence are needed before assigning a deal-value score.</x:v>
      </x:c>
      <x:c r="N925" s="75" t="str">
        <x:v>Not assessed</x:v>
      </x:c>
      <x:c r="O925" s="75" t="str">
        <x:v>Source broad position and transfer quote only; detailed role and buyer-specific production not validated.</x:v>
      </x:c>
      <x:c r="P925" s="75" t="str">
        <x:v>https://www.theguardian.com/football/ng-interactive/2026/sep/01/mens-transfer-window-summer-2026-all-deals-from-europes-top-five-leagues</x:v>
      </x:c>
    </x:row>
    <x:row r="926" ht="25" customHeight="1">
      <x:c r="A926" s="69" t="str">
        <x:v>summer-S26-0241</x:v>
      </x:c>
      <x:c r="B926" s="69" t="str">
        <x:v>Diego Kochen</x:v>
      </x:c>
      <x:c r="C926" s="69" t="str">
        <x:v>Lyngby</x:v>
      </x:c>
      <x:c r="D926" s="69" t="str">
        <x:v>Barcelona</x:v>
      </x:c>
      <x:c r="E926" s="76" t="d">
        <x:v>2026-07-03T00:00:00.000Z</x:v>
      </x:c>
      <x:c r="F926" s="69" t="str">
        <x:v>summer</x:v>
      </x:c>
      <x:c r="G926" s="69" t="str">
        <x:v>Goalkeeper — source label</x:v>
      </x:c>
      <x:c r="H926" s="78"/>
      <x:c r="I926" s="69" t="str">
        <x:v>GBP</x:v>
      </x:c>
      <x:c r="J926" s="80"/>
      <x:c r="K926" s="82"/>
      <x:c r="L926" s="69" t="str">
        <x:v>Evidence needed</x:v>
      </x:c>
      <x:c r="M926" s="69" t="str">
        <x:v>Buyer-specific shot-stopping, distribution, aerial command, sweeping, signing age and total fee evidence are needed before scoring. Loan/swap costs must be treated separately.</x:v>
      </x:c>
      <x:c r="N926" s="69" t="str">
        <x:v>Not assessed</x:v>
      </x:c>
      <x:c r="O926" s="69" t="str">
        <x:v>Source broad position and transfer quote only; detailed role and buyer-specific production not validated.</x:v>
      </x:c>
      <x:c r="P926" s="69" t="str">
        <x:v>https://www.theguardian.com/football/ng-interactive/2026/sep/01/mens-transfer-window-summer-2026-all-deals-from-europes-top-five-leagues</x:v>
      </x:c>
    </x:row>
    <x:row r="927" ht="25" customHeight="1">
      <x:c r="A927" s="75" t="str">
        <x:v>summer-S26-0242</x:v>
      </x:c>
      <x:c r="B927" s="75" t="str">
        <x:v>Leo Román</x:v>
      </x:c>
      <x:c r="C927" s="75" t="str">
        <x:v>Deportivo La Coruña</x:v>
      </x:c>
      <x:c r="D927" s="75" t="str">
        <x:v>Mallorca</x:v>
      </x:c>
      <x:c r="E927" s="77" t="d">
        <x:v>2026-07-03T00:00:00.000Z</x:v>
      </x:c>
      <x:c r="F927" s="75" t="str">
        <x:v>summer</x:v>
      </x:c>
      <x:c r="G927" s="75" t="str">
        <x:v>Goalkeeper — source label</x:v>
      </x:c>
      <x:c r="H927" s="79" t="n">
        <x:v>7700000</x:v>
      </x:c>
      <x:c r="I927" s="75" t="str">
        <x:v>GBP</x:v>
      </x:c>
      <x:c r="J927" s="81"/>
      <x:c r="K927" s="83"/>
      <x:c r="L927" s="75" t="str">
        <x:v>Evidence needed</x:v>
      </x:c>
      <x:c r="M927" s="75" t="str">
        <x:v>Buyer-specific shot-stopping, distribution, aerial command, sweeping, signing age and total fee evidence are needed before scoring.</x:v>
      </x:c>
      <x:c r="N927" s="75" t="str">
        <x:v>Not assessed</x:v>
      </x:c>
      <x:c r="O927" s="75" t="str">
        <x:v>Source broad position and transfer quote only; detailed role and buyer-specific production not validated.</x:v>
      </x:c>
      <x:c r="P927" s="75" t="str">
        <x:v>https://www.theguardian.com/football/ng-interactive/2026/sep/01/mens-transfer-window-summer-2026-all-deals-from-europes-top-five-leagues</x:v>
      </x:c>
    </x:row>
    <x:row r="928" ht="25" customHeight="1">
      <x:c r="A928" s="69" t="str">
        <x:v>summer-S26-0243</x:v>
      </x:c>
      <x:c r="B928" s="69" t="str">
        <x:v>Nathan Aké</x:v>
      </x:c>
      <x:c r="C928" s="69" t="str">
        <x:v>Fenerbahce</x:v>
      </x:c>
      <x:c r="D928" s="69" t="str">
        <x:v>Manchester City</x:v>
      </x:c>
      <x:c r="E928" s="76" t="d">
        <x:v>2026-07-04T00:00:00.000Z</x:v>
      </x:c>
      <x:c r="F928" s="69" t="str">
        <x:v>summer</x:v>
      </x:c>
      <x:c r="G928" s="69" t="str">
        <x:v>Defender — source label</x:v>
      </x:c>
      <x:c r="H928" s="78" t="n">
        <x:v>7000000</x:v>
      </x:c>
      <x:c r="I928" s="69" t="str">
        <x:v>GBP</x:v>
      </x:c>
      <x:c r="J928" s="80"/>
      <x:c r="K928" s="82"/>
      <x:c r="L928" s="69" t="str">
        <x:v>Evidence needed</x:v>
      </x:c>
      <x:c r="M928" s="69" t="str">
        <x:v>Buyer-specific role, production, availability, signing age and total fee evidence are needed before assigning a deal-value score.</x:v>
      </x:c>
      <x:c r="N928" s="69" t="str">
        <x:v>Not assessed</x:v>
      </x:c>
      <x:c r="O928" s="69" t="str">
        <x:v>Source broad position and transfer quote only; detailed role and buyer-specific production not validated.</x:v>
      </x:c>
      <x:c r="P928" s="69" t="str">
        <x:v>https://www.theguardian.com/football/ng-interactive/2026/sep/01/mens-transfer-window-summer-2026-all-deals-from-europes-top-five-leagues</x:v>
      </x:c>
    </x:row>
    <x:row r="929" ht="25" customHeight="1">
      <x:c r="A929" s="75" t="str">
        <x:v>summer-S26-0244</x:v>
      </x:c>
      <x:c r="B929" s="75" t="str">
        <x:v>Benjamin Brantlind</x:v>
      </x:c>
      <x:c r="C929" s="75" t="str">
        <x:v>Strasbourg</x:v>
      </x:c>
      <x:c r="D929" s="75" t="str">
        <x:v>IFK Göteborg</x:v>
      </x:c>
      <x:c r="E929" s="77" t="d">
        <x:v>2026-07-04T00:00:00.000Z</x:v>
      </x:c>
      <x:c r="F929" s="75" t="str">
        <x:v>summer</x:v>
      </x:c>
      <x:c r="G929" s="75" t="str">
        <x:v>Midfielder — source label</x:v>
      </x:c>
      <x:c r="H929" s="79" t="n">
        <x:v>900000</x:v>
      </x:c>
      <x:c r="I929" s="75" t="str">
        <x:v>GBP</x:v>
      </x:c>
      <x:c r="J929" s="81"/>
      <x:c r="K929" s="83"/>
      <x:c r="L929" s="75" t="str">
        <x:v>Evidence needed</x:v>
      </x:c>
      <x:c r="M929" s="75" t="str">
        <x:v>Buyer-specific role, production, availability, signing age and total fee evidence are needed before assigning a deal-value score.</x:v>
      </x:c>
      <x:c r="N929" s="75" t="str">
        <x:v>Not assessed</x:v>
      </x:c>
      <x:c r="O929" s="75" t="str">
        <x:v>Source broad position and transfer quote only; detailed role and buyer-specific production not validated.</x:v>
      </x:c>
      <x:c r="P929" s="75" t="str">
        <x:v>https://www.theguardian.com/football/ng-interactive/2026/sep/01/mens-transfer-window-summer-2026-all-deals-from-europes-top-five-leagues</x:v>
      </x:c>
    </x:row>
    <x:row r="930" ht="25" customHeight="1">
      <x:c r="A930" s="69" t="str">
        <x:v>summer-S26-0245</x:v>
      </x:c>
      <x:c r="B930" s="69" t="str">
        <x:v>Kasey Palmer</x:v>
      </x:c>
      <x:c r="C930" s="69" t="str">
        <x:v>Luton Town</x:v>
      </x:c>
      <x:c r="D930" s="69" t="str">
        <x:v>Hull City</x:v>
      </x:c>
      <x:c r="E930" s="76" t="d">
        <x:v>2026-07-04T00:00:00.000Z</x:v>
      </x:c>
      <x:c r="F930" s="69" t="str">
        <x:v>summer</x:v>
      </x:c>
      <x:c r="G930" s="69" t="str">
        <x:v>Midfielder — source label</x:v>
      </x:c>
      <x:c r="H930" s="78"/>
      <x:c r="I930" s="69" t="str">
        <x:v>GBP</x:v>
      </x:c>
      <x:c r="J930" s="80"/>
      <x:c r="K930" s="82"/>
      <x:c r="L930" s="69" t="str">
        <x:v>Evidence needed</x:v>
      </x:c>
      <x:c r="M930" s="69" t="str">
        <x:v>Buyer-specific role, production, availability, signing age and total fee evidence are needed before assigning a deal-value score.</x:v>
      </x:c>
      <x:c r="N930" s="69" t="str">
        <x:v>Not assessed</x:v>
      </x:c>
      <x:c r="O930" s="69" t="str">
        <x:v>Source broad position and transfer quote only; detailed role and buyer-specific production not validated.</x:v>
      </x:c>
      <x:c r="P930" s="69" t="str">
        <x:v>https://www.theguardian.com/football/ng-interactive/2026/sep/01/mens-transfer-window-summer-2026-all-deals-from-europes-top-five-leagues</x:v>
      </x:c>
    </x:row>
    <x:row r="931" ht="25" customHeight="1">
      <x:c r="A931" s="75" t="str">
        <x:v>summer-S26-0247</x:v>
      </x:c>
      <x:c r="B931" s="75" t="str">
        <x:v>Tommaso Cassandro</x:v>
      </x:c>
      <x:c r="C931" s="75" t="str">
        <x:v>Palermo</x:v>
      </x:c>
      <x:c r="D931" s="75" t="str">
        <x:v>Como 1907</x:v>
      </x:c>
      <x:c r="E931" s="77" t="d">
        <x:v>2026-07-04T00:00:00.000Z</x:v>
      </x:c>
      <x:c r="F931" s="75" t="str">
        <x:v>summer</x:v>
      </x:c>
      <x:c r="G931" s="75" t="str">
        <x:v>Defender — source label</x:v>
      </x:c>
      <x:c r="H931" s="79"/>
      <x:c r="I931" s="75" t="str">
        <x:v>GBP</x:v>
      </x:c>
      <x:c r="J931" s="81"/>
      <x:c r="K931" s="83"/>
      <x:c r="L931" s="75" t="str">
        <x:v>Evidence needed</x:v>
      </x:c>
      <x:c r="M931" s="75" t="str">
        <x:v>Buyer-specific role, production, availability, signing age and total fee evidence are needed before assigning a deal-value score.</x:v>
      </x:c>
      <x:c r="N931" s="75" t="str">
        <x:v>Not assessed</x:v>
      </x:c>
      <x:c r="O931" s="75" t="str">
        <x:v>Source broad position and transfer quote only; detailed role and buyer-specific production not validated.</x:v>
      </x:c>
      <x:c r="P931" s="75" t="str">
        <x:v>https://www.theguardian.com/football/ng-interactive/2026/sep/01/mens-transfer-window-summer-2026-all-deals-from-europes-top-five-leagues</x:v>
      </x:c>
    </x:row>
    <x:row r="932" ht="25" customHeight="1">
      <x:c r="A932" s="69" t="str">
        <x:v>summer-S26-0249</x:v>
      </x:c>
      <x:c r="B932" s="69" t="str">
        <x:v>Leonardo Baroncelli</x:v>
      </x:c>
      <x:c r="C932" s="69" t="str">
        <x:v>Gubbio</x:v>
      </x:c>
      <x:c r="D932" s="69" t="str">
        <x:v>Fiorentina</x:v>
      </x:c>
      <x:c r="E932" s="76" t="d">
        <x:v>2026-07-04T00:00:00.000Z</x:v>
      </x:c>
      <x:c r="F932" s="69" t="str">
        <x:v>summer</x:v>
      </x:c>
      <x:c r="G932" s="69" t="str">
        <x:v>Defender — source label</x:v>
      </x:c>
      <x:c r="H932" s="78"/>
      <x:c r="I932" s="69" t="str">
        <x:v>GBP</x:v>
      </x:c>
      <x:c r="J932" s="80"/>
      <x:c r="K932" s="82"/>
      <x:c r="L932" s="69" t="str">
        <x:v>Evidence needed</x:v>
      </x:c>
      <x:c r="M932" s="69" t="str">
        <x:v>Buyer-specific role, production, availability, signing age and total fee evidence are needed before assigning a deal-value score.</x:v>
      </x:c>
      <x:c r="N932" s="69" t="str">
        <x:v>Not assessed</x:v>
      </x:c>
      <x:c r="O932" s="69" t="str">
        <x:v>Source broad position and transfer quote only; detailed role and buyer-specific production not validated.</x:v>
      </x:c>
      <x:c r="P932" s="69" t="str">
        <x:v>https://www.theguardian.com/football/ng-interactive/2026/sep/01/mens-transfer-window-summer-2026-all-deals-from-europes-top-five-leagues</x:v>
      </x:c>
    </x:row>
    <x:row r="933" ht="25" customHeight="1">
      <x:c r="A933" s="75" t="str">
        <x:v>summer-S26-0250</x:v>
      </x:c>
      <x:c r="B933" s="75" t="str">
        <x:v>Denzel Dumfries</x:v>
      </x:c>
      <x:c r="C933" s="75" t="str">
        <x:v>Real Madrid</x:v>
      </x:c>
      <x:c r="D933" s="75" t="str">
        <x:v>Inter</x:v>
      </x:c>
      <x:c r="E933" s="77" t="d">
        <x:v>2026-07-05T00:00:00.000Z</x:v>
      </x:c>
      <x:c r="F933" s="75" t="str">
        <x:v>summer</x:v>
      </x:c>
      <x:c r="G933" s="75" t="str">
        <x:v>Defender — source label</x:v>
      </x:c>
      <x:c r="H933" s="79" t="n">
        <x:v>17100000</x:v>
      </x:c>
      <x:c r="I933" s="75" t="str">
        <x:v>GBP</x:v>
      </x:c>
      <x:c r="J933" s="81"/>
      <x:c r="K933" s="83"/>
      <x:c r="L933" s="75" t="str">
        <x:v>Evidence needed</x:v>
      </x:c>
      <x:c r="M933" s="75" t="str">
        <x:v>Buyer-specific role, production, availability, signing age and total fee evidence are needed before assigning a deal-value score.</x:v>
      </x:c>
      <x:c r="N933" s="75" t="str">
        <x:v>Not assessed</x:v>
      </x:c>
      <x:c r="O933" s="75" t="str">
        <x:v>Source broad position and transfer quote only; detailed role and buyer-specific production not validated.</x:v>
      </x:c>
      <x:c r="P933" s="75" t="str">
        <x:v>https://www.theguardian.com/football/ng-interactive/2026/sep/01/mens-transfer-window-summer-2026-all-deals-from-europes-top-five-leagues</x:v>
      </x:c>
    </x:row>
    <x:row r="934" ht="25" customHeight="1">
      <x:c r="A934" s="69" t="str">
        <x:v>summer-S26-0254</x:v>
      </x:c>
      <x:c r="B934" s="69" t="str">
        <x:v>Lasse Riess</x:v>
      </x:c>
      <x:c r="C934" s="69" t="str">
        <x:v>Fortuna Düsseldorf</x:v>
      </x:c>
      <x:c r="D934" s="69" t="str">
        <x:v>Mainz 05</x:v>
      </x:c>
      <x:c r="E934" s="76" t="d">
        <x:v>2026-07-06T00:00:00.000Z</x:v>
      </x:c>
      <x:c r="F934" s="69" t="str">
        <x:v>summer</x:v>
      </x:c>
      <x:c r="G934" s="69" t="str">
        <x:v>Goalkeeper — source label</x:v>
      </x:c>
      <x:c r="H934" s="78"/>
      <x:c r="I934" s="69" t="str">
        <x:v>GBP</x:v>
      </x:c>
      <x:c r="J934" s="80"/>
      <x:c r="K934" s="82"/>
      <x:c r="L934" s="69" t="str">
        <x:v>Evidence needed</x:v>
      </x:c>
      <x:c r="M934" s="69" t="str">
        <x:v>Buyer-specific shot-stopping, distribution, aerial command, sweeping, signing age and total fee evidence are needed before scoring. Loan/swap costs must be treated separately.</x:v>
      </x:c>
      <x:c r="N934" s="69" t="str">
        <x:v>Not assessed</x:v>
      </x:c>
      <x:c r="O934" s="69" t="str">
        <x:v>Source broad position and transfer quote only; detailed role and buyer-specific production not validated.</x:v>
      </x:c>
      <x:c r="P934" s="69" t="str">
        <x:v>https://www.theguardian.com/football/ng-interactive/2026/sep/01/mens-transfer-window-summer-2026-all-deals-from-europes-top-five-leagues</x:v>
      </x:c>
    </x:row>
    <x:row r="935" ht="25" customHeight="1">
      <x:c r="A935" s="75" t="str">
        <x:v>summer-S26-0255</x:v>
      </x:c>
      <x:c r="B935" s="75" t="str">
        <x:v>Oliver Sorg</x:v>
      </x:c>
      <x:c r="C935" s="75" t="str">
        <x:v>SV Ried</x:v>
      </x:c>
      <x:c r="D935" s="75" t="str">
        <x:v>Augsburg</x:v>
      </x:c>
      <x:c r="E935" s="77" t="d">
        <x:v>2026-07-06T00:00:00.000Z</x:v>
      </x:c>
      <x:c r="F935" s="75" t="str">
        <x:v>summer</x:v>
      </x:c>
      <x:c r="G935" s="75" t="str">
        <x:v>Defender — source label</x:v>
      </x:c>
      <x:c r="H935" s="79"/>
      <x:c r="I935" s="75" t="str">
        <x:v>GBP</x:v>
      </x:c>
      <x:c r="J935" s="81"/>
      <x:c r="K935" s="83"/>
      <x:c r="L935" s="75" t="str">
        <x:v>Evidence needed</x:v>
      </x:c>
      <x:c r="M935" s="75" t="str">
        <x:v>Buyer-specific role, production, availability, signing age and total fee evidence are needed before assigning a deal-value score.</x:v>
      </x:c>
      <x:c r="N935" s="75" t="str">
        <x:v>Not assessed</x:v>
      </x:c>
      <x:c r="O935" s="75" t="str">
        <x:v>Source broad position and transfer quote only; detailed role and buyer-specific production not validated.</x:v>
      </x:c>
      <x:c r="P935" s="75" t="str">
        <x:v>https://www.theguardian.com/football/ng-interactive/2026/sep/01/mens-transfer-window-summer-2026-all-deals-from-europes-top-five-leagues</x:v>
      </x:c>
    </x:row>
    <x:row r="936" ht="25" customHeight="1">
      <x:c r="A936" s="69" t="str">
        <x:v>summer-S26-0257</x:v>
      </x:c>
      <x:c r="B936" s="69" t="str">
        <x:v>Giorgi Chakvetadze</x:v>
      </x:c>
      <x:c r="C936" s="69" t="str">
        <x:v>Udinese</x:v>
      </x:c>
      <x:c r="D936" s="69" t="str">
        <x:v>Watford</x:v>
      </x:c>
      <x:c r="E936" s="76" t="d">
        <x:v>2026-07-06T00:00:00.000Z</x:v>
      </x:c>
      <x:c r="F936" s="69" t="str">
        <x:v>summer</x:v>
      </x:c>
      <x:c r="G936" s="69" t="str">
        <x:v>Midfielder — source label</x:v>
      </x:c>
      <x:c r="H936" s="78"/>
      <x:c r="I936" s="69" t="str">
        <x:v>GBP</x:v>
      </x:c>
      <x:c r="J936" s="80"/>
      <x:c r="K936" s="82"/>
      <x:c r="L936" s="69" t="str">
        <x:v>Evidence needed</x:v>
      </x:c>
      <x:c r="M936" s="69" t="str">
        <x:v>Buyer-specific role, production, availability, signing age and total fee evidence are needed before assigning a deal-value score.</x:v>
      </x:c>
      <x:c r="N936" s="69" t="str">
        <x:v>Not assessed</x:v>
      </x:c>
      <x:c r="O936" s="69" t="str">
        <x:v>Source broad position and transfer quote only; detailed role and buyer-specific production not validated.</x:v>
      </x:c>
      <x:c r="P936" s="69" t="str">
        <x:v>https://www.theguardian.com/football/ng-interactive/2026/sep/01/mens-transfer-window-summer-2026-all-deals-from-europes-top-five-leagues</x:v>
      </x:c>
    </x:row>
    <x:row r="937" ht="25" customHeight="1">
      <x:c r="A937" s="75" t="str">
        <x:v>summer-S26-0258</x:v>
      </x:c>
      <x:c r="B937" s="75" t="str">
        <x:v>Zaid Romero</x:v>
      </x:c>
      <x:c r="C937" s="75" t="str">
        <x:v>Getafe</x:v>
      </x:c>
      <x:c r="D937" s="75" t="str">
        <x:v>Club Brugge</x:v>
      </x:c>
      <x:c r="E937" s="77" t="d">
        <x:v>2026-07-06T00:00:00.000Z</x:v>
      </x:c>
      <x:c r="F937" s="75" t="str">
        <x:v>summer</x:v>
      </x:c>
      <x:c r="G937" s="75" t="str">
        <x:v>Defender — source label</x:v>
      </x:c>
      <x:c r="H937" s="79" t="n">
        <x:v>5100000</x:v>
      </x:c>
      <x:c r="I937" s="75" t="str">
        <x:v>GBP</x:v>
      </x:c>
      <x:c r="J937" s="81"/>
      <x:c r="K937" s="83"/>
      <x:c r="L937" s="75" t="str">
        <x:v>Evidence needed</x:v>
      </x:c>
      <x:c r="M937" s="75" t="str">
        <x:v>Buyer-specific role, production, availability, signing age and total fee evidence are needed before assigning a deal-value score.</x:v>
      </x:c>
      <x:c r="N937" s="75" t="str">
        <x:v>Not assessed</x:v>
      </x:c>
      <x:c r="O937" s="75" t="str">
        <x:v>Source broad position and transfer quote only; detailed role and buyer-specific production not validated.</x:v>
      </x:c>
      <x:c r="P937" s="75" t="str">
        <x:v>https://www.theguardian.com/football/ng-interactive/2026/sep/01/mens-transfer-window-summer-2026-all-deals-from-europes-top-five-leagues</x:v>
      </x:c>
    </x:row>
    <x:row r="938" ht="25" customHeight="1">
      <x:c r="A938" s="69" t="str">
        <x:v>summer-S26-0259</x:v>
      </x:c>
      <x:c r="B938" s="69" t="str">
        <x:v>Alessandro Longoni</x:v>
      </x:c>
      <x:c r="C938" s="69" t="str">
        <x:v>Paris Saint-Germain</x:v>
      </x:c>
      <x:c r="D938" s="69" t="str">
        <x:v>Milan</x:v>
      </x:c>
      <x:c r="E938" s="76" t="d">
        <x:v>2026-07-06T00:00:00.000Z</x:v>
      </x:c>
      <x:c r="F938" s="69" t="str">
        <x:v>summer</x:v>
      </x:c>
      <x:c r="G938" s="69" t="str">
        <x:v>Goalkeeper — source label</x:v>
      </x:c>
      <x:c r="H938" s="78"/>
      <x:c r="I938" s="69" t="str">
        <x:v>GBP</x:v>
      </x:c>
      <x:c r="J938" s="80"/>
      <x:c r="K938" s="82"/>
      <x:c r="L938" s="69" t="str">
        <x:v>Evidence needed</x:v>
      </x:c>
      <x:c r="M938" s="69" t="str">
        <x:v>Buyer-specific shot-stopping, distribution, aerial command, sweeping, signing age and total fee evidence are needed before scoring. A zero base fee does not represent wages or signing costs.</x:v>
      </x:c>
      <x:c r="N938" s="69" t="str">
        <x:v>Not assessed</x:v>
      </x:c>
      <x:c r="O938" s="69" t="str">
        <x:v>Source broad position and transfer quote only; detailed role and buyer-specific production not validated.</x:v>
      </x:c>
      <x:c r="P938" s="69" t="str">
        <x:v>https://www.theguardian.com/football/ng-interactive/2026/sep/01/mens-transfer-window-summer-2026-all-deals-from-europes-top-five-leagues</x:v>
      </x:c>
    </x:row>
    <x:row r="939" ht="25" customHeight="1">
      <x:c r="A939" s="75" t="str">
        <x:v>summer-S26-0260</x:v>
      </x:c>
      <x:c r="B939" s="75" t="str">
        <x:v>Milosz Piekutowski</x:v>
      </x:c>
      <x:c r="C939" s="75" t="str">
        <x:v>Strasbourg</x:v>
      </x:c>
      <x:c r="D939" s="75" t="str">
        <x:v>Jagiellonia</x:v>
      </x:c>
      <x:c r="E939" s="77" t="d">
        <x:v>2026-07-06T00:00:00.000Z</x:v>
      </x:c>
      <x:c r="F939" s="75" t="str">
        <x:v>summer</x:v>
      </x:c>
      <x:c r="G939" s="75" t="str">
        <x:v>Goalkeeper — source label</x:v>
      </x:c>
      <x:c r="H939" s="79"/>
      <x:c r="I939" s="75" t="str">
        <x:v>GBP</x:v>
      </x:c>
      <x:c r="J939" s="81"/>
      <x:c r="K939" s="83"/>
      <x:c r="L939" s="75" t="str">
        <x:v>Evidence needed</x:v>
      </x:c>
      <x:c r="M939" s="75" t="str">
        <x:v>Buyer-specific shot-stopping, distribution, aerial command, sweeping, signing age and total fee evidence are needed before scoring. A zero base fee does not represent wages or signing costs.</x:v>
      </x:c>
      <x:c r="N939" s="75" t="str">
        <x:v>Not assessed</x:v>
      </x:c>
      <x:c r="O939" s="75" t="str">
        <x:v>Source broad position and transfer quote only; detailed role and buyer-specific production not validated.</x:v>
      </x:c>
      <x:c r="P939" s="75" t="str">
        <x:v>https://www.theguardian.com/football/ng-interactive/2026/sep/01/mens-transfer-window-summer-2026-all-deals-from-europes-top-five-leagues</x:v>
      </x:c>
    </x:row>
    <x:row r="940" ht="25" customHeight="1">
      <x:c r="A940" s="69" t="str">
        <x:v>summer-S26-0262</x:v>
      </x:c>
      <x:c r="B940" s="69" t="str">
        <x:v>Felipe Sánchez</x:v>
      </x:c>
      <x:c r="C940" s="69" t="str">
        <x:v>Santos Laguna</x:v>
      </x:c>
      <x:c r="D940" s="69" t="str">
        <x:v>Schalke 04</x:v>
      </x:c>
      <x:c r="E940" s="76" t="d">
        <x:v>2026-07-05T00:00:00.000Z</x:v>
      </x:c>
      <x:c r="F940" s="69" t="str">
        <x:v>summer</x:v>
      </x:c>
      <x:c r="G940" s="69" t="str">
        <x:v>Defender — source label</x:v>
      </x:c>
      <x:c r="H940" s="78"/>
      <x:c r="I940" s="69" t="str">
        <x:v>GBP</x:v>
      </x:c>
      <x:c r="J940" s="80"/>
      <x:c r="K940" s="82"/>
      <x:c r="L940" s="69" t="str">
        <x:v>Evidence needed</x:v>
      </x:c>
      <x:c r="M940" s="69" t="str">
        <x:v>Buyer-specific role, production, availability, signing age and total fee evidence are needed before assigning a deal-value score. Loan/swap costs must be treated separately.</x:v>
      </x:c>
      <x:c r="N940" s="69" t="str">
        <x:v>Not assessed</x:v>
      </x:c>
      <x:c r="O940" s="69" t="str">
        <x:v>Source broad position and transfer quote only; detailed role and buyer-specific production not validated.</x:v>
      </x:c>
      <x:c r="P940" s="69" t="str">
        <x:v>https://www.theguardian.com/football/ng-interactive/2026/sep/01/mens-transfer-window-summer-2026-all-deals-from-europes-top-five-leagues</x:v>
      </x:c>
    </x:row>
    <x:row r="941" ht="25" customHeight="1">
      <x:c r="A941" s="75" t="str">
        <x:v>summer-S26-0263</x:v>
      </x:c>
      <x:c r="B941" s="75" t="str">
        <x:v>Facundo Bernal</x:v>
      </x:c>
      <x:c r="C941" s="75" t="str">
        <x:v>Real Betis</x:v>
      </x:c>
      <x:c r="D941" s="75" t="str">
        <x:v>Fluminense</x:v>
      </x:c>
      <x:c r="E941" s="77" t="d">
        <x:v>2026-07-06T00:00:00.000Z</x:v>
      </x:c>
      <x:c r="F941" s="75" t="str">
        <x:v>summer</x:v>
      </x:c>
      <x:c r="G941" s="75" t="str">
        <x:v>Midfielder — source label</x:v>
      </x:c>
      <x:c r="H941" s="79" t="n">
        <x:v>8900000</x:v>
      </x:c>
      <x:c r="I941" s="75" t="str">
        <x:v>GBP</x:v>
      </x:c>
      <x:c r="J941" s="81"/>
      <x:c r="K941" s="83"/>
      <x:c r="L941" s="75" t="str">
        <x:v>Evidence needed</x:v>
      </x:c>
      <x:c r="M941" s="75" t="str">
        <x:v>Buyer-specific role, production, availability, signing age and total fee evidence are needed before assigning a deal-value score.</x:v>
      </x:c>
      <x:c r="N941" s="75" t="str">
        <x:v>Not assessed</x:v>
      </x:c>
      <x:c r="O941" s="75" t="str">
        <x:v>Source broad position and transfer quote only; detailed role and buyer-specific production not validated.</x:v>
      </x:c>
      <x:c r="P941" s="75" t="str">
        <x:v>https://www.theguardian.com/football/ng-interactive/2026/sep/01/mens-transfer-window-summer-2026-all-deals-from-europes-top-five-leagues</x:v>
      </x:c>
    </x:row>
    <x:row r="942" ht="25" customHeight="1">
      <x:c r="A942" s="69" t="str">
        <x:v>summer-S26-0265</x:v>
      </x:c>
      <x:c r="B942" s="69" t="str">
        <x:v>Mamadou Diop</x:v>
      </x:c>
      <x:c r="C942" s="69" t="str">
        <x:v>Auxerre</x:v>
      </x:c>
      <x:c r="D942" s="69" t="str">
        <x:v>Grenoble</x:v>
      </x:c>
      <x:c r="E942" s="76" t="d">
        <x:v>2026-07-06T00:00:00.000Z</x:v>
      </x:c>
      <x:c r="F942" s="69" t="str">
        <x:v>summer</x:v>
      </x:c>
      <x:c r="G942" s="69" t="str">
        <x:v>Goalkeeper — source label</x:v>
      </x:c>
      <x:c r="H942" s="78" t="n">
        <x:v>1700000</x:v>
      </x:c>
      <x:c r="I942" s="69" t="str">
        <x:v>GBP</x:v>
      </x:c>
      <x:c r="J942" s="80"/>
      <x:c r="K942" s="82"/>
      <x:c r="L942" s="69" t="str">
        <x:v>Evidence needed</x:v>
      </x:c>
      <x:c r="M942" s="69" t="str">
        <x:v>Buyer-specific shot-stopping, distribution, aerial command, sweeping, signing age and total fee evidence are needed before scoring.</x:v>
      </x:c>
      <x:c r="N942" s="69" t="str">
        <x:v>Not assessed</x:v>
      </x:c>
      <x:c r="O942" s="69" t="str">
        <x:v>Source broad position and transfer quote only; detailed role and buyer-specific production not validated.</x:v>
      </x:c>
      <x:c r="P942" s="69" t="str">
        <x:v>https://www.theguardian.com/football/ng-interactive/2026/sep/01/mens-transfer-window-summer-2026-all-deals-from-europes-top-five-leagues</x:v>
      </x:c>
    </x:row>
    <x:row r="943" ht="25" customHeight="1">
      <x:c r="A943" s="75" t="str">
        <x:v>summer-S26-0267</x:v>
      </x:c>
      <x:c r="B943" s="75" t="str">
        <x:v>Quilindschy Hartman</x:v>
      </x:c>
      <x:c r="C943" s="75" t="str">
        <x:v>Espanyol</x:v>
      </x:c>
      <x:c r="D943" s="75" t="str">
        <x:v>Burnley</x:v>
      </x:c>
      <x:c r="E943" s="77" t="d">
        <x:v>2026-07-07T00:00:00.000Z</x:v>
      </x:c>
      <x:c r="F943" s="75" t="str">
        <x:v>summer</x:v>
      </x:c>
      <x:c r="G943" s="75" t="str">
        <x:v>Defender — source label</x:v>
      </x:c>
      <x:c r="H943" s="79"/>
      <x:c r="I943" s="75" t="str">
        <x:v>GBP</x:v>
      </x:c>
      <x:c r="J943" s="81"/>
      <x:c r="K943" s="83"/>
      <x:c r="L943" s="75" t="str">
        <x:v>Evidence needed</x:v>
      </x:c>
      <x:c r="M943" s="75" t="str">
        <x:v>Buyer-specific role, production, availability, signing age and total fee evidence are needed before assigning a deal-value score. Loan/swap costs must be treated separately.</x:v>
      </x:c>
      <x:c r="N943" s="75" t="str">
        <x:v>Not assessed</x:v>
      </x:c>
      <x:c r="O943" s="75" t="str">
        <x:v>Source broad position and transfer quote only; detailed role and buyer-specific production not validated.</x:v>
      </x:c>
      <x:c r="P943" s="75" t="str">
        <x:v>https://www.theguardian.com/football/ng-interactive/2026/sep/01/mens-transfer-window-summer-2026-all-deals-from-europes-top-five-leagues</x:v>
      </x:c>
    </x:row>
    <x:row r="944" ht="25" customHeight="1">
      <x:c r="A944" s="69" t="str">
        <x:v>summer-S26-0271</x:v>
      </x:c>
      <x:c r="B944" s="69" t="str">
        <x:v>Ryunosuke Sato</x:v>
      </x:c>
      <x:c r="C944" s="69" t="str">
        <x:v>Valencia</x:v>
      </x:c>
      <x:c r="D944" s="69" t="str">
        <x:v>FC Tokyo</x:v>
      </x:c>
      <x:c r="E944" s="76" t="d">
        <x:v>2026-07-07T00:00:00.000Z</x:v>
      </x:c>
      <x:c r="F944" s="69" t="str">
        <x:v>summer</x:v>
      </x:c>
      <x:c r="G944" s="69" t="str">
        <x:v>Midfielder — source label</x:v>
      </x:c>
      <x:c r="H944" s="78"/>
      <x:c r="I944" s="69" t="str">
        <x:v>GBP</x:v>
      </x:c>
      <x:c r="J944" s="80"/>
      <x:c r="K944" s="82"/>
      <x:c r="L944" s="69" t="str">
        <x:v>Evidence needed</x:v>
      </x:c>
      <x:c r="M944" s="69" t="str">
        <x:v>Buyer-specific role, production, availability, signing age and total fee evidence are needed before assigning a deal-value score.</x:v>
      </x:c>
      <x:c r="N944" s="69" t="str">
        <x:v>Not assessed</x:v>
      </x:c>
      <x:c r="O944" s="69" t="str">
        <x:v>Source broad position and transfer quote only; detailed role and buyer-specific production not validated.</x:v>
      </x:c>
      <x:c r="P944" s="69" t="str">
        <x:v>https://www.theguardian.com/football/ng-interactive/2026/sep/01/mens-transfer-window-summer-2026-all-deals-from-europes-top-five-leagues</x:v>
      </x:c>
    </x:row>
    <x:row r="945" ht="25" customHeight="1">
      <x:c r="A945" s="75" t="str">
        <x:v>summer-S26-0272</x:v>
      </x:c>
      <x:c r="B945" s="75" t="str">
        <x:v>Kaito Mizuta</x:v>
      </x:c>
      <x:c r="C945" s="75" t="str">
        <x:v>Le Havre</x:v>
      </x:c>
      <x:c r="D945" s="75" t="str">
        <x:v>RW Essen</x:v>
      </x:c>
      <x:c r="E945" s="77" t="d">
        <x:v>2026-07-07T00:00:00.000Z</x:v>
      </x:c>
      <x:c r="F945" s="75" t="str">
        <x:v>summer</x:v>
      </x:c>
      <x:c r="G945" s="75" t="str">
        <x:v>Midfielder — source label</x:v>
      </x:c>
      <x:c r="H945" s="79"/>
      <x:c r="I945" s="75" t="str">
        <x:v>GBP</x:v>
      </x:c>
      <x:c r="J945" s="81"/>
      <x:c r="K945" s="83"/>
      <x:c r="L945" s="75" t="str">
        <x:v>Evidence needed</x:v>
      </x:c>
      <x:c r="M945" s="75" t="str">
        <x:v>Buyer-specific role, production, availability, signing age and total fee evidence are needed before assigning a deal-value score. A zero base fee does not represent wages or signing costs.</x:v>
      </x:c>
      <x:c r="N945" s="75" t="str">
        <x:v>Not assessed</x:v>
      </x:c>
      <x:c r="O945" s="75" t="str">
        <x:v>Source broad position and transfer quote only; detailed role and buyer-specific production not validated.</x:v>
      </x:c>
      <x:c r="P945" s="75" t="str">
        <x:v>https://www.theguardian.com/football/ng-interactive/2026/sep/01/mens-transfer-window-summer-2026-all-deals-from-europes-top-five-leagues</x:v>
      </x:c>
    </x:row>
    <x:row r="946" ht="25" customHeight="1">
      <x:c r="A946" s="69" t="str">
        <x:v>summer-S26-0273</x:v>
      </x:c>
      <x:c r="B946" s="69" t="str">
        <x:v>Leon Goretzka</x:v>
      </x:c>
      <x:c r="C946" s="69" t="str">
        <x:v>Aston Villa</x:v>
      </x:c>
      <x:c r="D946" s="69" t="str">
        <x:v>Bayern Munich</x:v>
      </x:c>
      <x:c r="E946" s="76" t="d">
        <x:v>2026-08-27T00:00:00.000Z</x:v>
      </x:c>
      <x:c r="F946" s="69" t="str">
        <x:v>summer</x:v>
      </x:c>
      <x:c r="G946" s="69" t="str">
        <x:v>Midfielder — source label</x:v>
      </x:c>
      <x:c r="H946" s="78"/>
      <x:c r="I946" s="69" t="str">
        <x:v>GBP</x:v>
      </x:c>
      <x:c r="J946" s="80"/>
      <x:c r="K946" s="82"/>
      <x:c r="L946" s="69" t="str">
        <x:v>Evidence needed</x:v>
      </x:c>
      <x:c r="M946" s="69" t="str">
        <x:v>Buyer-specific role, production, availability, signing age and total fee evidence are needed before assigning a deal-value score. A zero base fee does not represent wages or signing costs.</x:v>
      </x:c>
      <x:c r="N946" s="69" t="str">
        <x:v>Not assessed</x:v>
      </x:c>
      <x:c r="O946" s="69" t="str">
        <x:v>Source broad position and transfer quote only; detailed role and buyer-specific production not validated.</x:v>
      </x:c>
      <x:c r="P946" s="69" t="str">
        <x:v>https://www.theguardian.com/football/ng-interactive/2026/sep/01/mens-transfer-window-summer-2026-all-deals-from-europes-top-five-leagues</x:v>
      </x:c>
    </x:row>
    <x:row r="947" ht="25" customHeight="1">
      <x:c r="A947" s="75" t="str">
        <x:v>summer-S26-0274</x:v>
      </x:c>
      <x:c r="B947" s="75" t="str">
        <x:v>Bright Ede</x:v>
      </x:c>
      <x:c r="C947" s="75" t="str">
        <x:v>Deportivo La Coruña</x:v>
      </x:c>
      <x:c r="D947" s="75" t="str">
        <x:v>Motor Lublin</x:v>
      </x:c>
      <x:c r="E947" s="77" t="d">
        <x:v>2026-07-07T00:00:00.000Z</x:v>
      </x:c>
      <x:c r="F947" s="75" t="str">
        <x:v>summer</x:v>
      </x:c>
      <x:c r="G947" s="75" t="str">
        <x:v>Defender — source label</x:v>
      </x:c>
      <x:c r="H947" s="79" t="n">
        <x:v>400000</x:v>
      </x:c>
      <x:c r="I947" s="75" t="str">
        <x:v>GBP</x:v>
      </x:c>
      <x:c r="J947" s="81"/>
      <x:c r="K947" s="83"/>
      <x:c r="L947" s="75" t="str">
        <x:v>Evidence needed</x:v>
      </x:c>
      <x:c r="M947" s="75" t="str">
        <x:v>Buyer-specific role, production, availability, signing age and total fee evidence are needed before assigning a deal-value score.</x:v>
      </x:c>
      <x:c r="N947" s="75" t="str">
        <x:v>Not assessed</x:v>
      </x:c>
      <x:c r="O947" s="75" t="str">
        <x:v>Source broad position and transfer quote only; detailed role and buyer-specific production not validated.</x:v>
      </x:c>
      <x:c r="P947" s="75" t="str">
        <x:v>https://www.theguardian.com/football/ng-interactive/2026/sep/01/mens-transfer-window-summer-2026-all-deals-from-europes-top-five-leagues</x:v>
      </x:c>
    </x:row>
    <x:row r="948" ht="25" customHeight="1">
      <x:c r="A948" s="69" t="str">
        <x:v>summer-S26-0277</x:v>
      </x:c>
      <x:c r="B948" s="69" t="str">
        <x:v>Radu Dragusin</x:v>
      </x:c>
      <x:c r="C948" s="69" t="str">
        <x:v>Fiorentina</x:v>
      </x:c>
      <x:c r="D948" s="69" t="str">
        <x:v>Tottenham Hotspur</x:v>
      </x:c>
      <x:c r="E948" s="76" t="d">
        <x:v>2026-07-08T00:00:00.000Z</x:v>
      </x:c>
      <x:c r="F948" s="69" t="str">
        <x:v>summer</x:v>
      </x:c>
      <x:c r="G948" s="69" t="str">
        <x:v>Defender — source label</x:v>
      </x:c>
      <x:c r="H948" s="78"/>
      <x:c r="I948" s="69" t="str">
        <x:v>GBP</x:v>
      </x:c>
      <x:c r="J948" s="80"/>
      <x:c r="K948" s="82"/>
      <x:c r="L948" s="69" t="str">
        <x:v>Evidence needed</x:v>
      </x:c>
      <x:c r="M948" s="69" t="str">
        <x:v>Buyer-specific role, production, availability, signing age and total fee evidence are needed before assigning a deal-value score. Loan/swap costs must be treated separately.</x:v>
      </x:c>
      <x:c r="N948" s="69" t="str">
        <x:v>Not assessed</x:v>
      </x:c>
      <x:c r="O948" s="69" t="str">
        <x:v>Source broad position and transfer quote only; detailed role and buyer-specific production not validated.</x:v>
      </x:c>
      <x:c r="P948" s="69" t="str">
        <x:v>https://www.theguardian.com/football/ng-interactive/2026/sep/01/mens-transfer-window-summer-2026-all-deals-from-europes-top-five-leagues</x:v>
      </x:c>
    </x:row>
    <x:row r="949" ht="25" customHeight="1">
      <x:c r="A949" s="75" t="str">
        <x:v>summer-S26-0280</x:v>
      </x:c>
      <x:c r="B949" s="75" t="str">
        <x:v>Fran García</x:v>
      </x:c>
      <x:c r="C949" s="75" t="str">
        <x:v>Real Betis</x:v>
      </x:c>
      <x:c r="D949" s="75" t="str">
        <x:v>Real Madrid</x:v>
      </x:c>
      <x:c r="E949" s="77" t="d">
        <x:v>2026-07-08T00:00:00.000Z</x:v>
      </x:c>
      <x:c r="F949" s="75" t="str">
        <x:v>summer</x:v>
      </x:c>
      <x:c r="G949" s="75" t="str">
        <x:v>Defender — source label</x:v>
      </x:c>
      <x:c r="H949" s="79" t="n">
        <x:v>3200000</x:v>
      </x:c>
      <x:c r="I949" s="75" t="str">
        <x:v>GBP</x:v>
      </x:c>
      <x:c r="J949" s="81"/>
      <x:c r="K949" s="83"/>
      <x:c r="L949" s="75" t="str">
        <x:v>Evidence needed</x:v>
      </x:c>
      <x:c r="M949" s="75" t="str">
        <x:v>Buyer-specific role, production, availability, signing age and total fee evidence are needed before assigning a deal-value score.</x:v>
      </x:c>
      <x:c r="N949" s="75" t="str">
        <x:v>Not assessed</x:v>
      </x:c>
      <x:c r="O949" s="75" t="str">
        <x:v>Source broad position and transfer quote only; detailed role and buyer-specific production not validated.</x:v>
      </x:c>
      <x:c r="P949" s="75" t="str">
        <x:v>https://www.theguardian.com/football/ng-interactive/2026/sep/01/mens-transfer-window-summer-2026-all-deals-from-europes-top-five-leagues</x:v>
      </x:c>
    </x:row>
    <x:row r="950" ht="25" customHeight="1">
      <x:c r="A950" s="69" t="str">
        <x:v>summer-S26-0281</x:v>
      </x:c>
      <x:c r="B950" s="69" t="str">
        <x:v>Rasmus Carstensen</x:v>
      </x:c>
      <x:c r="C950" s="69" t="str">
        <x:v>AGF</x:v>
      </x:c>
      <x:c r="D950" s="69" t="str">
        <x:v>Cologne</x:v>
      </x:c>
      <x:c r="E950" s="76" t="d">
        <x:v>2026-07-08T00:00:00.000Z</x:v>
      </x:c>
      <x:c r="F950" s="69" t="str">
        <x:v>summer</x:v>
      </x:c>
      <x:c r="G950" s="69" t="str">
        <x:v>Midfielder — source label</x:v>
      </x:c>
      <x:c r="H950" s="78"/>
      <x:c r="I950" s="69" t="str">
        <x:v>GBP</x:v>
      </x:c>
      <x:c r="J950" s="80"/>
      <x:c r="K950" s="82"/>
      <x:c r="L950" s="69" t="str">
        <x:v>Evidence needed</x:v>
      </x:c>
      <x:c r="M950" s="69" t="str">
        <x:v>Buyer-specific role, production, availability, signing age and total fee evidence are needed before assigning a deal-value score.</x:v>
      </x:c>
      <x:c r="N950" s="69" t="str">
        <x:v>Not assessed</x:v>
      </x:c>
      <x:c r="O950" s="69" t="str">
        <x:v>Source broad position and transfer quote only; detailed role and buyer-specific production not validated.</x:v>
      </x:c>
      <x:c r="P950" s="69" t="str">
        <x:v>https://www.theguardian.com/football/ng-interactive/2026/sep/01/mens-transfer-window-summer-2026-all-deals-from-europes-top-five-leagues</x:v>
      </x:c>
    </x:row>
    <x:row r="951" ht="25" customHeight="1">
      <x:c r="A951" s="75" t="str">
        <x:v>summer-S26-0282</x:v>
      </x:c>
      <x:c r="B951" s="75" t="str">
        <x:v>Alexander Nübel</x:v>
      </x:c>
      <x:c r="C951" s="75" t="str">
        <x:v>Besiktas</x:v>
      </x:c>
      <x:c r="D951" s="75" t="str">
        <x:v>Bayern Munich</x:v>
      </x:c>
      <x:c r="E951" s="77" t="d">
        <x:v>2026-07-08T00:00:00.000Z</x:v>
      </x:c>
      <x:c r="F951" s="75" t="str">
        <x:v>summer</x:v>
      </x:c>
      <x:c r="G951" s="75" t="str">
        <x:v>Goalkeeper — source label</x:v>
      </x:c>
      <x:c r="H951" s="79" t="n">
        <x:v>5500000</x:v>
      </x:c>
      <x:c r="I951" s="75" t="str">
        <x:v>GBP</x:v>
      </x:c>
      <x:c r="J951" s="81"/>
      <x:c r="K951" s="83"/>
      <x:c r="L951" s="75" t="str">
        <x:v>Evidence needed</x:v>
      </x:c>
      <x:c r="M951" s="75" t="str">
        <x:v>Buyer-specific shot-stopping, distribution, aerial command, sweeping, signing age and total fee evidence are needed before scoring.</x:v>
      </x:c>
      <x:c r="N951" s="75" t="str">
        <x:v>Not assessed</x:v>
      </x:c>
      <x:c r="O951" s="75" t="str">
        <x:v>Source broad position and transfer quote only; detailed role and buyer-specific production not validated.</x:v>
      </x:c>
      <x:c r="P951" s="75" t="str">
        <x:v>https://www.theguardian.com/football/ng-interactive/2026/sep/01/mens-transfer-window-summer-2026-all-deals-from-europes-top-five-leagues</x:v>
      </x:c>
    </x:row>
    <x:row r="952" ht="25" customHeight="1">
      <x:c r="A952" s="69" t="str">
        <x:v>summer-S26-0283</x:v>
      </x:c>
      <x:c r="B952" s="69" t="str">
        <x:v>Eddy Kouadio</x:v>
      </x:c>
      <x:c r="C952" s="69" t="str">
        <x:v>Monza</x:v>
      </x:c>
      <x:c r="D952" s="69" t="str">
        <x:v>Fiorentina</x:v>
      </x:c>
      <x:c r="E952" s="76" t="d">
        <x:v>2026-07-08T00:00:00.000Z</x:v>
      </x:c>
      <x:c r="F952" s="69" t="str">
        <x:v>summer</x:v>
      </x:c>
      <x:c r="G952" s="69" t="str">
        <x:v>Defender — source label</x:v>
      </x:c>
      <x:c r="H952" s="78"/>
      <x:c r="I952" s="69" t="str">
        <x:v>GBP</x:v>
      </x:c>
      <x:c r="J952" s="80"/>
      <x:c r="K952" s="82"/>
      <x:c r="L952" s="69" t="str">
        <x:v>Evidence needed</x:v>
      </x:c>
      <x:c r="M952" s="69" t="str">
        <x:v>Buyer-specific role, production, availability, signing age and total fee evidence are needed before assigning a deal-value score. Loan/swap costs must be treated separately.</x:v>
      </x:c>
      <x:c r="N952" s="69" t="str">
        <x:v>Not assessed</x:v>
      </x:c>
      <x:c r="O952" s="69" t="str">
        <x:v>Source broad position and transfer quote only; detailed role and buyer-specific production not validated.</x:v>
      </x:c>
      <x:c r="P952" s="69" t="str">
        <x:v>https://www.theguardian.com/football/ng-interactive/2026/sep/01/mens-transfer-window-summer-2026-all-deals-from-europes-top-five-leagues</x:v>
      </x:c>
    </x:row>
    <x:row r="953" ht="25" customHeight="1">
      <x:c r="A953" s="75" t="str">
        <x:v>summer-S26-0284</x:v>
      </x:c>
      <x:c r="B953" s="75" t="str">
        <x:v>Justin Smith</x:v>
      </x:c>
      <x:c r="C953" s="75" t="str">
        <x:v>Eldense</x:v>
      </x:c>
      <x:c r="D953" s="75" t="str">
        <x:v>Espanyol</x:v>
      </x:c>
      <x:c r="E953" s="77" t="d">
        <x:v>2026-07-08T00:00:00.000Z</x:v>
      </x:c>
      <x:c r="F953" s="75" t="str">
        <x:v>summer</x:v>
      </x:c>
      <x:c r="G953" s="75" t="str">
        <x:v>Midfielder — source label</x:v>
      </x:c>
      <x:c r="H953" s="79"/>
      <x:c r="I953" s="75" t="str">
        <x:v>GBP</x:v>
      </x:c>
      <x:c r="J953" s="81"/>
      <x:c r="K953" s="83"/>
      <x:c r="L953" s="75" t="str">
        <x:v>Evidence needed</x:v>
      </x:c>
      <x:c r="M953" s="75" t="str">
        <x:v>Buyer-specific role, production, availability, signing age and total fee evidence are needed before assigning a deal-value score. A zero base fee does not represent wages or signing costs.</x:v>
      </x:c>
      <x:c r="N953" s="75" t="str">
        <x:v>Not assessed</x:v>
      </x:c>
      <x:c r="O953" s="75" t="str">
        <x:v>Source broad position and transfer quote only; detailed role and buyer-specific production not validated.</x:v>
      </x:c>
      <x:c r="P953" s="75" t="str">
        <x:v>https://www.theguardian.com/football/ng-interactive/2026/sep/01/mens-transfer-window-summer-2026-all-deals-from-europes-top-five-leagues</x:v>
      </x:c>
    </x:row>
    <x:row r="954" ht="25" customHeight="1">
      <x:c r="A954" s="69" t="str">
        <x:v>summer-S26-0288</x:v>
      </x:c>
      <x:c r="B954" s="69" t="str">
        <x:v>Kevin Müller</x:v>
      </x:c>
      <x:c r="C954" s="69" t="str">
        <x:v>Schalke 04</x:v>
      </x:c>
      <x:c r="D954" s="69" t="str">
        <x:v>Heidenheim</x:v>
      </x:c>
      <x:c r="E954" s="76" t="d">
        <x:v>2026-07-08T00:00:00.000Z</x:v>
      </x:c>
      <x:c r="F954" s="69" t="str">
        <x:v>summer</x:v>
      </x:c>
      <x:c r="G954" s="69" t="str">
        <x:v>Goalkeeper — source label</x:v>
      </x:c>
      <x:c r="H954" s="78"/>
      <x:c r="I954" s="69" t="str">
        <x:v>GBP</x:v>
      </x:c>
      <x:c r="J954" s="80"/>
      <x:c r="K954" s="82"/>
      <x:c r="L954" s="69" t="str">
        <x:v>Evidence needed</x:v>
      </x:c>
      <x:c r="M954" s="69" t="str">
        <x:v>Buyer-specific shot-stopping, distribution, aerial command, sweeping, signing age and total fee evidence are needed before scoring.</x:v>
      </x:c>
      <x:c r="N954" s="69" t="str">
        <x:v>Not assessed</x:v>
      </x:c>
      <x:c r="O954" s="69" t="str">
        <x:v>Source broad position and transfer quote only; detailed role and buyer-specific production not validated.</x:v>
      </x:c>
      <x:c r="P954" s="69" t="str">
        <x:v>https://www.theguardian.com/football/ng-interactive/2026/sep/01/mens-transfer-window-summer-2026-all-deals-from-europes-top-five-leagues</x:v>
      </x:c>
    </x:row>
    <x:row r="955" ht="25" customHeight="1">
      <x:c r="A955" s="75" t="str">
        <x:v>summer-S26-0289</x:v>
      </x:c>
      <x:c r="B955" s="75" t="str">
        <x:v>Alfie Devine</x:v>
      </x:c>
      <x:c r="C955" s="75" t="str">
        <x:v>Preston</x:v>
      </x:c>
      <x:c r="D955" s="75" t="str">
        <x:v>Tottenham Hotspur</x:v>
      </x:c>
      <x:c r="E955" s="77" t="d">
        <x:v>2026-07-07T00:00:00.000Z</x:v>
      </x:c>
      <x:c r="F955" s="75" t="str">
        <x:v>summer</x:v>
      </x:c>
      <x:c r="G955" s="75" t="str">
        <x:v>Midfielder — source label</x:v>
      </x:c>
      <x:c r="H955" s="79" t="n">
        <x:v>6000000</x:v>
      </x:c>
      <x:c r="I955" s="75" t="str">
        <x:v>GBP</x:v>
      </x:c>
      <x:c r="J955" s="81"/>
      <x:c r="K955" s="83"/>
      <x:c r="L955" s="75" t="str">
        <x:v>Evidence needed</x:v>
      </x:c>
      <x:c r="M955" s="75" t="str">
        <x:v>Buyer-specific role, production, availability, signing age and total fee evidence are needed before assigning a deal-value score.</x:v>
      </x:c>
      <x:c r="N955" s="75" t="str">
        <x:v>Not assessed</x:v>
      </x:c>
      <x:c r="O955" s="75" t="str">
        <x:v>Source broad position and transfer quote only; detailed role and buyer-specific production not validated.</x:v>
      </x:c>
      <x:c r="P955" s="75" t="str">
        <x:v>https://www.theguardian.com/football/ng-interactive/2026/sep/01/mens-transfer-window-summer-2026-all-deals-from-europes-top-five-leagues</x:v>
      </x:c>
    </x:row>
    <x:row r="956" ht="25" customHeight="1">
      <x:c r="A956" s="69" t="str">
        <x:v>summer-S26-0291</x:v>
      </x:c>
      <x:c r="B956" s="69" t="str">
        <x:v>Óscar Mingueza</x:v>
      </x:c>
      <x:c r="C956" s="69" t="str">
        <x:v>Crystal Palace</x:v>
      </x:c>
      <x:c r="D956" s="69" t="str">
        <x:v>Celta Vigo</x:v>
      </x:c>
      <x:c r="E956" s="76" t="d">
        <x:v>2026-07-09T00:00:00.000Z</x:v>
      </x:c>
      <x:c r="F956" s="69" t="str">
        <x:v>summer</x:v>
      </x:c>
      <x:c r="G956" s="69" t="str">
        <x:v>Defender — source label</x:v>
      </x:c>
      <x:c r="H956" s="78"/>
      <x:c r="I956" s="69" t="str">
        <x:v>GBP</x:v>
      </x:c>
      <x:c r="J956" s="80"/>
      <x:c r="K956" s="82"/>
      <x:c r="L956" s="69" t="str">
        <x:v>Evidence needed</x:v>
      </x:c>
      <x:c r="M956" s="69" t="str">
        <x:v>Buyer-specific role, production, availability, signing age and total fee evidence are needed before assigning a deal-value score. A zero base fee does not represent wages or signing costs.</x:v>
      </x:c>
      <x:c r="N956" s="69" t="str">
        <x:v>Not assessed</x:v>
      </x:c>
      <x:c r="O956" s="69" t="str">
        <x:v>Source broad position and transfer quote only; detailed role and buyer-specific production not validated.</x:v>
      </x:c>
      <x:c r="P956" s="69" t="str">
        <x:v>https://www.theguardian.com/football/ng-interactive/2026/sep/01/mens-transfer-window-summer-2026-all-deals-from-europes-top-five-leagues</x:v>
      </x:c>
    </x:row>
    <x:row r="957" ht="25" customHeight="1">
      <x:c r="A957" s="75" t="str">
        <x:v>summer-S26-0293</x:v>
      </x:c>
      <x:c r="B957" s="75" t="str">
        <x:v>Gabin Bernardeau</x:v>
      </x:c>
      <x:c r="C957" s="75" t="str">
        <x:v>Lorient</x:v>
      </x:c>
      <x:c r="D957" s="75" t="str">
        <x:v>Nice</x:v>
      </x:c>
      <x:c r="E957" s="77" t="d">
        <x:v>2026-07-09T00:00:00.000Z</x:v>
      </x:c>
      <x:c r="F957" s="75" t="str">
        <x:v>summer</x:v>
      </x:c>
      <x:c r="G957" s="75" t="str">
        <x:v>Midfielder — source label</x:v>
      </x:c>
      <x:c r="H957" s="79"/>
      <x:c r="I957" s="75" t="str">
        <x:v>GBP</x:v>
      </x:c>
      <x:c r="J957" s="81"/>
      <x:c r="K957" s="83"/>
      <x:c r="L957" s="75" t="str">
        <x:v>Evidence needed</x:v>
      </x:c>
      <x:c r="M957" s="75" t="str">
        <x:v>Buyer-specific role, production, availability, signing age and total fee evidence are needed before assigning a deal-value score.</x:v>
      </x:c>
      <x:c r="N957" s="75" t="str">
        <x:v>Not assessed</x:v>
      </x:c>
      <x:c r="O957" s="75" t="str">
        <x:v>Source broad position and transfer quote only; detailed role and buyer-specific production not validated.</x:v>
      </x:c>
      <x:c r="P957" s="75" t="str">
        <x:v>https://www.theguardian.com/football/ng-interactive/2026/sep/01/mens-transfer-window-summer-2026-all-deals-from-europes-top-five-leagues</x:v>
      </x:c>
    </x:row>
    <x:row r="958" ht="25" customHeight="1">
      <x:c r="A958" s="69" t="str">
        <x:v>summer-S26-0296</x:v>
      </x:c>
      <x:c r="B958" s="69" t="str">
        <x:v>Harrison Ashby</x:v>
      </x:c>
      <x:c r="C958" s="69" t="str">
        <x:v>Luton Town</x:v>
      </x:c>
      <x:c r="D958" s="69" t="str">
        <x:v>Newcastle United</x:v>
      </x:c>
      <x:c r="E958" s="76" t="d">
        <x:v>2026-07-09T00:00:00.000Z</x:v>
      </x:c>
      <x:c r="F958" s="69" t="str">
        <x:v>summer</x:v>
      </x:c>
      <x:c r="G958" s="69" t="str">
        <x:v>Defender — source label</x:v>
      </x:c>
      <x:c r="H958" s="78"/>
      <x:c r="I958" s="69" t="str">
        <x:v>GBP</x:v>
      </x:c>
      <x:c r="J958" s="80"/>
      <x:c r="K958" s="82"/>
      <x:c r="L958" s="69" t="str">
        <x:v>Evidence needed</x:v>
      </x:c>
      <x:c r="M958" s="69" t="str">
        <x:v>Buyer-specific role, production, availability, signing age and total fee evidence are needed before assigning a deal-value score. Loan/swap costs must be treated separately.</x:v>
      </x:c>
      <x:c r="N958" s="69" t="str">
        <x:v>Not assessed</x:v>
      </x:c>
      <x:c r="O958" s="69" t="str">
        <x:v>Source broad position and transfer quote only; detailed role and buyer-specific production not validated.</x:v>
      </x:c>
      <x:c r="P958" s="69" t="str">
        <x:v>https://www.theguardian.com/football/ng-interactive/2026/sep/01/mens-transfer-window-summer-2026-all-deals-from-europes-top-five-leagues</x:v>
      </x:c>
    </x:row>
    <x:row r="959" ht="25" customHeight="1">
      <x:c r="A959" s="75" t="str">
        <x:v>summer-S26-0297</x:v>
      </x:c>
      <x:c r="B959" s="75" t="str">
        <x:v>Sean Steur</x:v>
      </x:c>
      <x:c r="C959" s="75" t="str">
        <x:v>Newcastle United</x:v>
      </x:c>
      <x:c r="D959" s="75" t="str">
        <x:v>Ajax</x:v>
      </x:c>
      <x:c r="E959" s="77" t="d">
        <x:v>2026-07-09T00:00:00.000Z</x:v>
      </x:c>
      <x:c r="F959" s="75" t="str">
        <x:v>summer</x:v>
      </x:c>
      <x:c r="G959" s="75" t="str">
        <x:v>Midfielder — source label</x:v>
      </x:c>
      <x:c r="H959" s="79" t="n">
        <x:v>20000000</x:v>
      </x:c>
      <x:c r="I959" s="75" t="str">
        <x:v>GBP</x:v>
      </x:c>
      <x:c r="J959" s="81"/>
      <x:c r="K959" s="83"/>
      <x:c r="L959" s="75" t="str">
        <x:v>Evidence needed</x:v>
      </x:c>
      <x:c r="M959" s="75" t="str">
        <x:v>Buyer-specific role, production, availability, signing age and total fee evidence are needed before assigning a deal-value score.</x:v>
      </x:c>
      <x:c r="N959" s="75" t="str">
        <x:v>Not assessed</x:v>
      </x:c>
      <x:c r="O959" s="75" t="str">
        <x:v>Source broad position and transfer quote only; detailed role and buyer-specific production not validated.</x:v>
      </x:c>
      <x:c r="P959" s="75" t="str">
        <x:v>https://www.theguardian.com/football/ng-interactive/2026/sep/01/mens-transfer-window-summer-2026-all-deals-from-europes-top-five-leagues</x:v>
      </x:c>
    </x:row>
    <x:row r="960" ht="25" customHeight="1">
      <x:c r="A960" s="69" t="str">
        <x:v>summer-S26-0298</x:v>
      </x:c>
      <x:c r="B960" s="69" t="str">
        <x:v>Pierce Charles</x:v>
      </x:c>
      <x:c r="C960" s="69" t="str">
        <x:v>Manchester City</x:v>
      </x:c>
      <x:c r="D960" s="69" t="str">
        <x:v>Sheffield Wednesday</x:v>
      </x:c>
      <x:c r="E960" s="76" t="d">
        <x:v>2026-07-10T00:00:00.000Z</x:v>
      </x:c>
      <x:c r="F960" s="69" t="str">
        <x:v>summer</x:v>
      </x:c>
      <x:c r="G960" s="69" t="str">
        <x:v>Goalkeeper — source label</x:v>
      </x:c>
      <x:c r="H960" s="78" t="n">
        <x:v>3000000</x:v>
      </x:c>
      <x:c r="I960" s="69" t="str">
        <x:v>GBP</x:v>
      </x:c>
      <x:c r="J960" s="80"/>
      <x:c r="K960" s="82"/>
      <x:c r="L960" s="69" t="str">
        <x:v>Evidence needed</x:v>
      </x:c>
      <x:c r="M960" s="69" t="str">
        <x:v>Buyer-specific shot-stopping, distribution, aerial command, sweeping, signing age and total fee evidence are needed before scoring.</x:v>
      </x:c>
      <x:c r="N960" s="69" t="str">
        <x:v>Not assessed</x:v>
      </x:c>
      <x:c r="O960" s="69" t="str">
        <x:v>Source broad position and transfer quote only; detailed role and buyer-specific production not validated.</x:v>
      </x:c>
      <x:c r="P960" s="69" t="str">
        <x:v>https://www.theguardian.com/football/ng-interactive/2026/sep/01/mens-transfer-window-summer-2026-all-deals-from-europes-top-five-leagues</x:v>
      </x:c>
    </x:row>
    <x:row r="961" ht="25" customHeight="1">
      <x:c r="A961" s="75" t="str">
        <x:v>summer-S26-0299</x:v>
      </x:c>
      <x:c r="B961" s="75" t="str">
        <x:v>Aboubaka Soumahoro</x:v>
      </x:c>
      <x:c r="C961" s="75" t="str">
        <x:v>Mallorca</x:v>
      </x:c>
      <x:c r="D961" s="75" t="str">
        <x:v>Hamburg</x:v>
      </x:c>
      <x:c r="E961" s="77" t="d">
        <x:v>2026-07-10T00:00:00.000Z</x:v>
      </x:c>
      <x:c r="F961" s="75" t="str">
        <x:v>summer</x:v>
      </x:c>
      <x:c r="G961" s="75" t="str">
        <x:v>Defender — source label</x:v>
      </x:c>
      <x:c r="H961" s="79"/>
      <x:c r="I961" s="75" t="str">
        <x:v>GBP</x:v>
      </x:c>
      <x:c r="J961" s="81"/>
      <x:c r="K961" s="83"/>
      <x:c r="L961" s="75" t="str">
        <x:v>Evidence needed</x:v>
      </x:c>
      <x:c r="M961" s="75" t="str">
        <x:v>Buyer-specific role, production, availability, signing age and total fee evidence are needed before assigning a deal-value score. Loan/swap costs must be treated separately.</x:v>
      </x:c>
      <x:c r="N961" s="75" t="str">
        <x:v>Not assessed</x:v>
      </x:c>
      <x:c r="O961" s="75" t="str">
        <x:v>Source broad position and transfer quote only; detailed role and buyer-specific production not validated.</x:v>
      </x:c>
      <x:c r="P961" s="75" t="str">
        <x:v>https://www.theguardian.com/football/ng-interactive/2026/sep/01/mens-transfer-window-summer-2026-all-deals-from-europes-top-five-leagues</x:v>
      </x:c>
    </x:row>
    <x:row r="962" ht="25" customHeight="1">
      <x:c r="A962" s="69" t="str">
        <x:v>summer-S26-0300</x:v>
      </x:c>
      <x:c r="B962" s="69" t="str">
        <x:v>Gianluca Gaetano</x:v>
      </x:c>
      <x:c r="C962" s="69" t="str">
        <x:v>Atalanta</x:v>
      </x:c>
      <x:c r="D962" s="69" t="str">
        <x:v>Cagliari</x:v>
      </x:c>
      <x:c r="E962" s="76" t="d">
        <x:v>2026-07-09T00:00:00.000Z</x:v>
      </x:c>
      <x:c r="F962" s="69" t="str">
        <x:v>summer</x:v>
      </x:c>
      <x:c r="G962" s="69" t="str">
        <x:v>Midfielder — source label</x:v>
      </x:c>
      <x:c r="H962" s="78" t="n">
        <x:v>10200000</x:v>
      </x:c>
      <x:c r="I962" s="69" t="str">
        <x:v>GBP</x:v>
      </x:c>
      <x:c r="J962" s="80"/>
      <x:c r="K962" s="82"/>
      <x:c r="L962" s="69" t="str">
        <x:v>Evidence needed</x:v>
      </x:c>
      <x:c r="M962" s="69" t="str">
        <x:v>Buyer-specific role, production, availability, signing age and total fee evidence are needed before assigning a deal-value score.</x:v>
      </x:c>
      <x:c r="N962" s="69" t="str">
        <x:v>Not assessed</x:v>
      </x:c>
      <x:c r="O962" s="69" t="str">
        <x:v>Source broad position and transfer quote only; detailed role and buyer-specific production not validated.</x:v>
      </x:c>
      <x:c r="P962" s="69" t="str">
        <x:v>https://www.theguardian.com/football/ng-interactive/2026/sep/01/mens-transfer-window-summer-2026-all-deals-from-europes-top-five-leagues</x:v>
      </x:c>
    </x:row>
    <x:row r="963" ht="25" customHeight="1">
      <x:c r="A963" s="75" t="str">
        <x:v>summer-S26-0301</x:v>
      </x:c>
      <x:c r="B963" s="75" t="str">
        <x:v>Alejandro Gomes Furtado</x:v>
      </x:c>
      <x:c r="C963" s="75" t="str">
        <x:v>Venezia</x:v>
      </x:c>
      <x:c r="D963" s="75" t="str">
        <x:v>Real Zaragoza</x:v>
      </x:c>
      <x:c r="E963" s="77" t="d">
        <x:v>2026-07-09T00:00:00.000Z</x:v>
      </x:c>
      <x:c r="F963" s="75" t="str">
        <x:v>summer</x:v>
      </x:c>
      <x:c r="G963" s="75" t="str">
        <x:v>Defender — source label</x:v>
      </x:c>
      <x:c r="H963" s="79"/>
      <x:c r="I963" s="75" t="str">
        <x:v>GBP</x:v>
      </x:c>
      <x:c r="J963" s="81"/>
      <x:c r="K963" s="83"/>
      <x:c r="L963" s="75" t="str">
        <x:v>Evidence needed</x:v>
      </x:c>
      <x:c r="M963" s="75" t="str">
        <x:v>Buyer-specific role, production, availability, signing age and total fee evidence are needed before assigning a deal-value score.</x:v>
      </x:c>
      <x:c r="N963" s="75" t="str">
        <x:v>Not assessed</x:v>
      </x:c>
      <x:c r="O963" s="75" t="str">
        <x:v>Source broad position and transfer quote only; detailed role and buyer-specific production not validated.</x:v>
      </x:c>
      <x:c r="P963" s="75" t="str">
        <x:v>https://www.theguardian.com/football/ng-interactive/2026/sep/01/mens-transfer-window-summer-2026-all-deals-from-europes-top-five-leagues</x:v>
      </x:c>
    </x:row>
    <x:row r="964" ht="25" customHeight="1">
      <x:c r="A964" s="69" t="str">
        <x:v>summer-S26-0302</x:v>
      </x:c>
      <x:c r="B964" s="69" t="str">
        <x:v>Attila Szalai</x:v>
      </x:c>
      <x:c r="C964" s="69" t="str">
        <x:v>Pogon Szczecin</x:v>
      </x:c>
      <x:c r="D964" s="69" t="str">
        <x:v>Hoffenheim</x:v>
      </x:c>
      <x:c r="E964" s="76" t="d">
        <x:v>2026-07-09T00:00:00.000Z</x:v>
      </x:c>
      <x:c r="F964" s="69" t="str">
        <x:v>summer</x:v>
      </x:c>
      <x:c r="G964" s="69" t="str">
        <x:v>Midfielder — source label</x:v>
      </x:c>
      <x:c r="H964" s="78"/>
      <x:c r="I964" s="69" t="str">
        <x:v>GBP</x:v>
      </x:c>
      <x:c r="J964" s="80"/>
      <x:c r="K964" s="82"/>
      <x:c r="L964" s="69" t="str">
        <x:v>Evidence needed</x:v>
      </x:c>
      <x:c r="M964" s="69" t="str">
        <x:v>Buyer-specific role, production, availability, signing age and total fee evidence are needed before assigning a deal-value score. A zero base fee does not represent wages or signing costs.</x:v>
      </x:c>
      <x:c r="N964" s="69" t="str">
        <x:v>Not assessed</x:v>
      </x:c>
      <x:c r="O964" s="69" t="str">
        <x:v>Source broad position and transfer quote only; detailed role and buyer-specific production not validated.</x:v>
      </x:c>
      <x:c r="P964" s="69" t="str">
        <x:v>https://www.theguardian.com/football/ng-interactive/2026/sep/01/mens-transfer-window-summer-2026-all-deals-from-europes-top-five-leagues</x:v>
      </x:c>
    </x:row>
    <x:row r="965" ht="25" customHeight="1">
      <x:c r="A965" s="75" t="str">
        <x:v>summer-S26-0304</x:v>
      </x:c>
      <x:c r="B965" s="75" t="str">
        <x:v>Bryan Reynolds</x:v>
      </x:c>
      <x:c r="C965" s="75" t="str">
        <x:v>Rennes</x:v>
      </x:c>
      <x:c r="D965" s="75" t="str">
        <x:v>Westerlo</x:v>
      </x:c>
      <x:c r="E965" s="77" t="d">
        <x:v>2026-07-10T00:00:00.000Z</x:v>
      </x:c>
      <x:c r="F965" s="75" t="str">
        <x:v>summer</x:v>
      </x:c>
      <x:c r="G965" s="75" t="str">
        <x:v>Defender — source label</x:v>
      </x:c>
      <x:c r="H965" s="79" t="n">
        <x:v>3400000</x:v>
      </x:c>
      <x:c r="I965" s="75" t="str">
        <x:v>GBP</x:v>
      </x:c>
      <x:c r="J965" s="81"/>
      <x:c r="K965" s="83"/>
      <x:c r="L965" s="75" t="str">
        <x:v>Evidence needed</x:v>
      </x:c>
      <x:c r="M965" s="75" t="str">
        <x:v>Buyer-specific role, production, availability, signing age and total fee evidence are needed before assigning a deal-value score.</x:v>
      </x:c>
      <x:c r="N965" s="75" t="str">
        <x:v>Not assessed</x:v>
      </x:c>
      <x:c r="O965" s="75" t="str">
        <x:v>Source broad position and transfer quote only; detailed role and buyer-specific production not validated.</x:v>
      </x:c>
      <x:c r="P965" s="75" t="str">
        <x:v>https://www.theguardian.com/football/ng-interactive/2026/sep/01/mens-transfer-window-summer-2026-all-deals-from-europes-top-five-leagues</x:v>
      </x:c>
    </x:row>
    <x:row r="966" ht="25" customHeight="1">
      <x:c r="A966" s="69" t="str">
        <x:v>summer-S26-0305</x:v>
      </x:c>
      <x:c r="B966" s="69" t="str">
        <x:v>Oskar Wojcik</x:v>
      </x:c>
      <x:c r="C966" s="69" t="str">
        <x:v>Werder Bremen</x:v>
      </x:c>
      <x:c r="D966" s="69" t="str">
        <x:v>Cracovia</x:v>
      </x:c>
      <x:c r="E966" s="76" t="d">
        <x:v>2026-07-09T00:00:00.000Z</x:v>
      </x:c>
      <x:c r="F966" s="69" t="str">
        <x:v>summer</x:v>
      </x:c>
      <x:c r="G966" s="69" t="str">
        <x:v>Defender — source label</x:v>
      </x:c>
      <x:c r="H966" s="78" t="n">
        <x:v>2560000</x:v>
      </x:c>
      <x:c r="I966" s="69" t="str">
        <x:v>GBP</x:v>
      </x:c>
      <x:c r="J966" s="80"/>
      <x:c r="K966" s="82"/>
      <x:c r="L966" s="69" t="str">
        <x:v>Evidence needed</x:v>
      </x:c>
      <x:c r="M966" s="69" t="str">
        <x:v>Buyer-specific role, production, availability, signing age and total fee evidence are needed before assigning a deal-value score.</x:v>
      </x:c>
      <x:c r="N966" s="69" t="str">
        <x:v>Not assessed</x:v>
      </x:c>
      <x:c r="O966" s="69" t="str">
        <x:v>Source broad position and transfer quote only; detailed role and buyer-specific production not validated.</x:v>
      </x:c>
      <x:c r="P966" s="69" t="str">
        <x:v>https://www.theguardian.com/football/ng-interactive/2026/sep/01/mens-transfer-window-summer-2026-all-deals-from-europes-top-five-leagues</x:v>
      </x:c>
    </x:row>
    <x:row r="967" ht="25" customHeight="1">
      <x:c r="A967" s="75" t="str">
        <x:v>summer-S26-0309</x:v>
      </x:c>
      <x:c r="B967" s="75" t="str">
        <x:v>Unai Gómez</x:v>
      </x:c>
      <x:c r="C967" s="75" t="str">
        <x:v>Udinese</x:v>
      </x:c>
      <x:c r="D967" s="75" t="str">
        <x:v>Athletic Club</x:v>
      </x:c>
      <x:c r="E967" s="77" t="d">
        <x:v>2026-07-08T00:00:00.000Z</x:v>
      </x:c>
      <x:c r="F967" s="75" t="str">
        <x:v>summer</x:v>
      </x:c>
      <x:c r="G967" s="75" t="str">
        <x:v>Midfielder — source label</x:v>
      </x:c>
      <x:c r="H967" s="79" t="n">
        <x:v>3830000</x:v>
      </x:c>
      <x:c r="I967" s="75" t="str">
        <x:v>GBP</x:v>
      </x:c>
      <x:c r="J967" s="81"/>
      <x:c r="K967" s="83"/>
      <x:c r="L967" s="75" t="str">
        <x:v>Evidence needed</x:v>
      </x:c>
      <x:c r="M967" s="75" t="str">
        <x:v>Buyer-specific role, production, availability, signing age and total fee evidence are needed before assigning a deal-value score.</x:v>
      </x:c>
      <x:c r="N967" s="75" t="str">
        <x:v>Not assessed</x:v>
      </x:c>
      <x:c r="O967" s="75" t="str">
        <x:v>Source broad position and transfer quote only; detailed role and buyer-specific production not validated.</x:v>
      </x:c>
      <x:c r="P967" s="75" t="str">
        <x:v>https://www.theguardian.com/football/ng-interactive/2026/sep/01/mens-transfer-window-summer-2026-all-deals-from-europes-top-five-leagues</x:v>
      </x:c>
    </x:row>
    <x:row r="968" ht="25" customHeight="1">
      <x:c r="A968" s="69" t="str">
        <x:v>summer-S26-0310</x:v>
      </x:c>
      <x:c r="B968" s="69" t="str">
        <x:v>Ramon Terrats</x:v>
      </x:c>
      <x:c r="C968" s="69" t="str">
        <x:v>Getafe</x:v>
      </x:c>
      <x:c r="D968" s="69" t="str">
        <x:v>Villarreal</x:v>
      </x:c>
      <x:c r="E968" s="76" t="d">
        <x:v>2026-07-09T00:00:00.000Z</x:v>
      </x:c>
      <x:c r="F968" s="69" t="str">
        <x:v>summer</x:v>
      </x:c>
      <x:c r="G968" s="69" t="str">
        <x:v>Midfielder — source label</x:v>
      </x:c>
      <x:c r="H968" s="78" t="n">
        <x:v>2130000</x:v>
      </x:c>
      <x:c r="I968" s="69" t="str">
        <x:v>GBP</x:v>
      </x:c>
      <x:c r="J968" s="80"/>
      <x:c r="K968" s="82"/>
      <x:c r="L968" s="69" t="str">
        <x:v>Evidence needed</x:v>
      </x:c>
      <x:c r="M968" s="69" t="str">
        <x:v>Buyer-specific role, production, availability, signing age and total fee evidence are needed before assigning a deal-value score.</x:v>
      </x:c>
      <x:c r="N968" s="69" t="str">
        <x:v>Not assessed</x:v>
      </x:c>
      <x:c r="O968" s="69" t="str">
        <x:v>Source broad position and transfer quote only; detailed role and buyer-specific production not validated.</x:v>
      </x:c>
      <x:c r="P968" s="69" t="str">
        <x:v>https://www.theguardian.com/football/ng-interactive/2026/sep/01/mens-transfer-window-summer-2026-all-deals-from-europes-top-five-leagues</x:v>
      </x:c>
    </x:row>
    <x:row r="969" ht="25" customHeight="1">
      <x:c r="A969" s="75" t="str">
        <x:v>summer-S26-0311</x:v>
      </x:c>
      <x:c r="B969" s="75" t="str">
        <x:v>Aritz Aldasoro</x:v>
      </x:c>
      <x:c r="C969" s="75" t="str">
        <x:v>Real Oviedo</x:v>
      </x:c>
      <x:c r="D969" s="75" t="str">
        <x:v>Racing Santander</x:v>
      </x:c>
      <x:c r="E969" s="77" t="d">
        <x:v>2026-07-09T00:00:00.000Z</x:v>
      </x:c>
      <x:c r="F969" s="75" t="str">
        <x:v>summer</x:v>
      </x:c>
      <x:c r="G969" s="75" t="str">
        <x:v>Midfielder — source label</x:v>
      </x:c>
      <x:c r="H969" s="79"/>
      <x:c r="I969" s="75" t="str">
        <x:v>GBP</x:v>
      </x:c>
      <x:c r="J969" s="81"/>
      <x:c r="K969" s="83"/>
      <x:c r="L969" s="75" t="str">
        <x:v>Evidence needed</x:v>
      </x:c>
      <x:c r="M969" s="75" t="str">
        <x:v>Buyer-specific role, production, availability, signing age and total fee evidence are needed before assigning a deal-value score. Loan/swap costs must be treated separately.</x:v>
      </x:c>
      <x:c r="N969" s="75" t="str">
        <x:v>Not assessed</x:v>
      </x:c>
      <x:c r="O969" s="75" t="str">
        <x:v>Source broad position and transfer quote only; detailed role and buyer-specific production not validated.</x:v>
      </x:c>
      <x:c r="P969" s="75" t="str">
        <x:v>https://www.theguardian.com/football/ng-interactive/2026/sep/01/mens-transfer-window-summer-2026-all-deals-from-europes-top-five-leagues</x:v>
      </x:c>
    </x:row>
    <x:row r="970" ht="25" customHeight="1">
      <x:c r="A970" s="69" t="str">
        <x:v>summer-S26-0312</x:v>
      </x:c>
      <x:c r="B970" s="69" t="str">
        <x:v>Nathan De Cat</x:v>
      </x:c>
      <x:c r="C970" s="69" t="str">
        <x:v>Hoffenheim</x:v>
      </x:c>
      <x:c r="D970" s="69" t="str">
        <x:v>Anderlecht</x:v>
      </x:c>
      <x:c r="E970" s="76" t="d">
        <x:v>2026-07-10T00:00:00.000Z</x:v>
      </x:c>
      <x:c r="F970" s="69" t="str">
        <x:v>summer</x:v>
      </x:c>
      <x:c r="G970" s="69" t="str">
        <x:v>Midfielder — source label</x:v>
      </x:c>
      <x:c r="H970" s="78" t="n">
        <x:v>14500000</x:v>
      </x:c>
      <x:c r="I970" s="69" t="str">
        <x:v>GBP</x:v>
      </x:c>
      <x:c r="J970" s="80"/>
      <x:c r="K970" s="82"/>
      <x:c r="L970" s="69" t="str">
        <x:v>Evidence needed</x:v>
      </x:c>
      <x:c r="M970" s="69" t="str">
        <x:v>Buyer-specific role, production, availability, signing age and total fee evidence are needed before assigning a deal-value score.</x:v>
      </x:c>
      <x:c r="N970" s="69" t="str">
        <x:v>Not assessed</x:v>
      </x:c>
      <x:c r="O970" s="69" t="str">
        <x:v>Source broad position and transfer quote only; detailed role and buyer-specific production not validated.</x:v>
      </x:c>
      <x:c r="P970" s="69" t="str">
        <x:v>https://www.theguardian.com/football/ng-interactive/2026/sep/01/mens-transfer-window-summer-2026-all-deals-from-europes-top-five-leagues</x:v>
      </x:c>
    </x:row>
    <x:row r="971" ht="25" customHeight="1">
      <x:c r="A971" s="75" t="str">
        <x:v>summer-S26-0313</x:v>
      </x:c>
      <x:c r="B971" s="75" t="str">
        <x:v>Mario Gila</x:v>
      </x:c>
      <x:c r="C971" s="75" t="str">
        <x:v>Milan</x:v>
      </x:c>
      <x:c r="D971" s="75" t="str">
        <x:v>Lazio</x:v>
      </x:c>
      <x:c r="E971" s="77" t="d">
        <x:v>2026-07-10T00:00:00.000Z</x:v>
      </x:c>
      <x:c r="F971" s="75" t="str">
        <x:v>summer</x:v>
      </x:c>
      <x:c r="G971" s="75" t="str">
        <x:v>Defender — source label</x:v>
      </x:c>
      <x:c r="H971" s="79" t="n">
        <x:v>25600000</x:v>
      </x:c>
      <x:c r="I971" s="75" t="str">
        <x:v>GBP</x:v>
      </x:c>
      <x:c r="J971" s="81"/>
      <x:c r="K971" s="83"/>
      <x:c r="L971" s="75" t="str">
        <x:v>Evidence needed</x:v>
      </x:c>
      <x:c r="M971" s="75" t="str">
        <x:v>Buyer-specific role, production, availability, signing age and total fee evidence are needed before assigning a deal-value score.</x:v>
      </x:c>
      <x:c r="N971" s="75" t="str">
        <x:v>Not assessed</x:v>
      </x:c>
      <x:c r="O971" s="75" t="str">
        <x:v>Source broad position and transfer quote only; detailed role and buyer-specific production not validated.</x:v>
      </x:c>
      <x:c r="P971" s="75" t="str">
        <x:v>https://www.theguardian.com/football/ng-interactive/2026/sep/01/mens-transfer-window-summer-2026-all-deals-from-europes-top-five-leagues</x:v>
      </x:c>
    </x:row>
    <x:row r="972" ht="25" customHeight="1">
      <x:c r="A972" s="69" t="str">
        <x:v>summer-S26-0314</x:v>
      </x:c>
      <x:c r="B972" s="69" t="str">
        <x:v>Sima Suso</x:v>
      </x:c>
      <x:c r="C972" s="69" t="str">
        <x:v>Augsburg</x:v>
      </x:c>
      <x:c r="D972" s="69" t="str">
        <x:v>Fortuna Düsseldorf</x:v>
      </x:c>
      <x:c r="E972" s="76" t="d">
        <x:v>2026-07-10T00:00:00.000Z</x:v>
      </x:c>
      <x:c r="F972" s="69" t="str">
        <x:v>summer</x:v>
      </x:c>
      <x:c r="G972" s="69" t="str">
        <x:v>Midfielder — source label</x:v>
      </x:c>
      <x:c r="H972" s="78" t="n">
        <x:v>1400000</x:v>
      </x:c>
      <x:c r="I972" s="69" t="str">
        <x:v>GBP</x:v>
      </x:c>
      <x:c r="J972" s="80"/>
      <x:c r="K972" s="82"/>
      <x:c r="L972" s="69" t="str">
        <x:v>Evidence needed</x:v>
      </x:c>
      <x:c r="M972" s="69" t="str">
        <x:v>Buyer-specific role, production, availability, signing age and total fee evidence are needed before assigning a deal-value score.</x:v>
      </x:c>
      <x:c r="N972" s="69" t="str">
        <x:v>Not assessed</x:v>
      </x:c>
      <x:c r="O972" s="69" t="str">
        <x:v>Source broad position and transfer quote only; detailed role and buyer-specific production not validated.</x:v>
      </x:c>
      <x:c r="P972" s="69" t="str">
        <x:v>https://www.theguardian.com/football/ng-interactive/2026/sep/01/mens-transfer-window-summer-2026-all-deals-from-europes-top-five-leagues</x:v>
      </x:c>
    </x:row>
    <x:row r="973" ht="25" customHeight="1">
      <x:c r="A973" s="75" t="str">
        <x:v>summer-S26-0315</x:v>
      </x:c>
      <x:c r="B973" s="75" t="str">
        <x:v>Felix Meiser</x:v>
      </x:c>
      <x:c r="C973" s="75" t="str">
        <x:v>Fortuna Düsseldorf</x:v>
      </x:c>
      <x:c r="D973" s="75" t="str">
        <x:v>Augsburg</x:v>
      </x:c>
      <x:c r="E973" s="77" t="d">
        <x:v>2026-07-10T00:00:00.000Z</x:v>
      </x:c>
      <x:c r="F973" s="75" t="str">
        <x:v>summer</x:v>
      </x:c>
      <x:c r="G973" s="75" t="str">
        <x:v>Defender — source label</x:v>
      </x:c>
      <x:c r="H973" s="79"/>
      <x:c r="I973" s="75" t="str">
        <x:v>GBP</x:v>
      </x:c>
      <x:c r="J973" s="81"/>
      <x:c r="K973" s="83"/>
      <x:c r="L973" s="75" t="str">
        <x:v>Evidence needed</x:v>
      </x:c>
      <x:c r="M973" s="75" t="str">
        <x:v>Buyer-specific role, production, availability, signing age and total fee evidence are needed before assigning a deal-value score.</x:v>
      </x:c>
      <x:c r="N973" s="75" t="str">
        <x:v>Not assessed</x:v>
      </x:c>
      <x:c r="O973" s="75" t="str">
        <x:v>Source broad position and transfer quote only; detailed role and buyer-specific production not validated.</x:v>
      </x:c>
      <x:c r="P973" s="75" t="str">
        <x:v>https://www.theguardian.com/football/ng-interactive/2026/sep/01/mens-transfer-window-summer-2026-all-deals-from-europes-top-five-leagues</x:v>
      </x:c>
    </x:row>
    <x:row r="974" ht="25" customHeight="1">
      <x:c r="A974" s="69" t="str">
        <x:v>summer-S26-0316</x:v>
      </x:c>
      <x:c r="B974" s="69" t="str">
        <x:v>Alexander Schlager</x:v>
      </x:c>
      <x:c r="C974" s="69" t="str">
        <x:v>Werder Bremen</x:v>
      </x:c>
      <x:c r="D974" s="69" t="str">
        <x:v>Red Bull Salzburg</x:v>
      </x:c>
      <x:c r="E974" s="76" t="d">
        <x:v>2026-07-10T00:00:00.000Z</x:v>
      </x:c>
      <x:c r="F974" s="69" t="str">
        <x:v>summer</x:v>
      </x:c>
      <x:c r="G974" s="69" t="str">
        <x:v>Goalkeeper — source label</x:v>
      </x:c>
      <x:c r="H974" s="78"/>
      <x:c r="I974" s="69" t="str">
        <x:v>GBP</x:v>
      </x:c>
      <x:c r="J974" s="80"/>
      <x:c r="K974" s="82"/>
      <x:c r="L974" s="69" t="str">
        <x:v>Evidence needed</x:v>
      </x:c>
      <x:c r="M974" s="69" t="str">
        <x:v>Buyer-specific shot-stopping, distribution, aerial command, sweeping, signing age and total fee evidence are needed before scoring.</x:v>
      </x:c>
      <x:c r="N974" s="69" t="str">
        <x:v>Not assessed</x:v>
      </x:c>
      <x:c r="O974" s="69" t="str">
        <x:v>Source broad position and transfer quote only; detailed role and buyer-specific production not validated.</x:v>
      </x:c>
      <x:c r="P974" s="69" t="str">
        <x:v>https://www.theguardian.com/football/ng-interactive/2026/sep/01/mens-transfer-window-summer-2026-all-deals-from-europes-top-five-leagues</x:v>
      </x:c>
    </x:row>
    <x:row r="975" ht="25" customHeight="1">
      <x:c r="A975" s="75" t="str">
        <x:v>summer-S26-0318</x:v>
      </x:c>
      <x:c r="B975" s="75" t="str">
        <x:v>Thiago Ojeda</x:v>
      </x:c>
      <x:c r="C975" s="75" t="str">
        <x:v>Real Valladolid</x:v>
      </x:c>
      <x:c r="D975" s="75" t="str">
        <x:v>Villarreal</x:v>
      </x:c>
      <x:c r="E975" s="77" t="d">
        <x:v>2026-07-10T00:00:00.000Z</x:v>
      </x:c>
      <x:c r="F975" s="75" t="str">
        <x:v>summer</x:v>
      </x:c>
      <x:c r="G975" s="75" t="str">
        <x:v>Midfielder — source label</x:v>
      </x:c>
      <x:c r="H975" s="79"/>
      <x:c r="I975" s="75" t="str">
        <x:v>GBP</x:v>
      </x:c>
      <x:c r="J975" s="81"/>
      <x:c r="K975" s="83"/>
      <x:c r="L975" s="75" t="str">
        <x:v>Evidence needed</x:v>
      </x:c>
      <x:c r="M975" s="75" t="str">
        <x:v>Buyer-specific role, production, availability, signing age and total fee evidence are needed before assigning a deal-value score.</x:v>
      </x:c>
      <x:c r="N975" s="75" t="str">
        <x:v>Not assessed</x:v>
      </x:c>
      <x:c r="O975" s="75" t="str">
        <x:v>Source broad position and transfer quote only; detailed role and buyer-specific production not validated.</x:v>
      </x:c>
      <x:c r="P975" s="75" t="str">
        <x:v>https://www.theguardian.com/football/ng-interactive/2026/sep/01/mens-transfer-window-summer-2026-all-deals-from-europes-top-five-leagues</x:v>
      </x:c>
    </x:row>
    <x:row r="976" ht="25" customHeight="1">
      <x:c r="A976" s="69" t="str">
        <x:v>summer-S26-0319</x:v>
      </x:c>
      <x:c r="B976" s="69" t="str">
        <x:v>Álex Petxarroman</x:v>
      </x:c>
      <x:c r="C976" s="69" t="str">
        <x:v>Ceuta</x:v>
      </x:c>
      <x:c r="D976" s="69" t="str">
        <x:v>Deportivo La Coruña</x:v>
      </x:c>
      <x:c r="E976" s="76" t="d">
        <x:v>2026-07-10T00:00:00.000Z</x:v>
      </x:c>
      <x:c r="F976" s="69" t="str">
        <x:v>summer</x:v>
      </x:c>
      <x:c r="G976" s="69" t="str">
        <x:v>Defender — source label</x:v>
      </x:c>
      <x:c r="H976" s="78"/>
      <x:c r="I976" s="69" t="str">
        <x:v>GBP</x:v>
      </x:c>
      <x:c r="J976" s="80"/>
      <x:c r="K976" s="82"/>
      <x:c r="L976" s="69" t="str">
        <x:v>Evidence needed</x:v>
      </x:c>
      <x:c r="M976" s="69" t="str">
        <x:v>Buyer-specific role, production, availability, signing age and total fee evidence are needed before assigning a deal-value score. A zero base fee does not represent wages or signing costs.</x:v>
      </x:c>
      <x:c r="N976" s="69" t="str">
        <x:v>Not assessed</x:v>
      </x:c>
      <x:c r="O976" s="69" t="str">
        <x:v>Source broad position and transfer quote only; detailed role and buyer-specific production not validated.</x:v>
      </x:c>
      <x:c r="P976" s="69" t="str">
        <x:v>https://www.theguardian.com/football/ng-interactive/2026/sep/01/mens-transfer-window-summer-2026-all-deals-from-europes-top-five-leagues</x:v>
      </x:c>
    </x:row>
    <x:row r="977" ht="25" customHeight="1">
      <x:c r="A977" s="75" t="str">
        <x:v>summer-S26-0320</x:v>
      </x:c>
      <x:c r="B977" s="75" t="str">
        <x:v>Mario García</x:v>
      </x:c>
      <x:c r="C977" s="75" t="str">
        <x:v>Widzew Lodz</x:v>
      </x:c>
      <x:c r="D977" s="75" t="str">
        <x:v>Racing Santander</x:v>
      </x:c>
      <x:c r="E977" s="77" t="d">
        <x:v>2026-07-10T00:00:00.000Z</x:v>
      </x:c>
      <x:c r="F977" s="75" t="str">
        <x:v>summer</x:v>
      </x:c>
      <x:c r="G977" s="75" t="str">
        <x:v>Defender — source label</x:v>
      </x:c>
      <x:c r="H977" s="79" t="n">
        <x:v>400000</x:v>
      </x:c>
      <x:c r="I977" s="75" t="str">
        <x:v>GBP</x:v>
      </x:c>
      <x:c r="J977" s="81"/>
      <x:c r="K977" s="83"/>
      <x:c r="L977" s="75" t="str">
        <x:v>Evidence needed</x:v>
      </x:c>
      <x:c r="M977" s="75" t="str">
        <x:v>Buyer-specific role, production, availability, signing age and total fee evidence are needed before assigning a deal-value score.</x:v>
      </x:c>
      <x:c r="N977" s="75" t="str">
        <x:v>Not assessed</x:v>
      </x:c>
      <x:c r="O977" s="75" t="str">
        <x:v>Source broad position and transfer quote only; detailed role and buyer-specific production not validated.</x:v>
      </x:c>
      <x:c r="P977" s="75" t="str">
        <x:v>https://www.theguardian.com/football/ng-interactive/2026/sep/01/mens-transfer-window-summer-2026-all-deals-from-europes-top-five-leagues</x:v>
      </x:c>
    </x:row>
    <x:row r="978" ht="25" customHeight="1">
      <x:c r="A978" s="69" t="str">
        <x:v>summer-S26-0321</x:v>
      </x:c>
      <x:c r="B978" s="69" t="str">
        <x:v>Harrison Murray-Campbell</x:v>
      </x:c>
      <x:c r="C978" s="69" t="str">
        <x:v>KV Kortrijk</x:v>
      </x:c>
      <x:c r="D978" s="69" t="str">
        <x:v>Chelsea</x:v>
      </x:c>
      <x:c r="E978" s="76" t="d">
        <x:v>2026-07-10T00:00:00.000Z</x:v>
      </x:c>
      <x:c r="F978" s="69" t="str">
        <x:v>summer</x:v>
      </x:c>
      <x:c r="G978" s="69" t="str">
        <x:v>Defender — source label</x:v>
      </x:c>
      <x:c r="H978" s="78"/>
      <x:c r="I978" s="69" t="str">
        <x:v>GBP</x:v>
      </x:c>
      <x:c r="J978" s="80"/>
      <x:c r="K978" s="82"/>
      <x:c r="L978" s="69" t="str">
        <x:v>Evidence needed</x:v>
      </x:c>
      <x:c r="M978" s="69" t="str">
        <x:v>Buyer-specific role, production, availability, signing age and total fee evidence are needed before assigning a deal-value score. Loan/swap costs must be treated separately.</x:v>
      </x:c>
      <x:c r="N978" s="69" t="str">
        <x:v>Not assessed</x:v>
      </x:c>
      <x:c r="O978" s="69" t="str">
        <x:v>Source broad position and transfer quote only; detailed role and buyer-specific production not validated.</x:v>
      </x:c>
      <x:c r="P978" s="69" t="str">
        <x:v>https://www.theguardian.com/football/ng-interactive/2026/sep/01/mens-transfer-window-summer-2026-all-deals-from-europes-top-five-leagues</x:v>
      </x:c>
    </x:row>
    <x:row r="979" ht="25" customHeight="1">
      <x:c r="A979" s="75" t="str">
        <x:v>summer-S26-0323</x:v>
      </x:c>
      <x:c r="B979" s="75" t="str">
        <x:v>Pietro Pinelli</x:v>
      </x:c>
      <x:c r="C979" s="75" t="str">
        <x:v>Carrarese</x:v>
      </x:c>
      <x:c r="D979" s="75" t="str">
        <x:v>Lazio</x:v>
      </x:c>
      <x:c r="E979" s="77" t="d">
        <x:v>2026-07-09T00:00:00.000Z</x:v>
      </x:c>
      <x:c r="F979" s="75" t="str">
        <x:v>summer</x:v>
      </x:c>
      <x:c r="G979" s="75" t="str">
        <x:v>Midfielder — source label</x:v>
      </x:c>
      <x:c r="H979" s="79"/>
      <x:c r="I979" s="75" t="str">
        <x:v>GBP</x:v>
      </x:c>
      <x:c r="J979" s="81"/>
      <x:c r="K979" s="83"/>
      <x:c r="L979" s="75" t="str">
        <x:v>Evidence needed</x:v>
      </x:c>
      <x:c r="M979" s="75" t="str">
        <x:v>Buyer-specific role, production, availability, signing age and total fee evidence are needed before assigning a deal-value score. Loan/swap costs must be treated separately.</x:v>
      </x:c>
      <x:c r="N979" s="75" t="str">
        <x:v>Not assessed</x:v>
      </x:c>
      <x:c r="O979" s="75" t="str">
        <x:v>Source broad position and transfer quote only; detailed role and buyer-specific production not validated.</x:v>
      </x:c>
      <x:c r="P979" s="75" t="str">
        <x:v>https://www.theguardian.com/football/ng-interactive/2026/sep/01/mens-transfer-window-summer-2026-all-deals-from-europes-top-five-leagues</x:v>
      </x:c>
    </x:row>
    <x:row r="980" ht="25" customHeight="1">
      <x:c r="A980" s="69" t="str">
        <x:v>summer-S26-0324</x:v>
      </x:c>
      <x:c r="B980" s="69" t="str">
        <x:v>Lorenzo Romani</x:v>
      </x:c>
      <x:c r="C980" s="69" t="str">
        <x:v>Carrarese</x:v>
      </x:c>
      <x:c r="D980" s="69" t="str">
        <x:v>Fiorentina</x:v>
      </x:c>
      <x:c r="E980" s="76" t="d">
        <x:v>2026-07-10T00:00:00.000Z</x:v>
      </x:c>
      <x:c r="F980" s="69" t="str">
        <x:v>summer</x:v>
      </x:c>
      <x:c r="G980" s="69" t="str">
        <x:v>Defender — source label</x:v>
      </x:c>
      <x:c r="H980" s="78"/>
      <x:c r="I980" s="69" t="str">
        <x:v>GBP</x:v>
      </x:c>
      <x:c r="J980" s="80"/>
      <x:c r="K980" s="82"/>
      <x:c r="L980" s="69" t="str">
        <x:v>Evidence needed</x:v>
      </x:c>
      <x:c r="M980" s="69" t="str">
        <x:v>Buyer-specific role, production, availability, signing age and total fee evidence are needed before assigning a deal-value score. Loan/swap costs must be treated separately.</x:v>
      </x:c>
      <x:c r="N980" s="69" t="str">
        <x:v>Not assessed</x:v>
      </x:c>
      <x:c r="O980" s="69" t="str">
        <x:v>Source broad position and transfer quote only; detailed role and buyer-specific production not validated.</x:v>
      </x:c>
      <x:c r="P980" s="69" t="str">
        <x:v>https://www.theguardian.com/football/ng-interactive/2026/sep/01/mens-transfer-window-summer-2026-all-deals-from-europes-top-five-leagues</x:v>
      </x:c>
    </x:row>
    <x:row r="981" ht="25" customHeight="1">
      <x:c r="A981" s="75" t="str">
        <x:v>summer-S26-0326</x:v>
      </x:c>
      <x:c r="B981" s="75" t="str">
        <x:v>Alessandro Plizzari</x:v>
      </x:c>
      <x:c r="C981" s="75" t="str">
        <x:v>Südtirol</x:v>
      </x:c>
      <x:c r="D981" s="75" t="str">
        <x:v>Venezia</x:v>
      </x:c>
      <x:c r="E981" s="77" t="d">
        <x:v>2026-07-10T00:00:00.000Z</x:v>
      </x:c>
      <x:c r="F981" s="75" t="str">
        <x:v>summer</x:v>
      </x:c>
      <x:c r="G981" s="75" t="str">
        <x:v>Goalkeeper — source label</x:v>
      </x:c>
      <x:c r="H981" s="79"/>
      <x:c r="I981" s="75" t="str">
        <x:v>GBP</x:v>
      </x:c>
      <x:c r="J981" s="81"/>
      <x:c r="K981" s="83"/>
      <x:c r="L981" s="75" t="str">
        <x:v>Evidence needed</x:v>
      </x:c>
      <x:c r="M981" s="75" t="str">
        <x:v>Buyer-specific shot-stopping, distribution, aerial command, sweeping, signing age and total fee evidence are needed before scoring. Loan/swap costs must be treated separately.</x:v>
      </x:c>
      <x:c r="N981" s="75" t="str">
        <x:v>Not assessed</x:v>
      </x:c>
      <x:c r="O981" s="75" t="str">
        <x:v>Source broad position and transfer quote only; detailed role and buyer-specific production not validated.</x:v>
      </x:c>
      <x:c r="P981" s="75" t="str">
        <x:v>https://www.theguardian.com/football/ng-interactive/2026/sep/01/mens-transfer-window-summer-2026-all-deals-from-europes-top-five-leagues</x:v>
      </x:c>
    </x:row>
    <x:row r="982" ht="25" customHeight="1">
      <x:c r="A982" s="69" t="str">
        <x:v>summer-S26-0327</x:v>
      </x:c>
      <x:c r="B982" s="69" t="str">
        <x:v>Brando Moruzzi</x:v>
      </x:c>
      <x:c r="C982" s="69" t="str">
        <x:v>Avellino</x:v>
      </x:c>
      <x:c r="D982" s="69" t="str">
        <x:v>Juventus</x:v>
      </x:c>
      <x:c r="E982" s="76" t="d">
        <x:v>2026-07-10T00:00:00.000Z</x:v>
      </x:c>
      <x:c r="F982" s="69" t="str">
        <x:v>summer</x:v>
      </x:c>
      <x:c r="G982" s="69" t="str">
        <x:v>Defender — source label</x:v>
      </x:c>
      <x:c r="H982" s="78"/>
      <x:c r="I982" s="69" t="str">
        <x:v>GBP</x:v>
      </x:c>
      <x:c r="J982" s="80"/>
      <x:c r="K982" s="82"/>
      <x:c r="L982" s="69" t="str">
        <x:v>Evidence needed</x:v>
      </x:c>
      <x:c r="M982" s="69" t="str">
        <x:v>Buyer-specific role, production, availability, signing age and total fee evidence are needed before assigning a deal-value score. Loan/swap costs must be treated separately.</x:v>
      </x:c>
      <x:c r="N982" s="69" t="str">
        <x:v>Not assessed</x:v>
      </x:c>
      <x:c r="O982" s="69" t="str">
        <x:v>Source broad position and transfer quote only; detailed role and buyer-specific production not validated.</x:v>
      </x:c>
      <x:c r="P982" s="69" t="str">
        <x:v>https://www.theguardian.com/football/ng-interactive/2026/sep/01/mens-transfer-window-summer-2026-all-deals-from-europes-top-five-leagues</x:v>
      </x:c>
    </x:row>
    <x:row r="983" ht="25" customHeight="1">
      <x:c r="A983" s="75" t="str">
        <x:v>summer-S26-0329</x:v>
      </x:c>
      <x:c r="B983" s="75" t="str">
        <x:v>Tommaso Martinelli</x:v>
      </x:c>
      <x:c r="C983" s="75" t="str">
        <x:v>Avellino</x:v>
      </x:c>
      <x:c r="D983" s="75" t="str">
        <x:v>Fiorentina</x:v>
      </x:c>
      <x:c r="E983" s="77" t="d">
        <x:v>2026-07-10T00:00:00.000Z</x:v>
      </x:c>
      <x:c r="F983" s="75" t="str">
        <x:v>summer</x:v>
      </x:c>
      <x:c r="G983" s="75" t="str">
        <x:v>Goalkeeper — source label</x:v>
      </x:c>
      <x:c r="H983" s="79"/>
      <x:c r="I983" s="75" t="str">
        <x:v>GBP</x:v>
      </x:c>
      <x:c r="J983" s="81"/>
      <x:c r="K983" s="83"/>
      <x:c r="L983" s="75" t="str">
        <x:v>Evidence needed</x:v>
      </x:c>
      <x:c r="M983" s="75" t="str">
        <x:v>Buyer-specific shot-stopping, distribution, aerial command, sweeping, signing age and total fee evidence are needed before scoring. Loan/swap costs must be treated separately.</x:v>
      </x:c>
      <x:c r="N983" s="75" t="str">
        <x:v>Not assessed</x:v>
      </x:c>
      <x:c r="O983" s="75" t="str">
        <x:v>Source broad position and transfer quote only; detailed role and buyer-specific production not validated.</x:v>
      </x:c>
      <x:c r="P983" s="75" t="str">
        <x:v>https://www.theguardian.com/football/ng-interactive/2026/sep/01/mens-transfer-window-summer-2026-all-deals-from-europes-top-five-leagues</x:v>
      </x:c>
    </x:row>
    <x:row r="984" ht="25" customHeight="1">
      <x:c r="A984" s="69" t="str">
        <x:v>summer-S26-0332</x:v>
      </x:c>
      <x:c r="B984" s="69" t="str">
        <x:v>Sverre Nypan</x:v>
      </x:c>
      <x:c r="C984" s="69" t="str">
        <x:v>Lommel SK</x:v>
      </x:c>
      <x:c r="D984" s="69" t="str">
        <x:v>Manchester City</x:v>
      </x:c>
      <x:c r="E984" s="76" t="d">
        <x:v>2026-07-11T00:00:00.000Z</x:v>
      </x:c>
      <x:c r="F984" s="69" t="str">
        <x:v>summer</x:v>
      </x:c>
      <x:c r="G984" s="69" t="str">
        <x:v>Midfielder — source label</x:v>
      </x:c>
      <x:c r="H984" s="78"/>
      <x:c r="I984" s="69" t="str">
        <x:v>GBP</x:v>
      </x:c>
      <x:c r="J984" s="80"/>
      <x:c r="K984" s="82"/>
      <x:c r="L984" s="69" t="str">
        <x:v>Evidence needed</x:v>
      </x:c>
      <x:c r="M984" s="69" t="str">
        <x:v>Buyer-specific role, production, availability, signing age and total fee evidence are needed before assigning a deal-value score. Loan/swap costs must be treated separately.</x:v>
      </x:c>
      <x:c r="N984" s="69" t="str">
        <x:v>Not assessed</x:v>
      </x:c>
      <x:c r="O984" s="69" t="str">
        <x:v>Source broad position and transfer quote only; detailed role and buyer-specific production not validated.</x:v>
      </x:c>
      <x:c r="P984" s="69" t="str">
        <x:v>https://www.theguardian.com/football/ng-interactive/2026/sep/01/mens-transfer-window-summer-2026-all-deals-from-europes-top-five-leagues</x:v>
      </x:c>
    </x:row>
    <x:row r="985" ht="25" customHeight="1">
      <x:c r="A985" s="75" t="str">
        <x:v>summer-S26-0333</x:v>
      </x:c>
      <x:c r="B985" s="75" t="str">
        <x:v>Gideon Mensah</x:v>
      </x:c>
      <x:c r="C985" s="75" t="str">
        <x:v>Cologne</x:v>
      </x:c>
      <x:c r="D985" s="75" t="str">
        <x:v>Auxerre</x:v>
      </x:c>
      <x:c r="E985" s="77" t="d">
        <x:v>2026-07-11T00:00:00.000Z</x:v>
      </x:c>
      <x:c r="F985" s="75" t="str">
        <x:v>summer</x:v>
      </x:c>
      <x:c r="G985" s="75" t="str">
        <x:v>Defender — source label</x:v>
      </x:c>
      <x:c r="H985" s="79"/>
      <x:c r="I985" s="75" t="str">
        <x:v>GBP</x:v>
      </x:c>
      <x:c r="J985" s="81"/>
      <x:c r="K985" s="83"/>
      <x:c r="L985" s="75" t="str">
        <x:v>Evidence needed</x:v>
      </x:c>
      <x:c r="M985" s="75" t="str">
        <x:v>Buyer-specific role, production, availability, signing age and total fee evidence are needed before assigning a deal-value score. A zero base fee does not represent wages or signing costs.</x:v>
      </x:c>
      <x:c r="N985" s="75" t="str">
        <x:v>Not assessed</x:v>
      </x:c>
      <x:c r="O985" s="75" t="str">
        <x:v>Source broad position and transfer quote only; detailed role and buyer-specific production not validated.</x:v>
      </x:c>
      <x:c r="P985" s="75" t="str">
        <x:v>https://www.theguardian.com/football/ng-interactive/2026/sep/01/mens-transfer-window-summer-2026-all-deals-from-europes-top-five-leagues</x:v>
      </x:c>
    </x:row>
    <x:row r="986" ht="25" customHeight="1">
      <x:c r="A986" s="69" t="str">
        <x:v>summer-S26-0336</x:v>
      </x:c>
      <x:c r="B986" s="69" t="str">
        <x:v>Seid Korac</x:v>
      </x:c>
      <x:c r="C986" s="69" t="str">
        <x:v>Verona</x:v>
      </x:c>
      <x:c r="D986" s="69" t="str">
        <x:v>Venezia</x:v>
      </x:c>
      <x:c r="E986" s="76" t="d">
        <x:v>2026-07-11T00:00:00.000Z</x:v>
      </x:c>
      <x:c r="F986" s="69" t="str">
        <x:v>summer</x:v>
      </x:c>
      <x:c r="G986" s="69" t="str">
        <x:v>Defender — source label</x:v>
      </x:c>
      <x:c r="H986" s="78"/>
      <x:c r="I986" s="69" t="str">
        <x:v>GBP</x:v>
      </x:c>
      <x:c r="J986" s="80"/>
      <x:c r="K986" s="82"/>
      <x:c r="L986" s="69" t="str">
        <x:v>Evidence needed</x:v>
      </x:c>
      <x:c r="M986" s="69" t="str">
        <x:v>Buyer-specific role, production, availability, signing age and total fee evidence are needed before assigning a deal-value score. Loan/swap costs must be treated separately.</x:v>
      </x:c>
      <x:c r="N986" s="69" t="str">
        <x:v>Not assessed</x:v>
      </x:c>
      <x:c r="O986" s="69" t="str">
        <x:v>Source broad position and transfer quote only; detailed role and buyer-specific production not validated.</x:v>
      </x:c>
      <x:c r="P986" s="69" t="str">
        <x:v>https://www.theguardian.com/football/ng-interactive/2026/sep/01/mens-transfer-window-summer-2026-all-deals-from-europes-top-five-leagues</x:v>
      </x:c>
    </x:row>
    <x:row r="987" ht="25" customHeight="1">
      <x:c r="A987" s="75" t="str">
        <x:v>summer-S26-0338</x:v>
      </x:c>
      <x:c r="B987" s="75" t="str">
        <x:v>Brad Collins</x:v>
      </x:c>
      <x:c r="C987" s="75" t="str">
        <x:v>Bristol City</x:v>
      </x:c>
      <x:c r="D987" s="75" t="str">
        <x:v>Coventry City</x:v>
      </x:c>
      <x:c r="E987" s="77" t="d">
        <x:v>2026-07-11T00:00:00.000Z</x:v>
      </x:c>
      <x:c r="F987" s="75" t="str">
        <x:v>summer</x:v>
      </x:c>
      <x:c r="G987" s="75" t="str">
        <x:v>Goalkeeper — source label</x:v>
      </x:c>
      <x:c r="H987" s="79"/>
      <x:c r="I987" s="75" t="str">
        <x:v>GBP</x:v>
      </x:c>
      <x:c r="J987" s="81"/>
      <x:c r="K987" s="83"/>
      <x:c r="L987" s="75" t="str">
        <x:v>Evidence needed</x:v>
      </x:c>
      <x:c r="M987" s="75" t="str">
        <x:v>Buyer-specific shot-stopping, distribution, aerial command, sweeping, signing age and total fee evidence are needed before scoring. A zero base fee does not represent wages or signing costs.</x:v>
      </x:c>
      <x:c r="N987" s="75" t="str">
        <x:v>Not assessed</x:v>
      </x:c>
      <x:c r="O987" s="75" t="str">
        <x:v>Source broad position and transfer quote only; detailed role and buyer-specific production not validated.</x:v>
      </x:c>
      <x:c r="P987" s="75" t="str">
        <x:v>https://www.theguardian.com/football/ng-interactive/2026/sep/01/mens-transfer-window-summer-2026-all-deals-from-europes-top-five-leagues</x:v>
      </x:c>
    </x:row>
    <x:row r="988" ht="25" customHeight="1">
      <x:c r="A988" s="69" t="str">
        <x:v>summer-S26-0340</x:v>
      </x:c>
      <x:c r="B988" s="69" t="str">
        <x:v>Arthur Atta</x:v>
      </x:c>
      <x:c r="C988" s="69" t="str">
        <x:v>Fiorentina</x:v>
      </x:c>
      <x:c r="D988" s="69" t="str">
        <x:v>Udinese</x:v>
      </x:c>
      <x:c r="E988" s="76" t="d">
        <x:v>2026-07-11T00:00:00.000Z</x:v>
      </x:c>
      <x:c r="F988" s="69" t="str">
        <x:v>summer</x:v>
      </x:c>
      <x:c r="G988" s="69" t="str">
        <x:v>Midfielder — source label</x:v>
      </x:c>
      <x:c r="H988" s="78" t="n">
        <x:v>25600000</x:v>
      </x:c>
      <x:c r="I988" s="69" t="str">
        <x:v>GBP</x:v>
      </x:c>
      <x:c r="J988" s="80"/>
      <x:c r="K988" s="82"/>
      <x:c r="L988" s="69" t="str">
        <x:v>Evidence needed</x:v>
      </x:c>
      <x:c r="M988" s="69" t="str">
        <x:v>Buyer-specific role, production, availability, signing age and total fee evidence are needed before assigning a deal-value score.</x:v>
      </x:c>
      <x:c r="N988" s="69" t="str">
        <x:v>Not assessed</x:v>
      </x:c>
      <x:c r="O988" s="69" t="str">
        <x:v>Source broad position and transfer quote only; detailed role and buyer-specific production not validated.</x:v>
      </x:c>
      <x:c r="P988" s="69" t="str">
        <x:v>https://www.theguardian.com/football/ng-interactive/2026/sep/01/mens-transfer-window-summer-2026-all-deals-from-europes-top-five-leagues</x:v>
      </x:c>
    </x:row>
    <x:row r="989" ht="25" customHeight="1">
      <x:c r="A989" s="75" t="str">
        <x:v>summer-S26-0343</x:v>
      </x:c>
      <x:c r="B989" s="75" t="str">
        <x:v>Nicola Leali</x:v>
      </x:c>
      <x:c r="C989" s="75" t="str">
        <x:v>Verona</x:v>
      </x:c>
      <x:c r="D989" s="75" t="str">
        <x:v>Genoa</x:v>
      </x:c>
      <x:c r="E989" s="77" t="d">
        <x:v>2026-07-11T00:00:00.000Z</x:v>
      </x:c>
      <x:c r="F989" s="75" t="str">
        <x:v>summer</x:v>
      </x:c>
      <x:c r="G989" s="75" t="str">
        <x:v>Goalkeeper — source label</x:v>
      </x:c>
      <x:c r="H989" s="79"/>
      <x:c r="I989" s="75" t="str">
        <x:v>GBP</x:v>
      </x:c>
      <x:c r="J989" s="81"/>
      <x:c r="K989" s="83"/>
      <x:c r="L989" s="75" t="str">
        <x:v>Evidence needed</x:v>
      </x:c>
      <x:c r="M989" s="75" t="str">
        <x:v>Buyer-specific shot-stopping, distribution, aerial command, sweeping, signing age and total fee evidence are needed before scoring. A zero base fee does not represent wages or signing costs.</x:v>
      </x:c>
      <x:c r="N989" s="75" t="str">
        <x:v>Not assessed</x:v>
      </x:c>
      <x:c r="O989" s="75" t="str">
        <x:v>Source broad position and transfer quote only; detailed role and buyer-specific production not validated.</x:v>
      </x:c>
      <x:c r="P989" s="75" t="str">
        <x:v>https://www.theguardian.com/football/ng-interactive/2026/sep/01/mens-transfer-window-summer-2026-all-deals-from-europes-top-five-leagues</x:v>
      </x:c>
    </x:row>
    <x:row r="990" ht="25" customHeight="1">
      <x:c r="A990" s="69" t="str">
        <x:v>summer-S26-0346</x:v>
      </x:c>
      <x:c r="B990" s="69" t="str">
        <x:v>Yassine Kechta</x:v>
      </x:c>
      <x:c r="C990" s="69" t="str">
        <x:v>Leganés</x:v>
      </x:c>
      <x:c r="D990" s="69" t="str">
        <x:v>Le Havre</x:v>
      </x:c>
      <x:c r="E990" s="76" t="d">
        <x:v>2026-07-12T00:00:00.000Z</x:v>
      </x:c>
      <x:c r="F990" s="69" t="str">
        <x:v>summer</x:v>
      </x:c>
      <x:c r="G990" s="69" t="str">
        <x:v>Midfielder — source label</x:v>
      </x:c>
      <x:c r="H990" s="78"/>
      <x:c r="I990" s="69" t="str">
        <x:v>GBP</x:v>
      </x:c>
      <x:c r="J990" s="80"/>
      <x:c r="K990" s="82"/>
      <x:c r="L990" s="69" t="str">
        <x:v>Evidence needed</x:v>
      </x:c>
      <x:c r="M990" s="69" t="str">
        <x:v>Buyer-specific role, production, availability, signing age and total fee evidence are needed before assigning a deal-value score. A zero base fee does not represent wages or signing costs.</x:v>
      </x:c>
      <x:c r="N990" s="69" t="str">
        <x:v>Not assessed</x:v>
      </x:c>
      <x:c r="O990" s="69" t="str">
        <x:v>Source broad position and transfer quote only; detailed role and buyer-specific production not validated.</x:v>
      </x:c>
      <x:c r="P990" s="69" t="str">
        <x:v>https://www.theguardian.com/football/ng-interactive/2026/sep/01/mens-transfer-window-summer-2026-all-deals-from-europes-top-five-leagues</x:v>
      </x:c>
    </x:row>
    <x:row r="991" ht="25" customHeight="1">
      <x:c r="A991" s="75" t="str">
        <x:v>summer-S26-0347</x:v>
      </x:c>
      <x:c r="B991" s="75" t="str">
        <x:v>Angus Gunn</x:v>
      </x:c>
      <x:c r="C991" s="75" t="str">
        <x:v>San Jose Earthquakes</x:v>
      </x:c>
      <x:c r="D991" s="75" t="str">
        <x:v>Nottingham Forest</x:v>
      </x:c>
      <x:c r="E991" s="77" t="d">
        <x:v>2026-07-08T00:00:00.000Z</x:v>
      </x:c>
      <x:c r="F991" s="75" t="str">
        <x:v>summer</x:v>
      </x:c>
      <x:c r="G991" s="75" t="str">
        <x:v>Goalkeeper — source label</x:v>
      </x:c>
      <x:c r="H991" s="79"/>
      <x:c r="I991" s="75" t="str">
        <x:v>GBP</x:v>
      </x:c>
      <x:c r="J991" s="81"/>
      <x:c r="K991" s="83"/>
      <x:c r="L991" s="75" t="str">
        <x:v>Evidence needed</x:v>
      </x:c>
      <x:c r="M991" s="75" t="str">
        <x:v>Buyer-specific shot-stopping, distribution, aerial command, sweeping, signing age and total fee evidence are needed before scoring. A zero base fee does not represent wages or signing costs.</x:v>
      </x:c>
      <x:c r="N991" s="75" t="str">
        <x:v>Not assessed</x:v>
      </x:c>
      <x:c r="O991" s="75" t="str">
        <x:v>Source broad position and transfer quote only; detailed role and buyer-specific production not validated.</x:v>
      </x:c>
      <x:c r="P991" s="75" t="str">
        <x:v>https://www.theguardian.com/football/ng-interactive/2026/sep/01/mens-transfer-window-summer-2026-all-deals-from-europes-top-five-leagues</x:v>
      </x:c>
    </x:row>
    <x:row r="992" ht="25" customHeight="1">
      <x:c r="A992" s="69" t="str">
        <x:v>summer-S26-0348</x:v>
      </x:c>
      <x:c r="B992" s="69" t="str">
        <x:v>Kjell Wätjen</x:v>
      </x:c>
      <x:c r="C992" s="69" t="str">
        <x:v>FC Midtjylland</x:v>
      </x:c>
      <x:c r="D992" s="69" t="str">
        <x:v>Borussia Dortmund</x:v>
      </x:c>
      <x:c r="E992" s="76" t="d">
        <x:v>2026-07-13T00:00:00.000Z</x:v>
      </x:c>
      <x:c r="F992" s="69" t="str">
        <x:v>summer</x:v>
      </x:c>
      <x:c r="G992" s="69" t="str">
        <x:v>Midfielder — source label</x:v>
      </x:c>
      <x:c r="H992" s="78" t="n">
        <x:v>1700000</x:v>
      </x:c>
      <x:c r="I992" s="69" t="str">
        <x:v>GBP</x:v>
      </x:c>
      <x:c r="J992" s="80"/>
      <x:c r="K992" s="82"/>
      <x:c r="L992" s="69" t="str">
        <x:v>Evidence needed</x:v>
      </x:c>
      <x:c r="M992" s="69" t="str">
        <x:v>Buyer-specific role, production, availability, signing age and total fee evidence are needed before assigning a deal-value score.</x:v>
      </x:c>
      <x:c r="N992" s="69" t="str">
        <x:v>Not assessed</x:v>
      </x:c>
      <x:c r="O992" s="69" t="str">
        <x:v>Source broad position and transfer quote only; detailed role and buyer-specific production not validated.</x:v>
      </x:c>
      <x:c r="P992" s="69" t="str">
        <x:v>https://www.theguardian.com/football/ng-interactive/2026/sep/01/mens-transfer-window-summer-2026-all-deals-from-europes-top-five-leagues</x:v>
      </x:c>
    </x:row>
    <x:row r="993" ht="25" customHeight="1">
      <x:c r="A993" s="75" t="str">
        <x:v>summer-S26-0350</x:v>
      </x:c>
      <x:c r="B993" s="75" t="str">
        <x:v>Hennes Behrens</x:v>
      </x:c>
      <x:c r="C993" s="75" t="str">
        <x:v>Augsburg</x:v>
      </x:c>
      <x:c r="D993" s="75" t="str">
        <x:v>Hoffenheim</x:v>
      </x:c>
      <x:c r="E993" s="77" t="d">
        <x:v>2026-07-13T00:00:00.000Z</x:v>
      </x:c>
      <x:c r="F993" s="75" t="str">
        <x:v>summer</x:v>
      </x:c>
      <x:c r="G993" s="75" t="str">
        <x:v>Defender — source label</x:v>
      </x:c>
      <x:c r="H993" s="79" t="n">
        <x:v>3000000</x:v>
      </x:c>
      <x:c r="I993" s="75" t="str">
        <x:v>GBP</x:v>
      </x:c>
      <x:c r="J993" s="81"/>
      <x:c r="K993" s="83"/>
      <x:c r="L993" s="75" t="str">
        <x:v>Evidence needed</x:v>
      </x:c>
      <x:c r="M993" s="75" t="str">
        <x:v>Buyer-specific role, production, availability, signing age and total fee evidence are needed before assigning a deal-value score.</x:v>
      </x:c>
      <x:c r="N993" s="75" t="str">
        <x:v>Not assessed</x:v>
      </x:c>
      <x:c r="O993" s="75" t="str">
        <x:v>Source broad position and transfer quote only; detailed role and buyer-specific production not validated.</x:v>
      </x:c>
      <x:c r="P993" s="75" t="str">
        <x:v>https://www.theguardian.com/football/ng-interactive/2026/sep/01/mens-transfer-window-summer-2026-all-deals-from-europes-top-five-leagues</x:v>
      </x:c>
    </x:row>
    <x:row r="994" ht="25" customHeight="1">
      <x:c r="A994" s="69" t="str">
        <x:v>summer-S26-0351</x:v>
      </x:c>
      <x:c r="B994" s="69" t="str">
        <x:v>Faik Sakar</x:v>
      </x:c>
      <x:c r="C994" s="69" t="str">
        <x:v>Augsburg</x:v>
      </x:c>
      <x:c r="D994" s="69" t="str">
        <x:v>RB Leipzig</x:v>
      </x:c>
      <x:c r="E994" s="76" t="d">
        <x:v>2026-04-23T00:00:00.000Z</x:v>
      </x:c>
      <x:c r="F994" s="69" t="str">
        <x:v>summer</x:v>
      </x:c>
      <x:c r="G994" s="69" t="str">
        <x:v>Midfielder — source label</x:v>
      </x:c>
      <x:c r="H994" s="78"/>
      <x:c r="I994" s="69" t="str">
        <x:v>GBP</x:v>
      </x:c>
      <x:c r="J994" s="80"/>
      <x:c r="K994" s="82"/>
      <x:c r="L994" s="69" t="str">
        <x:v>Evidence needed</x:v>
      </x:c>
      <x:c r="M994" s="69" t="str">
        <x:v>Buyer-specific role, production, availability, signing age and total fee evidence are needed before assigning a deal-value score. A zero base fee does not represent wages or signing costs.</x:v>
      </x:c>
      <x:c r="N994" s="69" t="str">
        <x:v>Not assessed</x:v>
      </x:c>
      <x:c r="O994" s="69" t="str">
        <x:v>Source broad position and transfer quote only; detailed role and buyer-specific production not validated.</x:v>
      </x:c>
      <x:c r="P994" s="69" t="str">
        <x:v>https://www.theguardian.com/football/ng-interactive/2026/sep/01/mens-transfer-window-summer-2026-all-deals-from-europes-top-five-leagues</x:v>
      </x:c>
    </x:row>
    <x:row r="995" ht="25" customHeight="1">
      <x:c r="A995" s="75" t="str">
        <x:v>summer-S26-0353</x:v>
      </x:c>
      <x:c r="B995" s="75" t="str">
        <x:v>Cieran Slicker</x:v>
      </x:c>
      <x:c r="C995" s="75" t="str">
        <x:v>Barnsley</x:v>
      </x:c>
      <x:c r="D995" s="75" t="str">
        <x:v>Ipswich Town</x:v>
      </x:c>
      <x:c r="E995" s="77" t="d">
        <x:v>2026-07-13T00:00:00.000Z</x:v>
      </x:c>
      <x:c r="F995" s="75" t="str">
        <x:v>summer</x:v>
      </x:c>
      <x:c r="G995" s="75" t="str">
        <x:v>Goalkeeper — source label</x:v>
      </x:c>
      <x:c r="H995" s="79"/>
      <x:c r="I995" s="75" t="str">
        <x:v>GBP</x:v>
      </x:c>
      <x:c r="J995" s="81"/>
      <x:c r="K995" s="83"/>
      <x:c r="L995" s="75" t="str">
        <x:v>Evidence needed</x:v>
      </x:c>
      <x:c r="M995" s="75" t="str">
        <x:v>Buyer-specific shot-stopping, distribution, aerial command, sweeping, signing age and total fee evidence are needed before scoring. Loan/swap costs must be treated separately.</x:v>
      </x:c>
      <x:c r="N995" s="75" t="str">
        <x:v>Not assessed</x:v>
      </x:c>
      <x:c r="O995" s="75" t="str">
        <x:v>Source broad position and transfer quote only; detailed role and buyer-specific production not validated.</x:v>
      </x:c>
      <x:c r="P995" s="75" t="str">
        <x:v>https://www.theguardian.com/football/ng-interactive/2026/sep/01/mens-transfer-window-summer-2026-all-deals-from-europes-top-five-leagues</x:v>
      </x:c>
    </x:row>
    <x:row r="996" ht="25" customHeight="1">
      <x:c r="A996" s="69" t="str">
        <x:v>summer-S26-0355</x:v>
      </x:c>
      <x:c r="B996" s="69" t="str">
        <x:v>Calvin Brackelmann</x:v>
      </x:c>
      <x:c r="C996" s="69" t="str">
        <x:v>Augsburg</x:v>
      </x:c>
      <x:c r="D996" s="69" t="str">
        <x:v>Paderborn</x:v>
      </x:c>
      <x:c r="E996" s="76" t="d">
        <x:v>2026-05-29T00:00:00.000Z</x:v>
      </x:c>
      <x:c r="F996" s="69" t="str">
        <x:v>summer</x:v>
      </x:c>
      <x:c r="G996" s="69" t="str">
        <x:v>Defender — source label</x:v>
      </x:c>
      <x:c r="H996" s="78"/>
      <x:c r="I996" s="69" t="str">
        <x:v>GBP</x:v>
      </x:c>
      <x:c r="J996" s="80"/>
      <x:c r="K996" s="82"/>
      <x:c r="L996" s="69" t="str">
        <x:v>Evidence needed</x:v>
      </x:c>
      <x:c r="M996" s="69" t="str">
        <x:v>Buyer-specific role, production, availability, signing age and total fee evidence are needed before assigning a deal-value score. A zero base fee does not represent wages or signing costs.</x:v>
      </x:c>
      <x:c r="N996" s="69" t="str">
        <x:v>Not assessed</x:v>
      </x:c>
      <x:c r="O996" s="69" t="str">
        <x:v>Source broad position and transfer quote only; detailed role and buyer-specific production not validated.</x:v>
      </x:c>
      <x:c r="P996" s="69" t="str">
        <x:v>https://www.theguardian.com/football/ng-interactive/2026/sep/01/mens-transfer-window-summer-2026-all-deals-from-europes-top-five-leagues</x:v>
      </x:c>
    </x:row>
    <x:row r="997" ht="25" customHeight="1">
      <x:c r="A997" s="75" t="str">
        <x:v>summer-S26-0357</x:v>
      </x:c>
      <x:c r="B997" s="75" t="str">
        <x:v>Gaetano Oristanio</x:v>
      </x:c>
      <x:c r="C997" s="75" t="str">
        <x:v>Torino</x:v>
      </x:c>
      <x:c r="D997" s="75" t="str">
        <x:v>Venezia</x:v>
      </x:c>
      <x:c r="E997" s="77" t="d">
        <x:v>2026-07-09T00:00:00.000Z</x:v>
      </x:c>
      <x:c r="F997" s="75" t="str">
        <x:v>summer</x:v>
      </x:c>
      <x:c r="G997" s="75" t="str">
        <x:v>Midfielder — source label</x:v>
      </x:c>
      <x:c r="H997" s="79"/>
      <x:c r="I997" s="75" t="str">
        <x:v>GBP</x:v>
      </x:c>
      <x:c r="J997" s="81"/>
      <x:c r="K997" s="83"/>
      <x:c r="L997" s="75" t="str">
        <x:v>Evidence needed</x:v>
      </x:c>
      <x:c r="M997" s="75" t="str">
        <x:v>Buyer-specific role, production, availability, signing age and total fee evidence are needed before assigning a deal-value score. Loan/swap costs must be treated separately.</x:v>
      </x:c>
      <x:c r="N997" s="75" t="str">
        <x:v>Not assessed</x:v>
      </x:c>
      <x:c r="O997" s="75" t="str">
        <x:v>Source broad position and transfer quote only; detailed role and buyer-specific production not validated.</x:v>
      </x:c>
      <x:c r="P997" s="75" t="str">
        <x:v>https://www.theguardian.com/football/ng-interactive/2026/sep/01/mens-transfer-window-summer-2026-all-deals-from-europes-top-five-leagues</x:v>
      </x:c>
    </x:row>
    <x:row r="998" ht="25" customHeight="1">
      <x:c r="A998" s="69" t="str">
        <x:v>summer-S26-0358</x:v>
      </x:c>
      <x:c r="B998" s="69" t="str">
        <x:v>Brajan Gruda</x:v>
      </x:c>
      <x:c r="C998" s="69" t="str">
        <x:v>RB Leipzig</x:v>
      </x:c>
      <x:c r="D998" s="69" t="str">
        <x:v>Brighton</x:v>
      </x:c>
      <x:c r="E998" s="76" t="d">
        <x:v>2026-07-13T00:00:00.000Z</x:v>
      </x:c>
      <x:c r="F998" s="69" t="str">
        <x:v>summer</x:v>
      </x:c>
      <x:c r="G998" s="69" t="str">
        <x:v>Midfielder — source label</x:v>
      </x:c>
      <x:c r="H998" s="78"/>
      <x:c r="I998" s="69" t="str">
        <x:v>GBP</x:v>
      </x:c>
      <x:c r="J998" s="80"/>
      <x:c r="K998" s="82"/>
      <x:c r="L998" s="69" t="str">
        <x:v>Evidence needed</x:v>
      </x:c>
      <x:c r="M998" s="69" t="str">
        <x:v>Buyer-specific role, production, availability, signing age and total fee evidence are needed before assigning a deal-value score.</x:v>
      </x:c>
      <x:c r="N998" s="69" t="str">
        <x:v>Not assessed</x:v>
      </x:c>
      <x:c r="O998" s="69" t="str">
        <x:v>Source broad position and transfer quote only; detailed role and buyer-specific production not validated.</x:v>
      </x:c>
      <x:c r="P998" s="69" t="str">
        <x:v>https://www.theguardian.com/football/ng-interactive/2026/sep/01/mens-transfer-window-summer-2026-all-deals-from-europes-top-five-leagues</x:v>
      </x:c>
    </x:row>
    <x:row r="999" ht="25" customHeight="1">
      <x:c r="A999" s="75" t="str">
        <x:v>summer-S26-0359</x:v>
      </x:c>
      <x:c r="B999" s="75" t="str">
        <x:v>Valentino Lazaro</x:v>
      </x:c>
      <x:c r="C999" s="75" t="str">
        <x:v>Al-Ain</x:v>
      </x:c>
      <x:c r="D999" s="75" t="str">
        <x:v>Torino</x:v>
      </x:c>
      <x:c r="E999" s="77" t="d">
        <x:v>2026-07-13T00:00:00.000Z</x:v>
      </x:c>
      <x:c r="F999" s="75" t="str">
        <x:v>summer</x:v>
      </x:c>
      <x:c r="G999" s="75" t="str">
        <x:v>Midfielder — source label</x:v>
      </x:c>
      <x:c r="H999" s="79"/>
      <x:c r="I999" s="75" t="str">
        <x:v>GBP</x:v>
      </x:c>
      <x:c r="J999" s="81"/>
      <x:c r="K999" s="83"/>
      <x:c r="L999" s="75" t="str">
        <x:v>Evidence needed</x:v>
      </x:c>
      <x:c r="M999" s="75" t="str">
        <x:v>Buyer-specific role, production, availability, signing age and total fee evidence are needed before assigning a deal-value score. A zero base fee does not represent wages or signing costs.</x:v>
      </x:c>
      <x:c r="N999" s="75" t="str">
        <x:v>Not assessed</x:v>
      </x:c>
      <x:c r="O999" s="75" t="str">
        <x:v>Source broad position and transfer quote only; detailed role and buyer-specific production not validated.</x:v>
      </x:c>
      <x:c r="P999" s="75" t="str">
        <x:v>https://www.theguardian.com/football/ng-interactive/2026/sep/01/mens-transfer-window-summer-2026-all-deals-from-europes-top-five-leagues</x:v>
      </x:c>
    </x:row>
    <x:row r="1000" ht="25" customHeight="1">
      <x:c r="A1000" s="69" t="str">
        <x:v>summer-S26-0360</x:v>
      </x:c>
      <x:c r="B1000" s="69" t="str">
        <x:v>Viery</x:v>
      </x:c>
      <x:c r="C1000" s="69" t="str">
        <x:v>Fiorentina</x:v>
      </x:c>
      <x:c r="D1000" s="69" t="str">
        <x:v>Grêmio</x:v>
      </x:c>
      <x:c r="E1000" s="76" t="d">
        <x:v>2026-07-01T00:00:00.000Z</x:v>
      </x:c>
      <x:c r="F1000" s="69" t="str">
        <x:v>summer</x:v>
      </x:c>
      <x:c r="G1000" s="69" t="str">
        <x:v>Defender — source label</x:v>
      </x:c>
      <x:c r="H1000" s="78" t="n">
        <x:v>12800000</x:v>
      </x:c>
      <x:c r="I1000" s="69" t="str">
        <x:v>GBP</x:v>
      </x:c>
      <x:c r="J1000" s="80"/>
      <x:c r="K1000" s="82"/>
      <x:c r="L1000" s="69" t="str">
        <x:v>Evidence needed</x:v>
      </x:c>
      <x:c r="M1000" s="69" t="str">
        <x:v>Buyer-specific role, production, availability, signing age and total fee evidence are needed before assigning a deal-value score.</x:v>
      </x:c>
      <x:c r="N1000" s="69" t="str">
        <x:v>Not assessed</x:v>
      </x:c>
      <x:c r="O1000" s="69" t="str">
        <x:v>Source broad position and transfer quote only; detailed role and buyer-specific production not validated.</x:v>
      </x:c>
      <x:c r="P1000" s="69" t="str">
        <x:v>https://www.theguardian.com/football/ng-interactive/2026/sep/01/mens-transfer-window-summer-2026-all-deals-from-europes-top-five-leagues</x:v>
      </x:c>
    </x:row>
    <x:row r="1001" ht="25" customHeight="1">
      <x:c r="A1001" s="75" t="str">
        <x:v>summer-S26-0362</x:v>
      </x:c>
      <x:c r="B1001" s="75" t="str">
        <x:v>Ben Krauhaus</x:v>
      </x:c>
      <x:c r="C1001" s="75" t="str">
        <x:v>Falkirk</x:v>
      </x:c>
      <x:c r="D1001" s="75" t="str">
        <x:v>Brentford</x:v>
      </x:c>
      <x:c r="E1001" s="77" t="d">
        <x:v>2026-07-13T00:00:00.000Z</x:v>
      </x:c>
      <x:c r="F1001" s="75" t="str">
        <x:v>summer</x:v>
      </x:c>
      <x:c r="G1001" s="75" t="str">
        <x:v>Midfielder — source label</x:v>
      </x:c>
      <x:c r="H1001" s="79"/>
      <x:c r="I1001" s="75" t="str">
        <x:v>GBP</x:v>
      </x:c>
      <x:c r="J1001" s="81"/>
      <x:c r="K1001" s="83"/>
      <x:c r="L1001" s="75" t="str">
        <x:v>Evidence needed</x:v>
      </x:c>
      <x:c r="M1001" s="75" t="str">
        <x:v>Buyer-specific role, production, availability, signing age and total fee evidence are needed before assigning a deal-value score. Loan/swap costs must be treated separately.</x:v>
      </x:c>
      <x:c r="N1001" s="75" t="str">
        <x:v>Not assessed</x:v>
      </x:c>
      <x:c r="O1001" s="75" t="str">
        <x:v>Source broad position and transfer quote only; detailed role and buyer-specific production not validated.</x:v>
      </x:c>
      <x:c r="P1001" s="75" t="str">
        <x:v>https://www.theguardian.com/football/ng-interactive/2026/sep/01/mens-transfer-window-summer-2026-all-deals-from-europes-top-five-leagues</x:v>
      </x:c>
    </x:row>
    <x:row r="1002" ht="25" customHeight="1">
      <x:c r="A1002" s="69" t="str">
        <x:v>summer-S26-0363</x:v>
      </x:c>
      <x:c r="B1002" s="69" t="str">
        <x:v>Alex Paulsen</x:v>
      </x:c>
      <x:c r="C1002" s="69" t="str">
        <x:v>Motherwell</x:v>
      </x:c>
      <x:c r="D1002" s="69" t="str">
        <x:v>Bournemouth</x:v>
      </x:c>
      <x:c r="E1002" s="76" t="d">
        <x:v>2026-07-13T00:00:00.000Z</x:v>
      </x:c>
      <x:c r="F1002" s="69" t="str">
        <x:v>summer</x:v>
      </x:c>
      <x:c r="G1002" s="69" t="str">
        <x:v>Goalkeeper — source label</x:v>
      </x:c>
      <x:c r="H1002" s="78"/>
      <x:c r="I1002" s="69" t="str">
        <x:v>GBP</x:v>
      </x:c>
      <x:c r="J1002" s="80"/>
      <x:c r="K1002" s="82"/>
      <x:c r="L1002" s="69" t="str">
        <x:v>Evidence needed</x:v>
      </x:c>
      <x:c r="M1002" s="69" t="str">
        <x:v>Buyer-specific shot-stopping, distribution, aerial command, sweeping, signing age and total fee evidence are needed before scoring. Loan/swap costs must be treated separately.</x:v>
      </x:c>
      <x:c r="N1002" s="69" t="str">
        <x:v>Not assessed</x:v>
      </x:c>
      <x:c r="O1002" s="69" t="str">
        <x:v>Source broad position and transfer quote only; detailed role and buyer-specific production not validated.</x:v>
      </x:c>
      <x:c r="P1002" s="69" t="str">
        <x:v>https://www.theguardian.com/football/ng-interactive/2026/sep/01/mens-transfer-window-summer-2026-all-deals-from-europes-top-five-leagues</x:v>
      </x:c>
    </x:row>
    <x:row r="1003" ht="25" customHeight="1">
      <x:c r="A1003" s="75" t="str">
        <x:v>summer-S26-0368</x:v>
      </x:c>
      <x:c r="B1003" s="75" t="str">
        <x:v>Jonathan Asp Jensen</x:v>
      </x:c>
      <x:c r="C1003" s="75" t="str">
        <x:v>Deportivo La Coruña</x:v>
      </x:c>
      <x:c r="D1003" s="75" t="str">
        <x:v>Bayern Munich</x:v>
      </x:c>
      <x:c r="E1003" s="77" t="d">
        <x:v>2026-07-13T00:00:00.000Z</x:v>
      </x:c>
      <x:c r="F1003" s="75" t="str">
        <x:v>summer</x:v>
      </x:c>
      <x:c r="G1003" s="75" t="str">
        <x:v>Midfielder — source label</x:v>
      </x:c>
      <x:c r="H1003" s="79" t="n">
        <x:v>5100000</x:v>
      </x:c>
      <x:c r="I1003" s="75" t="str">
        <x:v>GBP</x:v>
      </x:c>
      <x:c r="J1003" s="81"/>
      <x:c r="K1003" s="83"/>
      <x:c r="L1003" s="75" t="str">
        <x:v>Evidence needed</x:v>
      </x:c>
      <x:c r="M1003" s="75" t="str">
        <x:v>Buyer-specific role, production, availability, signing age and total fee evidence are needed before assigning a deal-value score.</x:v>
      </x:c>
      <x:c r="N1003" s="75" t="str">
        <x:v>Not assessed</x:v>
      </x:c>
      <x:c r="O1003" s="75" t="str">
        <x:v>Source broad position and transfer quote only; detailed role and buyer-specific production not validated.</x:v>
      </x:c>
      <x:c r="P1003" s="75" t="str">
        <x:v>https://www.theguardian.com/football/ng-interactive/2026/sep/01/mens-transfer-window-summer-2026-all-deals-from-europes-top-five-leagues</x:v>
      </x:c>
    </x:row>
    <x:row r="1004" ht="25" customHeight="1">
      <x:c r="A1004" s="69" t="str">
        <x:v>summer-S26-0369</x:v>
      </x:c>
      <x:c r="B1004" s="69" t="str">
        <x:v>Martin Adeline</x:v>
      </x:c>
      <x:c r="C1004" s="69" t="str">
        <x:v>Hamburg</x:v>
      </x:c>
      <x:c r="D1004" s="69" t="str">
        <x:v>Troyes</x:v>
      </x:c>
      <x:c r="E1004" s="76" t="d">
        <x:v>2026-07-13T00:00:00.000Z</x:v>
      </x:c>
      <x:c r="F1004" s="69" t="str">
        <x:v>summer</x:v>
      </x:c>
      <x:c r="G1004" s="69" t="str">
        <x:v>Midfielder — source label</x:v>
      </x:c>
      <x:c r="H1004" s="78" t="n">
        <x:v>3400000</x:v>
      </x:c>
      <x:c r="I1004" s="69" t="str">
        <x:v>GBP</x:v>
      </x:c>
      <x:c r="J1004" s="80"/>
      <x:c r="K1004" s="82"/>
      <x:c r="L1004" s="69" t="str">
        <x:v>Evidence needed</x:v>
      </x:c>
      <x:c r="M1004" s="69" t="str">
        <x:v>Buyer-specific role, production, availability, signing age and total fee evidence are needed before assigning a deal-value score.</x:v>
      </x:c>
      <x:c r="N1004" s="69" t="str">
        <x:v>Not assessed</x:v>
      </x:c>
      <x:c r="O1004" s="69" t="str">
        <x:v>Source broad position and transfer quote only; detailed role and buyer-specific production not validated.</x:v>
      </x:c>
      <x:c r="P1004" s="69" t="str">
        <x:v>https://www.theguardian.com/football/ng-interactive/2026/sep/01/mens-transfer-window-summer-2026-all-deals-from-europes-top-five-leagues</x:v>
      </x:c>
    </x:row>
    <x:row r="1005" ht="25" customHeight="1">
      <x:c r="A1005" s="75" t="str">
        <x:v>summer-S26-0370</x:v>
      </x:c>
      <x:c r="B1005" s="75" t="str">
        <x:v>Elia Plicco</x:v>
      </x:c>
      <x:c r="C1005" s="75" t="str">
        <x:v>Sambenedettese</x:v>
      </x:c>
      <x:c r="D1005" s="75" t="str">
        <x:v>Parma</x:v>
      </x:c>
      <x:c r="E1005" s="77" t="d">
        <x:v>2026-07-13T00:00:00.000Z</x:v>
      </x:c>
      <x:c r="F1005" s="75" t="str">
        <x:v>summer</x:v>
      </x:c>
      <x:c r="G1005" s="75" t="str">
        <x:v>Midfielder — source label</x:v>
      </x:c>
      <x:c r="H1005" s="79"/>
      <x:c r="I1005" s="75" t="str">
        <x:v>GBP</x:v>
      </x:c>
      <x:c r="J1005" s="81"/>
      <x:c r="K1005" s="83"/>
      <x:c r="L1005" s="75" t="str">
        <x:v>Evidence needed</x:v>
      </x:c>
      <x:c r="M1005" s="75" t="str">
        <x:v>Buyer-specific role, production, availability, signing age and total fee evidence are needed before assigning a deal-value score. Loan/swap costs must be treated separately.</x:v>
      </x:c>
      <x:c r="N1005" s="75" t="str">
        <x:v>Not assessed</x:v>
      </x:c>
      <x:c r="O1005" s="75" t="str">
        <x:v>Source broad position and transfer quote only; detailed role and buyer-specific production not validated.</x:v>
      </x:c>
      <x:c r="P1005" s="75" t="str">
        <x:v>https://www.theguardian.com/football/ng-interactive/2026/sep/01/mens-transfer-window-summer-2026-all-deals-from-europes-top-five-leagues</x:v>
      </x:c>
    </x:row>
    <x:row r="1006" ht="25" customHeight="1">
      <x:c r="A1006" s="69" t="str">
        <x:v>summer-S26-0374</x:v>
      </x:c>
      <x:c r="B1006" s="69" t="str">
        <x:v>Jacopo Fazzini</x:v>
      </x:c>
      <x:c r="C1006" s="69" t="str">
        <x:v>Cagliari</x:v>
      </x:c>
      <x:c r="D1006" s="69" t="str">
        <x:v>Fiorentina</x:v>
      </x:c>
      <x:c r="E1006" s="76" t="d">
        <x:v>2026-07-13T00:00:00.000Z</x:v>
      </x:c>
      <x:c r="F1006" s="69" t="str">
        <x:v>summer</x:v>
      </x:c>
      <x:c r="G1006" s="69" t="str">
        <x:v>Midfielder — source label</x:v>
      </x:c>
      <x:c r="H1006" s="78"/>
      <x:c r="I1006" s="69" t="str">
        <x:v>GBP</x:v>
      </x:c>
      <x:c r="J1006" s="80"/>
      <x:c r="K1006" s="82"/>
      <x:c r="L1006" s="69" t="str">
        <x:v>Evidence needed</x:v>
      </x:c>
      <x:c r="M1006" s="69" t="str">
        <x:v>Buyer-specific role, production, availability, signing age and total fee evidence are needed before assigning a deal-value score. Loan/swap costs must be treated separately.</x:v>
      </x:c>
      <x:c r="N1006" s="69" t="str">
        <x:v>Not assessed</x:v>
      </x:c>
      <x:c r="O1006" s="69" t="str">
        <x:v>Source broad position and transfer quote only; detailed role and buyer-specific production not validated.</x:v>
      </x:c>
      <x:c r="P1006" s="69" t="str">
        <x:v>https://www.theguardian.com/football/ng-interactive/2026/sep/01/mens-transfer-window-summer-2026-all-deals-from-europes-top-five-leagues</x:v>
      </x:c>
    </x:row>
    <x:row r="1007" ht="25" customHeight="1">
      <x:c r="A1007" s="75" t="str">
        <x:v>summer-S26-0376</x:v>
      </x:c>
      <x:c r="B1007" s="75" t="str">
        <x:v>Yann Sommer</x:v>
      </x:c>
      <x:c r="C1007" s="75" t="str">
        <x:v>Club Brugge</x:v>
      </x:c>
      <x:c r="D1007" s="75" t="str">
        <x:v>Inter</x:v>
      </x:c>
      <x:c r="E1007" s="77" t="d">
        <x:v>2026-07-14T00:00:00.000Z</x:v>
      </x:c>
      <x:c r="F1007" s="75" t="str">
        <x:v>summer</x:v>
      </x:c>
      <x:c r="G1007" s="75" t="str">
        <x:v>Goalkeeper — source label</x:v>
      </x:c>
      <x:c r="H1007" s="79"/>
      <x:c r="I1007" s="75" t="str">
        <x:v>GBP</x:v>
      </x:c>
      <x:c r="J1007" s="81"/>
      <x:c r="K1007" s="83"/>
      <x:c r="L1007" s="75" t="str">
        <x:v>Evidence needed</x:v>
      </x:c>
      <x:c r="M1007" s="75" t="str">
        <x:v>Buyer-specific shot-stopping, distribution, aerial command, sweeping, signing age and total fee evidence are needed before scoring. A zero base fee does not represent wages or signing costs.</x:v>
      </x:c>
      <x:c r="N1007" s="75" t="str">
        <x:v>Not assessed</x:v>
      </x:c>
      <x:c r="O1007" s="75" t="str">
        <x:v>Source broad position and transfer quote only; detailed role and buyer-specific production not validated.</x:v>
      </x:c>
      <x:c r="P1007" s="75" t="str">
        <x:v>https://www.theguardian.com/football/ng-interactive/2026/sep/01/mens-transfer-window-summer-2026-all-deals-from-europes-top-five-leagues</x:v>
      </x:c>
    </x:row>
    <x:row r="1008" ht="25" customHeight="1">
      <x:c r="A1008" s="69" t="str">
        <x:v>summer-S26-0377</x:v>
      </x:c>
      <x:c r="B1008" s="69" t="str">
        <x:v>Luka Vuskovic</x:v>
      </x:c>
      <x:c r="C1008" s="69" t="str">
        <x:v>Brighton</x:v>
      </x:c>
      <x:c r="D1008" s="69" t="str">
        <x:v>Tottenham Hotspur</x:v>
      </x:c>
      <x:c r="E1008" s="76" t="d">
        <x:v>2026-07-14T00:00:00.000Z</x:v>
      </x:c>
      <x:c r="F1008" s="69" t="str">
        <x:v>summer</x:v>
      </x:c>
      <x:c r="G1008" s="69" t="str">
        <x:v>Defender — source label</x:v>
      </x:c>
      <x:c r="H1008" s="78" t="n">
        <x:v>46000000</x:v>
      </x:c>
      <x:c r="I1008" s="69" t="str">
        <x:v>GBP</x:v>
      </x:c>
      <x:c r="J1008" s="80"/>
      <x:c r="K1008" s="82"/>
      <x:c r="L1008" s="69" t="str">
        <x:v>Evidence needed</x:v>
      </x:c>
      <x:c r="M1008" s="69" t="str">
        <x:v>Buyer-specific role, production, availability, signing age and total fee evidence are needed before assigning a deal-value score.</x:v>
      </x:c>
      <x:c r="N1008" s="69" t="str">
        <x:v>Not assessed</x:v>
      </x:c>
      <x:c r="O1008" s="69" t="str">
        <x:v>Source broad position and transfer quote only; detailed role and buyer-specific production not validated.</x:v>
      </x:c>
      <x:c r="P1008" s="69" t="str">
        <x:v>https://www.theguardian.com/football/ng-interactive/2026/sep/01/mens-transfer-window-summer-2026-all-deals-from-europes-top-five-leagues</x:v>
      </x:c>
    </x:row>
    <x:row r="1009" ht="25" customHeight="1">
      <x:c r="A1009" s="75" t="str">
        <x:v>summer-S26-0378</x:v>
      </x:c>
      <x:c r="B1009" s="75" t="str">
        <x:v>Yasser Larouci</x:v>
      </x:c>
      <x:c r="C1009" s="75" t="str">
        <x:v>Le Mans</x:v>
      </x:c>
      <x:c r="D1009" s="75" t="str">
        <x:v>Troyes</x:v>
      </x:c>
      <x:c r="E1009" s="77" t="d">
        <x:v>2026-07-14T00:00:00.000Z</x:v>
      </x:c>
      <x:c r="F1009" s="75" t="str">
        <x:v>summer</x:v>
      </x:c>
      <x:c r="G1009" s="75" t="str">
        <x:v>Defender — source label</x:v>
      </x:c>
      <x:c r="H1009" s="79"/>
      <x:c r="I1009" s="75" t="str">
        <x:v>GBP</x:v>
      </x:c>
      <x:c r="J1009" s="81"/>
      <x:c r="K1009" s="83"/>
      <x:c r="L1009" s="75" t="str">
        <x:v>Evidence needed</x:v>
      </x:c>
      <x:c r="M1009" s="75" t="str">
        <x:v>Buyer-specific role, production, availability, signing age and total fee evidence are needed before assigning a deal-value score. A zero base fee does not represent wages or signing costs.</x:v>
      </x:c>
      <x:c r="N1009" s="75" t="str">
        <x:v>Not assessed</x:v>
      </x:c>
      <x:c r="O1009" s="75" t="str">
        <x:v>Source broad position and transfer quote only; detailed role and buyer-specific production not validated.</x:v>
      </x:c>
      <x:c r="P1009" s="75" t="str">
        <x:v>https://www.theguardian.com/football/ng-interactive/2026/sep/01/mens-transfer-window-summer-2026-all-deals-from-europes-top-five-leagues</x:v>
      </x:c>
    </x:row>
    <x:row r="1010" ht="25" customHeight="1">
      <x:c r="A1010" s="69" t="str">
        <x:v>summer-S26-0379</x:v>
      </x:c>
      <x:c r="B1010" s="69" t="str">
        <x:v>Lohann Doucet</x:v>
      </x:c>
      <x:c r="C1010" s="69" t="str">
        <x:v>Vitória de Guimarães</x:v>
      </x:c>
      <x:c r="D1010" s="69" t="str">
        <x:v>Paris FC</x:v>
      </x:c>
      <x:c r="E1010" s="76" t="d">
        <x:v>2026-07-14T00:00:00.000Z</x:v>
      </x:c>
      <x:c r="F1010" s="69" t="str">
        <x:v>summer</x:v>
      </x:c>
      <x:c r="G1010" s="69" t="str">
        <x:v>Midfielder — source label</x:v>
      </x:c>
      <x:c r="H1010" s="78"/>
      <x:c r="I1010" s="69" t="str">
        <x:v>GBP</x:v>
      </x:c>
      <x:c r="J1010" s="80"/>
      <x:c r="K1010" s="82"/>
      <x:c r="L1010" s="69" t="str">
        <x:v>Evidence needed</x:v>
      </x:c>
      <x:c r="M1010" s="69" t="str">
        <x:v>Buyer-specific role, production, availability, signing age and total fee evidence are needed before assigning a deal-value score.</x:v>
      </x:c>
      <x:c r="N1010" s="69" t="str">
        <x:v>Not assessed</x:v>
      </x:c>
      <x:c r="O1010" s="69" t="str">
        <x:v>Source broad position and transfer quote only; detailed role and buyer-specific production not validated.</x:v>
      </x:c>
      <x:c r="P1010" s="69" t="str">
        <x:v>https://www.theguardian.com/football/ng-interactive/2026/sep/01/mens-transfer-window-summer-2026-all-deals-from-europes-top-five-leagues</x:v>
      </x:c>
    </x:row>
    <x:row r="1011" ht="25" customHeight="1">
      <x:c r="A1011" s="75" t="str">
        <x:v>summer-S26-0380</x:v>
      </x:c>
      <x:c r="B1011" s="75" t="str">
        <x:v>Víctor Parada</x:v>
      </x:c>
      <x:c r="C1011" s="75" t="str">
        <x:v>Spartak Moscow</x:v>
      </x:c>
      <x:c r="D1011" s="75" t="str">
        <x:v>Alavés</x:v>
      </x:c>
      <x:c r="E1011" s="77" t="d">
        <x:v>2026-07-14T00:00:00.000Z</x:v>
      </x:c>
      <x:c r="F1011" s="75" t="str">
        <x:v>summer</x:v>
      </x:c>
      <x:c r="G1011" s="75" t="str">
        <x:v>Defender — source label</x:v>
      </x:c>
      <x:c r="H1011" s="79" t="n">
        <x:v>4270000</x:v>
      </x:c>
      <x:c r="I1011" s="75" t="str">
        <x:v>GBP</x:v>
      </x:c>
      <x:c r="J1011" s="81"/>
      <x:c r="K1011" s="83"/>
      <x:c r="L1011" s="75" t="str">
        <x:v>Evidence needed</x:v>
      </x:c>
      <x:c r="M1011" s="75" t="str">
        <x:v>Buyer-specific role, production, availability, signing age and total fee evidence are needed before assigning a deal-value score.</x:v>
      </x:c>
      <x:c r="N1011" s="75" t="str">
        <x:v>Not assessed</x:v>
      </x:c>
      <x:c r="O1011" s="75" t="str">
        <x:v>Source broad position and transfer quote only; detailed role and buyer-specific production not validated.</x:v>
      </x:c>
      <x:c r="P1011" s="75" t="str">
        <x:v>https://www.theguardian.com/football/ng-interactive/2026/sep/01/mens-transfer-window-summer-2026-all-deals-from-europes-top-five-leagues</x:v>
      </x:c>
    </x:row>
    <x:row r="1012" ht="25" customHeight="1">
      <x:c r="A1012" s="69" t="str">
        <x:v>summer-S26-0382</x:v>
      </x:c>
      <x:c r="B1012" s="69" t="str">
        <x:v>Danilho Doekhi</x:v>
      </x:c>
      <x:c r="C1012" s="69" t="str">
        <x:v>Lazio</x:v>
      </x:c>
      <x:c r="D1012" s="69" t="str">
        <x:v>Union Berlin</x:v>
      </x:c>
      <x:c r="E1012" s="76" t="d">
        <x:v>2026-07-14T00:00:00.000Z</x:v>
      </x:c>
      <x:c r="F1012" s="69" t="str">
        <x:v>summer</x:v>
      </x:c>
      <x:c r="G1012" s="69" t="str">
        <x:v>Defender — source label</x:v>
      </x:c>
      <x:c r="H1012" s="78"/>
      <x:c r="I1012" s="69" t="str">
        <x:v>GBP</x:v>
      </x:c>
      <x:c r="J1012" s="80"/>
      <x:c r="K1012" s="82"/>
      <x:c r="L1012" s="69" t="str">
        <x:v>Evidence needed</x:v>
      </x:c>
      <x:c r="M1012" s="69" t="str">
        <x:v>Buyer-specific role, production, availability, signing age and total fee evidence are needed before assigning a deal-value score. A zero base fee does not represent wages or signing costs.</x:v>
      </x:c>
      <x:c r="N1012" s="69" t="str">
        <x:v>Not assessed</x:v>
      </x:c>
      <x:c r="O1012" s="69" t="str">
        <x:v>Source broad position and transfer quote only; detailed role and buyer-specific production not validated.</x:v>
      </x:c>
      <x:c r="P1012" s="69" t="str">
        <x:v>https://www.theguardian.com/football/ng-interactive/2026/sep/01/mens-transfer-window-summer-2026-all-deals-from-europes-top-five-leagues</x:v>
      </x:c>
    </x:row>
    <x:row r="1013" ht="25" customHeight="1">
      <x:c r="A1013" s="75" t="str">
        <x:v>summer-S26-0383</x:v>
      </x:c>
      <x:c r="B1013" s="75" t="str">
        <x:v>Fellipe Jack</x:v>
      </x:c>
      <x:c r="C1013" s="75" t="str">
        <x:v>Cremonese</x:v>
      </x:c>
      <x:c r="D1013" s="75" t="str">
        <x:v>Como 1907</x:v>
      </x:c>
      <x:c r="E1013" s="77" t="d">
        <x:v>2026-07-14T00:00:00.000Z</x:v>
      </x:c>
      <x:c r="F1013" s="75" t="str">
        <x:v>summer</x:v>
      </x:c>
      <x:c r="G1013" s="75" t="str">
        <x:v>Defender — source label</x:v>
      </x:c>
      <x:c r="H1013" s="79"/>
      <x:c r="I1013" s="75" t="str">
        <x:v>GBP</x:v>
      </x:c>
      <x:c r="J1013" s="81"/>
      <x:c r="K1013" s="83"/>
      <x:c r="L1013" s="75" t="str">
        <x:v>Evidence needed</x:v>
      </x:c>
      <x:c r="M1013" s="75" t="str">
        <x:v>Buyer-specific role, production, availability, signing age and total fee evidence are needed before assigning a deal-value score. Loan/swap costs must be treated separately.</x:v>
      </x:c>
      <x:c r="N1013" s="75" t="str">
        <x:v>Not assessed</x:v>
      </x:c>
      <x:c r="O1013" s="75" t="str">
        <x:v>Source broad position and transfer quote only; detailed role and buyer-specific production not validated.</x:v>
      </x:c>
      <x:c r="P1013" s="75" t="str">
        <x:v>https://www.theguardian.com/football/ng-interactive/2026/sep/01/mens-transfer-window-summer-2026-all-deals-from-europes-top-five-leagues</x:v>
      </x:c>
    </x:row>
    <x:row r="1014" ht="25" customHeight="1">
      <x:c r="A1014" s="69" t="str">
        <x:v>summer-S26-0384</x:v>
      </x:c>
      <x:c r="B1014" s="69" t="str">
        <x:v>Youri Tielemans</x:v>
      </x:c>
      <x:c r="C1014" s="69" t="str">
        <x:v>Manchester United</x:v>
      </x:c>
      <x:c r="D1014" s="69" t="str">
        <x:v>Aston Villa</x:v>
      </x:c>
      <x:c r="E1014" s="76" t="d">
        <x:v>2026-07-14T00:00:00.000Z</x:v>
      </x:c>
      <x:c r="F1014" s="69" t="str">
        <x:v>summer</x:v>
      </x:c>
      <x:c r="G1014" s="69" t="str">
        <x:v>Midfielder — source label</x:v>
      </x:c>
      <x:c r="H1014" s="78" t="n">
        <x:v>35000000</x:v>
      </x:c>
      <x:c r="I1014" s="69" t="str">
        <x:v>GBP</x:v>
      </x:c>
      <x:c r="J1014" s="80"/>
      <x:c r="K1014" s="82"/>
      <x:c r="L1014" s="69" t="str">
        <x:v>Evidence needed</x:v>
      </x:c>
      <x:c r="M1014" s="69" t="str">
        <x:v>Buyer-specific role, production, availability, signing age and total fee evidence are needed before assigning a deal-value score.</x:v>
      </x:c>
      <x:c r="N1014" s="69" t="str">
        <x:v>Not assessed</x:v>
      </x:c>
      <x:c r="O1014" s="69" t="str">
        <x:v>Source broad position and transfer quote only; detailed role and buyer-specific production not validated.</x:v>
      </x:c>
      <x:c r="P1014" s="69" t="str">
        <x:v>https://www.theguardian.com/football/ng-interactive/2026/sep/01/mens-transfer-window-summer-2026-all-deals-from-europes-top-five-leagues</x:v>
      </x:c>
    </x:row>
    <x:row r="1015" ht="25" customHeight="1">
      <x:c r="A1015" s="75" t="str">
        <x:v>summer-S26-0385</x:v>
      </x:c>
      <x:c r="B1015" s="75" t="str">
        <x:v>Thomas Meunier</x:v>
      </x:c>
      <x:c r="C1015" s="75" t="str">
        <x:v>Sunderland</x:v>
      </x:c>
      <x:c r="D1015" s="75" t="str">
        <x:v>Lille</x:v>
      </x:c>
      <x:c r="E1015" s="77" t="d">
        <x:v>2026-07-15T00:00:00.000Z</x:v>
      </x:c>
      <x:c r="F1015" s="75" t="str">
        <x:v>summer</x:v>
      </x:c>
      <x:c r="G1015" s="75" t="str">
        <x:v>Defender — source label</x:v>
      </x:c>
      <x:c r="H1015" s="79"/>
      <x:c r="I1015" s="75" t="str">
        <x:v>GBP</x:v>
      </x:c>
      <x:c r="J1015" s="81"/>
      <x:c r="K1015" s="83"/>
      <x:c r="L1015" s="75" t="str">
        <x:v>Evidence needed</x:v>
      </x:c>
      <x:c r="M1015" s="75" t="str">
        <x:v>Buyer-specific role, production, availability, signing age and total fee evidence are needed before assigning a deal-value score. A zero base fee does not represent wages or signing costs.</x:v>
      </x:c>
      <x:c r="N1015" s="75" t="str">
        <x:v>Not assessed</x:v>
      </x:c>
      <x:c r="O1015" s="75" t="str">
        <x:v>Source broad position and transfer quote only; detailed role and buyer-specific production not validated.</x:v>
      </x:c>
      <x:c r="P1015" s="75" t="str">
        <x:v>https://www.theguardian.com/football/ng-interactive/2026/sep/01/mens-transfer-window-summer-2026-all-deals-from-europes-top-five-leagues</x:v>
      </x:c>
    </x:row>
    <x:row r="1016" ht="25" customHeight="1">
      <x:c r="A1016" s="69" t="str">
        <x:v>summer-S26-0386</x:v>
      </x:c>
      <x:c r="B1016" s="69" t="str">
        <x:v>Christ Makosso</x:v>
      </x:c>
      <x:c r="C1016" s="69" t="str">
        <x:v>Auxerre</x:v>
      </x:c>
      <x:c r="D1016" s="69" t="str">
        <x:v>Luton Town</x:v>
      </x:c>
      <x:c r="E1016" s="76" t="d">
        <x:v>2026-07-15T00:00:00.000Z</x:v>
      </x:c>
      <x:c r="F1016" s="69" t="str">
        <x:v>summer</x:v>
      </x:c>
      <x:c r="G1016" s="69" t="str">
        <x:v>Defender — source label</x:v>
      </x:c>
      <x:c r="H1016" s="78" t="n">
        <x:v>1700000</x:v>
      </x:c>
      <x:c r="I1016" s="69" t="str">
        <x:v>GBP</x:v>
      </x:c>
      <x:c r="J1016" s="80"/>
      <x:c r="K1016" s="82"/>
      <x:c r="L1016" s="69" t="str">
        <x:v>Evidence needed</x:v>
      </x:c>
      <x:c r="M1016" s="69" t="str">
        <x:v>Buyer-specific role, production, availability, signing age and total fee evidence are needed before assigning a deal-value score.</x:v>
      </x:c>
      <x:c r="N1016" s="69" t="str">
        <x:v>Not assessed</x:v>
      </x:c>
      <x:c r="O1016" s="69" t="str">
        <x:v>Source broad position and transfer quote only; detailed role and buyer-specific production not validated.</x:v>
      </x:c>
      <x:c r="P1016" s="69" t="str">
        <x:v>https://www.theguardian.com/football/ng-interactive/2026/sep/01/mens-transfer-window-summer-2026-all-deals-from-europes-top-five-leagues</x:v>
      </x:c>
    </x:row>
    <x:row r="1017" ht="25" customHeight="1">
      <x:c r="A1017" s="75" t="str">
        <x:v>summer-S26-0387</x:v>
      </x:c>
      <x:c r="B1017" s="75" t="str">
        <x:v>Mattia Liberali</x:v>
      </x:c>
      <x:c r="C1017" s="75" t="str">
        <x:v>Como 1907</x:v>
      </x:c>
      <x:c r="D1017" s="75" t="str">
        <x:v>Catanzaro</x:v>
      </x:c>
      <x:c r="E1017" s="77" t="d">
        <x:v>2026-07-15T00:00:00.000Z</x:v>
      </x:c>
      <x:c r="F1017" s="75" t="str">
        <x:v>summer</x:v>
      </x:c>
      <x:c r="G1017" s="75" t="str">
        <x:v>Midfielder — source label</x:v>
      </x:c>
      <x:c r="H1017" s="79" t="n">
        <x:v>5100000</x:v>
      </x:c>
      <x:c r="I1017" s="75" t="str">
        <x:v>GBP</x:v>
      </x:c>
      <x:c r="J1017" s="81"/>
      <x:c r="K1017" s="83"/>
      <x:c r="L1017" s="75" t="str">
        <x:v>Evidence needed</x:v>
      </x:c>
      <x:c r="M1017" s="75" t="str">
        <x:v>Buyer-specific role, production, availability, signing age and total fee evidence are needed before assigning a deal-value score.</x:v>
      </x:c>
      <x:c r="N1017" s="75" t="str">
        <x:v>Not assessed</x:v>
      </x:c>
      <x:c r="O1017" s="75" t="str">
        <x:v>Source broad position and transfer quote only; detailed role and buyer-specific production not validated.</x:v>
      </x:c>
      <x:c r="P1017" s="75" t="str">
        <x:v>https://www.theguardian.com/football/ng-interactive/2026/sep/01/mens-transfer-window-summer-2026-all-deals-from-europes-top-five-leagues</x:v>
      </x:c>
    </x:row>
    <x:row r="1018" ht="25" customHeight="1">
      <x:c r="A1018" s="69" t="str">
        <x:v>summer-S26-0392</x:v>
      </x:c>
      <x:c r="B1018" s="69" t="str">
        <x:v>Adrián Pica</x:v>
      </x:c>
      <x:c r="C1018" s="69" t="str">
        <x:v>Penafiel</x:v>
      </x:c>
      <x:c r="D1018" s="69" t="str">
        <x:v>Alavés</x:v>
      </x:c>
      <x:c r="E1018" s="76" t="d">
        <x:v>2026-07-14T00:00:00.000Z</x:v>
      </x:c>
      <x:c r="F1018" s="69" t="str">
        <x:v>summer</x:v>
      </x:c>
      <x:c r="G1018" s="69" t="str">
        <x:v>Defender — source label</x:v>
      </x:c>
      <x:c r="H1018" s="78"/>
      <x:c r="I1018" s="69" t="str">
        <x:v>GBP</x:v>
      </x:c>
      <x:c r="J1018" s="80"/>
      <x:c r="K1018" s="82"/>
      <x:c r="L1018" s="69" t="str">
        <x:v>Evidence needed</x:v>
      </x:c>
      <x:c r="M1018" s="69" t="str">
        <x:v>Buyer-specific role, production, availability, signing age and total fee evidence are needed before assigning a deal-value score. Loan/swap costs must be treated separately.</x:v>
      </x:c>
      <x:c r="N1018" s="69" t="str">
        <x:v>Not assessed</x:v>
      </x:c>
      <x:c r="O1018" s="69" t="str">
        <x:v>Source broad position and transfer quote only; detailed role and buyer-specific production not validated.</x:v>
      </x:c>
      <x:c r="P1018" s="69" t="str">
        <x:v>https://www.theguardian.com/football/ng-interactive/2026/sep/01/mens-transfer-window-summer-2026-all-deals-from-europes-top-five-leagues</x:v>
      </x:c>
    </x:row>
    <x:row r="1019" ht="25" customHeight="1">
      <x:c r="A1019" s="75" t="str">
        <x:v>summer-S26-0393</x:v>
      </x:c>
      <x:c r="B1019" s="75" t="str">
        <x:v>Horatiu Moldovan</x:v>
      </x:c>
      <x:c r="C1019" s="75" t="str">
        <x:v>Eyupspor</x:v>
      </x:c>
      <x:c r="D1019" s="75" t="str">
        <x:v>Atlético Madrid</x:v>
      </x:c>
      <x:c r="E1019" s="77" t="d">
        <x:v>2026-07-14T00:00:00.000Z</x:v>
      </x:c>
      <x:c r="F1019" s="75" t="str">
        <x:v>summer</x:v>
      </x:c>
      <x:c r="G1019" s="75" t="str">
        <x:v>Goalkeeper — source label</x:v>
      </x:c>
      <x:c r="H1019" s="79"/>
      <x:c r="I1019" s="75" t="str">
        <x:v>GBP</x:v>
      </x:c>
      <x:c r="J1019" s="81"/>
      <x:c r="K1019" s="83"/>
      <x:c r="L1019" s="75" t="str">
        <x:v>Evidence needed</x:v>
      </x:c>
      <x:c r="M1019" s="75" t="str">
        <x:v>Buyer-specific shot-stopping, distribution, aerial command, sweeping, signing age and total fee evidence are needed before scoring. Loan/swap costs must be treated separately.</x:v>
      </x:c>
      <x:c r="N1019" s="75" t="str">
        <x:v>Not assessed</x:v>
      </x:c>
      <x:c r="O1019" s="75" t="str">
        <x:v>Source broad position and transfer quote only; detailed role and buyer-specific production not validated.</x:v>
      </x:c>
      <x:c r="P1019" s="75" t="str">
        <x:v>https://www.theguardian.com/football/ng-interactive/2026/sep/01/mens-transfer-window-summer-2026-all-deals-from-europes-top-five-leagues</x:v>
      </x:c>
    </x:row>
    <x:row r="1020" ht="25" customHeight="1">
      <x:c r="A1020" s="69" t="str">
        <x:v>summer-S26-0395</x:v>
      </x:c>
      <x:c r="B1020" s="69" t="str">
        <x:v>Jonas Harder</x:v>
      </x:c>
      <x:c r="C1020" s="69" t="str">
        <x:v>Basel</x:v>
      </x:c>
      <x:c r="D1020" s="69" t="str">
        <x:v>Fiorentina</x:v>
      </x:c>
      <x:c r="E1020" s="76" t="d">
        <x:v>2026-07-14T00:00:00.000Z</x:v>
      </x:c>
      <x:c r="F1020" s="69" t="str">
        <x:v>summer</x:v>
      </x:c>
      <x:c r="G1020" s="69" t="str">
        <x:v>Midfielder — source label</x:v>
      </x:c>
      <x:c r="H1020" s="78" t="n">
        <x:v>1700000</x:v>
      </x:c>
      <x:c r="I1020" s="69" t="str">
        <x:v>GBP</x:v>
      </x:c>
      <x:c r="J1020" s="80"/>
      <x:c r="K1020" s="82"/>
      <x:c r="L1020" s="69" t="str">
        <x:v>Evidence needed</x:v>
      </x:c>
      <x:c r="M1020" s="69" t="str">
        <x:v>Buyer-specific role, production, availability, signing age and total fee evidence are needed before assigning a deal-value score.</x:v>
      </x:c>
      <x:c r="N1020" s="69" t="str">
        <x:v>Not assessed</x:v>
      </x:c>
      <x:c r="O1020" s="69" t="str">
        <x:v>Source broad position and transfer quote only; detailed role and buyer-specific production not validated.</x:v>
      </x:c>
      <x:c r="P1020" s="69" t="str">
        <x:v>https://www.theguardian.com/football/ng-interactive/2026/sep/01/mens-transfer-window-summer-2026-all-deals-from-europes-top-five-leagues</x:v>
      </x:c>
    </x:row>
    <x:row r="1021" ht="25" customHeight="1">
      <x:c r="A1021" s="75" t="str">
        <x:v>summer-S26-0397</x:v>
      </x:c>
      <x:c r="B1021" s="75" t="str">
        <x:v>Luca Di Maggio</x:v>
      </x:c>
      <x:c r="C1021" s="75" t="str">
        <x:v>Avellino</x:v>
      </x:c>
      <x:c r="D1021" s="75" t="str">
        <x:v>Inter</x:v>
      </x:c>
      <x:c r="E1021" s="77" t="d">
        <x:v>2026-07-14T00:00:00.000Z</x:v>
      </x:c>
      <x:c r="F1021" s="75" t="str">
        <x:v>summer</x:v>
      </x:c>
      <x:c r="G1021" s="75" t="str">
        <x:v>Midfielder — source label</x:v>
      </x:c>
      <x:c r="H1021" s="79" t="n">
        <x:v>400000</x:v>
      </x:c>
      <x:c r="I1021" s="75" t="str">
        <x:v>GBP</x:v>
      </x:c>
      <x:c r="J1021" s="81"/>
      <x:c r="K1021" s="83"/>
      <x:c r="L1021" s="75" t="str">
        <x:v>Evidence needed</x:v>
      </x:c>
      <x:c r="M1021" s="75" t="str">
        <x:v>Buyer-specific role, production, availability, signing age and total fee evidence are needed before assigning a deal-value score.</x:v>
      </x:c>
      <x:c r="N1021" s="75" t="str">
        <x:v>Not assessed</x:v>
      </x:c>
      <x:c r="O1021" s="75" t="str">
        <x:v>Source broad position and transfer quote only; detailed role and buyer-specific production not validated.</x:v>
      </x:c>
      <x:c r="P1021" s="75" t="str">
        <x:v>https://www.theguardian.com/football/ng-interactive/2026/sep/01/mens-transfer-window-summer-2026-all-deals-from-europes-top-five-leagues</x:v>
      </x:c>
    </x:row>
    <x:row r="1022" ht="25" customHeight="1">
      <x:c r="A1022" s="69" t="str">
        <x:v>summer-S26-0399</x:v>
      </x:c>
      <x:c r="B1022" s="69" t="str">
        <x:v>Elkan Baggott</x:v>
      </x:c>
      <x:c r="C1022" s="69" t="str">
        <x:v>Millwall</x:v>
      </x:c>
      <x:c r="D1022" s="69" t="str">
        <x:v>Ipswich Town</x:v>
      </x:c>
      <x:c r="E1022" s="76" t="d">
        <x:v>2026-07-15T00:00:00.000Z</x:v>
      </x:c>
      <x:c r="F1022" s="69" t="str">
        <x:v>summer</x:v>
      </x:c>
      <x:c r="G1022" s="69" t="str">
        <x:v>Defender — source label</x:v>
      </x:c>
      <x:c r="H1022" s="78"/>
      <x:c r="I1022" s="69" t="str">
        <x:v>GBP</x:v>
      </x:c>
      <x:c r="J1022" s="80"/>
      <x:c r="K1022" s="82"/>
      <x:c r="L1022" s="69" t="str">
        <x:v>Evidence needed</x:v>
      </x:c>
      <x:c r="M1022" s="69" t="str">
        <x:v>Buyer-specific role, production, availability, signing age and total fee evidence are needed before assigning a deal-value score.</x:v>
      </x:c>
      <x:c r="N1022" s="69" t="str">
        <x:v>Not assessed</x:v>
      </x:c>
      <x:c r="O1022" s="69" t="str">
        <x:v>Source broad position and transfer quote only; detailed role and buyer-specific production not validated.</x:v>
      </x:c>
      <x:c r="P1022" s="69" t="str">
        <x:v>https://www.theguardian.com/football/ng-interactive/2026/sep/01/mens-transfer-window-summer-2026-all-deals-from-europes-top-five-leagues</x:v>
      </x:c>
    </x:row>
    <x:row r="1023" ht="25" customHeight="1">
      <x:c r="A1023" s="75" t="str">
        <x:v>summer-S26-0400</x:v>
      </x:c>
      <x:c r="B1023" s="75" t="str">
        <x:v>Oliwier Zych</x:v>
      </x:c>
      <x:c r="C1023" s="75" t="str">
        <x:v>Vitória de Guimarães</x:v>
      </x:c>
      <x:c r="D1023" s="75" t="str">
        <x:v>Aston Villa</x:v>
      </x:c>
      <x:c r="E1023" s="77" t="d">
        <x:v>2026-07-15T00:00:00.000Z</x:v>
      </x:c>
      <x:c r="F1023" s="75" t="str">
        <x:v>summer</x:v>
      </x:c>
      <x:c r="G1023" s="75" t="str">
        <x:v>Goalkeeper — source label</x:v>
      </x:c>
      <x:c r="H1023" s="79"/>
      <x:c r="I1023" s="75" t="str">
        <x:v>GBP</x:v>
      </x:c>
      <x:c r="J1023" s="81"/>
      <x:c r="K1023" s="83"/>
      <x:c r="L1023" s="75" t="str">
        <x:v>Evidence needed</x:v>
      </x:c>
      <x:c r="M1023" s="75" t="str">
        <x:v>Buyer-specific shot-stopping, distribution, aerial command, sweeping, signing age and total fee evidence are needed before scoring. Loan/swap costs must be treated separately.</x:v>
      </x:c>
      <x:c r="N1023" s="75" t="str">
        <x:v>Not assessed</x:v>
      </x:c>
      <x:c r="O1023" s="75" t="str">
        <x:v>Source broad position and transfer quote only; detailed role and buyer-specific production not validated.</x:v>
      </x:c>
      <x:c r="P1023" s="75" t="str">
        <x:v>https://www.theguardian.com/football/ng-interactive/2026/sep/01/mens-transfer-window-summer-2026-all-deals-from-europes-top-five-leagues</x:v>
      </x:c>
    </x:row>
    <x:row r="1024" ht="25" customHeight="1">
      <x:c r="A1024" s="69" t="str">
        <x:v>summer-S26-0401</x:v>
      </x:c>
      <x:c r="B1024" s="69" t="str">
        <x:v>Vincent Burlet</x:v>
      </x:c>
      <x:c r="C1024" s="69" t="str">
        <x:v>Cracovia</x:v>
      </x:c>
      <x:c r="D1024" s="69" t="str">
        <x:v>Lille</x:v>
      </x:c>
      <x:c r="E1024" s="76" t="d">
        <x:v>2026-07-15T00:00:00.000Z</x:v>
      </x:c>
      <x:c r="F1024" s="69" t="str">
        <x:v>summer</x:v>
      </x:c>
      <x:c r="G1024" s="69" t="str">
        <x:v>Defender — source label</x:v>
      </x:c>
      <x:c r="H1024" s="78"/>
      <x:c r="I1024" s="69" t="str">
        <x:v>GBP</x:v>
      </x:c>
      <x:c r="J1024" s="80"/>
      <x:c r="K1024" s="82"/>
      <x:c r="L1024" s="69" t="str">
        <x:v>Evidence needed</x:v>
      </x:c>
      <x:c r="M1024" s="69" t="str">
        <x:v>Buyer-specific role, production, availability, signing age and total fee evidence are needed before assigning a deal-value score.</x:v>
      </x:c>
      <x:c r="N1024" s="69" t="str">
        <x:v>Not assessed</x:v>
      </x:c>
      <x:c r="O1024" s="69" t="str">
        <x:v>Source broad position and transfer quote only; detailed role and buyer-specific production not validated.</x:v>
      </x:c>
      <x:c r="P1024" s="69" t="str">
        <x:v>https://www.theguardian.com/football/ng-interactive/2026/sep/01/mens-transfer-window-summer-2026-all-deals-from-europes-top-five-leagues</x:v>
      </x:c>
    </x:row>
    <x:row r="1025" ht="25" customHeight="1">
      <x:c r="A1025" s="75" t="str">
        <x:v>summer-S26-0402</x:v>
      </x:c>
      <x:c r="B1025" s="75" t="str">
        <x:v>Aïssa Mandi</x:v>
      </x:c>
      <x:c r="C1025" s="75" t="str">
        <x:v>Levante</x:v>
      </x:c>
      <x:c r="D1025" s="75" t="str">
        <x:v>Lille</x:v>
      </x:c>
      <x:c r="E1025" s="77" t="d">
        <x:v>2026-07-16T00:00:00.000Z</x:v>
      </x:c>
      <x:c r="F1025" s="75" t="str">
        <x:v>summer</x:v>
      </x:c>
      <x:c r="G1025" s="75" t="str">
        <x:v>Defender — source label</x:v>
      </x:c>
      <x:c r="H1025" s="79"/>
      <x:c r="I1025" s="75" t="str">
        <x:v>GBP</x:v>
      </x:c>
      <x:c r="J1025" s="81"/>
      <x:c r="K1025" s="83"/>
      <x:c r="L1025" s="75" t="str">
        <x:v>Evidence needed</x:v>
      </x:c>
      <x:c r="M1025" s="75" t="str">
        <x:v>Buyer-specific role, production, availability, signing age and total fee evidence are needed before assigning a deal-value score. A zero base fee does not represent wages or signing costs.</x:v>
      </x:c>
      <x:c r="N1025" s="75" t="str">
        <x:v>Not assessed</x:v>
      </x:c>
      <x:c r="O1025" s="75" t="str">
        <x:v>Source broad position and transfer quote only; detailed role and buyer-specific production not validated.</x:v>
      </x:c>
      <x:c r="P1025" s="75" t="str">
        <x:v>https://www.theguardian.com/football/ng-interactive/2026/sep/01/mens-transfer-window-summer-2026-all-deals-from-europes-top-five-leagues</x:v>
      </x:c>
    </x:row>
    <x:row r="1026" ht="25" customHeight="1">
      <x:c r="A1026" s="69" t="str">
        <x:v>summer-S26-0403</x:v>
      </x:c>
      <x:c r="B1026" s="69" t="str">
        <x:v>Isaac Schmidt</x:v>
      </x:c>
      <x:c r="C1026" s="69" t="str">
        <x:v>Young Boys</x:v>
      </x:c>
      <x:c r="D1026" s="69" t="str">
        <x:v>Leeds United</x:v>
      </x:c>
      <x:c r="E1026" s="76" t="d">
        <x:v>2026-07-16T00:00:00.000Z</x:v>
      </x:c>
      <x:c r="F1026" s="69" t="str">
        <x:v>summer</x:v>
      </x:c>
      <x:c r="G1026" s="69" t="str">
        <x:v>Defender — source label</x:v>
      </x:c>
      <x:c r="H1026" s="78" t="n">
        <x:v>1100000</x:v>
      </x:c>
      <x:c r="I1026" s="69" t="str">
        <x:v>GBP</x:v>
      </x:c>
      <x:c r="J1026" s="80"/>
      <x:c r="K1026" s="82"/>
      <x:c r="L1026" s="69" t="str">
        <x:v>Evidence needed</x:v>
      </x:c>
      <x:c r="M1026" s="69" t="str">
        <x:v>Buyer-specific role, production, availability, signing age and total fee evidence are needed before assigning a deal-value score.</x:v>
      </x:c>
      <x:c r="N1026" s="69" t="str">
        <x:v>Not assessed</x:v>
      </x:c>
      <x:c r="O1026" s="69" t="str">
        <x:v>Source broad position and transfer quote only; detailed role and buyer-specific production not validated.</x:v>
      </x:c>
      <x:c r="P1026" s="69" t="str">
        <x:v>https://www.theguardian.com/football/ng-interactive/2026/sep/01/mens-transfer-window-summer-2026-all-deals-from-europes-top-five-leagues</x:v>
      </x:c>
    </x:row>
    <x:row r="1027" ht="25" customHeight="1">
      <x:c r="A1027" s="75" t="str">
        <x:v>summer-S26-0404</x:v>
      </x:c>
      <x:c r="B1027" s="75" t="str">
        <x:v>Diego Coppola</x:v>
      </x:c>
      <x:c r="C1027" s="75" t="str">
        <x:v>Paris FC</x:v>
      </x:c>
      <x:c r="D1027" s="75" t="str">
        <x:v>Brighton</x:v>
      </x:c>
      <x:c r="E1027" s="77" t="d">
        <x:v>2026-07-16T00:00:00.000Z</x:v>
      </x:c>
      <x:c r="F1027" s="75" t="str">
        <x:v>summer</x:v>
      </x:c>
      <x:c r="G1027" s="75" t="str">
        <x:v>Defender — source label</x:v>
      </x:c>
      <x:c r="H1027" s="79" t="n">
        <x:v>15300000</x:v>
      </x:c>
      <x:c r="I1027" s="75" t="str">
        <x:v>GBP</x:v>
      </x:c>
      <x:c r="J1027" s="81"/>
      <x:c r="K1027" s="83"/>
      <x:c r="L1027" s="75" t="str">
        <x:v>Evidence needed</x:v>
      </x:c>
      <x:c r="M1027" s="75" t="str">
        <x:v>Buyer-specific role, production, availability, signing age and total fee evidence are needed before assigning a deal-value score.</x:v>
      </x:c>
      <x:c r="N1027" s="75" t="str">
        <x:v>Not assessed</x:v>
      </x:c>
      <x:c r="O1027" s="75" t="str">
        <x:v>Source broad position and transfer quote only; detailed role and buyer-specific production not validated.</x:v>
      </x:c>
      <x:c r="P1027" s="75" t="str">
        <x:v>https://www.theguardian.com/football/ng-interactive/2026/sep/01/mens-transfer-window-summer-2026-all-deals-from-europes-top-five-leagues</x:v>
      </x:c>
    </x:row>
    <x:row r="1028" ht="25" customHeight="1">
      <x:c r="A1028" s="69" t="str">
        <x:v>summer-S26-0405</x:v>
      </x:c>
      <x:c r="B1028" s="69" t="str">
        <x:v>Andrés García</x:v>
      </x:c>
      <x:c r="C1028" s="69" t="str">
        <x:v>Getafe</x:v>
      </x:c>
      <x:c r="D1028" s="69" t="str">
        <x:v>Aston Villa</x:v>
      </x:c>
      <x:c r="E1028" s="76" t="d">
        <x:v>2026-07-16T00:00:00.000Z</x:v>
      </x:c>
      <x:c r="F1028" s="69" t="str">
        <x:v>summer</x:v>
      </x:c>
      <x:c r="G1028" s="69" t="str">
        <x:v>Defender — source label</x:v>
      </x:c>
      <x:c r="H1028" s="78"/>
      <x:c r="I1028" s="69" t="str">
        <x:v>GBP</x:v>
      </x:c>
      <x:c r="J1028" s="80"/>
      <x:c r="K1028" s="82"/>
      <x:c r="L1028" s="69" t="str">
        <x:v>Evidence needed</x:v>
      </x:c>
      <x:c r="M1028" s="69" t="str">
        <x:v>Buyer-specific role, production, availability, signing age and total fee evidence are needed before assigning a deal-value score. Loan/swap costs must be treated separately.</x:v>
      </x:c>
      <x:c r="N1028" s="69" t="str">
        <x:v>Not assessed</x:v>
      </x:c>
      <x:c r="O1028" s="69" t="str">
        <x:v>Source broad position and transfer quote only; detailed role and buyer-specific production not validated.</x:v>
      </x:c>
      <x:c r="P1028" s="69" t="str">
        <x:v>https://www.theguardian.com/football/ng-interactive/2026/sep/01/mens-transfer-window-summer-2026-all-deals-from-europes-top-five-leagues</x:v>
      </x:c>
    </x:row>
    <x:row r="1029" ht="25" customHeight="1">
      <x:c r="A1029" s="75" t="str">
        <x:v>summer-S26-0406</x:v>
      </x:c>
      <x:c r="B1029" s="75" t="str">
        <x:v>Timothée Pembélé</x:v>
      </x:c>
      <x:c r="C1029" s="75" t="str">
        <x:v>Le Havre</x:v>
      </x:c>
      <x:c r="D1029" s="75" t="str">
        <x:v>Sunderland</x:v>
      </x:c>
      <x:c r="E1029" s="77" t="d">
        <x:v>2026-07-16T00:00:00.000Z</x:v>
      </x:c>
      <x:c r="F1029" s="75" t="str">
        <x:v>summer</x:v>
      </x:c>
      <x:c r="G1029" s="75" t="str">
        <x:v>Defender — source label</x:v>
      </x:c>
      <x:c r="H1029" s="79"/>
      <x:c r="I1029" s="75" t="str">
        <x:v>GBP</x:v>
      </x:c>
      <x:c r="J1029" s="81"/>
      <x:c r="K1029" s="83"/>
      <x:c r="L1029" s="75" t="str">
        <x:v>Evidence needed</x:v>
      </x:c>
      <x:c r="M1029" s="75" t="str">
        <x:v>Buyer-specific role, production, availability, signing age and total fee evidence are needed before assigning a deal-value score. Loan/swap costs must be treated separately.</x:v>
      </x:c>
      <x:c r="N1029" s="75" t="str">
        <x:v>Not assessed</x:v>
      </x:c>
      <x:c r="O1029" s="75" t="str">
        <x:v>Source broad position and transfer quote only; detailed role and buyer-specific production not validated.</x:v>
      </x:c>
      <x:c r="P1029" s="75" t="str">
        <x:v>https://www.theguardian.com/football/ng-interactive/2026/sep/01/mens-transfer-window-summer-2026-all-deals-from-europes-top-five-leagues</x:v>
      </x:c>
    </x:row>
    <x:row r="1030" ht="25" customHeight="1">
      <x:c r="A1030" s="69" t="str">
        <x:v>summer-S26-0407</x:v>
      </x:c>
      <x:c r="B1030" s="69" t="str">
        <x:v>Lovro Zvonarek</x:v>
      </x:c>
      <x:c r="C1030" s="69" t="str">
        <x:v>Estrela Amadora</x:v>
      </x:c>
      <x:c r="D1030" s="69" t="str">
        <x:v>Bayern Munich</x:v>
      </x:c>
      <x:c r="E1030" s="76" t="d">
        <x:v>2026-07-16T00:00:00.000Z</x:v>
      </x:c>
      <x:c r="F1030" s="69" t="str">
        <x:v>summer</x:v>
      </x:c>
      <x:c r="G1030" s="69" t="str">
        <x:v>Midfielder — source label</x:v>
      </x:c>
      <x:c r="H1030" s="78"/>
      <x:c r="I1030" s="69" t="str">
        <x:v>GBP</x:v>
      </x:c>
      <x:c r="J1030" s="80"/>
      <x:c r="K1030" s="82"/>
      <x:c r="L1030" s="69" t="str">
        <x:v>Evidence needed</x:v>
      </x:c>
      <x:c r="M1030" s="69" t="str">
        <x:v>Buyer-specific role, production, availability, signing age and total fee evidence are needed before assigning a deal-value score.</x:v>
      </x:c>
      <x:c r="N1030" s="69" t="str">
        <x:v>Not assessed</x:v>
      </x:c>
      <x:c r="O1030" s="69" t="str">
        <x:v>Source broad position and transfer quote only; detailed role and buyer-specific production not validated.</x:v>
      </x:c>
      <x:c r="P1030" s="69" t="str">
        <x:v>https://www.theguardian.com/football/ng-interactive/2026/sep/01/mens-transfer-window-summer-2026-all-deals-from-europes-top-five-leagues</x:v>
      </x:c>
    </x:row>
    <x:row r="1031" ht="25" customHeight="1">
      <x:c r="A1031" s="75" t="str">
        <x:v>summer-S26-0409</x:v>
      </x:c>
      <x:c r="B1031" s="75" t="str">
        <x:v>Iron Gomis</x:v>
      </x:c>
      <x:c r="C1031" s="75" t="str">
        <x:v>Troyes</x:v>
      </x:c>
      <x:c r="D1031" s="75" t="str">
        <x:v>Zira</x:v>
      </x:c>
      <x:c r="E1031" s="77" t="d">
        <x:v>2026-07-16T00:00:00.000Z</x:v>
      </x:c>
      <x:c r="F1031" s="75" t="str">
        <x:v>summer</x:v>
      </x:c>
      <x:c r="G1031" s="75" t="str">
        <x:v>Midfielder — source label</x:v>
      </x:c>
      <x:c r="H1031" s="79"/>
      <x:c r="I1031" s="75" t="str">
        <x:v>GBP</x:v>
      </x:c>
      <x:c r="J1031" s="81"/>
      <x:c r="K1031" s="83"/>
      <x:c r="L1031" s="75" t="str">
        <x:v>Evidence needed</x:v>
      </x:c>
      <x:c r="M1031" s="75" t="str">
        <x:v>Buyer-specific role, production, availability, signing age and total fee evidence are needed before assigning a deal-value score. A zero base fee does not represent wages or signing costs.</x:v>
      </x:c>
      <x:c r="N1031" s="75" t="str">
        <x:v>Not assessed</x:v>
      </x:c>
      <x:c r="O1031" s="75" t="str">
        <x:v>Source broad position and transfer quote only; detailed role and buyer-specific production not validated.</x:v>
      </x:c>
      <x:c r="P1031" s="75" t="str">
        <x:v>https://www.theguardian.com/football/ng-interactive/2026/sep/01/mens-transfer-window-summer-2026-all-deals-from-europes-top-five-leagues</x:v>
      </x:c>
    </x:row>
    <x:row r="1032" ht="25" customHeight="1">
      <x:c r="A1032" s="69" t="str">
        <x:v>summer-S26-0412</x:v>
      </x:c>
      <x:c r="B1032" s="69" t="str">
        <x:v>Niklas Pyyhtiä</x:v>
      </x:c>
      <x:c r="C1032" s="69" t="str">
        <x:v>Südtirol</x:v>
      </x:c>
      <x:c r="D1032" s="69" t="str">
        <x:v>Bologna</x:v>
      </x:c>
      <x:c r="E1032" s="76" t="d">
        <x:v>2026-07-16T00:00:00.000Z</x:v>
      </x:c>
      <x:c r="F1032" s="69" t="str">
        <x:v>summer</x:v>
      </x:c>
      <x:c r="G1032" s="69" t="str">
        <x:v>Midfielder — source label</x:v>
      </x:c>
      <x:c r="H1032" s="78"/>
      <x:c r="I1032" s="69" t="str">
        <x:v>GBP</x:v>
      </x:c>
      <x:c r="J1032" s="80"/>
      <x:c r="K1032" s="82"/>
      <x:c r="L1032" s="69" t="str">
        <x:v>Evidence needed</x:v>
      </x:c>
      <x:c r="M1032" s="69" t="str">
        <x:v>Buyer-specific role, production, availability, signing age and total fee evidence are needed before assigning a deal-value score. Loan/swap costs must be treated separately.</x:v>
      </x:c>
      <x:c r="N1032" s="69" t="str">
        <x:v>Not assessed</x:v>
      </x:c>
      <x:c r="O1032" s="69" t="str">
        <x:v>Source broad position and transfer quote only; detailed role and buyer-specific production not validated.</x:v>
      </x:c>
      <x:c r="P1032" s="69" t="str">
        <x:v>https://www.theguardian.com/football/ng-interactive/2026/sep/01/mens-transfer-window-summer-2026-all-deals-from-europes-top-five-leagues</x:v>
      </x:c>
    </x:row>
    <x:row r="1033" ht="25" customHeight="1">
      <x:c r="A1033" s="75" t="str">
        <x:v>summer-S26-0413</x:v>
      </x:c>
      <x:c r="B1033" s="75" t="str">
        <x:v>Joe White</x:v>
      </x:c>
      <x:c r="C1033" s="75" t="str">
        <x:v>Crewe</x:v>
      </x:c>
      <x:c r="D1033" s="75" t="str">
        <x:v>Newcastle United</x:v>
      </x:c>
      <x:c r="E1033" s="77" t="d">
        <x:v>2026-07-16T00:00:00.000Z</x:v>
      </x:c>
      <x:c r="F1033" s="75" t="str">
        <x:v>summer</x:v>
      </x:c>
      <x:c r="G1033" s="75" t="str">
        <x:v>Midfielder — source label</x:v>
      </x:c>
      <x:c r="H1033" s="79"/>
      <x:c r="I1033" s="75" t="str">
        <x:v>GBP</x:v>
      </x:c>
      <x:c r="J1033" s="81"/>
      <x:c r="K1033" s="83"/>
      <x:c r="L1033" s="75" t="str">
        <x:v>Evidence needed</x:v>
      </x:c>
      <x:c r="M1033" s="75" t="str">
        <x:v>Buyer-specific role, production, availability, signing age and total fee evidence are needed before assigning a deal-value score. A zero base fee does not represent wages or signing costs.</x:v>
      </x:c>
      <x:c r="N1033" s="75" t="str">
        <x:v>Not assessed</x:v>
      </x:c>
      <x:c r="O1033" s="75" t="str">
        <x:v>Source broad position and transfer quote only; detailed role and buyer-specific production not validated.</x:v>
      </x:c>
      <x:c r="P1033" s="75" t="str">
        <x:v>https://www.theguardian.com/football/ng-interactive/2026/sep/01/mens-transfer-window-summer-2026-all-deals-from-europes-top-five-leagues</x:v>
      </x:c>
    </x:row>
    <x:row r="1034" ht="25" customHeight="1">
      <x:c r="A1034" s="69" t="str">
        <x:v>summer-S26-0415</x:v>
      </x:c>
      <x:c r="B1034" s="69" t="str">
        <x:v>Mikel Rodríguez</x:v>
      </x:c>
      <x:c r="C1034" s="69" t="str">
        <x:v>Alavés</x:v>
      </x:c>
      <x:c r="D1034" s="69" t="str">
        <x:v>Real Sociedad</x:v>
      </x:c>
      <x:c r="E1034" s="76" t="d">
        <x:v>2026-07-16T00:00:00.000Z</x:v>
      </x:c>
      <x:c r="F1034" s="69" t="str">
        <x:v>summer</x:v>
      </x:c>
      <x:c r="G1034" s="69" t="str">
        <x:v>Midfielder — source label</x:v>
      </x:c>
      <x:c r="H1034" s="78" t="n">
        <x:v>1700000</x:v>
      </x:c>
      <x:c r="I1034" s="69" t="str">
        <x:v>GBP</x:v>
      </x:c>
      <x:c r="J1034" s="80"/>
      <x:c r="K1034" s="82"/>
      <x:c r="L1034" s="69" t="str">
        <x:v>Evidence needed</x:v>
      </x:c>
      <x:c r="M1034" s="69" t="str">
        <x:v>Buyer-specific role, production, availability, signing age and total fee evidence are needed before assigning a deal-value score.</x:v>
      </x:c>
      <x:c r="N1034" s="69" t="str">
        <x:v>Not assessed</x:v>
      </x:c>
      <x:c r="O1034" s="69" t="str">
        <x:v>Source broad position and transfer quote only; detailed role and buyer-specific production not validated.</x:v>
      </x:c>
      <x:c r="P1034" s="69" t="str">
        <x:v>https://www.theguardian.com/football/ng-interactive/2026/sep/01/mens-transfer-window-summer-2026-all-deals-from-europes-top-five-leagues</x:v>
      </x:c>
    </x:row>
    <x:row r="1035" ht="25" customHeight="1">
      <x:c r="A1035" s="75" t="str">
        <x:v>summer-S26-0416</x:v>
      </x:c>
      <x:c r="B1035" s="75" t="str">
        <x:v>Mathias Ferrante</x:v>
      </x:c>
      <x:c r="C1035" s="75" t="str">
        <x:v>Ospitaletto Franciacorta</x:v>
      </x:c>
      <x:c r="D1035" s="75" t="str">
        <x:v>Napoli</x:v>
      </x:c>
      <x:c r="E1035" s="77" t="d">
        <x:v>2026-07-16T00:00:00.000Z</x:v>
      </x:c>
      <x:c r="F1035" s="75" t="str">
        <x:v>summer</x:v>
      </x:c>
      <x:c r="G1035" s="75" t="str">
        <x:v>Goalkeeper — source label</x:v>
      </x:c>
      <x:c r="H1035" s="79"/>
      <x:c r="I1035" s="75" t="str">
        <x:v>GBP</x:v>
      </x:c>
      <x:c r="J1035" s="81"/>
      <x:c r="K1035" s="83"/>
      <x:c r="L1035" s="75" t="str">
        <x:v>Evidence needed</x:v>
      </x:c>
      <x:c r="M1035" s="75" t="str">
        <x:v>Buyer-specific shot-stopping, distribution, aerial command, sweeping, signing age and total fee evidence are needed before scoring. Loan/swap costs must be treated separately.</x:v>
      </x:c>
      <x:c r="N1035" s="75" t="str">
        <x:v>Not assessed</x:v>
      </x:c>
      <x:c r="O1035" s="75" t="str">
        <x:v>Source broad position and transfer quote only; detailed role and buyer-specific production not validated.</x:v>
      </x:c>
      <x:c r="P1035" s="75" t="str">
        <x:v>https://www.theguardian.com/football/ng-interactive/2026/sep/01/mens-transfer-window-summer-2026-all-deals-from-europes-top-five-leagues</x:v>
      </x:c>
    </x:row>
    <x:row r="1036" ht="25" customHeight="1">
      <x:c r="A1036" s="69" t="str">
        <x:v>summer-S26-0418</x:v>
      </x:c>
      <x:c r="B1036" s="69" t="str">
        <x:v>Aurèle Amenda</x:v>
      </x:c>
      <x:c r="C1036" s="69" t="str">
        <x:v>Coventry City</x:v>
      </x:c>
      <x:c r="D1036" s="69" t="str">
        <x:v>Eintracht Frankfurt</x:v>
      </x:c>
      <x:c r="E1036" s="76" t="d">
        <x:v>2026-07-16T00:00:00.000Z</x:v>
      </x:c>
      <x:c r="F1036" s="69" t="str">
        <x:v>summer</x:v>
      </x:c>
      <x:c r="G1036" s="69" t="str">
        <x:v>Defender — source label</x:v>
      </x:c>
      <x:c r="H1036" s="78" t="n">
        <x:v>15400000</x:v>
      </x:c>
      <x:c r="I1036" s="69" t="str">
        <x:v>GBP</x:v>
      </x:c>
      <x:c r="J1036" s="80"/>
      <x:c r="K1036" s="82"/>
      <x:c r="L1036" s="69" t="str">
        <x:v>Evidence needed</x:v>
      </x:c>
      <x:c r="M1036" s="69" t="str">
        <x:v>Buyer-specific role, production, availability, signing age and total fee evidence are needed before assigning a deal-value score.</x:v>
      </x:c>
      <x:c r="N1036" s="69" t="str">
        <x:v>Not assessed</x:v>
      </x:c>
      <x:c r="O1036" s="69" t="str">
        <x:v>Source broad position and transfer quote only; detailed role and buyer-specific production not validated.</x:v>
      </x:c>
      <x:c r="P1036" s="69" t="str">
        <x:v>https://www.theguardian.com/football/ng-interactive/2026/sep/01/mens-transfer-window-summer-2026-all-deals-from-europes-top-five-leagues</x:v>
      </x:c>
    </x:row>
    <x:row r="1037" ht="25" customHeight="1">
      <x:c r="A1037" s="75" t="str">
        <x:v>summer-S26-0419</x:v>
      </x:c>
      <x:c r="B1037" s="75" t="str">
        <x:v>Karl Darlow</x:v>
      </x:c>
      <x:c r="C1037" s="75" t="str">
        <x:v>Manchester United</x:v>
      </x:c>
      <x:c r="D1037" s="75" t="str">
        <x:v>Leeds United</x:v>
      </x:c>
      <x:c r="E1037" s="77" t="d">
        <x:v>2026-07-14T00:00:00.000Z</x:v>
      </x:c>
      <x:c r="F1037" s="75" t="str">
        <x:v>summer</x:v>
      </x:c>
      <x:c r="G1037" s="75" t="str">
        <x:v>Goalkeeper — source label</x:v>
      </x:c>
      <x:c r="H1037" s="79"/>
      <x:c r="I1037" s="75" t="str">
        <x:v>GBP</x:v>
      </x:c>
      <x:c r="J1037" s="81"/>
      <x:c r="K1037" s="83"/>
      <x:c r="L1037" s="75" t="str">
        <x:v>Evidence needed</x:v>
      </x:c>
      <x:c r="M1037" s="75" t="str">
        <x:v>Buyer-specific shot-stopping, distribution, aerial command, sweeping, signing age and total fee evidence are needed before scoring. A zero base fee does not represent wages or signing costs.</x:v>
      </x:c>
      <x:c r="N1037" s="75" t="str">
        <x:v>Not assessed</x:v>
      </x:c>
      <x:c r="O1037" s="75" t="str">
        <x:v>Source broad position and transfer quote only; detailed role and buyer-specific production not validated.</x:v>
      </x:c>
      <x:c r="P1037" s="75" t="str">
        <x:v>https://www.theguardian.com/football/ng-interactive/2026/sep/01/mens-transfer-window-summer-2026-all-deals-from-europes-top-five-leagues</x:v>
      </x:c>
    </x:row>
    <x:row r="1038" ht="25" customHeight="1">
      <x:c r="A1038" s="69" t="str">
        <x:v>summer-S26-0420</x:v>
      </x:c>
      <x:c r="B1038" s="69" t="str">
        <x:v>Omar Traoré</x:v>
      </x:c>
      <x:c r="C1038" s="69" t="str">
        <x:v>Watford</x:v>
      </x:c>
      <x:c r="D1038" s="69" t="str">
        <x:v>Udinese</x:v>
      </x:c>
      <x:c r="E1038" s="76" t="d">
        <x:v>2026-07-16T00:00:00.000Z</x:v>
      </x:c>
      <x:c r="F1038" s="69" t="str">
        <x:v>summer</x:v>
      </x:c>
      <x:c r="G1038" s="69" t="str">
        <x:v>Defender — source label</x:v>
      </x:c>
      <x:c r="H1038" s="78"/>
      <x:c r="I1038" s="69" t="str">
        <x:v>GBP</x:v>
      </x:c>
      <x:c r="J1038" s="80"/>
      <x:c r="K1038" s="82"/>
      <x:c r="L1038" s="69" t="str">
        <x:v>Evidence needed</x:v>
      </x:c>
      <x:c r="M1038" s="69" t="str">
        <x:v>Buyer-specific role, production, availability, signing age and total fee evidence are needed before assigning a deal-value score.</x:v>
      </x:c>
      <x:c r="N1038" s="69" t="str">
        <x:v>Not assessed</x:v>
      </x:c>
      <x:c r="O1038" s="69" t="str">
        <x:v>Source broad position and transfer quote only; detailed role and buyer-specific production not validated.</x:v>
      </x:c>
      <x:c r="P1038" s="69" t="str">
        <x:v>https://www.theguardian.com/football/ng-interactive/2026/sep/01/mens-transfer-window-summer-2026-all-deals-from-europes-top-five-leagues</x:v>
      </x:c>
    </x:row>
    <x:row r="1039" ht="25" customHeight="1">
      <x:c r="A1039" s="75" t="str">
        <x:v>summer-S26-0421</x:v>
      </x:c>
      <x:c r="B1039" s="75" t="str">
        <x:v>Diego Mascardi</x:v>
      </x:c>
      <x:c r="C1039" s="75" t="str">
        <x:v>Torino</x:v>
      </x:c>
      <x:c r="D1039" s="75" t="str">
        <x:v>Spezia</x:v>
      </x:c>
      <x:c r="E1039" s="77" t="d">
        <x:v>2026-07-16T00:00:00.000Z</x:v>
      </x:c>
      <x:c r="F1039" s="75" t="str">
        <x:v>summer</x:v>
      </x:c>
      <x:c r="G1039" s="75" t="str">
        <x:v>Goalkeeper — source label</x:v>
      </x:c>
      <x:c r="H1039" s="79" t="n">
        <x:v>1700000</x:v>
      </x:c>
      <x:c r="I1039" s="75" t="str">
        <x:v>GBP</x:v>
      </x:c>
      <x:c r="J1039" s="81"/>
      <x:c r="K1039" s="83"/>
      <x:c r="L1039" s="75" t="str">
        <x:v>Evidence needed</x:v>
      </x:c>
      <x:c r="M1039" s="75" t="str">
        <x:v>Buyer-specific shot-stopping, distribution, aerial command, sweeping, signing age and total fee evidence are needed before scoring.</x:v>
      </x:c>
      <x:c r="N1039" s="75" t="str">
        <x:v>Not assessed</x:v>
      </x:c>
      <x:c r="O1039" s="75" t="str">
        <x:v>Source broad position and transfer quote only; detailed role and buyer-specific production not validated.</x:v>
      </x:c>
      <x:c r="P1039" s="75" t="str">
        <x:v>https://www.theguardian.com/football/ng-interactive/2026/sep/01/mens-transfer-window-summer-2026-all-deals-from-europes-top-five-leagues</x:v>
      </x:c>
    </x:row>
    <x:row r="1040" ht="25" customHeight="1">
      <x:c r="A1040" s="69" t="str">
        <x:v>summer-S26-0422</x:v>
      </x:c>
      <x:c r="B1040" s="69" t="str">
        <x:v>Warren Kamanzi</x:v>
      </x:c>
      <x:c r="C1040" s="69" t="str">
        <x:v>Malmö FF</x:v>
      </x:c>
      <x:c r="D1040" s="69" t="str">
        <x:v>Toulouse</x:v>
      </x:c>
      <x:c r="E1040" s="76" t="d">
        <x:v>2026-07-16T00:00:00.000Z</x:v>
      </x:c>
      <x:c r="F1040" s="69" t="str">
        <x:v>summer</x:v>
      </x:c>
      <x:c r="G1040" s="69" t="str">
        <x:v>Defender — source label</x:v>
      </x:c>
      <x:c r="H1040" s="78"/>
      <x:c r="I1040" s="69" t="str">
        <x:v>GBP</x:v>
      </x:c>
      <x:c r="J1040" s="80"/>
      <x:c r="K1040" s="82"/>
      <x:c r="L1040" s="69" t="str">
        <x:v>Evidence needed</x:v>
      </x:c>
      <x:c r="M1040" s="69" t="str">
        <x:v>Buyer-specific role, production, availability, signing age and total fee evidence are needed before assigning a deal-value score. A zero base fee does not represent wages or signing costs.</x:v>
      </x:c>
      <x:c r="N1040" s="69" t="str">
        <x:v>Not assessed</x:v>
      </x:c>
      <x:c r="O1040" s="69" t="str">
        <x:v>Source broad position and transfer quote only; detailed role and buyer-specific production not validated.</x:v>
      </x:c>
      <x:c r="P1040" s="69" t="str">
        <x:v>https://www.theguardian.com/football/ng-interactive/2026/sep/01/mens-transfer-window-summer-2026-all-deals-from-europes-top-five-leagues</x:v>
      </x:c>
    </x:row>
    <x:row r="1041" ht="25" customHeight="1">
      <x:c r="A1041" s="75" t="str">
        <x:v>summer-S26-0423</x:v>
      </x:c>
      <x:c r="B1041" s="75" t="str">
        <x:v>Zeki Celik</x:v>
      </x:c>
      <x:c r="C1041" s="75" t="str">
        <x:v>Juventus</x:v>
      </x:c>
      <x:c r="D1041" s="75" t="str">
        <x:v>Roma</x:v>
      </x:c>
      <x:c r="E1041" s="77" t="d">
        <x:v>2026-07-16T00:00:00.000Z</x:v>
      </x:c>
      <x:c r="F1041" s="75" t="str">
        <x:v>summer</x:v>
      </x:c>
      <x:c r="G1041" s="75" t="str">
        <x:v>Defender — source label</x:v>
      </x:c>
      <x:c r="H1041" s="79"/>
      <x:c r="I1041" s="75" t="str">
        <x:v>GBP</x:v>
      </x:c>
      <x:c r="J1041" s="81"/>
      <x:c r="K1041" s="83"/>
      <x:c r="L1041" s="75" t="str">
        <x:v>Evidence needed</x:v>
      </x:c>
      <x:c r="M1041" s="75" t="str">
        <x:v>Buyer-specific role, production, availability, signing age and total fee evidence are needed before assigning a deal-value score. A zero base fee does not represent wages or signing costs.</x:v>
      </x:c>
      <x:c r="N1041" s="75" t="str">
        <x:v>Not assessed</x:v>
      </x:c>
      <x:c r="O1041" s="75" t="str">
        <x:v>Source broad position and transfer quote only; detailed role and buyer-specific production not validated.</x:v>
      </x:c>
      <x:c r="P1041" s="75" t="str">
        <x:v>https://www.theguardian.com/football/ng-interactive/2026/sep/01/mens-transfer-window-summer-2026-all-deals-from-europes-top-five-leagues</x:v>
      </x:c>
    </x:row>
    <x:row r="1042" ht="25" customHeight="1">
      <x:c r="A1042" s="69" t="str">
        <x:v>summer-S26-0424</x:v>
      </x:c>
      <x:c r="B1042" s="69" t="str">
        <x:v>Maxime Estève</x:v>
      </x:c>
      <x:c r="C1042" s="69" t="str">
        <x:v>RB Leipzig</x:v>
      </x:c>
      <x:c r="D1042" s="69" t="str">
        <x:v>Burnley</x:v>
      </x:c>
      <x:c r="E1042" s="76" t="d">
        <x:v>2026-07-17T00:00:00.000Z</x:v>
      </x:c>
      <x:c r="F1042" s="69" t="str">
        <x:v>summer</x:v>
      </x:c>
      <x:c r="G1042" s="69" t="str">
        <x:v>Defender — source label</x:v>
      </x:c>
      <x:c r="H1042" s="78" t="n">
        <x:v>27300000</x:v>
      </x:c>
      <x:c r="I1042" s="69" t="str">
        <x:v>GBP</x:v>
      </x:c>
      <x:c r="J1042" s="80"/>
      <x:c r="K1042" s="82"/>
      <x:c r="L1042" s="69" t="str">
        <x:v>Evidence needed</x:v>
      </x:c>
      <x:c r="M1042" s="69" t="str">
        <x:v>Buyer-specific role, production, availability, signing age and total fee evidence are needed before assigning a deal-value score.</x:v>
      </x:c>
      <x:c r="N1042" s="69" t="str">
        <x:v>Not assessed</x:v>
      </x:c>
      <x:c r="O1042" s="69" t="str">
        <x:v>Source broad position and transfer quote only; detailed role and buyer-specific production not validated.</x:v>
      </x:c>
      <x:c r="P1042" s="69" t="str">
        <x:v>https://www.theguardian.com/football/ng-interactive/2026/sep/01/mens-transfer-window-summer-2026-all-deals-from-europes-top-five-leagues</x:v>
      </x:c>
    </x:row>
    <x:row r="1043" ht="25" customHeight="1">
      <x:c r="A1043" s="75" t="str">
        <x:v>summer-S26-0425</x:v>
      </x:c>
      <x:c r="B1043" s="75" t="str">
        <x:v>Alexander Schwolow</x:v>
      </x:c>
      <x:c r="C1043" s="75" t="str">
        <x:v>Mainz 05</x:v>
      </x:c>
      <x:c r="D1043" s="75" t="str">
        <x:v>Hearts</x:v>
      </x:c>
      <x:c r="E1043" s="77" t="d">
        <x:v>2026-07-17T00:00:00.000Z</x:v>
      </x:c>
      <x:c r="F1043" s="75" t="str">
        <x:v>summer</x:v>
      </x:c>
      <x:c r="G1043" s="75" t="str">
        <x:v>Goalkeeper — source label</x:v>
      </x:c>
      <x:c r="H1043" s="79"/>
      <x:c r="I1043" s="75" t="str">
        <x:v>GBP</x:v>
      </x:c>
      <x:c r="J1043" s="81"/>
      <x:c r="K1043" s="83"/>
      <x:c r="L1043" s="75" t="str">
        <x:v>Evidence needed</x:v>
      </x:c>
      <x:c r="M1043" s="75" t="str">
        <x:v>Buyer-specific shot-stopping, distribution, aerial command, sweeping, signing age and total fee evidence are needed before scoring.</x:v>
      </x:c>
      <x:c r="N1043" s="75" t="str">
        <x:v>Not assessed</x:v>
      </x:c>
      <x:c r="O1043" s="75" t="str">
        <x:v>Source broad position and transfer quote only; detailed role and buyer-specific production not validated.</x:v>
      </x:c>
      <x:c r="P1043" s="75" t="str">
        <x:v>https://www.theguardian.com/football/ng-interactive/2026/sep/01/mens-transfer-window-summer-2026-all-deals-from-europes-top-five-leagues</x:v>
      </x:c>
    </x:row>
    <x:row r="1044" ht="25" customHeight="1">
      <x:c r="A1044" s="69" t="str">
        <x:v>summer-S26-0426</x:v>
      </x:c>
      <x:c r="B1044" s="69" t="str">
        <x:v>Pau López</x:v>
      </x:c>
      <x:c r="C1044" s="69" t="str">
        <x:v>FC Andorra</x:v>
      </x:c>
      <x:c r="D1044" s="69" t="str">
        <x:v>Real Betis</x:v>
      </x:c>
      <x:c r="E1044" s="76" t="d">
        <x:v>2026-07-17T00:00:00.000Z</x:v>
      </x:c>
      <x:c r="F1044" s="69" t="str">
        <x:v>summer</x:v>
      </x:c>
      <x:c r="G1044" s="69" t="str">
        <x:v>Goalkeeper — source label</x:v>
      </x:c>
      <x:c r="H1044" s="78"/>
      <x:c r="I1044" s="69" t="str">
        <x:v>GBP</x:v>
      </x:c>
      <x:c r="J1044" s="80"/>
      <x:c r="K1044" s="82"/>
      <x:c r="L1044" s="69" t="str">
        <x:v>Evidence needed</x:v>
      </x:c>
      <x:c r="M1044" s="69" t="str">
        <x:v>Buyer-specific shot-stopping, distribution, aerial command, sweeping, signing age and total fee evidence are needed before scoring. A zero base fee does not represent wages or signing costs.</x:v>
      </x:c>
      <x:c r="N1044" s="69" t="str">
        <x:v>Not assessed</x:v>
      </x:c>
      <x:c r="O1044" s="69" t="str">
        <x:v>Source broad position and transfer quote only; detailed role and buyer-specific production not validated.</x:v>
      </x:c>
      <x:c r="P1044" s="69" t="str">
        <x:v>https://www.theguardian.com/football/ng-interactive/2026/sep/01/mens-transfer-window-summer-2026-all-deals-from-europes-top-five-leagues</x:v>
      </x:c>
    </x:row>
    <x:row r="1045" ht="25" customHeight="1">
      <x:c r="A1045" s="75" t="str">
        <x:v>summer-S26-0427</x:v>
      </x:c>
      <x:c r="B1045" s="75" t="str">
        <x:v>Tarik Muharemovic</x:v>
      </x:c>
      <x:c r="C1045" s="75" t="str">
        <x:v>Leeds United</x:v>
      </x:c>
      <x:c r="D1045" s="75" t="str">
        <x:v>Sassuolo</x:v>
      </x:c>
      <x:c r="E1045" s="77" t="d">
        <x:v>2026-07-17T00:00:00.000Z</x:v>
      </x:c>
      <x:c r="F1045" s="75" t="str">
        <x:v>summer</x:v>
      </x:c>
      <x:c r="G1045" s="75" t="str">
        <x:v>Defender — source label</x:v>
      </x:c>
      <x:c r="H1045" s="79" t="n">
        <x:v>34100000</x:v>
      </x:c>
      <x:c r="I1045" s="75" t="str">
        <x:v>GBP</x:v>
      </x:c>
      <x:c r="J1045" s="81"/>
      <x:c r="K1045" s="83"/>
      <x:c r="L1045" s="75" t="str">
        <x:v>Evidence needed</x:v>
      </x:c>
      <x:c r="M1045" s="75" t="str">
        <x:v>Buyer-specific role, production, availability, signing age and total fee evidence are needed before assigning a deal-value score.</x:v>
      </x:c>
      <x:c r="N1045" s="75" t="str">
        <x:v>Not assessed</x:v>
      </x:c>
      <x:c r="O1045" s="75" t="str">
        <x:v>Source broad position and transfer quote only; detailed role and buyer-specific production not validated.</x:v>
      </x:c>
      <x:c r="P1045" s="75" t="str">
        <x:v>https://www.theguardian.com/football/ng-interactive/2026/sep/01/mens-transfer-window-summer-2026-all-deals-from-europes-top-five-leagues</x:v>
      </x:c>
    </x:row>
    <x:row r="1046" ht="25" customHeight="1">
      <x:c r="A1046" s="69" t="str">
        <x:v>summer-S26-0428</x:v>
      </x:c>
      <x:c r="B1046" s="69" t="str">
        <x:v>Robin Gosens</x:v>
      </x:c>
      <x:c r="C1046" s="69" t="str">
        <x:v>Schalke 04</x:v>
      </x:c>
      <x:c r="D1046" s="69" t="str">
        <x:v>Fiorentina</x:v>
      </x:c>
      <x:c r="E1046" s="76" t="d">
        <x:v>2026-07-17T00:00:00.000Z</x:v>
      </x:c>
      <x:c r="F1046" s="69" t="str">
        <x:v>summer</x:v>
      </x:c>
      <x:c r="G1046" s="69" t="str">
        <x:v>Defender — source label</x:v>
      </x:c>
      <x:c r="H1046" s="78"/>
      <x:c r="I1046" s="69" t="str">
        <x:v>GBP</x:v>
      </x:c>
      <x:c r="J1046" s="80"/>
      <x:c r="K1046" s="82"/>
      <x:c r="L1046" s="69" t="str">
        <x:v>Evidence needed</x:v>
      </x:c>
      <x:c r="M1046" s="69" t="str">
        <x:v>Buyer-specific role, production, availability, signing age and total fee evidence are needed before assigning a deal-value score. Loan/swap costs must be treated separately.</x:v>
      </x:c>
      <x:c r="N1046" s="69" t="str">
        <x:v>Not assessed</x:v>
      </x:c>
      <x:c r="O1046" s="69" t="str">
        <x:v>Source broad position and transfer quote only; detailed role and buyer-specific production not validated.</x:v>
      </x:c>
      <x:c r="P1046" s="69" t="str">
        <x:v>https://www.theguardian.com/football/ng-interactive/2026/sep/01/mens-transfer-window-summer-2026-all-deals-from-europes-top-five-leagues</x:v>
      </x:c>
    </x:row>
    <x:row r="1047" ht="25" customHeight="1">
      <x:c r="A1047" s="75" t="str">
        <x:v>summer-S26-0430</x:v>
      </x:c>
      <x:c r="B1047" s="75" t="str">
        <x:v>Andrés Cuenca</x:v>
      </x:c>
      <x:c r="C1047" s="75" t="str">
        <x:v>Como 1907</x:v>
      </x:c>
      <x:c r="D1047" s="75" t="str">
        <x:v>Barcelona</x:v>
      </x:c>
      <x:c r="E1047" s="77" t="d">
        <x:v>2026-07-17T00:00:00.000Z</x:v>
      </x:c>
      <x:c r="F1047" s="75" t="str">
        <x:v>summer</x:v>
      </x:c>
      <x:c r="G1047" s="75" t="str">
        <x:v>Defender — source label</x:v>
      </x:c>
      <x:c r="H1047" s="79" t="n">
        <x:v>400000</x:v>
      </x:c>
      <x:c r="I1047" s="75" t="str">
        <x:v>GBP</x:v>
      </x:c>
      <x:c r="J1047" s="81"/>
      <x:c r="K1047" s="83"/>
      <x:c r="L1047" s="75" t="str">
        <x:v>Evidence needed</x:v>
      </x:c>
      <x:c r="M1047" s="75" t="str">
        <x:v>Buyer-specific role, production, availability, signing age and total fee evidence are needed before assigning a deal-value score.</x:v>
      </x:c>
      <x:c r="N1047" s="75" t="str">
        <x:v>Not assessed</x:v>
      </x:c>
      <x:c r="O1047" s="75" t="str">
        <x:v>Source broad position and transfer quote only; detailed role and buyer-specific production not validated.</x:v>
      </x:c>
      <x:c r="P1047" s="75" t="str">
        <x:v>https://www.theguardian.com/football/ng-interactive/2026/sep/01/mens-transfer-window-summer-2026-all-deals-from-europes-top-five-leagues</x:v>
      </x:c>
    </x:row>
    <x:row r="1048" ht="25" customHeight="1">
      <x:c r="A1048" s="69" t="str">
        <x:v>summer-S26-0431</x:v>
      </x:c>
      <x:c r="B1048" s="69" t="str">
        <x:v>Kaiden Wilson</x:v>
      </x:c>
      <x:c r="C1048" s="69" t="str">
        <x:v>Rochdale</x:v>
      </x:c>
      <x:c r="D1048" s="69" t="str">
        <x:v>Chelsea</x:v>
      </x:c>
      <x:c r="E1048" s="76" t="d">
        <x:v>2026-07-17T00:00:00.000Z</x:v>
      </x:c>
      <x:c r="F1048" s="69" t="str">
        <x:v>summer</x:v>
      </x:c>
      <x:c r="G1048" s="69" t="str">
        <x:v>Defender — source label</x:v>
      </x:c>
      <x:c r="H1048" s="78"/>
      <x:c r="I1048" s="69" t="str">
        <x:v>GBP</x:v>
      </x:c>
      <x:c r="J1048" s="80"/>
      <x:c r="K1048" s="82"/>
      <x:c r="L1048" s="69" t="str">
        <x:v>Evidence needed</x:v>
      </x:c>
      <x:c r="M1048" s="69" t="str">
        <x:v>Buyer-specific role, production, availability, signing age and total fee evidence are needed before assigning a deal-value score. Loan/swap costs must be treated separately.</x:v>
      </x:c>
      <x:c r="N1048" s="69" t="str">
        <x:v>Not assessed</x:v>
      </x:c>
      <x:c r="O1048" s="69" t="str">
        <x:v>Source broad position and transfer quote only; detailed role and buyer-specific production not validated.</x:v>
      </x:c>
      <x:c r="P1048" s="69" t="str">
        <x:v>https://www.theguardian.com/football/ng-interactive/2026/sep/01/mens-transfer-window-summer-2026-all-deals-from-europes-top-five-leagues</x:v>
      </x:c>
    </x:row>
    <x:row r="1049" ht="25" customHeight="1">
      <x:c r="A1049" s="75" t="str">
        <x:v>summer-S26-0436</x:v>
      </x:c>
      <x:c r="B1049" s="75" t="str">
        <x:v>Julien Yanda</x:v>
      </x:c>
      <x:c r="C1049" s="75" t="str">
        <x:v>Eldense</x:v>
      </x:c>
      <x:c r="D1049" s="75" t="str">
        <x:v>Bayern Munich</x:v>
      </x:c>
      <x:c r="E1049" s="77" t="d">
        <x:v>2026-07-17T00:00:00.000Z</x:v>
      </x:c>
      <x:c r="F1049" s="75" t="str">
        <x:v>summer</x:v>
      </x:c>
      <x:c r="G1049" s="75" t="str">
        <x:v>Defender — source label</x:v>
      </x:c>
      <x:c r="H1049" s="79"/>
      <x:c r="I1049" s="75" t="str">
        <x:v>GBP</x:v>
      </x:c>
      <x:c r="J1049" s="81"/>
      <x:c r="K1049" s="83"/>
      <x:c r="L1049" s="75" t="str">
        <x:v>Evidence needed</x:v>
      </x:c>
      <x:c r="M1049" s="75" t="str">
        <x:v>Buyer-specific role, production, availability, signing age and total fee evidence are needed before assigning a deal-value score. Loan/swap costs must be treated separately.</x:v>
      </x:c>
      <x:c r="N1049" s="75" t="str">
        <x:v>Not assessed</x:v>
      </x:c>
      <x:c r="O1049" s="75" t="str">
        <x:v>Source broad position and transfer quote only; detailed role and buyer-specific production not validated.</x:v>
      </x:c>
      <x:c r="P1049" s="75" t="str">
        <x:v>https://www.theguardian.com/football/ng-interactive/2026/sep/01/mens-transfer-window-summer-2026-all-deals-from-europes-top-five-leagues</x:v>
      </x:c>
    </x:row>
    <x:row r="1050" ht="25" customHeight="1">
      <x:c r="A1050" s="69" t="str">
        <x:v>summer-S26-0438</x:v>
      </x:c>
      <x:c r="B1050" s="69" t="str">
        <x:v>Radoslaw Majecki</x:v>
      </x:c>
      <x:c r="C1050" s="69" t="str">
        <x:v>Pafos</x:v>
      </x:c>
      <x:c r="D1050" s="69" t="str">
        <x:v>Monaco</x:v>
      </x:c>
      <x:c r="E1050" s="76" t="d">
        <x:v>2026-07-17T00:00:00.000Z</x:v>
      </x:c>
      <x:c r="F1050" s="69" t="str">
        <x:v>summer</x:v>
      </x:c>
      <x:c r="G1050" s="69" t="str">
        <x:v>Goalkeeper — source label</x:v>
      </x:c>
      <x:c r="H1050" s="78"/>
      <x:c r="I1050" s="69" t="str">
        <x:v>GBP</x:v>
      </x:c>
      <x:c r="J1050" s="80"/>
      <x:c r="K1050" s="82"/>
      <x:c r="L1050" s="69" t="str">
        <x:v>Evidence needed</x:v>
      </x:c>
      <x:c r="M1050" s="69" t="str">
        <x:v>Buyer-specific shot-stopping, distribution, aerial command, sweeping, signing age and total fee evidence are needed before scoring. Loan/swap costs must be treated separately.</x:v>
      </x:c>
      <x:c r="N1050" s="69" t="str">
        <x:v>Not assessed</x:v>
      </x:c>
      <x:c r="O1050" s="69" t="str">
        <x:v>Source broad position and transfer quote only; detailed role and buyer-specific production not validated.</x:v>
      </x:c>
      <x:c r="P1050" s="69" t="str">
        <x:v>https://www.theguardian.com/football/ng-interactive/2026/sep/01/mens-transfer-window-summer-2026-all-deals-from-europes-top-five-leagues</x:v>
      </x:c>
    </x:row>
    <x:row r="1051" ht="25" customHeight="1">
      <x:c r="A1051" s="75" t="str">
        <x:v>summer-S26-0439</x:v>
      </x:c>
      <x:c r="B1051" s="75" t="str">
        <x:v>Johan Manzambi</x:v>
      </x:c>
      <x:c r="C1051" s="75" t="str">
        <x:v>Aston Villa</x:v>
      </x:c>
      <x:c r="D1051" s="75" t="str">
        <x:v>Freiburg</x:v>
      </x:c>
      <x:c r="E1051" s="77" t="d">
        <x:v>2026-07-17T00:00:00.000Z</x:v>
      </x:c>
      <x:c r="F1051" s="75" t="str">
        <x:v>summer</x:v>
      </x:c>
      <x:c r="G1051" s="75" t="str">
        <x:v>Midfielder — source label</x:v>
      </x:c>
      <x:c r="H1051" s="79" t="n">
        <x:v>51000000</x:v>
      </x:c>
      <x:c r="I1051" s="75" t="str">
        <x:v>GBP</x:v>
      </x:c>
      <x:c r="J1051" s="81"/>
      <x:c r="K1051" s="83"/>
      <x:c r="L1051" s="75" t="str">
        <x:v>Evidence needed</x:v>
      </x:c>
      <x:c r="M1051" s="75" t="str">
        <x:v>Buyer-specific role, production, availability, signing age and total fee evidence are needed before assigning a deal-value score.</x:v>
      </x:c>
      <x:c r="N1051" s="75" t="str">
        <x:v>Not assessed</x:v>
      </x:c>
      <x:c r="O1051" s="75" t="str">
        <x:v>Source broad position and transfer quote only; detailed role and buyer-specific production not validated.</x:v>
      </x:c>
      <x:c r="P1051" s="75" t="str">
        <x:v>https://www.theguardian.com/football/ng-interactive/2026/sep/01/mens-transfer-window-summer-2026-all-deals-from-europes-top-five-leagues</x:v>
      </x:c>
    </x:row>
    <x:row r="1052" ht="25" customHeight="1">
      <x:c r="A1052" s="69" t="str">
        <x:v>summer-S26-0441</x:v>
      </x:c>
      <x:c r="B1052" s="69" t="str">
        <x:v>Maik Nawrocki</x:v>
      </x:c>
      <x:c r="C1052" s="69" t="str">
        <x:v>Lens</x:v>
      </x:c>
      <x:c r="D1052" s="69" t="str">
        <x:v>Celtic</x:v>
      </x:c>
      <x:c r="E1052" s="76" t="d">
        <x:v>2026-07-17T00:00:00.000Z</x:v>
      </x:c>
      <x:c r="F1052" s="69" t="str">
        <x:v>summer</x:v>
      </x:c>
      <x:c r="G1052" s="69" t="str">
        <x:v>Defender — source label</x:v>
      </x:c>
      <x:c r="H1052" s="78" t="n">
        <x:v>2100000</x:v>
      </x:c>
      <x:c r="I1052" s="69" t="str">
        <x:v>GBP</x:v>
      </x:c>
      <x:c r="J1052" s="80"/>
      <x:c r="K1052" s="82"/>
      <x:c r="L1052" s="69" t="str">
        <x:v>Evidence needed</x:v>
      </x:c>
      <x:c r="M1052" s="69" t="str">
        <x:v>Buyer-specific role, production, availability, signing age and total fee evidence are needed before assigning a deal-value score.</x:v>
      </x:c>
      <x:c r="N1052" s="69" t="str">
        <x:v>Not assessed</x:v>
      </x:c>
      <x:c r="O1052" s="69" t="str">
        <x:v>Source broad position and transfer quote only; detailed role and buyer-specific production not validated.</x:v>
      </x:c>
      <x:c r="P1052" s="69" t="str">
        <x:v>https://www.theguardian.com/football/ng-interactive/2026/sep/01/mens-transfer-window-summer-2026-all-deals-from-europes-top-five-leagues</x:v>
      </x:c>
    </x:row>
    <x:row r="1053" ht="25" customHeight="1">
      <x:c r="A1053" s="75" t="str">
        <x:v>summer-S26-0442</x:v>
      </x:c>
      <x:c r="B1053" s="75" t="str">
        <x:v>James Beadle</x:v>
      </x:c>
      <x:c r="C1053" s="75" t="str">
        <x:v>Birmingham City</x:v>
      </x:c>
      <x:c r="D1053" s="75" t="str">
        <x:v>Brighton</x:v>
      </x:c>
      <x:c r="E1053" s="77" t="d">
        <x:v>2026-07-17T00:00:00.000Z</x:v>
      </x:c>
      <x:c r="F1053" s="75" t="str">
        <x:v>summer</x:v>
      </x:c>
      <x:c r="G1053" s="75" t="str">
        <x:v>Goalkeeper — source label</x:v>
      </x:c>
      <x:c r="H1053" s="79"/>
      <x:c r="I1053" s="75" t="str">
        <x:v>GBP</x:v>
      </x:c>
      <x:c r="J1053" s="81"/>
      <x:c r="K1053" s="83"/>
      <x:c r="L1053" s="75" t="str">
        <x:v>Evidence needed</x:v>
      </x:c>
      <x:c r="M1053" s="75" t="str">
        <x:v>Buyer-specific shot-stopping, distribution, aerial command, sweeping, signing age and total fee evidence are needed before scoring. Loan/swap costs must be treated separately.</x:v>
      </x:c>
      <x:c r="N1053" s="75" t="str">
        <x:v>Not assessed</x:v>
      </x:c>
      <x:c r="O1053" s="75" t="str">
        <x:v>Source broad position and transfer quote only; detailed role and buyer-specific production not validated.</x:v>
      </x:c>
      <x:c r="P1053" s="75" t="str">
        <x:v>https://www.theguardian.com/football/ng-interactive/2026/sep/01/mens-transfer-window-summer-2026-all-deals-from-europes-top-five-leagues</x:v>
      </x:c>
    </x:row>
    <x:row r="1054" ht="25" customHeight="1">
      <x:c r="A1054" s="69" t="str">
        <x:v>summer-S26-0445</x:v>
      </x:c>
      <x:c r="B1054" s="69" t="str">
        <x:v>Cenk Ozkacar</x:v>
      </x:c>
      <x:c r="C1054" s="69" t="str">
        <x:v>Trabzonspor</x:v>
      </x:c>
      <x:c r="D1054" s="69" t="str">
        <x:v>Valencia</x:v>
      </x:c>
      <x:c r="E1054" s="76" t="d">
        <x:v>2026-07-18T00:00:00.000Z</x:v>
      </x:c>
      <x:c r="F1054" s="69" t="str">
        <x:v>summer</x:v>
      </x:c>
      <x:c r="G1054" s="69" t="str">
        <x:v>Defender — source label</x:v>
      </x:c>
      <x:c r="H1054" s="78" t="n">
        <x:v>1500000</x:v>
      </x:c>
      <x:c r="I1054" s="69" t="str">
        <x:v>GBP</x:v>
      </x:c>
      <x:c r="J1054" s="80"/>
      <x:c r="K1054" s="82"/>
      <x:c r="L1054" s="69" t="str">
        <x:v>Evidence needed</x:v>
      </x:c>
      <x:c r="M1054" s="69" t="str">
        <x:v>Buyer-specific role, production, availability, signing age and total fee evidence are needed before assigning a deal-value score.</x:v>
      </x:c>
      <x:c r="N1054" s="69" t="str">
        <x:v>Not assessed</x:v>
      </x:c>
      <x:c r="O1054" s="69" t="str">
        <x:v>Source broad position and transfer quote only; detailed role and buyer-specific production not validated.</x:v>
      </x:c>
      <x:c r="P1054" s="69" t="str">
        <x:v>https://www.theguardian.com/football/ng-interactive/2026/sep/01/mens-transfer-window-summer-2026-all-deals-from-europes-top-five-leagues</x:v>
      </x:c>
    </x:row>
    <x:row r="1055" ht="25" customHeight="1">
      <x:c r="A1055" s="75" t="str">
        <x:v>summer-S26-0446</x:v>
      </x:c>
      <x:c r="B1055" s="75" t="str">
        <x:v>Luca Ravanelli</x:v>
      </x:c>
      <x:c r="C1055" s="75" t="str">
        <x:v>Sampdoria</x:v>
      </x:c>
      <x:c r="D1055" s="75" t="str">
        <x:v>Monza</x:v>
      </x:c>
      <x:c r="E1055" s="77" t="d">
        <x:v>2026-07-18T00:00:00.000Z</x:v>
      </x:c>
      <x:c r="F1055" s="75" t="str">
        <x:v>summer</x:v>
      </x:c>
      <x:c r="G1055" s="75" t="str">
        <x:v>Defender — source label</x:v>
      </x:c>
      <x:c r="H1055" s="79"/>
      <x:c r="I1055" s="75" t="str">
        <x:v>GBP</x:v>
      </x:c>
      <x:c r="J1055" s="81"/>
      <x:c r="K1055" s="83"/>
      <x:c r="L1055" s="75" t="str">
        <x:v>Evidence needed</x:v>
      </x:c>
      <x:c r="M1055" s="75" t="str">
        <x:v>Buyer-specific role, production, availability, signing age and total fee evidence are needed before assigning a deal-value score. Loan/swap costs must be treated separately.</x:v>
      </x:c>
      <x:c r="N1055" s="75" t="str">
        <x:v>Not assessed</x:v>
      </x:c>
      <x:c r="O1055" s="75" t="str">
        <x:v>Source broad position and transfer quote only; detailed role and buyer-specific production not validated.</x:v>
      </x:c>
      <x:c r="P1055" s="75" t="str">
        <x:v>https://www.theguardian.com/football/ng-interactive/2026/sep/01/mens-transfer-window-summer-2026-all-deals-from-europes-top-five-leagues</x:v>
      </x:c>
    </x:row>
    <x:row r="1056" ht="25" customHeight="1">
      <x:c r="A1056" s="69" t="str">
        <x:v>summer-S26-0449</x:v>
      </x:c>
      <x:c r="B1056" s="69" t="str">
        <x:v>Elvis Rexhbecaj</x:v>
      </x:c>
      <x:c r="C1056" s="69" t="str">
        <x:v>Wolfsburg</x:v>
      </x:c>
      <x:c r="D1056" s="69" t="str">
        <x:v>Augsburg</x:v>
      </x:c>
      <x:c r="E1056" s="76" t="d">
        <x:v>2026-04-22T00:00:00.000Z</x:v>
      </x:c>
      <x:c r="F1056" s="69" t="str">
        <x:v>summer</x:v>
      </x:c>
      <x:c r="G1056" s="69" t="str">
        <x:v>Midfielder — source label</x:v>
      </x:c>
      <x:c r="H1056" s="78"/>
      <x:c r="I1056" s="69" t="str">
        <x:v>GBP</x:v>
      </x:c>
      <x:c r="J1056" s="80"/>
      <x:c r="K1056" s="82"/>
      <x:c r="L1056" s="69" t="str">
        <x:v>Evidence needed</x:v>
      </x:c>
      <x:c r="M1056" s="69" t="str">
        <x:v>Buyer-specific role, production, availability, signing age and total fee evidence are needed before assigning a deal-value score. A zero base fee does not represent wages or signing costs.</x:v>
      </x:c>
      <x:c r="N1056" s="69" t="str">
        <x:v>Not assessed</x:v>
      </x:c>
      <x:c r="O1056" s="69" t="str">
        <x:v>Source broad position and transfer quote only; detailed role and buyer-specific production not validated.</x:v>
      </x:c>
      <x:c r="P1056" s="69" t="str">
        <x:v>https://www.theguardian.com/football/ng-interactive/2026/sep/01/mens-transfer-window-summer-2026-all-deals-from-europes-top-five-leagues</x:v>
      </x:c>
    </x:row>
    <x:row r="1057" ht="25" customHeight="1">
      <x:c r="A1057" s="75" t="str">
        <x:v>summer-S26-0451</x:v>
      </x:c>
      <x:c r="B1057" s="75" t="str">
        <x:v>Matej Kovar</x:v>
      </x:c>
      <x:c r="C1057" s="75" t="str">
        <x:v>PSV Eindhoven</x:v>
      </x:c>
      <x:c r="D1057" s="75" t="str">
        <x:v>Bayer Leverkusen</x:v>
      </x:c>
      <x:c r="E1057" s="77" t="d">
        <x:v>2026-07-01T00:00:00.000Z</x:v>
      </x:c>
      <x:c r="F1057" s="75" t="str">
        <x:v>summer</x:v>
      </x:c>
      <x:c r="G1057" s="75" t="str">
        <x:v>Goalkeeper — source label</x:v>
      </x:c>
      <x:c r="H1057" s="79" t="n">
        <x:v>4250000</x:v>
      </x:c>
      <x:c r="I1057" s="75" t="str">
        <x:v>GBP</x:v>
      </x:c>
      <x:c r="J1057" s="81"/>
      <x:c r="K1057" s="83"/>
      <x:c r="L1057" s="75" t="str">
        <x:v>Evidence needed</x:v>
      </x:c>
      <x:c r="M1057" s="75" t="str">
        <x:v>Buyer-specific shot-stopping, distribution, aerial command, sweeping, signing age and total fee evidence are needed before scoring.</x:v>
      </x:c>
      <x:c r="N1057" s="75" t="str">
        <x:v>Not assessed</x:v>
      </x:c>
      <x:c r="O1057" s="75" t="str">
        <x:v>Source broad position and transfer quote only; detailed role and buyer-specific production not validated.</x:v>
      </x:c>
      <x:c r="P1057" s="75" t="str">
        <x:v>https://www.theguardian.com/football/ng-interactive/2026/sep/01/mens-transfer-window-summer-2026-all-deals-from-europes-top-five-leagues</x:v>
      </x:c>
    </x:row>
    <x:row r="1058" ht="25" customHeight="1">
      <x:c r="A1058" s="69" t="str">
        <x:v>summer-S26-0452</x:v>
      </x:c>
      <x:c r="B1058" s="69" t="str">
        <x:v>Issa Traoré</x:v>
      </x:c>
      <x:c r="C1058" s="69" t="str">
        <x:v>AS Trencin</x:v>
      </x:c>
      <x:c r="D1058" s="69" t="str">
        <x:v>Bayer Leverkusen</x:v>
      </x:c>
      <x:c r="E1058" s="76" t="d">
        <x:v>2026-07-06T00:00:00.000Z</x:v>
      </x:c>
      <x:c r="F1058" s="69" t="str">
        <x:v>summer</x:v>
      </x:c>
      <x:c r="G1058" s="69" t="str">
        <x:v>Defender — source label</x:v>
      </x:c>
      <x:c r="H1058" s="78"/>
      <x:c r="I1058" s="69" t="str">
        <x:v>GBP</x:v>
      </x:c>
      <x:c r="J1058" s="80"/>
      <x:c r="K1058" s="82"/>
      <x:c r="L1058" s="69" t="str">
        <x:v>Evidence needed</x:v>
      </x:c>
      <x:c r="M1058" s="69" t="str">
        <x:v>Buyer-specific role, production, availability, signing age and total fee evidence are needed before assigning a deal-value score. Loan/swap costs must be treated separately.</x:v>
      </x:c>
      <x:c r="N1058" s="69" t="str">
        <x:v>Not assessed</x:v>
      </x:c>
      <x:c r="O1058" s="69" t="str">
        <x:v>Source broad position and transfer quote only; detailed role and buyer-specific production not validated.</x:v>
      </x:c>
      <x:c r="P1058" s="69" t="str">
        <x:v>https://www.theguardian.com/football/ng-interactive/2026/sep/01/mens-transfer-window-summer-2026-all-deals-from-europes-top-five-leagues</x:v>
      </x:c>
    </x:row>
    <x:row r="1059" ht="25" customHeight="1">
      <x:c r="A1059" s="75" t="str">
        <x:v>summer-S26-0453</x:v>
      </x:c>
      <x:c r="B1059" s="75" t="str">
        <x:v>Noël Aséko</x:v>
      </x:c>
      <x:c r="C1059" s="75" t="str">
        <x:v>Eintracht Frankfurt</x:v>
      </x:c>
      <x:c r="D1059" s="75" t="str">
        <x:v>Bayern Munich</x:v>
      </x:c>
      <x:c r="E1059" s="77" t="d">
        <x:v>2026-07-18T00:00:00.000Z</x:v>
      </x:c>
      <x:c r="F1059" s="75" t="str">
        <x:v>summer</x:v>
      </x:c>
      <x:c r="G1059" s="75" t="str">
        <x:v>Midfielder — source label</x:v>
      </x:c>
      <x:c r="H1059" s="79" t="n">
        <x:v>10630000</x:v>
      </x:c>
      <x:c r="I1059" s="75" t="str">
        <x:v>GBP</x:v>
      </x:c>
      <x:c r="J1059" s="81"/>
      <x:c r="K1059" s="83"/>
      <x:c r="L1059" s="75" t="str">
        <x:v>Evidence needed</x:v>
      </x:c>
      <x:c r="M1059" s="75" t="str">
        <x:v>Buyer-specific role, production, availability, signing age and total fee evidence are needed before assigning a deal-value score.</x:v>
      </x:c>
      <x:c r="N1059" s="75" t="str">
        <x:v>Not assessed</x:v>
      </x:c>
      <x:c r="O1059" s="75" t="str">
        <x:v>Source broad position and transfer quote only; detailed role and buyer-specific production not validated.</x:v>
      </x:c>
      <x:c r="P1059" s="75" t="str">
        <x:v>https://www.theguardian.com/football/ng-interactive/2026/sep/01/mens-transfer-window-summer-2026-all-deals-from-europes-top-five-leagues</x:v>
      </x:c>
    </x:row>
    <x:row r="1060" ht="25" customHeight="1">
      <x:c r="A1060" s="69" t="str">
        <x:v>summer-S26-0454</x:v>
      </x:c>
      <x:c r="B1060" s="69" t="str">
        <x:v>Mergim Vojvoda</x:v>
      </x:c>
      <x:c r="C1060" s="69" t="str">
        <x:v>Udinese</x:v>
      </x:c>
      <x:c r="D1060" s="69" t="str">
        <x:v>Como 1907</x:v>
      </x:c>
      <x:c r="E1060" s="76" t="d">
        <x:v>2026-07-18T00:00:00.000Z</x:v>
      </x:c>
      <x:c r="F1060" s="69" t="str">
        <x:v>summer</x:v>
      </x:c>
      <x:c r="G1060" s="69" t="str">
        <x:v>Defender — source label</x:v>
      </x:c>
      <x:c r="H1060" s="78" t="n">
        <x:v>1300000</x:v>
      </x:c>
      <x:c r="I1060" s="69" t="str">
        <x:v>GBP</x:v>
      </x:c>
      <x:c r="J1060" s="80"/>
      <x:c r="K1060" s="82"/>
      <x:c r="L1060" s="69" t="str">
        <x:v>Evidence needed</x:v>
      </x:c>
      <x:c r="M1060" s="69" t="str">
        <x:v>Buyer-specific role, production, availability, signing age and total fee evidence are needed before assigning a deal-value score.</x:v>
      </x:c>
      <x:c r="N1060" s="69" t="str">
        <x:v>Not assessed</x:v>
      </x:c>
      <x:c r="O1060" s="69" t="str">
        <x:v>Source broad position and transfer quote only; detailed role and buyer-specific production not validated.</x:v>
      </x:c>
      <x:c r="P1060" s="69" t="str">
        <x:v>https://www.theguardian.com/football/ng-interactive/2026/sep/01/mens-transfer-window-summer-2026-all-deals-from-europes-top-five-leagues</x:v>
      </x:c>
    </x:row>
    <x:row r="1061" ht="25" customHeight="1">
      <x:c r="A1061" s="75" t="str">
        <x:v>summer-S26-0456</x:v>
      </x:c>
      <x:c r="B1061" s="75" t="str">
        <x:v>Amir Richardson</x:v>
      </x:c>
      <x:c r="C1061" s="75" t="str">
        <x:v>Le Havre</x:v>
      </x:c>
      <x:c r="D1061" s="75" t="str">
        <x:v>Fiorentina</x:v>
      </x:c>
      <x:c r="E1061" s="77" t="d">
        <x:v>2026-07-18T00:00:00.000Z</x:v>
      </x:c>
      <x:c r="F1061" s="75" t="str">
        <x:v>summer</x:v>
      </x:c>
      <x:c r="G1061" s="75" t="str">
        <x:v>Midfielder — source label</x:v>
      </x:c>
      <x:c r="H1061" s="79"/>
      <x:c r="I1061" s="75" t="str">
        <x:v>GBP</x:v>
      </x:c>
      <x:c r="J1061" s="81"/>
      <x:c r="K1061" s="83"/>
      <x:c r="L1061" s="75" t="str">
        <x:v>Evidence needed</x:v>
      </x:c>
      <x:c r="M1061" s="75" t="str">
        <x:v>Buyer-specific role, production, availability, signing age and total fee evidence are needed before assigning a deal-value score. Loan/swap costs must be treated separately.</x:v>
      </x:c>
      <x:c r="N1061" s="75" t="str">
        <x:v>Not assessed</x:v>
      </x:c>
      <x:c r="O1061" s="75" t="str">
        <x:v>Source broad position and transfer quote only; detailed role and buyer-specific production not validated.</x:v>
      </x:c>
      <x:c r="P1061" s="75" t="str">
        <x:v>https://www.theguardian.com/football/ng-interactive/2026/sep/01/mens-transfer-window-summer-2026-all-deals-from-europes-top-five-leagues</x:v>
      </x:c>
    </x:row>
    <x:row r="1062" ht="25" customHeight="1">
      <x:c r="A1062" s="69" t="str">
        <x:v>summer-S26-0457</x:v>
      </x:c>
      <x:c r="B1062" s="69" t="str">
        <x:v>Mattia Fortin</x:v>
      </x:c>
      <x:c r="C1062" s="69" t="str">
        <x:v>Palermo</x:v>
      </x:c>
      <x:c r="D1062" s="69" t="str">
        <x:v>Lens</x:v>
      </x:c>
      <x:c r="E1062" s="76" t="d">
        <x:v>2026-07-18T00:00:00.000Z</x:v>
      </x:c>
      <x:c r="F1062" s="69" t="str">
        <x:v>summer</x:v>
      </x:c>
      <x:c r="G1062" s="69" t="str">
        <x:v>Goalkeeper — source label</x:v>
      </x:c>
      <x:c r="H1062" s="78"/>
      <x:c r="I1062" s="69" t="str">
        <x:v>GBP</x:v>
      </x:c>
      <x:c r="J1062" s="80"/>
      <x:c r="K1062" s="82"/>
      <x:c r="L1062" s="69" t="str">
        <x:v>Evidence needed</x:v>
      </x:c>
      <x:c r="M1062" s="69" t="str">
        <x:v>Buyer-specific shot-stopping, distribution, aerial command, sweeping, signing age and total fee evidence are needed before scoring. Loan/swap costs must be treated separately.</x:v>
      </x:c>
      <x:c r="N1062" s="69" t="str">
        <x:v>Not assessed</x:v>
      </x:c>
      <x:c r="O1062" s="69" t="str">
        <x:v>Source broad position and transfer quote only; detailed role and buyer-specific production not validated.</x:v>
      </x:c>
      <x:c r="P1062" s="69" t="str">
        <x:v>https://www.theguardian.com/football/ng-interactive/2026/sep/01/mens-transfer-window-summer-2026-all-deals-from-europes-top-five-leagues</x:v>
      </x:c>
    </x:row>
    <x:row r="1063" ht="25" customHeight="1">
      <x:c r="A1063" s="75" t="str">
        <x:v>summer-S26-0458</x:v>
      </x:c>
      <x:c r="B1063" s="75" t="str">
        <x:v>Sebastiano Desplanches</x:v>
      </x:c>
      <x:c r="C1063" s="75" t="str">
        <x:v>Frosinone</x:v>
      </x:c>
      <x:c r="D1063" s="75" t="str">
        <x:v>Palermo</x:v>
      </x:c>
      <x:c r="E1063" s="77" t="d">
        <x:v>2026-07-18T00:00:00.000Z</x:v>
      </x:c>
      <x:c r="F1063" s="75" t="str">
        <x:v>summer</x:v>
      </x:c>
      <x:c r="G1063" s="75" t="str">
        <x:v>Goalkeeper — source label</x:v>
      </x:c>
      <x:c r="H1063" s="79"/>
      <x:c r="I1063" s="75" t="str">
        <x:v>GBP</x:v>
      </x:c>
      <x:c r="J1063" s="81"/>
      <x:c r="K1063" s="83"/>
      <x:c r="L1063" s="75" t="str">
        <x:v>Evidence needed</x:v>
      </x:c>
      <x:c r="M1063" s="75" t="str">
        <x:v>Buyer-specific shot-stopping, distribution, aerial command, sweeping, signing age and total fee evidence are needed before scoring. Loan/swap costs must be treated separately.</x:v>
      </x:c>
      <x:c r="N1063" s="75" t="str">
        <x:v>Not assessed</x:v>
      </x:c>
      <x:c r="O1063" s="75" t="str">
        <x:v>Source broad position and transfer quote only; detailed role and buyer-specific production not validated.</x:v>
      </x:c>
      <x:c r="P1063" s="75" t="str">
        <x:v>https://www.theguardian.com/football/ng-interactive/2026/sep/01/mens-transfer-window-summer-2026-all-deals-from-europes-top-five-leagues</x:v>
      </x:c>
    </x:row>
    <x:row r="1064" ht="25" customHeight="1">
      <x:c r="A1064" s="69" t="str">
        <x:v>summer-S26-0459</x:v>
      </x:c>
      <x:c r="B1064" s="69" t="str">
        <x:v>Tanguy Nianzou</x:v>
      </x:c>
      <x:c r="C1064" s="69" t="str">
        <x:v>Lille</x:v>
      </x:c>
      <x:c r="D1064" s="69" t="str">
        <x:v>Sevilla</x:v>
      </x:c>
      <x:c r="E1064" s="76" t="d">
        <x:v>2026-07-18T00:00:00.000Z</x:v>
      </x:c>
      <x:c r="F1064" s="69" t="str">
        <x:v>summer</x:v>
      </x:c>
      <x:c r="G1064" s="69" t="str">
        <x:v>Defender — source label</x:v>
      </x:c>
      <x:c r="H1064" s="78"/>
      <x:c r="I1064" s="69" t="str">
        <x:v>GBP</x:v>
      </x:c>
      <x:c r="J1064" s="80"/>
      <x:c r="K1064" s="82"/>
      <x:c r="L1064" s="69" t="str">
        <x:v>Evidence needed</x:v>
      </x:c>
      <x:c r="M1064" s="69" t="str">
        <x:v>Buyer-specific role, production, availability, signing age and total fee evidence are needed before assigning a deal-value score. A zero base fee does not represent wages or signing costs.</x:v>
      </x:c>
      <x:c r="N1064" s="69" t="str">
        <x:v>Not assessed</x:v>
      </x:c>
      <x:c r="O1064" s="69" t="str">
        <x:v>Source broad position and transfer quote only; detailed role and buyer-specific production not validated.</x:v>
      </x:c>
      <x:c r="P1064" s="69" t="str">
        <x:v>https://www.theguardian.com/football/ng-interactive/2026/sep/01/mens-transfer-window-summer-2026-all-deals-from-europes-top-five-leagues</x:v>
      </x:c>
    </x:row>
    <x:row r="1065" ht="25" customHeight="1">
      <x:c r="A1065" s="75" t="str">
        <x:v>summer-S26-0460</x:v>
      </x:c>
      <x:c r="B1065" s="75" t="str">
        <x:v>Patrick Beach</x:v>
      </x:c>
      <x:c r="C1065" s="75" t="str">
        <x:v>Troyes</x:v>
      </x:c>
      <x:c r="D1065" s="75" t="str">
        <x:v>Melbourne City</x:v>
      </x:c>
      <x:c r="E1065" s="77" t="d">
        <x:v>2026-07-19T00:00:00.000Z</x:v>
      </x:c>
      <x:c r="F1065" s="75" t="str">
        <x:v>summer</x:v>
      </x:c>
      <x:c r="G1065" s="75" t="str">
        <x:v>Goalkeeper — source label</x:v>
      </x:c>
      <x:c r="H1065" s="79"/>
      <x:c r="I1065" s="75" t="str">
        <x:v>GBP</x:v>
      </x:c>
      <x:c r="J1065" s="81"/>
      <x:c r="K1065" s="83"/>
      <x:c r="L1065" s="75" t="str">
        <x:v>Evidence needed</x:v>
      </x:c>
      <x:c r="M1065" s="75" t="str">
        <x:v>Buyer-specific shot-stopping, distribution, aerial command, sweeping, signing age and total fee evidence are needed before scoring.</x:v>
      </x:c>
      <x:c r="N1065" s="75" t="str">
        <x:v>Not assessed</x:v>
      </x:c>
      <x:c r="O1065" s="75" t="str">
        <x:v>Source broad position and transfer quote only; detailed role and buyer-specific production not validated.</x:v>
      </x:c>
      <x:c r="P1065" s="75" t="str">
        <x:v>https://www.theguardian.com/football/ng-interactive/2026/sep/01/mens-transfer-window-summer-2026-all-deals-from-europes-top-five-leagues</x:v>
      </x:c>
    </x:row>
    <x:row r="1066" ht="25" customHeight="1">
      <x:c r="A1066" s="69" t="str">
        <x:v>summer-S26-0463</x:v>
      </x:c>
      <x:c r="B1066" s="69" t="str">
        <x:v>Christ Inao Oulaï</x:v>
      </x:c>
      <x:c r="C1066" s="69" t="str">
        <x:v>Fiorentina</x:v>
      </x:c>
      <x:c r="D1066" s="69" t="str">
        <x:v>Trabzonspor</x:v>
      </x:c>
      <x:c r="E1066" s="76" t="d">
        <x:v>2026-07-19T00:00:00.000Z</x:v>
      </x:c>
      <x:c r="F1066" s="69" t="str">
        <x:v>summer</x:v>
      </x:c>
      <x:c r="G1066" s="69" t="str">
        <x:v>Midfielder — source label</x:v>
      </x:c>
      <x:c r="H1066" s="78" t="n">
        <x:v>22100000</x:v>
      </x:c>
      <x:c r="I1066" s="69" t="str">
        <x:v>GBP</x:v>
      </x:c>
      <x:c r="J1066" s="80"/>
      <x:c r="K1066" s="82"/>
      <x:c r="L1066" s="69" t="str">
        <x:v>Evidence needed</x:v>
      </x:c>
      <x:c r="M1066" s="69" t="str">
        <x:v>Buyer-specific role, production, availability, signing age and total fee evidence are needed before assigning a deal-value score.</x:v>
      </x:c>
      <x:c r="N1066" s="69" t="str">
        <x:v>Not assessed</x:v>
      </x:c>
      <x:c r="O1066" s="69" t="str">
        <x:v>Source broad position and transfer quote only; detailed role and buyer-specific production not validated.</x:v>
      </x:c>
      <x:c r="P1066" s="69" t="str">
        <x:v>https://www.theguardian.com/football/ng-interactive/2026/sep/01/mens-transfer-window-summer-2026-all-deals-from-europes-top-five-leagues</x:v>
      </x:c>
    </x:row>
    <x:row r="1067" ht="25" customHeight="1">
      <x:c r="A1067" s="75" t="str">
        <x:v>summer-S26-0465</x:v>
      </x:c>
      <x:c r="B1067" s="75" t="str">
        <x:v>Deniz Ofli</x:v>
      </x:c>
      <x:c r="C1067" s="75" t="str">
        <x:v>Karlsruhe</x:v>
      </x:c>
      <x:c r="D1067" s="75" t="str">
        <x:v>Bayern Munich</x:v>
      </x:c>
      <x:c r="E1067" s="77" t="d">
        <x:v>2026-07-06T00:00:00.000Z</x:v>
      </x:c>
      <x:c r="F1067" s="75" t="str">
        <x:v>summer</x:v>
      </x:c>
      <x:c r="G1067" s="75" t="str">
        <x:v>Defender — source label</x:v>
      </x:c>
      <x:c r="H1067" s="79"/>
      <x:c r="I1067" s="75" t="str">
        <x:v>GBP</x:v>
      </x:c>
      <x:c r="J1067" s="81"/>
      <x:c r="K1067" s="83"/>
      <x:c r="L1067" s="75" t="str">
        <x:v>Evidence needed</x:v>
      </x:c>
      <x:c r="M1067" s="75" t="str">
        <x:v>Buyer-specific role, production, availability, signing age and total fee evidence are needed before assigning a deal-value score. Loan/swap costs must be treated separately.</x:v>
      </x:c>
      <x:c r="N1067" s="75" t="str">
        <x:v>Not assessed</x:v>
      </x:c>
      <x:c r="O1067" s="75" t="str">
        <x:v>Source broad position and transfer quote only; detailed role and buyer-specific production not validated.</x:v>
      </x:c>
      <x:c r="P1067" s="75" t="str">
        <x:v>https://www.theguardian.com/football/ng-interactive/2026/sep/01/mens-transfer-window-summer-2026-all-deals-from-europes-top-five-leagues</x:v>
      </x:c>
    </x:row>
    <x:row r="1068" ht="25" customHeight="1">
      <x:c r="A1068" s="69" t="str">
        <x:v>summer-S26-0467</x:v>
      </x:c>
      <x:c r="B1068" s="69" t="str">
        <x:v>Tariq Lamptey</x:v>
      </x:c>
      <x:c r="C1068" s="69" t="str">
        <x:v>QPR</x:v>
      </x:c>
      <x:c r="D1068" s="69" t="str">
        <x:v>Fiorentina</x:v>
      </x:c>
      <x:c r="E1068" s="76" t="d">
        <x:v>2026-07-21T00:00:00.000Z</x:v>
      </x:c>
      <x:c r="F1068" s="69" t="str">
        <x:v>summer</x:v>
      </x:c>
      <x:c r="G1068" s="69" t="str">
        <x:v>Defender — source label</x:v>
      </x:c>
      <x:c r="H1068" s="78"/>
      <x:c r="I1068" s="69" t="str">
        <x:v>GBP</x:v>
      </x:c>
      <x:c r="J1068" s="80"/>
      <x:c r="K1068" s="82"/>
      <x:c r="L1068" s="69" t="str">
        <x:v>Evidence needed</x:v>
      </x:c>
      <x:c r="M1068" s="69" t="str">
        <x:v>Buyer-specific role, production, availability, signing age and total fee evidence are needed before assigning a deal-value score. A zero base fee does not represent wages or signing costs.</x:v>
      </x:c>
      <x:c r="N1068" s="69" t="str">
        <x:v>Not assessed</x:v>
      </x:c>
      <x:c r="O1068" s="69" t="str">
        <x:v>Source broad position and transfer quote only; detailed role and buyer-specific production not validated.</x:v>
      </x:c>
      <x:c r="P1068" s="69" t="str">
        <x:v>https://www.theguardian.com/football/ng-interactive/2026/sep/01/mens-transfer-window-summer-2026-all-deals-from-europes-top-five-leagues</x:v>
      </x:c>
    </x:row>
    <x:row r="1069" ht="25" customHeight="1">
      <x:c r="A1069" s="75" t="str">
        <x:v>summer-S26-0472</x:v>
      </x:c>
      <x:c r="B1069" s="75" t="str">
        <x:v>Kayne van Oevelen</x:v>
      </x:c>
      <x:c r="C1069" s="75" t="str">
        <x:v>Ipswich Town</x:v>
      </x:c>
      <x:c r="D1069" s="75" t="str">
        <x:v>Volendam</x:v>
      </x:c>
      <x:c r="E1069" s="77" t="d">
        <x:v>2026-07-21T00:00:00.000Z</x:v>
      </x:c>
      <x:c r="F1069" s="75" t="str">
        <x:v>summer</x:v>
      </x:c>
      <x:c r="G1069" s="75" t="str">
        <x:v>Goalkeeper — source label</x:v>
      </x:c>
      <x:c r="H1069" s="79" t="n">
        <x:v>3410000</x:v>
      </x:c>
      <x:c r="I1069" s="75" t="str">
        <x:v>GBP</x:v>
      </x:c>
      <x:c r="J1069" s="81"/>
      <x:c r="K1069" s="83"/>
      <x:c r="L1069" s="75" t="str">
        <x:v>Evidence needed</x:v>
      </x:c>
      <x:c r="M1069" s="75" t="str">
        <x:v>Buyer-specific shot-stopping, distribution, aerial command, sweeping, signing age and total fee evidence are needed before scoring.</x:v>
      </x:c>
      <x:c r="N1069" s="75" t="str">
        <x:v>Not assessed</x:v>
      </x:c>
      <x:c r="O1069" s="75" t="str">
        <x:v>Source broad position and transfer quote only; detailed role and buyer-specific production not validated.</x:v>
      </x:c>
      <x:c r="P1069" s="75" t="str">
        <x:v>https://www.theguardian.com/football/ng-interactive/2026/sep/01/mens-transfer-window-summer-2026-all-deals-from-europes-top-five-leagues</x:v>
      </x:c>
    </x:row>
    <x:row r="1070" ht="25" customHeight="1">
      <x:c r="A1070" s="69" t="str">
        <x:v>summer-S26-0473</x:v>
      </x:c>
      <x:c r="B1070" s="69" t="str">
        <x:v>Mirko Elia</x:v>
      </x:c>
      <x:c r="C1070" s="69" t="str">
        <x:v>Bari</x:v>
      </x:c>
      <x:c r="D1070" s="69" t="str">
        <x:v>Fiorentina</x:v>
      </x:c>
      <x:c r="E1070" s="76" t="d">
        <x:v>2026-07-19T00:00:00.000Z</x:v>
      </x:c>
      <x:c r="F1070" s="69" t="str">
        <x:v>summer</x:v>
      </x:c>
      <x:c r="G1070" s="69" t="str">
        <x:v>Defender — source label</x:v>
      </x:c>
      <x:c r="H1070" s="78"/>
      <x:c r="I1070" s="69" t="str">
        <x:v>GBP</x:v>
      </x:c>
      <x:c r="J1070" s="80"/>
      <x:c r="K1070" s="82"/>
      <x:c r="L1070" s="69" t="str">
        <x:v>Evidence needed</x:v>
      </x:c>
      <x:c r="M1070" s="69" t="str">
        <x:v>Buyer-specific role, production, availability, signing age and total fee evidence are needed before assigning a deal-value score. Loan/swap costs must be treated separately.</x:v>
      </x:c>
      <x:c r="N1070" s="69" t="str">
        <x:v>Not assessed</x:v>
      </x:c>
      <x:c r="O1070" s="69" t="str">
        <x:v>Source broad position and transfer quote only; detailed role and buyer-specific production not validated.</x:v>
      </x:c>
      <x:c r="P1070" s="69" t="str">
        <x:v>https://www.theguardian.com/football/ng-interactive/2026/sep/01/mens-transfer-window-summer-2026-all-deals-from-europes-top-five-leagues</x:v>
      </x:c>
    </x:row>
    <x:row r="1071" ht="25" customHeight="1">
      <x:c r="A1071" s="75" t="str">
        <x:v>summer-S26-0475</x:v>
      </x:c>
      <x:c r="B1071" s="75" t="str">
        <x:v>Diego Conde</x:v>
      </x:c>
      <x:c r="C1071" s="75" t="str">
        <x:v>Real Betis</x:v>
      </x:c>
      <x:c r="D1071" s="75" t="str">
        <x:v>Villarreal</x:v>
      </x:c>
      <x:c r="E1071" s="77" t="d">
        <x:v>2026-07-20T00:00:00.000Z</x:v>
      </x:c>
      <x:c r="F1071" s="75" t="str">
        <x:v>summer</x:v>
      </x:c>
      <x:c r="G1071" s="75" t="str">
        <x:v>Goalkeeper — source label</x:v>
      </x:c>
      <x:c r="H1071" s="79"/>
      <x:c r="I1071" s="75" t="str">
        <x:v>GBP</x:v>
      </x:c>
      <x:c r="J1071" s="81"/>
      <x:c r="K1071" s="83"/>
      <x:c r="L1071" s="75" t="str">
        <x:v>Evidence needed</x:v>
      </x:c>
      <x:c r="M1071" s="75" t="str">
        <x:v>Buyer-specific shot-stopping, distribution, aerial command, sweeping, signing age and total fee evidence are needed before scoring. Loan/swap costs must be treated separately.</x:v>
      </x:c>
      <x:c r="N1071" s="75" t="str">
        <x:v>Not assessed</x:v>
      </x:c>
      <x:c r="O1071" s="75" t="str">
        <x:v>Source broad position and transfer quote only; detailed role and buyer-specific production not validated.</x:v>
      </x:c>
      <x:c r="P1071" s="75" t="str">
        <x:v>https://www.theguardian.com/football/ng-interactive/2026/sep/01/mens-transfer-window-summer-2026-all-deals-from-europes-top-five-leagues</x:v>
      </x:c>
    </x:row>
    <x:row r="1072" ht="25" customHeight="1">
      <x:c r="A1072" s="69" t="str">
        <x:v>summer-S26-0476</x:v>
      </x:c>
      <x:c r="B1072" s="69" t="str">
        <x:v>Carlo Sickinger</x:v>
      </x:c>
      <x:c r="C1072" s="69" t="str">
        <x:v>Darmstadt</x:v>
      </x:c>
      <x:c r="D1072" s="69" t="str">
        <x:v>Elversberg</x:v>
      </x:c>
      <x:c r="E1072" s="76" t="d">
        <x:v>2026-07-20T00:00:00.000Z</x:v>
      </x:c>
      <x:c r="F1072" s="69" t="str">
        <x:v>summer</x:v>
      </x:c>
      <x:c r="G1072" s="69" t="str">
        <x:v>Midfielder — source label</x:v>
      </x:c>
      <x:c r="H1072" s="78"/>
      <x:c r="I1072" s="69" t="str">
        <x:v>GBP</x:v>
      </x:c>
      <x:c r="J1072" s="80"/>
      <x:c r="K1072" s="82"/>
      <x:c r="L1072" s="69" t="str">
        <x:v>Evidence needed</x:v>
      </x:c>
      <x:c r="M1072" s="69" t="str">
        <x:v>Buyer-specific role, production, availability, signing age and total fee evidence are needed before assigning a deal-value score. A zero base fee does not represent wages or signing costs.</x:v>
      </x:c>
      <x:c r="N1072" s="69" t="str">
        <x:v>Not assessed</x:v>
      </x:c>
      <x:c r="O1072" s="69" t="str">
        <x:v>Source broad position and transfer quote only; detailed role and buyer-specific production not validated.</x:v>
      </x:c>
      <x:c r="P1072" s="69" t="str">
        <x:v>https://www.theguardian.com/football/ng-interactive/2026/sep/01/mens-transfer-window-summer-2026-all-deals-from-europes-top-five-leagues</x:v>
      </x:c>
    </x:row>
    <x:row r="1073" ht="25" customHeight="1">
      <x:c r="A1073" s="75" t="str">
        <x:v>summer-S26-0477</x:v>
      </x:c>
      <x:c r="B1073" s="75" t="str">
        <x:v>Théo de Percin</x:v>
      </x:c>
      <x:c r="C1073" s="75" t="str">
        <x:v>Bastia</x:v>
      </x:c>
      <x:c r="D1073" s="75" t="str">
        <x:v>Auxerre</x:v>
      </x:c>
      <x:c r="E1073" s="77" t="d">
        <x:v>2026-07-20T00:00:00.000Z</x:v>
      </x:c>
      <x:c r="F1073" s="75" t="str">
        <x:v>summer</x:v>
      </x:c>
      <x:c r="G1073" s="75" t="str">
        <x:v>Goalkeeper — source label</x:v>
      </x:c>
      <x:c r="H1073" s="79"/>
      <x:c r="I1073" s="75" t="str">
        <x:v>GBP</x:v>
      </x:c>
      <x:c r="J1073" s="81"/>
      <x:c r="K1073" s="83"/>
      <x:c r="L1073" s="75" t="str">
        <x:v>Evidence needed</x:v>
      </x:c>
      <x:c r="M1073" s="75" t="str">
        <x:v>Buyer-specific shot-stopping, distribution, aerial command, sweeping, signing age and total fee evidence are needed before scoring. Loan/swap costs must be treated separately.</x:v>
      </x:c>
      <x:c r="N1073" s="75" t="str">
        <x:v>Not assessed</x:v>
      </x:c>
      <x:c r="O1073" s="75" t="str">
        <x:v>Source broad position and transfer quote only; detailed role and buyer-specific production not validated.</x:v>
      </x:c>
      <x:c r="P1073" s="75" t="str">
        <x:v>https://www.theguardian.com/football/ng-interactive/2026/sep/01/mens-transfer-window-summer-2026-all-deals-from-europes-top-five-leagues</x:v>
      </x:c>
    </x:row>
    <x:row r="1074" ht="25" customHeight="1">
      <x:c r="A1074" s="69" t="str">
        <x:v>summer-S26-0478</x:v>
      </x:c>
      <x:c r="B1074" s="69" t="str">
        <x:v>Guilherme Fernandes</x:v>
      </x:c>
      <x:c r="C1074" s="69" t="str">
        <x:v>Córdoba</x:v>
      </x:c>
      <x:c r="D1074" s="69" t="str">
        <x:v>Real Betis</x:v>
      </x:c>
      <x:c r="E1074" s="76" t="d">
        <x:v>2026-07-20T00:00:00.000Z</x:v>
      </x:c>
      <x:c r="F1074" s="69" t="str">
        <x:v>summer</x:v>
      </x:c>
      <x:c r="G1074" s="69" t="str">
        <x:v>Goalkeeper — source label</x:v>
      </x:c>
      <x:c r="H1074" s="78"/>
      <x:c r="I1074" s="69" t="str">
        <x:v>GBP</x:v>
      </x:c>
      <x:c r="J1074" s="80"/>
      <x:c r="K1074" s="82"/>
      <x:c r="L1074" s="69" t="str">
        <x:v>Evidence needed</x:v>
      </x:c>
      <x:c r="M1074" s="69" t="str">
        <x:v>Buyer-specific shot-stopping, distribution, aerial command, sweeping, signing age and total fee evidence are needed before scoring.</x:v>
      </x:c>
      <x:c r="N1074" s="69" t="str">
        <x:v>Not assessed</x:v>
      </x:c>
      <x:c r="O1074" s="69" t="str">
        <x:v>Source broad position and transfer quote only; detailed role and buyer-specific production not validated.</x:v>
      </x:c>
      <x:c r="P1074" s="69" t="str">
        <x:v>https://www.theguardian.com/football/ng-interactive/2026/sep/01/mens-transfer-window-summer-2026-all-deals-from-europes-top-five-leagues</x:v>
      </x:c>
    </x:row>
    <x:row r="1075" ht="25" customHeight="1">
      <x:c r="A1075" s="75" t="str">
        <x:v>summer-S26-0479</x:v>
      </x:c>
      <x:c r="B1075" s="75" t="str">
        <x:v>Luca Sirch</x:v>
      </x:c>
      <x:c r="C1075" s="75" t="str">
        <x:v>Elversberg</x:v>
      </x:c>
      <x:c r="D1075" s="75" t="str">
        <x:v>Kaiserslautern</x:v>
      </x:c>
      <x:c r="E1075" s="77" t="d">
        <x:v>2026-07-21T00:00:00.000Z</x:v>
      </x:c>
      <x:c r="F1075" s="75" t="str">
        <x:v>summer</x:v>
      </x:c>
      <x:c r="G1075" s="75" t="str">
        <x:v>Defender — source label</x:v>
      </x:c>
      <x:c r="H1075" s="79"/>
      <x:c r="I1075" s="75" t="str">
        <x:v>GBP</x:v>
      </x:c>
      <x:c r="J1075" s="81"/>
      <x:c r="K1075" s="83"/>
      <x:c r="L1075" s="75" t="str">
        <x:v>Evidence needed</x:v>
      </x:c>
      <x:c r="M1075" s="75" t="str">
        <x:v>Buyer-specific role, production, availability, signing age and total fee evidence are needed before assigning a deal-value score. A zero base fee does not represent wages or signing costs.</x:v>
      </x:c>
      <x:c r="N1075" s="75" t="str">
        <x:v>Not assessed</x:v>
      </x:c>
      <x:c r="O1075" s="75" t="str">
        <x:v>Source broad position and transfer quote only; detailed role and buyer-specific production not validated.</x:v>
      </x:c>
      <x:c r="P1075" s="75" t="str">
        <x:v>https://www.theguardian.com/football/ng-interactive/2026/sep/01/mens-transfer-window-summer-2026-all-deals-from-europes-top-five-leagues</x:v>
      </x:c>
    </x:row>
    <x:row r="1076" ht="25" customHeight="1">
      <x:c r="A1076" s="69" t="str">
        <x:v>summer-S26-0480</x:v>
      </x:c>
      <x:c r="B1076" s="69" t="str">
        <x:v>Simon Simoni</x:v>
      </x:c>
      <x:c r="C1076" s="69" t="str">
        <x:v>FC Luzern</x:v>
      </x:c>
      <x:c r="D1076" s="69" t="str">
        <x:v>Eintracht Frankfurt</x:v>
      </x:c>
      <x:c r="E1076" s="76" t="d">
        <x:v>2026-07-21T00:00:00.000Z</x:v>
      </x:c>
      <x:c r="F1076" s="69" t="str">
        <x:v>summer</x:v>
      </x:c>
      <x:c r="G1076" s="69" t="str">
        <x:v>Goalkeeper — source label</x:v>
      </x:c>
      <x:c r="H1076" s="78"/>
      <x:c r="I1076" s="69" t="str">
        <x:v>GBP</x:v>
      </x:c>
      <x:c r="J1076" s="80"/>
      <x:c r="K1076" s="82"/>
      <x:c r="L1076" s="69" t="str">
        <x:v>Evidence needed</x:v>
      </x:c>
      <x:c r="M1076" s="69" t="str">
        <x:v>Buyer-specific shot-stopping, distribution, aerial command, sweeping, signing age and total fee evidence are needed before scoring.</x:v>
      </x:c>
      <x:c r="N1076" s="69" t="str">
        <x:v>Not assessed</x:v>
      </x:c>
      <x:c r="O1076" s="69" t="str">
        <x:v>Source broad position and transfer quote only; detailed role and buyer-specific production not validated.</x:v>
      </x:c>
      <x:c r="P1076" s="69" t="str">
        <x:v>https://www.theguardian.com/football/ng-interactive/2026/sep/01/mens-transfer-window-summer-2026-all-deals-from-europes-top-five-leagues</x:v>
      </x:c>
    </x:row>
    <x:row r="1077" ht="25" customHeight="1">
      <x:c r="A1077" s="75" t="str">
        <x:v>summer-S26-0483</x:v>
      </x:c>
      <x:c r="B1077" s="75" t="str">
        <x:v>Rahim Alhassane</x:v>
      </x:c>
      <x:c r="C1077" s="75" t="str">
        <x:v>Bologna</x:v>
      </x:c>
      <x:c r="D1077" s="75" t="str">
        <x:v>Real Oviedo</x:v>
      </x:c>
      <x:c r="E1077" s="77" t="d">
        <x:v>2026-07-20T00:00:00.000Z</x:v>
      </x:c>
      <x:c r="F1077" s="75" t="str">
        <x:v>summer</x:v>
      </x:c>
      <x:c r="G1077" s="75" t="str">
        <x:v>Defender — source label</x:v>
      </x:c>
      <x:c r="H1077" s="79" t="n">
        <x:v>3410000</x:v>
      </x:c>
      <x:c r="I1077" s="75" t="str">
        <x:v>GBP</x:v>
      </x:c>
      <x:c r="J1077" s="81"/>
      <x:c r="K1077" s="83"/>
      <x:c r="L1077" s="75" t="str">
        <x:v>Evidence needed</x:v>
      </x:c>
      <x:c r="M1077" s="75" t="str">
        <x:v>Buyer-specific role, production, availability, signing age and total fee evidence are needed before assigning a deal-value score.</x:v>
      </x:c>
      <x:c r="N1077" s="75" t="str">
        <x:v>Not assessed</x:v>
      </x:c>
      <x:c r="O1077" s="75" t="str">
        <x:v>Source broad position and transfer quote only; detailed role and buyer-specific production not validated.</x:v>
      </x:c>
      <x:c r="P1077" s="75" t="str">
        <x:v>https://www.theguardian.com/football/ng-interactive/2026/sep/01/mens-transfer-window-summer-2026-all-deals-from-europes-top-five-leagues</x:v>
      </x:c>
    </x:row>
    <x:row r="1078" ht="25" customHeight="1">
      <x:c r="A1078" s="69" t="str">
        <x:v>summer-S26-0484</x:v>
      </x:c>
      <x:c r="B1078" s="69" t="str">
        <x:v>Alfie McNally</x:v>
      </x:c>
      <x:c r="C1078" s="69" t="str">
        <x:v>York City</x:v>
      </x:c>
      <x:c r="D1078" s="69" t="str">
        <x:v>Fulham</x:v>
      </x:c>
      <x:c r="E1078" s="76" t="d">
        <x:v>2026-07-20T00:00:00.000Z</x:v>
      </x:c>
      <x:c r="F1078" s="69" t="str">
        <x:v>summer</x:v>
      </x:c>
      <x:c r="G1078" s="69" t="str">
        <x:v>Goalkeeper — source label</x:v>
      </x:c>
      <x:c r="H1078" s="78"/>
      <x:c r="I1078" s="69" t="str">
        <x:v>GBP</x:v>
      </x:c>
      <x:c r="J1078" s="80"/>
      <x:c r="K1078" s="82"/>
      <x:c r="L1078" s="69" t="str">
        <x:v>Evidence needed</x:v>
      </x:c>
      <x:c r="M1078" s="69" t="str">
        <x:v>Buyer-specific shot-stopping, distribution, aerial command, sweeping, signing age and total fee evidence are needed before scoring. Loan/swap costs must be treated separately.</x:v>
      </x:c>
      <x:c r="N1078" s="69" t="str">
        <x:v>Not assessed</x:v>
      </x:c>
      <x:c r="O1078" s="69" t="str">
        <x:v>Source broad position and transfer quote only; detailed role and buyer-specific production not validated.</x:v>
      </x:c>
      <x:c r="P1078" s="69" t="str">
        <x:v>https://www.theguardian.com/football/ng-interactive/2026/sep/01/mens-transfer-window-summer-2026-all-deals-from-europes-top-five-leagues</x:v>
      </x:c>
    </x:row>
    <x:row r="1079" ht="25" customHeight="1">
      <x:c r="A1079" s="75" t="str">
        <x:v>summer-S26-0485</x:v>
      </x:c>
      <x:c r="B1079" s="75" t="str">
        <x:v>Hugo Sotelo</x:v>
      </x:c>
      <x:c r="C1079" s="75" t="str">
        <x:v>Levante</x:v>
      </x:c>
      <x:c r="D1079" s="75" t="str">
        <x:v>Celta Vigo</x:v>
      </x:c>
      <x:c r="E1079" s="77" t="d">
        <x:v>2026-07-20T00:00:00.000Z</x:v>
      </x:c>
      <x:c r="F1079" s="75" t="str">
        <x:v>summer</x:v>
      </x:c>
      <x:c r="G1079" s="75" t="str">
        <x:v>Midfielder — source label</x:v>
      </x:c>
      <x:c r="H1079" s="79"/>
      <x:c r="I1079" s="75" t="str">
        <x:v>GBP</x:v>
      </x:c>
      <x:c r="J1079" s="81"/>
      <x:c r="K1079" s="83"/>
      <x:c r="L1079" s="75" t="str">
        <x:v>Evidence needed</x:v>
      </x:c>
      <x:c r="M1079" s="75" t="str">
        <x:v>Buyer-specific role, production, availability, signing age and total fee evidence are needed before assigning a deal-value score. Loan/swap costs must be treated separately.</x:v>
      </x:c>
      <x:c r="N1079" s="75" t="str">
        <x:v>Not assessed</x:v>
      </x:c>
      <x:c r="O1079" s="75" t="str">
        <x:v>Source broad position and transfer quote only; detailed role and buyer-specific production not validated.</x:v>
      </x:c>
      <x:c r="P1079" s="75" t="str">
        <x:v>https://www.theguardian.com/football/ng-interactive/2026/sep/01/mens-transfer-window-summer-2026-all-deals-from-europes-top-five-leagues</x:v>
      </x:c>
    </x:row>
    <x:row r="1080" ht="25" customHeight="1">
      <x:c r="A1080" s="69" t="str">
        <x:v>summer-S26-0487</x:v>
      </x:c>
      <x:c r="B1080" s="69" t="str">
        <x:v>Alessandro Bianco</x:v>
      </x:c>
      <x:c r="C1080" s="69" t="str">
        <x:v>Modena</x:v>
      </x:c>
      <x:c r="D1080" s="69" t="str">
        <x:v>Fiorentina</x:v>
      </x:c>
      <x:c r="E1080" s="76" t="d">
        <x:v>2026-07-21T00:00:00.000Z</x:v>
      </x:c>
      <x:c r="F1080" s="69" t="str">
        <x:v>summer</x:v>
      </x:c>
      <x:c r="G1080" s="69" t="str">
        <x:v>Midfielder — source label</x:v>
      </x:c>
      <x:c r="H1080" s="78"/>
      <x:c r="I1080" s="69" t="str">
        <x:v>GBP</x:v>
      </x:c>
      <x:c r="J1080" s="80"/>
      <x:c r="K1080" s="82"/>
      <x:c r="L1080" s="69" t="str">
        <x:v>Evidence needed</x:v>
      </x:c>
      <x:c r="M1080" s="69" t="str">
        <x:v>Buyer-specific role, production, availability, signing age and total fee evidence are needed before assigning a deal-value score.</x:v>
      </x:c>
      <x:c r="N1080" s="69" t="str">
        <x:v>Not assessed</x:v>
      </x:c>
      <x:c r="O1080" s="69" t="str">
        <x:v>Source broad position and transfer quote only; detailed role and buyer-specific production not validated.</x:v>
      </x:c>
      <x:c r="P1080" s="69" t="str">
        <x:v>https://www.theguardian.com/football/ng-interactive/2026/sep/01/mens-transfer-window-summer-2026-all-deals-from-europes-top-five-leagues</x:v>
      </x:c>
    </x:row>
    <x:row r="1081" ht="25" customHeight="1">
      <x:c r="A1081" s="75" t="str">
        <x:v>summer-S26-0490</x:v>
      </x:c>
      <x:c r="B1081" s="75" t="str">
        <x:v>Spike Brits</x:v>
      </x:c>
      <x:c r="C1081" s="75" t="str">
        <x:v>Sutton United</x:v>
      </x:c>
      <x:c r="D1081" s="75" t="str">
        <x:v>Manchester City</x:v>
      </x:c>
      <x:c r="E1081" s="77" t="d">
        <x:v>2026-07-21T00:00:00.000Z</x:v>
      </x:c>
      <x:c r="F1081" s="75" t="str">
        <x:v>summer</x:v>
      </x:c>
      <x:c r="G1081" s="75" t="str">
        <x:v>Goalkeeper — source label</x:v>
      </x:c>
      <x:c r="H1081" s="79"/>
      <x:c r="I1081" s="75" t="str">
        <x:v>GBP</x:v>
      </x:c>
      <x:c r="J1081" s="81"/>
      <x:c r="K1081" s="83"/>
      <x:c r="L1081" s="75" t="str">
        <x:v>Evidence needed</x:v>
      </x:c>
      <x:c r="M1081" s="75" t="str">
        <x:v>Buyer-specific shot-stopping, distribution, aerial command, sweeping, signing age and total fee evidence are needed before scoring. Loan/swap costs must be treated separately.</x:v>
      </x:c>
      <x:c r="N1081" s="75" t="str">
        <x:v>Not assessed</x:v>
      </x:c>
      <x:c r="O1081" s="75" t="str">
        <x:v>Source broad position and transfer quote only; detailed role and buyer-specific production not validated.</x:v>
      </x:c>
      <x:c r="P1081" s="75" t="str">
        <x:v>https://www.theguardian.com/football/ng-interactive/2026/sep/01/mens-transfer-window-summer-2026-all-deals-from-europes-top-five-leagues</x:v>
      </x:c>
    </x:row>
    <x:row r="1082" ht="25" customHeight="1">
      <x:c r="A1082" s="69" t="str">
        <x:v>summer-S26-0491</x:v>
      </x:c>
      <x:c r="B1082" s="69" t="str">
        <x:v>Emmanuel Mbemba</x:v>
      </x:c>
      <x:c r="C1082" s="69" t="str">
        <x:v>Paris FC</x:v>
      </x:c>
      <x:c r="D1082" s="69" t="str">
        <x:v>Paris Saint-Germain</x:v>
      </x:c>
      <x:c r="E1082" s="76" t="d">
        <x:v>2026-07-16T00:00:00.000Z</x:v>
      </x:c>
      <x:c r="F1082" s="69" t="str">
        <x:v>summer</x:v>
      </x:c>
      <x:c r="G1082" s="69" t="str">
        <x:v>Defender — source label</x:v>
      </x:c>
      <x:c r="H1082" s="78"/>
      <x:c r="I1082" s="69" t="str">
        <x:v>GBP</x:v>
      </x:c>
      <x:c r="J1082" s="80"/>
      <x:c r="K1082" s="82"/>
      <x:c r="L1082" s="69" t="str">
        <x:v>Evidence needed</x:v>
      </x:c>
      <x:c r="M1082" s="69" t="str">
        <x:v>Buyer-specific role, production, availability, signing age and total fee evidence are needed before assigning a deal-value score. A zero base fee does not represent wages or signing costs.</x:v>
      </x:c>
      <x:c r="N1082" s="69" t="str">
        <x:v>Not assessed</x:v>
      </x:c>
      <x:c r="O1082" s="69" t="str">
        <x:v>Source broad position and transfer quote only; detailed role and buyer-specific production not validated.</x:v>
      </x:c>
      <x:c r="P1082" s="69" t="str">
        <x:v>https://www.theguardian.com/football/ng-interactive/2026/sep/01/mens-transfer-window-summer-2026-all-deals-from-europes-top-five-leagues</x:v>
      </x:c>
    </x:row>
    <x:row r="1083" ht="25" customHeight="1">
      <x:c r="A1083" s="75" t="str">
        <x:v>summer-S26-0493</x:v>
      </x:c>
      <x:c r="B1083" s="75" t="str">
        <x:v>Óscar Zambrano</x:v>
      </x:c>
      <x:c r="C1083" s="75" t="str">
        <x:v>Hull City</x:v>
      </x:c>
      <x:c r="D1083" s="75" t="str">
        <x:v>Maribor</x:v>
      </x:c>
      <x:c r="E1083" s="77" t="d">
        <x:v>2026-07-21T00:00:00.000Z</x:v>
      </x:c>
      <x:c r="F1083" s="75" t="str">
        <x:v>summer</x:v>
      </x:c>
      <x:c r="G1083" s="75" t="str">
        <x:v>Midfielder — source label</x:v>
      </x:c>
      <x:c r="H1083" s="79"/>
      <x:c r="I1083" s="75" t="str">
        <x:v>GBP</x:v>
      </x:c>
      <x:c r="J1083" s="81"/>
      <x:c r="K1083" s="83"/>
      <x:c r="L1083" s="75" t="str">
        <x:v>Evidence needed</x:v>
      </x:c>
      <x:c r="M1083" s="75" t="str">
        <x:v>Buyer-specific role, production, availability, signing age and total fee evidence are needed before assigning a deal-value score.</x:v>
      </x:c>
      <x:c r="N1083" s="75" t="str">
        <x:v>Not assessed</x:v>
      </x:c>
      <x:c r="O1083" s="75" t="str">
        <x:v>Source broad position and transfer quote only; detailed role and buyer-specific production not validated.</x:v>
      </x:c>
      <x:c r="P1083" s="75" t="str">
        <x:v>https://www.theguardian.com/football/ng-interactive/2026/sep/01/mens-transfer-window-summer-2026-all-deals-from-europes-top-five-leagues</x:v>
      </x:c>
    </x:row>
    <x:row r="1084" ht="25" customHeight="1">
      <x:c r="A1084" s="69" t="str">
        <x:v>summer-S26-0495</x:v>
      </x:c>
      <x:c r="B1084" s="69" t="str">
        <x:v>Malang Sarr</x:v>
      </x:c>
      <x:c r="C1084" s="69" t="str">
        <x:v>Neom SC</x:v>
      </x:c>
      <x:c r="D1084" s="69" t="str">
        <x:v>Lens</x:v>
      </x:c>
      <x:c r="E1084" s="76" t="d">
        <x:v>2026-07-21T00:00:00.000Z</x:v>
      </x:c>
      <x:c r="F1084" s="69" t="str">
        <x:v>summer</x:v>
      </x:c>
      <x:c r="G1084" s="69" t="str">
        <x:v>Defender — source label</x:v>
      </x:c>
      <x:c r="H1084" s="78"/>
      <x:c r="I1084" s="69" t="str">
        <x:v>GBP</x:v>
      </x:c>
      <x:c r="J1084" s="80"/>
      <x:c r="K1084" s="82"/>
      <x:c r="L1084" s="69" t="str">
        <x:v>Evidence needed</x:v>
      </x:c>
      <x:c r="M1084" s="69" t="str">
        <x:v>Buyer-specific role, production, availability, signing age and total fee evidence are needed before assigning a deal-value score. A zero base fee does not represent wages or signing costs.</x:v>
      </x:c>
      <x:c r="N1084" s="69" t="str">
        <x:v>Not assessed</x:v>
      </x:c>
      <x:c r="O1084" s="69" t="str">
        <x:v>Source broad position and transfer quote only; detailed role and buyer-specific production not validated.</x:v>
      </x:c>
      <x:c r="P1084" s="69" t="str">
        <x:v>https://www.theguardian.com/football/ng-interactive/2026/sep/01/mens-transfer-window-summer-2026-all-deals-from-europes-top-five-leagues</x:v>
      </x:c>
    </x:row>
    <x:row r="1085" ht="25" customHeight="1">
      <x:c r="A1085" s="75" t="str">
        <x:v>summer-S26-0497</x:v>
      </x:c>
      <x:c r="B1085" s="75" t="str">
        <x:v>Angelo Fulgini</x:v>
      </x:c>
      <x:c r="C1085" s="75" t="str">
        <x:v>Al-Khaleej</x:v>
      </x:c>
      <x:c r="D1085" s="75" t="str">
        <x:v>Lens</x:v>
      </x:c>
      <x:c r="E1085" s="77" t="d">
        <x:v>2026-07-09T00:00:00.000Z</x:v>
      </x:c>
      <x:c r="F1085" s="75" t="str">
        <x:v>summer</x:v>
      </x:c>
      <x:c r="G1085" s="75" t="str">
        <x:v>Midfielder — source label</x:v>
      </x:c>
      <x:c r="H1085" s="79"/>
      <x:c r="I1085" s="75" t="str">
        <x:v>GBP</x:v>
      </x:c>
      <x:c r="J1085" s="81"/>
      <x:c r="K1085" s="83"/>
      <x:c r="L1085" s="75" t="str">
        <x:v>Evidence needed</x:v>
      </x:c>
      <x:c r="M1085" s="75" t="str">
        <x:v>Buyer-specific role, production, availability, signing age and total fee evidence are needed before assigning a deal-value score. A zero base fee does not represent wages or signing costs.</x:v>
      </x:c>
      <x:c r="N1085" s="75" t="str">
        <x:v>Not assessed</x:v>
      </x:c>
      <x:c r="O1085" s="75" t="str">
        <x:v>Source broad position and transfer quote only; detailed role and buyer-specific production not validated.</x:v>
      </x:c>
      <x:c r="P1085" s="75" t="str">
        <x:v>https://www.theguardian.com/football/ng-interactive/2026/sep/01/mens-transfer-window-summer-2026-all-deals-from-europes-top-five-leagues</x:v>
      </x:c>
    </x:row>
    <x:row r="1086" ht="25" customHeight="1">
      <x:c r="A1086" s="69" t="str">
        <x:v>summer-S26-0498</x:v>
      </x:c>
      <x:c r="B1086" s="69" t="str">
        <x:v>Álex Sala</x:v>
      </x:c>
      <x:c r="C1086" s="69" t="str">
        <x:v>Mallorca</x:v>
      </x:c>
      <x:c r="D1086" s="69" t="str">
        <x:v>Lecce</x:v>
      </x:c>
      <x:c r="E1086" s="76" t="d">
        <x:v>2026-07-22T00:00:00.000Z</x:v>
      </x:c>
      <x:c r="F1086" s="69" t="str">
        <x:v>summer</x:v>
      </x:c>
      <x:c r="G1086" s="69" t="str">
        <x:v>Midfielder — source label</x:v>
      </x:c>
      <x:c r="H1086" s="78"/>
      <x:c r="I1086" s="69" t="str">
        <x:v>GBP</x:v>
      </x:c>
      <x:c r="J1086" s="80"/>
      <x:c r="K1086" s="82"/>
      <x:c r="L1086" s="69" t="str">
        <x:v>Evidence needed</x:v>
      </x:c>
      <x:c r="M1086" s="69" t="str">
        <x:v>Buyer-specific role, production, availability, signing age and total fee evidence are needed before assigning a deal-value score. Loan/swap costs must be treated separately.</x:v>
      </x:c>
      <x:c r="N1086" s="69" t="str">
        <x:v>Not assessed</x:v>
      </x:c>
      <x:c r="O1086" s="69" t="str">
        <x:v>Source broad position and transfer quote only; detailed role and buyer-specific production not validated.</x:v>
      </x:c>
      <x:c r="P1086" s="69" t="str">
        <x:v>https://www.theguardian.com/football/ng-interactive/2026/sep/01/mens-transfer-window-summer-2026-all-deals-from-europes-top-five-leagues</x:v>
      </x:c>
    </x:row>
    <x:row r="1087" ht="25" customHeight="1">
      <x:c r="A1087" s="75" t="str">
        <x:v>summer-S26-0500</x:v>
      </x:c>
      <x:c r="B1087" s="75" t="str">
        <x:v>Issa Diop</x:v>
      </x:c>
      <x:c r="C1087" s="75" t="str">
        <x:v>Ipswich Town</x:v>
      </x:c>
      <x:c r="D1087" s="75" t="str">
        <x:v>Fulham</x:v>
      </x:c>
      <x:c r="E1087" s="77" t="d">
        <x:v>2026-07-22T00:00:00.000Z</x:v>
      </x:c>
      <x:c r="F1087" s="75" t="str">
        <x:v>summer</x:v>
      </x:c>
      <x:c r="G1087" s="75" t="str">
        <x:v>Defender — source label</x:v>
      </x:c>
      <x:c r="H1087" s="79" t="n">
        <x:v>8500000</x:v>
      </x:c>
      <x:c r="I1087" s="75" t="str">
        <x:v>GBP</x:v>
      </x:c>
      <x:c r="J1087" s="81"/>
      <x:c r="K1087" s="83"/>
      <x:c r="L1087" s="75" t="str">
        <x:v>Evidence needed</x:v>
      </x:c>
      <x:c r="M1087" s="75" t="str">
        <x:v>Buyer-specific role, production, availability, signing age and total fee evidence are needed before assigning a deal-value score.</x:v>
      </x:c>
      <x:c r="N1087" s="75" t="str">
        <x:v>Not assessed</x:v>
      </x:c>
      <x:c r="O1087" s="75" t="str">
        <x:v>Source broad position and transfer quote only; detailed role and buyer-specific production not validated.</x:v>
      </x:c>
      <x:c r="P1087" s="75" t="str">
        <x:v>https://www.theguardian.com/football/ng-interactive/2026/sep/01/mens-transfer-window-summer-2026-all-deals-from-europes-top-five-leagues</x:v>
      </x:c>
    </x:row>
    <x:row r="1088" ht="25" customHeight="1">
      <x:c r="A1088" s="69" t="str">
        <x:v>summer-S26-0501</x:v>
      </x:c>
      <x:c r="B1088" s="69" t="str">
        <x:v>Antonin Barak</x:v>
      </x:c>
      <x:c r="C1088" s="69" t="str">
        <x:v>Apoel Nicosia</x:v>
      </x:c>
      <x:c r="D1088" s="69" t="str">
        <x:v>Fiorentina</x:v>
      </x:c>
      <x:c r="E1088" s="76" t="d">
        <x:v>2026-07-22T00:00:00.000Z</x:v>
      </x:c>
      <x:c r="F1088" s="69" t="str">
        <x:v>summer</x:v>
      </x:c>
      <x:c r="G1088" s="69" t="str">
        <x:v>Midfielder — source label</x:v>
      </x:c>
      <x:c r="H1088" s="78"/>
      <x:c r="I1088" s="69" t="str">
        <x:v>GBP</x:v>
      </x:c>
      <x:c r="J1088" s="80"/>
      <x:c r="K1088" s="82"/>
      <x:c r="L1088" s="69" t="str">
        <x:v>Evidence needed</x:v>
      </x:c>
      <x:c r="M1088" s="69" t="str">
        <x:v>Buyer-specific role, production, availability, signing age and total fee evidence are needed before assigning a deal-value score.</x:v>
      </x:c>
      <x:c r="N1088" s="69" t="str">
        <x:v>Not assessed</x:v>
      </x:c>
      <x:c r="O1088" s="69" t="str">
        <x:v>Source broad position and transfer quote only; detailed role and buyer-specific production not validated.</x:v>
      </x:c>
      <x:c r="P1088" s="69" t="str">
        <x:v>https://www.theguardian.com/football/ng-interactive/2026/sep/01/mens-transfer-window-summer-2026-all-deals-from-europes-top-five-leagues</x:v>
      </x:c>
    </x:row>
    <x:row r="1089" ht="25" customHeight="1">
      <x:c r="A1089" s="75" t="str">
        <x:v>summer-S26-0502</x:v>
      </x:c>
      <x:c r="B1089" s="75" t="str">
        <x:v>Andrea Oliveri</x:v>
      </x:c>
      <x:c r="C1089" s="75" t="str">
        <x:v>Ascoli</x:v>
      </x:c>
      <x:c r="D1089" s="75" t="str">
        <x:v>Atalanta</x:v>
      </x:c>
      <x:c r="E1089" s="77" t="d">
        <x:v>2026-07-22T00:00:00.000Z</x:v>
      </x:c>
      <x:c r="F1089" s="75" t="str">
        <x:v>summer</x:v>
      </x:c>
      <x:c r="G1089" s="75" t="str">
        <x:v>Midfielder — source label</x:v>
      </x:c>
      <x:c r="H1089" s="79"/>
      <x:c r="I1089" s="75" t="str">
        <x:v>GBP</x:v>
      </x:c>
      <x:c r="J1089" s="81"/>
      <x:c r="K1089" s="83"/>
      <x:c r="L1089" s="75" t="str">
        <x:v>Evidence needed</x:v>
      </x:c>
      <x:c r="M1089" s="75" t="str">
        <x:v>Buyer-specific role, production, availability, signing age and total fee evidence are needed before assigning a deal-value score. Loan/swap costs must be treated separately.</x:v>
      </x:c>
      <x:c r="N1089" s="75" t="str">
        <x:v>Not assessed</x:v>
      </x:c>
      <x:c r="O1089" s="75" t="str">
        <x:v>Source broad position and transfer quote only; detailed role and buyer-specific production not validated.</x:v>
      </x:c>
      <x:c r="P1089" s="75" t="str">
        <x:v>https://www.theguardian.com/football/ng-interactive/2026/sep/01/mens-transfer-window-summer-2026-all-deals-from-europes-top-five-leagues</x:v>
      </x:c>
    </x:row>
    <x:row r="1090" ht="25" customHeight="1">
      <x:c r="A1090" s="69" t="str">
        <x:v>summer-S26-0505</x:v>
      </x:c>
      <x:c r="B1090" s="69" t="str">
        <x:v>Demi Akarakiri</x:v>
      </x:c>
      <x:c r="C1090" s="69" t="str">
        <x:v>Cagliari</x:v>
      </x:c>
      <x:c r="D1090" s="69" t="str">
        <x:v>Everton</x:v>
      </x:c>
      <x:c r="E1090" s="76" t="d">
        <x:v>2026-07-04T00:00:00.000Z</x:v>
      </x:c>
      <x:c r="F1090" s="69" t="str">
        <x:v>summer</x:v>
      </x:c>
      <x:c r="G1090" s="69" t="str">
        <x:v>Midfielder — source label</x:v>
      </x:c>
      <x:c r="H1090" s="78"/>
      <x:c r="I1090" s="69" t="str">
        <x:v>GBP</x:v>
      </x:c>
      <x:c r="J1090" s="80"/>
      <x:c r="K1090" s="82"/>
      <x:c r="L1090" s="69" t="str">
        <x:v>Evidence needed</x:v>
      </x:c>
      <x:c r="M1090" s="69" t="str">
        <x:v>Buyer-specific role, production, availability, signing age and total fee evidence are needed before assigning a deal-value score. A zero base fee does not represent wages or signing costs.</x:v>
      </x:c>
      <x:c r="N1090" s="69" t="str">
        <x:v>Not assessed</x:v>
      </x:c>
      <x:c r="O1090" s="69" t="str">
        <x:v>Source broad position and transfer quote only; detailed role and buyer-specific production not validated.</x:v>
      </x:c>
      <x:c r="P1090" s="69" t="str">
        <x:v>https://www.theguardian.com/football/ng-interactive/2026/sep/01/mens-transfer-window-summer-2026-all-deals-from-europes-top-five-leagues</x:v>
      </x:c>
    </x:row>
    <x:row r="1091" ht="25" customHeight="1">
      <x:c r="A1091" s="75" t="str">
        <x:v>summer-S26-0506</x:v>
      </x:c>
      <x:c r="B1091" s="75" t="str">
        <x:v>Giuseppe Mazzaglia</x:v>
      </x:c>
      <x:c r="C1091" s="75" t="str">
        <x:v>Caratese</x:v>
      </x:c>
      <x:c r="D1091" s="75" t="str">
        <x:v>Como 1907</x:v>
      </x:c>
      <x:c r="E1091" s="77" t="d">
        <x:v>2026-07-08T00:00:00.000Z</x:v>
      </x:c>
      <x:c r="F1091" s="75" t="str">
        <x:v>summer</x:v>
      </x:c>
      <x:c r="G1091" s="75" t="str">
        <x:v>Midfielder — source label</x:v>
      </x:c>
      <x:c r="H1091" s="79"/>
      <x:c r="I1091" s="75" t="str">
        <x:v>GBP</x:v>
      </x:c>
      <x:c r="J1091" s="81"/>
      <x:c r="K1091" s="83"/>
      <x:c r="L1091" s="75" t="str">
        <x:v>Evidence needed</x:v>
      </x:c>
      <x:c r="M1091" s="75" t="str">
        <x:v>Buyer-specific role, production, availability, signing age and total fee evidence are needed before assigning a deal-value score.</x:v>
      </x:c>
      <x:c r="N1091" s="75" t="str">
        <x:v>Not assessed</x:v>
      </x:c>
      <x:c r="O1091" s="75" t="str">
        <x:v>Source broad position and transfer quote only; detailed role and buyer-specific production not validated.</x:v>
      </x:c>
      <x:c r="P1091" s="75" t="str">
        <x:v>https://www.theguardian.com/football/ng-interactive/2026/sep/01/mens-transfer-window-summer-2026-all-deals-from-europes-top-five-leagues</x:v>
      </x:c>
    </x:row>
    <x:row r="1092" ht="25" customHeight="1">
      <x:c r="A1092" s="69" t="str">
        <x:v>summer-S26-0507</x:v>
      </x:c>
      <x:c r="B1092" s="69" t="str">
        <x:v>Álex Jiménez</x:v>
      </x:c>
      <x:c r="C1092" s="69" t="str">
        <x:v>Fiorentina</x:v>
      </x:c>
      <x:c r="D1092" s="69" t="str">
        <x:v>Bournemouth</x:v>
      </x:c>
      <x:c r="E1092" s="76" t="d">
        <x:v>2026-07-16T00:00:00.000Z</x:v>
      </x:c>
      <x:c r="F1092" s="69" t="str">
        <x:v>summer</x:v>
      </x:c>
      <x:c r="G1092" s="69" t="str">
        <x:v>Defender — source label</x:v>
      </x:c>
      <x:c r="H1092" s="78"/>
      <x:c r="I1092" s="69" t="str">
        <x:v>GBP</x:v>
      </x:c>
      <x:c r="J1092" s="80"/>
      <x:c r="K1092" s="82"/>
      <x:c r="L1092" s="69" t="str">
        <x:v>Evidence needed</x:v>
      </x:c>
      <x:c r="M1092" s="69" t="str">
        <x:v>Buyer-specific role, production, availability, signing age and total fee evidence are needed before assigning a deal-value score. Loan/swap costs must be treated separately.</x:v>
      </x:c>
      <x:c r="N1092" s="69" t="str">
        <x:v>Not assessed</x:v>
      </x:c>
      <x:c r="O1092" s="69" t="str">
        <x:v>Source broad position and transfer quote only; detailed role and buyer-specific production not validated.</x:v>
      </x:c>
      <x:c r="P1092" s="69" t="str">
        <x:v>https://www.theguardian.com/football/ng-interactive/2026/sep/01/mens-transfer-window-summer-2026-all-deals-from-europes-top-five-leagues</x:v>
      </x:c>
    </x:row>
    <x:row r="1093" ht="25" customHeight="1">
      <x:c r="A1093" s="75" t="str">
        <x:v>summer-S26-0509</x:v>
      </x:c>
      <x:c r="B1093" s="75" t="str">
        <x:v>Wisdom Amey</x:v>
      </x:c>
      <x:c r="C1093" s="75" t="str">
        <x:v>Frosinone</x:v>
      </x:c>
      <x:c r="D1093" s="75" t="str">
        <x:v>Bologna</x:v>
      </x:c>
      <x:c r="E1093" s="77" t="d">
        <x:v>2026-07-07T00:00:00.000Z</x:v>
      </x:c>
      <x:c r="F1093" s="75" t="str">
        <x:v>summer</x:v>
      </x:c>
      <x:c r="G1093" s="75" t="str">
        <x:v>Defender — source label</x:v>
      </x:c>
      <x:c r="H1093" s="79"/>
      <x:c r="I1093" s="75" t="str">
        <x:v>GBP</x:v>
      </x:c>
      <x:c r="J1093" s="81"/>
      <x:c r="K1093" s="83"/>
      <x:c r="L1093" s="75" t="str">
        <x:v>Evidence needed</x:v>
      </x:c>
      <x:c r="M1093" s="75" t="str">
        <x:v>Buyer-specific role, production, availability, signing age and total fee evidence are needed before assigning a deal-value score. Loan/swap costs must be treated separately.</x:v>
      </x:c>
      <x:c r="N1093" s="75" t="str">
        <x:v>Not assessed</x:v>
      </x:c>
      <x:c r="O1093" s="75" t="str">
        <x:v>Source broad position and transfer quote only; detailed role and buyer-specific production not validated.</x:v>
      </x:c>
      <x:c r="P1093" s="75" t="str">
        <x:v>https://www.theguardian.com/football/ng-interactive/2026/sep/01/mens-transfer-window-summer-2026-all-deals-from-europes-top-five-leagues</x:v>
      </x:c>
    </x:row>
    <x:row r="1094" ht="25" customHeight="1">
      <x:c r="A1094" s="69" t="str">
        <x:v>summer-S26-0510</x:v>
      </x:c>
      <x:c r="B1094" s="69" t="str">
        <x:v>Riccardo Marchizza</x:v>
      </x:c>
      <x:c r="C1094" s="69" t="str">
        <x:v>Vicenza</x:v>
      </x:c>
      <x:c r="D1094" s="69" t="str">
        <x:v>Frosinone</x:v>
      </x:c>
      <x:c r="E1094" s="76" t="d">
        <x:v>2026-07-08T00:00:00.000Z</x:v>
      </x:c>
      <x:c r="F1094" s="69" t="str">
        <x:v>summer</x:v>
      </x:c>
      <x:c r="G1094" s="69" t="str">
        <x:v>Defender — source label</x:v>
      </x:c>
      <x:c r="H1094" s="78"/>
      <x:c r="I1094" s="69" t="str">
        <x:v>GBP</x:v>
      </x:c>
      <x:c r="J1094" s="80"/>
      <x:c r="K1094" s="82"/>
      <x:c r="L1094" s="69" t="str">
        <x:v>Evidence needed</x:v>
      </x:c>
      <x:c r="M1094" s="69" t="str">
        <x:v>Buyer-specific role, production, availability, signing age and total fee evidence are needed before assigning a deal-value score. A zero base fee does not represent wages or signing costs.</x:v>
      </x:c>
      <x:c r="N1094" s="69" t="str">
        <x:v>Not assessed</x:v>
      </x:c>
      <x:c r="O1094" s="69" t="str">
        <x:v>Source broad position and transfer quote only; detailed role and buyer-specific production not validated.</x:v>
      </x:c>
      <x:c r="P1094" s="69" t="str">
        <x:v>https://www.theguardian.com/football/ng-interactive/2026/sep/01/mens-transfer-window-summer-2026-all-deals-from-europes-top-five-leagues</x:v>
      </x:c>
    </x:row>
    <x:row r="1095" ht="25" customHeight="1">
      <x:c r="A1095" s="75" t="str">
        <x:v>summer-S26-0511</x:v>
      </x:c>
      <x:c r="B1095" s="75" t="str">
        <x:v>Abdoulie Ndow</x:v>
      </x:c>
      <x:c r="C1095" s="75" t="str">
        <x:v>Spezia</x:v>
      </x:c>
      <x:c r="D1095" s="75" t="str">
        <x:v>Frosinone</x:v>
      </x:c>
      <x:c r="E1095" s="77" t="d">
        <x:v>2026-07-12T00:00:00.000Z</x:v>
      </x:c>
      <x:c r="F1095" s="75" t="str">
        <x:v>summer</x:v>
      </x:c>
      <x:c r="G1095" s="75" t="str">
        <x:v>Midfielder — source label</x:v>
      </x:c>
      <x:c r="H1095" s="79"/>
      <x:c r="I1095" s="75" t="str">
        <x:v>GBP</x:v>
      </x:c>
      <x:c r="J1095" s="81"/>
      <x:c r="K1095" s="83"/>
      <x:c r="L1095" s="75" t="str">
        <x:v>Evidence needed</x:v>
      </x:c>
      <x:c r="M1095" s="75" t="str">
        <x:v>Buyer-specific role, production, availability, signing age and total fee evidence are needed before assigning a deal-value score.</x:v>
      </x:c>
      <x:c r="N1095" s="75" t="str">
        <x:v>Not assessed</x:v>
      </x:c>
      <x:c r="O1095" s="75" t="str">
        <x:v>Source broad position and transfer quote only; detailed role and buyer-specific production not validated.</x:v>
      </x:c>
      <x:c r="P1095" s="75" t="str">
        <x:v>https://www.theguardian.com/football/ng-interactive/2026/sep/01/mens-transfer-window-summer-2026-all-deals-from-europes-top-five-leagues</x:v>
      </x:c>
    </x:row>
    <x:row r="1096" ht="25" customHeight="1">
      <x:c r="A1096" s="69" t="str">
        <x:v>summer-S26-0513</x:v>
      </x:c>
      <x:c r="B1096" s="69" t="str">
        <x:v>Samuele Capolupo</x:v>
      </x:c>
      <x:c r="C1096" s="69" t="str">
        <x:v>Spezia</x:v>
      </x:c>
      <x:c r="D1096" s="69" t="str">
        <x:v>Monza</x:v>
      </x:c>
      <x:c r="E1096" s="76" t="d">
        <x:v>2026-07-14T00:00:00.000Z</x:v>
      </x:c>
      <x:c r="F1096" s="69" t="str">
        <x:v>summer</x:v>
      </x:c>
      <x:c r="G1096" s="69" t="str">
        <x:v>Defender — source label</x:v>
      </x:c>
      <x:c r="H1096" s="78"/>
      <x:c r="I1096" s="69" t="str">
        <x:v>GBP</x:v>
      </x:c>
      <x:c r="J1096" s="80"/>
      <x:c r="K1096" s="82"/>
      <x:c r="L1096" s="69" t="str">
        <x:v>Evidence needed</x:v>
      </x:c>
      <x:c r="M1096" s="69" t="str">
        <x:v>Buyer-specific role, production, availability, signing age and total fee evidence are needed before assigning a deal-value score. Loan/swap costs must be treated separately.</x:v>
      </x:c>
      <x:c r="N1096" s="69" t="str">
        <x:v>Not assessed</x:v>
      </x:c>
      <x:c r="O1096" s="69" t="str">
        <x:v>Source broad position and transfer quote only; detailed role and buyer-specific production not validated.</x:v>
      </x:c>
      <x:c r="P1096" s="69" t="str">
        <x:v>https://www.theguardian.com/football/ng-interactive/2026/sep/01/mens-transfer-window-summer-2026-all-deals-from-europes-top-five-leagues</x:v>
      </x:c>
    </x:row>
    <x:row r="1097" ht="25" customHeight="1">
      <x:c r="A1097" s="75" t="str">
        <x:v>summer-S26-0514</x:v>
      </x:c>
      <x:c r="B1097" s="75" t="str">
        <x:v>Giovanni Di Renzo</x:v>
      </x:c>
      <x:c r="C1097" s="75" t="str">
        <x:v>Pineto</x:v>
      </x:c>
      <x:c r="D1097" s="75" t="str">
        <x:v>Venezia</x:v>
      </x:c>
      <x:c r="E1097" s="77" t="d">
        <x:v>2026-07-21T00:00:00.000Z</x:v>
      </x:c>
      <x:c r="F1097" s="75" t="str">
        <x:v>summer</x:v>
      </x:c>
      <x:c r="G1097" s="75" t="str">
        <x:v>Defender — source label</x:v>
      </x:c>
      <x:c r="H1097" s="79"/>
      <x:c r="I1097" s="75" t="str">
        <x:v>GBP</x:v>
      </x:c>
      <x:c r="J1097" s="81"/>
      <x:c r="K1097" s="83"/>
      <x:c r="L1097" s="75" t="str">
        <x:v>Evidence needed</x:v>
      </x:c>
      <x:c r="M1097" s="75" t="str">
        <x:v>Buyer-specific role, production, availability, signing age and total fee evidence are needed before assigning a deal-value score.</x:v>
      </x:c>
      <x:c r="N1097" s="75" t="str">
        <x:v>Not assessed</x:v>
      </x:c>
      <x:c r="O1097" s="75" t="str">
        <x:v>Source broad position and transfer quote only; detailed role and buyer-specific production not validated.</x:v>
      </x:c>
      <x:c r="P1097" s="75" t="str">
        <x:v>https://www.theguardian.com/football/ng-interactive/2026/sep/01/mens-transfer-window-summer-2026-all-deals-from-europes-top-five-leagues</x:v>
      </x:c>
    </x:row>
    <x:row r="1098" ht="25" customHeight="1">
      <x:c r="A1098" s="69" t="str">
        <x:v>summer-S26-0519</x:v>
      </x:c>
      <x:c r="B1098" s="69" t="str">
        <x:v>Filip Bilbija</x:v>
      </x:c>
      <x:c r="C1098" s="69" t="str">
        <x:v>Derby County</x:v>
      </x:c>
      <x:c r="D1098" s="69" t="str">
        <x:v>Paderborn</x:v>
      </x:c>
      <x:c r="E1098" s="76" t="d">
        <x:v>2026-07-22T00:00:00.000Z</x:v>
      </x:c>
      <x:c r="F1098" s="69" t="str">
        <x:v>summer</x:v>
      </x:c>
      <x:c r="G1098" s="69" t="str">
        <x:v>Midfielder — source label</x:v>
      </x:c>
      <x:c r="H1098" s="78"/>
      <x:c r="I1098" s="69" t="str">
        <x:v>GBP</x:v>
      </x:c>
      <x:c r="J1098" s="80"/>
      <x:c r="K1098" s="82"/>
      <x:c r="L1098" s="69" t="str">
        <x:v>Evidence needed</x:v>
      </x:c>
      <x:c r="M1098" s="69" t="str">
        <x:v>Buyer-specific role, production, availability, signing age and total fee evidence are needed before assigning a deal-value score. A zero base fee does not represent wages or signing costs.</x:v>
      </x:c>
      <x:c r="N1098" s="69" t="str">
        <x:v>Not assessed</x:v>
      </x:c>
      <x:c r="O1098" s="69" t="str">
        <x:v>Source broad position and transfer quote only; detailed role and buyer-specific production not validated.</x:v>
      </x:c>
      <x:c r="P1098" s="69" t="str">
        <x:v>https://www.theguardian.com/football/ng-interactive/2026/sep/01/mens-transfer-window-summer-2026-all-deals-from-europes-top-five-leagues</x:v>
      </x:c>
    </x:row>
    <x:row r="1099" ht="25" customHeight="1">
      <x:c r="A1099" s="75" t="str">
        <x:v>summer-S26-0521</x:v>
      </x:c>
      <x:c r="B1099" s="75" t="str">
        <x:v>Bernardo Conde</x:v>
      </x:c>
      <x:c r="C1099" s="75" t="str">
        <x:v>AVS</x:v>
      </x:c>
      <x:c r="D1099" s="75" t="str">
        <x:v>Parma</x:v>
      </x:c>
      <x:c r="E1099" s="77" t="d">
        <x:v>2026-07-22T00:00:00.000Z</x:v>
      </x:c>
      <x:c r="F1099" s="75" t="str">
        <x:v>summer</x:v>
      </x:c>
      <x:c r="G1099" s="75" t="str">
        <x:v>Defender — source label</x:v>
      </x:c>
      <x:c r="H1099" s="79"/>
      <x:c r="I1099" s="75" t="str">
        <x:v>GBP</x:v>
      </x:c>
      <x:c r="J1099" s="81"/>
      <x:c r="K1099" s="83"/>
      <x:c r="L1099" s="75" t="str">
        <x:v>Evidence needed</x:v>
      </x:c>
      <x:c r="M1099" s="75" t="str">
        <x:v>Buyer-specific role, production, availability, signing age and total fee evidence are needed before assigning a deal-value score.</x:v>
      </x:c>
      <x:c r="N1099" s="75" t="str">
        <x:v>Not assessed</x:v>
      </x:c>
      <x:c r="O1099" s="75" t="str">
        <x:v>Source broad position and transfer quote only; detailed role and buyer-specific production not validated.</x:v>
      </x:c>
      <x:c r="P1099" s="75" t="str">
        <x:v>https://www.theguardian.com/football/ng-interactive/2026/sep/01/mens-transfer-window-summer-2026-all-deals-from-europes-top-five-leagues</x:v>
      </x:c>
    </x:row>
    <x:row r="1100" ht="25" customHeight="1">
      <x:c r="A1100" s="69" t="str">
        <x:v>summer-S26-0522</x:v>
      </x:c>
      <x:c r="B1100" s="69" t="str">
        <x:v>Matteo Cocchi</x:v>
      </x:c>
      <x:c r="C1100" s="69" t="str">
        <x:v>Padova</x:v>
      </x:c>
      <x:c r="D1100" s="69" t="str">
        <x:v>Inter</x:v>
      </x:c>
      <x:c r="E1100" s="76" t="d">
        <x:v>2026-07-22T00:00:00.000Z</x:v>
      </x:c>
      <x:c r="F1100" s="69" t="str">
        <x:v>summer</x:v>
      </x:c>
      <x:c r="G1100" s="69" t="str">
        <x:v>Defender — source label</x:v>
      </x:c>
      <x:c r="H1100" s="78"/>
      <x:c r="I1100" s="69" t="str">
        <x:v>GBP</x:v>
      </x:c>
      <x:c r="J1100" s="80"/>
      <x:c r="K1100" s="82"/>
      <x:c r="L1100" s="69" t="str">
        <x:v>Evidence needed</x:v>
      </x:c>
      <x:c r="M1100" s="69" t="str">
        <x:v>Buyer-specific role, production, availability, signing age and total fee evidence are needed before assigning a deal-value score. Loan/swap costs must be treated separately.</x:v>
      </x:c>
      <x:c r="N1100" s="69" t="str">
        <x:v>Not assessed</x:v>
      </x:c>
      <x:c r="O1100" s="69" t="str">
        <x:v>Source broad position and transfer quote only; detailed role and buyer-specific production not validated.</x:v>
      </x:c>
      <x:c r="P1100" s="69" t="str">
        <x:v>https://www.theguardian.com/football/ng-interactive/2026/sep/01/mens-transfer-window-summer-2026-all-deals-from-europes-top-five-leagues</x:v>
      </x:c>
    </x:row>
    <x:row r="1101" ht="25" customHeight="1">
      <x:c r="A1101" s="75" t="str">
        <x:v>summer-S26-0524</x:v>
      </x:c>
      <x:c r="B1101" s="75" t="str">
        <x:v>Paul Nardi</x:v>
      </x:c>
      <x:c r="C1101" s="75" t="str">
        <x:v>Auxerre</x:v>
      </x:c>
      <x:c r="D1101" s="75" t="str">
        <x:v>QPR</x:v>
      </x:c>
      <x:c r="E1101" s="77" t="d">
        <x:v>2026-07-22T00:00:00.000Z</x:v>
      </x:c>
      <x:c r="F1101" s="75" t="str">
        <x:v>summer</x:v>
      </x:c>
      <x:c r="G1101" s="75" t="str">
        <x:v>Goalkeeper — source label</x:v>
      </x:c>
      <x:c r="H1101" s="79"/>
      <x:c r="I1101" s="75" t="str">
        <x:v>GBP</x:v>
      </x:c>
      <x:c r="J1101" s="81"/>
      <x:c r="K1101" s="83"/>
      <x:c r="L1101" s="75" t="str">
        <x:v>Evidence needed</x:v>
      </x:c>
      <x:c r="M1101" s="75" t="str">
        <x:v>Buyer-specific shot-stopping, distribution, aerial command, sweeping, signing age and total fee evidence are needed before scoring. A zero base fee does not represent wages or signing costs.</x:v>
      </x:c>
      <x:c r="N1101" s="75" t="str">
        <x:v>Not assessed</x:v>
      </x:c>
      <x:c r="O1101" s="75" t="str">
        <x:v>Source broad position and transfer quote only; detailed role and buyer-specific production not validated.</x:v>
      </x:c>
      <x:c r="P1101" s="75" t="str">
        <x:v>https://www.theguardian.com/football/ng-interactive/2026/sep/01/mens-transfer-window-summer-2026-all-deals-from-europes-top-five-leagues</x:v>
      </x:c>
    </x:row>
    <x:row r="1102" ht="25" customHeight="1">
      <x:c r="A1102" s="69" t="str">
        <x:v>summer-S26-0525</x:v>
      </x:c>
      <x:c r="B1102" s="69" t="str">
        <x:v>Marcelo Vaz</x:v>
      </x:c>
      <x:c r="C1102" s="69" t="str">
        <x:v>Genoa</x:v>
      </x:c>
      <x:c r="D1102" s="69" t="str">
        <x:v>Varesina</x:v>
      </x:c>
      <x:c r="E1102" s="76" t="d">
        <x:v>2026-06-13T00:00:00.000Z</x:v>
      </x:c>
      <x:c r="F1102" s="69" t="str">
        <x:v>summer</x:v>
      </x:c>
      <x:c r="G1102" s="69" t="str">
        <x:v>Defender — source label</x:v>
      </x:c>
      <x:c r="H1102" s="78"/>
      <x:c r="I1102" s="69" t="str">
        <x:v>GBP</x:v>
      </x:c>
      <x:c r="J1102" s="80"/>
      <x:c r="K1102" s="82"/>
      <x:c r="L1102" s="69" t="str">
        <x:v>Evidence needed</x:v>
      </x:c>
      <x:c r="M1102" s="69" t="str">
        <x:v>Buyer-specific role, production, availability, signing age and total fee evidence are needed before assigning a deal-value score.</x:v>
      </x:c>
      <x:c r="N1102" s="69" t="str">
        <x:v>Not assessed</x:v>
      </x:c>
      <x:c r="O1102" s="69" t="str">
        <x:v>Source broad position and transfer quote only; detailed role and buyer-specific production not validated.</x:v>
      </x:c>
      <x:c r="P1102" s="69" t="str">
        <x:v>https://www.theguardian.com/football/ng-interactive/2026/sep/01/mens-transfer-window-summer-2026-all-deals-from-europes-top-five-leagues</x:v>
      </x:c>
    </x:row>
    <x:row r="1103" ht="25" customHeight="1">
      <x:c r="A1103" s="75" t="str">
        <x:v>summer-S26-0526</x:v>
      </x:c>
      <x:c r="B1103" s="75" t="str">
        <x:v>Matt Targett</x:v>
      </x:c>
      <x:c r="C1103" s="75" t="str">
        <x:v>Hull City</x:v>
      </x:c>
      <x:c r="D1103" s="75" t="str">
        <x:v>Newcastle United</x:v>
      </x:c>
      <x:c r="E1103" s="77" t="d">
        <x:v>2026-07-23T00:00:00.000Z</x:v>
      </x:c>
      <x:c r="F1103" s="75" t="str">
        <x:v>summer</x:v>
      </x:c>
      <x:c r="G1103" s="75" t="str">
        <x:v>Defender — source label</x:v>
      </x:c>
      <x:c r="H1103" s="79"/>
      <x:c r="I1103" s="75" t="str">
        <x:v>GBP</x:v>
      </x:c>
      <x:c r="J1103" s="81"/>
      <x:c r="K1103" s="83"/>
      <x:c r="L1103" s="75" t="str">
        <x:v>Evidence needed</x:v>
      </x:c>
      <x:c r="M1103" s="75" t="str">
        <x:v>Buyer-specific role, production, availability, signing age and total fee evidence are needed before assigning a deal-value score. A zero base fee does not represent wages or signing costs.</x:v>
      </x:c>
      <x:c r="N1103" s="75" t="str">
        <x:v>Not assessed</x:v>
      </x:c>
      <x:c r="O1103" s="75" t="str">
        <x:v>Source broad position and transfer quote only; detailed role and buyer-specific production not validated.</x:v>
      </x:c>
      <x:c r="P1103" s="75" t="str">
        <x:v>https://www.theguardian.com/football/ng-interactive/2026/sep/01/mens-transfer-window-summer-2026-all-deals-from-europes-top-five-leagues</x:v>
      </x:c>
    </x:row>
    <x:row r="1104" ht="25" customHeight="1">
      <x:c r="A1104" s="69" t="str">
        <x:v>summer-S26-0527</x:v>
      </x:c>
      <x:c r="B1104" s="69" t="str">
        <x:v>Mikayil Faye</x:v>
      </x:c>
      <x:c r="C1104" s="69" t="str">
        <x:v>Nuremberg</x:v>
      </x:c>
      <x:c r="D1104" s="69" t="str">
        <x:v>Rennes</x:v>
      </x:c>
      <x:c r="E1104" s="76" t="d">
        <x:v>2026-07-23T00:00:00.000Z</x:v>
      </x:c>
      <x:c r="F1104" s="69" t="str">
        <x:v>summer</x:v>
      </x:c>
      <x:c r="G1104" s="69" t="str">
        <x:v>Defender — source label</x:v>
      </x:c>
      <x:c r="H1104" s="78"/>
      <x:c r="I1104" s="69" t="str">
        <x:v>GBP</x:v>
      </x:c>
      <x:c r="J1104" s="80"/>
      <x:c r="K1104" s="82"/>
      <x:c r="L1104" s="69" t="str">
        <x:v>Evidence needed</x:v>
      </x:c>
      <x:c r="M1104" s="69" t="str">
        <x:v>Buyer-specific role, production, availability, signing age and total fee evidence are needed before assigning a deal-value score. Loan/swap costs must be treated separately.</x:v>
      </x:c>
      <x:c r="N1104" s="69" t="str">
        <x:v>Not assessed</x:v>
      </x:c>
      <x:c r="O1104" s="69" t="str">
        <x:v>Source broad position and transfer quote only; detailed role and buyer-specific production not validated.</x:v>
      </x:c>
      <x:c r="P1104" s="69" t="str">
        <x:v>https://www.theguardian.com/football/ng-interactive/2026/sep/01/mens-transfer-window-summer-2026-all-deals-from-europes-top-five-leagues</x:v>
      </x:c>
    </x:row>
    <x:row r="1105" ht="25" customHeight="1">
      <x:c r="A1105" s="75" t="str">
        <x:v>summer-S26-0530</x:v>
      </x:c>
      <x:c r="B1105" s="75" t="str">
        <x:v>Ander Astralaga</x:v>
      </x:c>
      <x:c r="C1105" s="75" t="str">
        <x:v>Atlético Madrid</x:v>
      </x:c>
      <x:c r="D1105" s="75" t="str">
        <x:v>Barcelona</x:v>
      </x:c>
      <x:c r="E1105" s="77" t="d">
        <x:v>2026-07-23T00:00:00.000Z</x:v>
      </x:c>
      <x:c r="F1105" s="75" t="str">
        <x:v>summer</x:v>
      </x:c>
      <x:c r="G1105" s="75" t="str">
        <x:v>Goalkeeper — source label</x:v>
      </x:c>
      <x:c r="H1105" s="79"/>
      <x:c r="I1105" s="75" t="str">
        <x:v>GBP</x:v>
      </x:c>
      <x:c r="J1105" s="81"/>
      <x:c r="K1105" s="83"/>
      <x:c r="L1105" s="75" t="str">
        <x:v>Evidence needed</x:v>
      </x:c>
      <x:c r="M1105" s="75" t="str">
        <x:v>Buyer-specific shot-stopping, distribution, aerial command, sweeping, signing age and total fee evidence are needed before scoring. A zero base fee does not represent wages or signing costs.</x:v>
      </x:c>
      <x:c r="N1105" s="75" t="str">
        <x:v>Not assessed</x:v>
      </x:c>
      <x:c r="O1105" s="75" t="str">
        <x:v>Source broad position and transfer quote only; detailed role and buyer-specific production not validated.</x:v>
      </x:c>
      <x:c r="P1105" s="75" t="str">
        <x:v>https://www.theguardian.com/football/ng-interactive/2026/sep/01/mens-transfer-window-summer-2026-all-deals-from-europes-top-five-leagues</x:v>
      </x:c>
    </x:row>
    <x:row r="1106" ht="25" customHeight="1">
      <x:c r="A1106" s="69" t="str">
        <x:v>summer-S26-0531</x:v>
      </x:c>
      <x:c r="B1106" s="69" t="str">
        <x:v>Armin Pecsi</x:v>
      </x:c>
      <x:c r="C1106" s="69" t="str">
        <x:v>TSV Hartberg</x:v>
      </x:c>
      <x:c r="D1106" s="69" t="str">
        <x:v>Liverpool</x:v>
      </x:c>
      <x:c r="E1106" s="76" t="d">
        <x:v>2026-07-23T00:00:00.000Z</x:v>
      </x:c>
      <x:c r="F1106" s="69" t="str">
        <x:v>summer</x:v>
      </x:c>
      <x:c r="G1106" s="69" t="str">
        <x:v>Goalkeeper — source label</x:v>
      </x:c>
      <x:c r="H1106" s="78"/>
      <x:c r="I1106" s="69" t="str">
        <x:v>GBP</x:v>
      </x:c>
      <x:c r="J1106" s="80"/>
      <x:c r="K1106" s="82"/>
      <x:c r="L1106" s="69" t="str">
        <x:v>Evidence needed</x:v>
      </x:c>
      <x:c r="M1106" s="69" t="str">
        <x:v>Buyer-specific shot-stopping, distribution, aerial command, sweeping, signing age and total fee evidence are needed before scoring. Loan/swap costs must be treated separately.</x:v>
      </x:c>
      <x:c r="N1106" s="69" t="str">
        <x:v>Not assessed</x:v>
      </x:c>
      <x:c r="O1106" s="69" t="str">
        <x:v>Source broad position and transfer quote only; detailed role and buyer-specific production not validated.</x:v>
      </x:c>
      <x:c r="P1106" s="69" t="str">
        <x:v>https://www.theguardian.com/football/ng-interactive/2026/sep/01/mens-transfer-window-summer-2026-all-deals-from-europes-top-five-leagues</x:v>
      </x:c>
    </x:row>
    <x:row r="1107" ht="25" customHeight="1">
      <x:c r="A1107" s="75" t="str">
        <x:v>summer-S26-0532</x:v>
      </x:c>
      <x:c r="B1107" s="75" t="str">
        <x:v>Filippo Rinaldi</x:v>
      </x:c>
      <x:c r="C1107" s="75" t="str">
        <x:v>Catania</x:v>
      </x:c>
      <x:c r="D1107" s="75" t="str">
        <x:v>Parma</x:v>
      </x:c>
      <x:c r="E1107" s="77" t="d">
        <x:v>2026-07-23T00:00:00.000Z</x:v>
      </x:c>
      <x:c r="F1107" s="75" t="str">
        <x:v>summer</x:v>
      </x:c>
      <x:c r="G1107" s="75" t="str">
        <x:v>Goalkeeper — source label</x:v>
      </x:c>
      <x:c r="H1107" s="79"/>
      <x:c r="I1107" s="75" t="str">
        <x:v>GBP</x:v>
      </x:c>
      <x:c r="J1107" s="81"/>
      <x:c r="K1107" s="83"/>
      <x:c r="L1107" s="75" t="str">
        <x:v>Evidence needed</x:v>
      </x:c>
      <x:c r="M1107" s="75" t="str">
        <x:v>Buyer-specific shot-stopping, distribution, aerial command, sweeping, signing age and total fee evidence are needed before scoring. Loan/swap costs must be treated separately.</x:v>
      </x:c>
      <x:c r="N1107" s="75" t="str">
        <x:v>Not assessed</x:v>
      </x:c>
      <x:c r="O1107" s="75" t="str">
        <x:v>Source broad position and transfer quote only; detailed role and buyer-specific production not validated.</x:v>
      </x:c>
      <x:c r="P1107" s="75" t="str">
        <x:v>https://www.theguardian.com/football/ng-interactive/2026/sep/01/mens-transfer-window-summer-2026-all-deals-from-europes-top-five-leagues</x:v>
      </x:c>
    </x:row>
    <x:row r="1108" ht="25" customHeight="1">
      <x:c r="A1108" s="69" t="str">
        <x:v>summer-S26-0534</x:v>
      </x:c>
      <x:c r="B1108" s="69" t="str">
        <x:v>Xaver Schlager</x:v>
      </x:c>
      <x:c r="C1108" s="69" t="str">
        <x:v>Nottingham Forest</x:v>
      </x:c>
      <x:c r="D1108" s="69" t="str">
        <x:v>RB Leipzig</x:v>
      </x:c>
      <x:c r="E1108" s="76" t="d">
        <x:v>2026-07-23T00:00:00.000Z</x:v>
      </x:c>
      <x:c r="F1108" s="69" t="str">
        <x:v>summer</x:v>
      </x:c>
      <x:c r="G1108" s="69" t="str">
        <x:v>Midfielder — source label</x:v>
      </x:c>
      <x:c r="H1108" s="78"/>
      <x:c r="I1108" s="69" t="str">
        <x:v>GBP</x:v>
      </x:c>
      <x:c r="J1108" s="80"/>
      <x:c r="K1108" s="82"/>
      <x:c r="L1108" s="69" t="str">
        <x:v>Evidence needed</x:v>
      </x:c>
      <x:c r="M1108" s="69" t="str">
        <x:v>Buyer-specific role, production, availability, signing age and total fee evidence are needed before assigning a deal-value score. A zero base fee does not represent wages or signing costs.</x:v>
      </x:c>
      <x:c r="N1108" s="69" t="str">
        <x:v>Not assessed</x:v>
      </x:c>
      <x:c r="O1108" s="69" t="str">
        <x:v>Source broad position and transfer quote only; detailed role and buyer-specific production not validated.</x:v>
      </x:c>
      <x:c r="P1108" s="69" t="str">
        <x:v>https://www.theguardian.com/football/ng-interactive/2026/sep/01/mens-transfer-window-summer-2026-all-deals-from-europes-top-five-leagues</x:v>
      </x:c>
    </x:row>
    <x:row r="1109" ht="25" customHeight="1">
      <x:c r="A1109" s="75" t="str">
        <x:v>summer-S26-0536</x:v>
      </x:c>
      <x:c r="B1109" s="75" t="str">
        <x:v>Harrison Bettoni</x:v>
      </x:c>
      <x:c r="C1109" s="75" t="str">
        <x:v>Chelsea</x:v>
      </x:c>
      <x:c r="D1109" s="75" t="str">
        <x:v>Wigan Athletic</x:v>
      </x:c>
      <x:c r="E1109" s="77" t="d">
        <x:v>2026-07-23T00:00:00.000Z</x:v>
      </x:c>
      <x:c r="F1109" s="75" t="str">
        <x:v>summer</x:v>
      </x:c>
      <x:c r="G1109" s="75" t="str">
        <x:v>Midfielder — source label</x:v>
      </x:c>
      <x:c r="H1109" s="79"/>
      <x:c r="I1109" s="75" t="str">
        <x:v>GBP</x:v>
      </x:c>
      <x:c r="J1109" s="81"/>
      <x:c r="K1109" s="83"/>
      <x:c r="L1109" s="75" t="str">
        <x:v>Evidence needed</x:v>
      </x:c>
      <x:c r="M1109" s="75" t="str">
        <x:v>Buyer-specific role, production, availability, signing age and total fee evidence are needed before assigning a deal-value score.</x:v>
      </x:c>
      <x:c r="N1109" s="75" t="str">
        <x:v>Not assessed</x:v>
      </x:c>
      <x:c r="O1109" s="75" t="str">
        <x:v>Source broad position and transfer quote only; detailed role and buyer-specific production not validated.</x:v>
      </x:c>
      <x:c r="P1109" s="75" t="str">
        <x:v>https://www.theguardian.com/football/ng-interactive/2026/sep/01/mens-transfer-window-summer-2026-all-deals-from-europes-top-five-leagues</x:v>
      </x:c>
    </x:row>
    <x:row r="1110" ht="25" customHeight="1">
      <x:c r="A1110" s="69" t="str">
        <x:v>summer-S26-0537</x:v>
      </x:c>
      <x:c r="B1110" s="69" t="str">
        <x:v>Muhammed Damar</x:v>
      </x:c>
      <x:c r="C1110" s="69" t="str">
        <x:v>Wolfsburg</x:v>
      </x:c>
      <x:c r="D1110" s="69" t="str">
        <x:v>Hoffenheim</x:v>
      </x:c>
      <x:c r="E1110" s="76" t="d">
        <x:v>2026-07-23T00:00:00.000Z</x:v>
      </x:c>
      <x:c r="F1110" s="69" t="str">
        <x:v>summer</x:v>
      </x:c>
      <x:c r="G1110" s="69" t="str">
        <x:v>Midfielder — source label</x:v>
      </x:c>
      <x:c r="H1110" s="78" t="n">
        <x:v>4300000</x:v>
      </x:c>
      <x:c r="I1110" s="69" t="str">
        <x:v>GBP</x:v>
      </x:c>
      <x:c r="J1110" s="80"/>
      <x:c r="K1110" s="82"/>
      <x:c r="L1110" s="69" t="str">
        <x:v>Evidence needed</x:v>
      </x:c>
      <x:c r="M1110" s="69" t="str">
        <x:v>Buyer-specific role, production, availability, signing age and total fee evidence are needed before assigning a deal-value score.</x:v>
      </x:c>
      <x:c r="N1110" s="69" t="str">
        <x:v>Not assessed</x:v>
      </x:c>
      <x:c r="O1110" s="69" t="str">
        <x:v>Source broad position and transfer quote only; detailed role and buyer-specific production not validated.</x:v>
      </x:c>
      <x:c r="P1110" s="69" t="str">
        <x:v>https://www.theguardian.com/football/ng-interactive/2026/sep/01/mens-transfer-window-summer-2026-all-deals-from-europes-top-five-leagues</x:v>
      </x:c>
    </x:row>
    <x:row r="1111" ht="25" customHeight="1">
      <x:c r="A1111" s="75" t="str">
        <x:v>summer-S26-0539</x:v>
      </x:c>
      <x:c r="B1111" s="75" t="str">
        <x:v>Elijah Upson</x:v>
      </x:c>
      <x:c r="C1111" s="75" t="str">
        <x:v>Arsenal</x:v>
      </x:c>
      <x:c r="D1111" s="75" t="str">
        <x:v>Tottenham Hotspur</x:v>
      </x:c>
      <x:c r="E1111" s="77" t="d">
        <x:v>2026-07-21T00:00:00.000Z</x:v>
      </x:c>
      <x:c r="F1111" s="75" t="str">
        <x:v>summer</x:v>
      </x:c>
      <x:c r="G1111" s="75" t="str">
        <x:v>Defender — source label</x:v>
      </x:c>
      <x:c r="H1111" s="79"/>
      <x:c r="I1111" s="75" t="str">
        <x:v>GBP</x:v>
      </x:c>
      <x:c r="J1111" s="81"/>
      <x:c r="K1111" s="83"/>
      <x:c r="L1111" s="75" t="str">
        <x:v>Evidence needed</x:v>
      </x:c>
      <x:c r="M1111" s="75" t="str">
        <x:v>Buyer-specific role, production, availability, signing age and total fee evidence are needed before assigning a deal-value score. A zero base fee does not represent wages or signing costs.</x:v>
      </x:c>
      <x:c r="N1111" s="75" t="str">
        <x:v>Not assessed</x:v>
      </x:c>
      <x:c r="O1111" s="75" t="str">
        <x:v>Source broad position and transfer quote only; detailed role and buyer-specific production not validated.</x:v>
      </x:c>
      <x:c r="P1111" s="75" t="str">
        <x:v>https://www.theguardian.com/football/ng-interactive/2026/sep/01/mens-transfer-window-summer-2026-all-deals-from-europes-top-five-leagues</x:v>
      </x:c>
    </x:row>
    <x:row r="1112" ht="25" customHeight="1">
      <x:c r="A1112" s="69" t="str">
        <x:v>summer-S26-0540</x:v>
      </x:c>
      <x:c r="B1112" s="69" t="str">
        <x:v>Yeimar Mosquera</x:v>
      </x:c>
      <x:c r="C1112" s="69" t="str">
        <x:v>Vitória de Guimarães</x:v>
      </x:c>
      <x:c r="D1112" s="69" t="str">
        <x:v>Aston Villa</x:v>
      </x:c>
      <x:c r="E1112" s="76" t="d">
        <x:v>2026-07-16T00:00:00.000Z</x:v>
      </x:c>
      <x:c r="F1112" s="69" t="str">
        <x:v>summer</x:v>
      </x:c>
      <x:c r="G1112" s="69" t="str">
        <x:v>Defender — source label</x:v>
      </x:c>
      <x:c r="H1112" s="78"/>
      <x:c r="I1112" s="69" t="str">
        <x:v>GBP</x:v>
      </x:c>
      <x:c r="J1112" s="80"/>
      <x:c r="K1112" s="82"/>
      <x:c r="L1112" s="69" t="str">
        <x:v>Evidence needed</x:v>
      </x:c>
      <x:c r="M1112" s="69" t="str">
        <x:v>Buyer-specific role, production, availability, signing age and total fee evidence are needed before assigning a deal-value score.</x:v>
      </x:c>
      <x:c r="N1112" s="69" t="str">
        <x:v>Not assessed</x:v>
      </x:c>
      <x:c r="O1112" s="69" t="str">
        <x:v>Source broad position and transfer quote only; detailed role and buyer-specific production not validated.</x:v>
      </x:c>
      <x:c r="P1112" s="69" t="str">
        <x:v>https://www.theguardian.com/football/ng-interactive/2026/sep/01/mens-transfer-window-summer-2026-all-deals-from-europes-top-five-leagues</x:v>
      </x:c>
    </x:row>
    <x:row r="1113" ht="25" customHeight="1">
      <x:c r="A1113" s="75" t="str">
        <x:v>summer-S26-0543</x:v>
      </x:c>
      <x:c r="B1113" s="75" t="str">
        <x:v>Sam Proctor</x:v>
      </x:c>
      <x:c r="C1113" s="75" t="str">
        <x:v>Shrewsbury Town</x:v>
      </x:c>
      <x:c r="D1113" s="75" t="str">
        <x:v>Aston Villa</x:v>
      </x:c>
      <x:c r="E1113" s="77" t="d">
        <x:v>2026-07-17T00:00:00.000Z</x:v>
      </x:c>
      <x:c r="F1113" s="75" t="str">
        <x:v>summer</x:v>
      </x:c>
      <x:c r="G1113" s="75" t="str">
        <x:v>Goalkeeper — source label</x:v>
      </x:c>
      <x:c r="H1113" s="79"/>
      <x:c r="I1113" s="75" t="str">
        <x:v>GBP</x:v>
      </x:c>
      <x:c r="J1113" s="81"/>
      <x:c r="K1113" s="83"/>
      <x:c r="L1113" s="75" t="str">
        <x:v>Evidence needed</x:v>
      </x:c>
      <x:c r="M1113" s="75" t="str">
        <x:v>Buyer-specific shot-stopping, distribution, aerial command, sweeping, signing age and total fee evidence are needed before scoring. Loan/swap costs must be treated separately.</x:v>
      </x:c>
      <x:c r="N1113" s="75" t="str">
        <x:v>Not assessed</x:v>
      </x:c>
      <x:c r="O1113" s="75" t="str">
        <x:v>Source broad position and transfer quote only; detailed role and buyer-specific production not validated.</x:v>
      </x:c>
      <x:c r="P1113" s="75" t="str">
        <x:v>https://www.theguardian.com/football/ng-interactive/2026/sep/01/mens-transfer-window-summer-2026-all-deals-from-europes-top-five-leagues</x:v>
      </x:c>
    </x:row>
    <x:row r="1114" ht="25" customHeight="1">
      <x:c r="A1114" s="69" t="str">
        <x:v>summer-S26-0546</x:v>
      </x:c>
      <x:c r="B1114" s="69" t="str">
        <x:v>Romain Faivre</x:v>
      </x:c>
      <x:c r="C1114" s="69" t="str">
        <x:v>Auxerre</x:v>
      </x:c>
      <x:c r="D1114" s="69" t="str">
        <x:v>Bournemouth</x:v>
      </x:c>
      <x:c r="E1114" s="76" t="d">
        <x:v>2026-07-03T00:00:00.000Z</x:v>
      </x:c>
      <x:c r="F1114" s="69" t="str">
        <x:v>summer</x:v>
      </x:c>
      <x:c r="G1114" s="69" t="str">
        <x:v>Midfielder — source label</x:v>
      </x:c>
      <x:c r="H1114" s="78"/>
      <x:c r="I1114" s="69" t="str">
        <x:v>GBP</x:v>
      </x:c>
      <x:c r="J1114" s="80"/>
      <x:c r="K1114" s="82"/>
      <x:c r="L1114" s="69" t="str">
        <x:v>Evidence needed</x:v>
      </x:c>
      <x:c r="M1114" s="69" t="str">
        <x:v>Buyer-specific role, production, availability, signing age and total fee evidence are needed before assigning a deal-value score.</x:v>
      </x:c>
      <x:c r="N1114" s="69" t="str">
        <x:v>Not assessed</x:v>
      </x:c>
      <x:c r="O1114" s="69" t="str">
        <x:v>Source broad position and transfer quote only; detailed role and buyer-specific production not validated.</x:v>
      </x:c>
      <x:c r="P1114" s="69" t="str">
        <x:v>https://www.theguardian.com/football/ng-interactive/2026/sep/01/mens-transfer-window-summer-2026-all-deals-from-europes-top-five-leagues</x:v>
      </x:c>
    </x:row>
    <x:row r="1115" ht="25" customHeight="1">
      <x:c r="A1115" s="75" t="str">
        <x:v>summer-S26-0547</x:v>
      </x:c>
      <x:c r="B1115" s="75" t="str">
        <x:v>Owen Bevan</x:v>
      </x:c>
      <x:c r="C1115" s="75" t="str">
        <x:v>Dundee</x:v>
      </x:c>
      <x:c r="D1115" s="75" t="str">
        <x:v>Bournemouth</x:v>
      </x:c>
      <x:c r="E1115" s="77" t="d">
        <x:v>2026-07-10T00:00:00.000Z</x:v>
      </x:c>
      <x:c r="F1115" s="75" t="str">
        <x:v>summer</x:v>
      </x:c>
      <x:c r="G1115" s="75" t="str">
        <x:v>Defender — source label</x:v>
      </x:c>
      <x:c r="H1115" s="79"/>
      <x:c r="I1115" s="75" t="str">
        <x:v>GBP</x:v>
      </x:c>
      <x:c r="J1115" s="81"/>
      <x:c r="K1115" s="83"/>
      <x:c r="L1115" s="75" t="str">
        <x:v>Evidence needed</x:v>
      </x:c>
      <x:c r="M1115" s="75" t="str">
        <x:v>Buyer-specific role, production, availability, signing age and total fee evidence are needed before assigning a deal-value score. A zero base fee does not represent wages or signing costs.</x:v>
      </x:c>
      <x:c r="N1115" s="75" t="str">
        <x:v>Not assessed</x:v>
      </x:c>
      <x:c r="O1115" s="75" t="str">
        <x:v>Source broad position and transfer quote only; detailed role and buyer-specific production not validated.</x:v>
      </x:c>
      <x:c r="P1115" s="75" t="str">
        <x:v>https://www.theguardian.com/football/ng-interactive/2026/sep/01/mens-transfer-window-summer-2026-all-deals-from-europes-top-five-leagues</x:v>
      </x:c>
    </x:row>
    <x:row r="1116" ht="25" customHeight="1">
      <x:c r="A1116" s="69" t="str">
        <x:v>summer-S26-0550</x:v>
      </x:c>
      <x:c r="B1116" s="69" t="str">
        <x:v>Joël Veltman</x:v>
      </x:c>
      <x:c r="C1116" s="69" t="str">
        <x:v>West Ham</x:v>
      </x:c>
      <x:c r="D1116" s="69" t="str">
        <x:v>Brighton</x:v>
      </x:c>
      <x:c r="E1116" s="76" t="d">
        <x:v>2026-08-06T00:00:00.000Z</x:v>
      </x:c>
      <x:c r="F1116" s="69" t="str">
        <x:v>summer</x:v>
      </x:c>
      <x:c r="G1116" s="69" t="str">
        <x:v>Defender — source label</x:v>
      </x:c>
      <x:c r="H1116" s="78"/>
      <x:c r="I1116" s="69" t="str">
        <x:v>GBP</x:v>
      </x:c>
      <x:c r="J1116" s="80"/>
      <x:c r="K1116" s="82"/>
      <x:c r="L1116" s="69" t="str">
        <x:v>Evidence needed</x:v>
      </x:c>
      <x:c r="M1116" s="69" t="str">
        <x:v>Buyer-specific role, production, availability, signing age and total fee evidence are needed before assigning a deal-value score. A zero base fee does not represent wages or signing costs.</x:v>
      </x:c>
      <x:c r="N1116" s="69" t="str">
        <x:v>Not assessed</x:v>
      </x:c>
      <x:c r="O1116" s="69" t="str">
        <x:v>Source broad position and transfer quote only; detailed role and buyer-specific production not validated.</x:v>
      </x:c>
      <x:c r="P1116" s="69" t="str">
        <x:v>https://www.theguardian.com/football/ng-interactive/2026/sep/01/mens-transfer-window-summer-2026-all-deals-from-europes-top-five-leagues</x:v>
      </x:c>
    </x:row>
    <x:row r="1117" ht="25" customHeight="1">
      <x:c r="A1117" s="75" t="str">
        <x:v>summer-S26-0552</x:v>
      </x:c>
      <x:c r="B1117" s="75" t="str">
        <x:v>Callum Perry</x:v>
      </x:c>
      <x:c r="C1117" s="75" t="str">
        <x:v>Cambridge United</x:v>
      </x:c>
      <x:c r="D1117" s="75" t="str">
        <x:v>Coventry City</x:v>
      </x:c>
      <x:c r="E1117" s="77" t="d">
        <x:v>2026-07-21T00:00:00.000Z</x:v>
      </x:c>
      <x:c r="F1117" s="75" t="str">
        <x:v>summer</x:v>
      </x:c>
      <x:c r="G1117" s="75" t="str">
        <x:v>Defender — source label</x:v>
      </x:c>
      <x:c r="H1117" s="79"/>
      <x:c r="I1117" s="75" t="str">
        <x:v>GBP</x:v>
      </x:c>
      <x:c r="J1117" s="81"/>
      <x:c r="K1117" s="83"/>
      <x:c r="L1117" s="75" t="str">
        <x:v>Evidence needed</x:v>
      </x:c>
      <x:c r="M1117" s="75" t="str">
        <x:v>Buyer-specific role, production, availability, signing age and total fee evidence are needed before assigning a deal-value score. Loan/swap costs must be treated separately.</x:v>
      </x:c>
      <x:c r="N1117" s="75" t="str">
        <x:v>Not assessed</x:v>
      </x:c>
      <x:c r="O1117" s="75" t="str">
        <x:v>Source broad position and transfer quote only; detailed role and buyer-specific production not validated.</x:v>
      </x:c>
      <x:c r="P1117" s="75" t="str">
        <x:v>https://www.theguardian.com/football/ng-interactive/2026/sep/01/mens-transfer-window-summer-2026-all-deals-from-europes-top-five-leagues</x:v>
      </x:c>
    </x:row>
    <x:row r="1118" ht="25" customHeight="1">
      <x:c r="A1118" s="69" t="str">
        <x:v>summer-S26-0553</x:v>
      </x:c>
      <x:c r="B1118" s="69" t="str">
        <x:v>Isaac Moore</x:v>
      </x:c>
      <x:c r="C1118" s="69" t="str">
        <x:v>Walsall</x:v>
      </x:c>
      <x:c r="D1118" s="69" t="str">
        <x:v>Coventry City</x:v>
      </x:c>
      <x:c r="E1118" s="76" t="d">
        <x:v>2026-07-07T00:00:00.000Z</x:v>
      </x:c>
      <x:c r="F1118" s="69" t="str">
        <x:v>summer</x:v>
      </x:c>
      <x:c r="G1118" s="69" t="str">
        <x:v>Midfielder — source label</x:v>
      </x:c>
      <x:c r="H1118" s="78"/>
      <x:c r="I1118" s="69" t="str">
        <x:v>GBP</x:v>
      </x:c>
      <x:c r="J1118" s="80"/>
      <x:c r="K1118" s="82"/>
      <x:c r="L1118" s="69" t="str">
        <x:v>Evidence needed</x:v>
      </x:c>
      <x:c r="M1118" s="69" t="str">
        <x:v>Buyer-specific role, production, availability, signing age and total fee evidence are needed before assigning a deal-value score. Loan/swap costs must be treated separately.</x:v>
      </x:c>
      <x:c r="N1118" s="69" t="str">
        <x:v>Not assessed</x:v>
      </x:c>
      <x:c r="O1118" s="69" t="str">
        <x:v>Source broad position and transfer quote only; detailed role and buyer-specific production not validated.</x:v>
      </x:c>
      <x:c r="P1118" s="69" t="str">
        <x:v>https://www.theguardian.com/football/ng-interactive/2026/sep/01/mens-transfer-window-summer-2026-all-deals-from-europes-top-five-leagues</x:v>
      </x:c>
    </x:row>
    <x:row r="1119" ht="25" customHeight="1">
      <x:c r="A1119" s="75" t="str">
        <x:v>summer-S26-0554</x:v>
      </x:c>
      <x:c r="B1119" s="75" t="str">
        <x:v>Kevin Bruno</x:v>
      </x:c>
      <x:c r="C1119" s="75" t="str">
        <x:v>Vado</x:v>
      </x:c>
      <x:c r="D1119" s="75" t="str">
        <x:v>Sassuolo</x:v>
      </x:c>
      <x:c r="E1119" s="77" t="d">
        <x:v>2026-07-23T00:00:00.000Z</x:v>
      </x:c>
      <x:c r="F1119" s="75" t="str">
        <x:v>summer</x:v>
      </x:c>
      <x:c r="G1119" s="75" t="str">
        <x:v>Midfielder — source label</x:v>
      </x:c>
      <x:c r="H1119" s="79"/>
      <x:c r="I1119" s="75" t="str">
        <x:v>GBP</x:v>
      </x:c>
      <x:c r="J1119" s="81"/>
      <x:c r="K1119" s="83"/>
      <x:c r="L1119" s="75" t="str">
        <x:v>Evidence needed</x:v>
      </x:c>
      <x:c r="M1119" s="75" t="str">
        <x:v>Buyer-specific role, production, availability, signing age and total fee evidence are needed before assigning a deal-value score. Loan/swap costs must be treated separately.</x:v>
      </x:c>
      <x:c r="N1119" s="75" t="str">
        <x:v>Not assessed</x:v>
      </x:c>
      <x:c r="O1119" s="75" t="str">
        <x:v>Source broad position and transfer quote only; detailed role and buyer-specific production not validated.</x:v>
      </x:c>
      <x:c r="P1119" s="75" t="str">
        <x:v>https://www.theguardian.com/football/ng-interactive/2026/sep/01/mens-transfer-window-summer-2026-all-deals-from-europes-top-five-leagues</x:v>
      </x:c>
    </x:row>
    <x:row r="1120" ht="25" customHeight="1">
      <x:c r="A1120" s="69" t="str">
        <x:v>summer-S26-0556</x:v>
      </x:c>
      <x:c r="B1120" s="69" t="str">
        <x:v>Aladji Bamba</x:v>
      </x:c>
      <x:c r="C1120" s="69" t="str">
        <x:v>Newcastle United</x:v>
      </x:c>
      <x:c r="D1120" s="69" t="str">
        <x:v>Monaco</x:v>
      </x:c>
      <x:c r="E1120" s="76" t="d">
        <x:v>2026-07-24T00:00:00.000Z</x:v>
      </x:c>
      <x:c r="F1120" s="69" t="str">
        <x:v>summer</x:v>
      </x:c>
      <x:c r="G1120" s="69" t="str">
        <x:v>Midfielder — source label</x:v>
      </x:c>
      <x:c r="H1120" s="78" t="n">
        <x:v>30000000</x:v>
      </x:c>
      <x:c r="I1120" s="69" t="str">
        <x:v>GBP</x:v>
      </x:c>
      <x:c r="J1120" s="80"/>
      <x:c r="K1120" s="82"/>
      <x:c r="L1120" s="69" t="str">
        <x:v>Evidence needed</x:v>
      </x:c>
      <x:c r="M1120" s="69" t="str">
        <x:v>Buyer-specific role, production, availability, signing age and total fee evidence are needed before assigning a deal-value score.</x:v>
      </x:c>
      <x:c r="N1120" s="69" t="str">
        <x:v>Not assessed</x:v>
      </x:c>
      <x:c r="O1120" s="69" t="str">
        <x:v>Source broad position and transfer quote only; detailed role and buyer-specific production not validated.</x:v>
      </x:c>
      <x:c r="P1120" s="69" t="str">
        <x:v>https://www.theguardian.com/football/ng-interactive/2026/sep/01/mens-transfer-window-summer-2026-all-deals-from-europes-top-five-leagues</x:v>
      </x:c>
    </x:row>
    <x:row r="1121" ht="25" customHeight="1">
      <x:c r="A1121" s="75" t="str">
        <x:v>summer-S26-0558</x:v>
      </x:c>
      <x:c r="B1121" s="75" t="str">
        <x:v>Ricardo Mangas</x:v>
      </x:c>
      <x:c r="C1121" s="75" t="str">
        <x:v>Monza</x:v>
      </x:c>
      <x:c r="D1121" s="75" t="str">
        <x:v>Sporting</x:v>
      </x:c>
      <x:c r="E1121" s="77" t="d">
        <x:v>2026-07-24T00:00:00.000Z</x:v>
      </x:c>
      <x:c r="F1121" s="75" t="str">
        <x:v>summer</x:v>
      </x:c>
      <x:c r="G1121" s="75" t="str">
        <x:v>Defender — source label</x:v>
      </x:c>
      <x:c r="H1121" s="79"/>
      <x:c r="I1121" s="75" t="str">
        <x:v>GBP</x:v>
      </x:c>
      <x:c r="J1121" s="81"/>
      <x:c r="K1121" s="83"/>
      <x:c r="L1121" s="75" t="str">
        <x:v>Evidence needed</x:v>
      </x:c>
      <x:c r="M1121" s="75" t="str">
        <x:v>Buyer-specific role, production, availability, signing age and total fee evidence are needed before assigning a deal-value score. Loan/swap costs must be treated separately.</x:v>
      </x:c>
      <x:c r="N1121" s="75" t="str">
        <x:v>Not assessed</x:v>
      </x:c>
      <x:c r="O1121" s="75" t="str">
        <x:v>Source broad position and transfer quote only; detailed role and buyer-specific production not validated.</x:v>
      </x:c>
      <x:c r="P1121" s="75" t="str">
        <x:v>https://www.theguardian.com/football/ng-interactive/2026/sep/01/mens-transfer-window-summer-2026-all-deals-from-europes-top-five-leagues</x:v>
      </x:c>
    </x:row>
    <x:row r="1122" ht="25" customHeight="1">
      <x:c r="A1122" s="69" t="str">
        <x:v>summer-S26-0562</x:v>
      </x:c>
      <x:c r="B1122" s="69" t="str">
        <x:v>Maximilian Ibrahimovic</x:v>
      </x:c>
      <x:c r="C1122" s="69" t="str">
        <x:v>AZ Alkmaar</x:v>
      </x:c>
      <x:c r="D1122" s="69" t="str">
        <x:v>Milan</x:v>
      </x:c>
      <x:c r="E1122" s="76" t="d">
        <x:v>2026-07-18T00:00:00.000Z</x:v>
      </x:c>
      <x:c r="F1122" s="69" t="str">
        <x:v>summer</x:v>
      </x:c>
      <x:c r="G1122" s="69" t="str">
        <x:v>Midfielder — source label</x:v>
      </x:c>
      <x:c r="H1122" s="78"/>
      <x:c r="I1122" s="69" t="str">
        <x:v>GBP</x:v>
      </x:c>
      <x:c r="J1122" s="80"/>
      <x:c r="K1122" s="82"/>
      <x:c r="L1122" s="69" t="str">
        <x:v>Evidence needed</x:v>
      </x:c>
      <x:c r="M1122" s="69" t="str">
        <x:v>Buyer-specific role, production, availability, signing age and total fee evidence are needed before assigning a deal-value score.</x:v>
      </x:c>
      <x:c r="N1122" s="69" t="str">
        <x:v>Not assessed</x:v>
      </x:c>
      <x:c r="O1122" s="69" t="str">
        <x:v>Source broad position and transfer quote only; detailed role and buyer-specific production not validated.</x:v>
      </x:c>
      <x:c r="P1122" s="69" t="str">
        <x:v>https://www.theguardian.com/football/ng-interactive/2026/sep/01/mens-transfer-window-summer-2026-all-deals-from-europes-top-five-leagues</x:v>
      </x:c>
    </x:row>
    <x:row r="1123" ht="25" customHeight="1">
      <x:c r="A1123" s="75" t="str">
        <x:v>summer-S26-0564</x:v>
      </x:c>
      <x:c r="B1123" s="75" t="str">
        <x:v>Fabio Desole</x:v>
      </x:c>
      <x:c r="C1123" s="75" t="str">
        <x:v>Carpi</x:v>
      </x:c>
      <x:c r="D1123" s="75" t="str">
        <x:v>Torino</x:v>
      </x:c>
      <x:c r="E1123" s="77" t="d">
        <x:v>2026-07-24T00:00:00.000Z</x:v>
      </x:c>
      <x:c r="F1123" s="75" t="str">
        <x:v>summer</x:v>
      </x:c>
      <x:c r="G1123" s="75" t="str">
        <x:v>Defender — source label</x:v>
      </x:c>
      <x:c r="H1123" s="79"/>
      <x:c r="I1123" s="75" t="str">
        <x:v>GBP</x:v>
      </x:c>
      <x:c r="J1123" s="81"/>
      <x:c r="K1123" s="83"/>
      <x:c r="L1123" s="75" t="str">
        <x:v>Evidence needed</x:v>
      </x:c>
      <x:c r="M1123" s="75" t="str">
        <x:v>Buyer-specific role, production, availability, signing age and total fee evidence are needed before assigning a deal-value score.</x:v>
      </x:c>
      <x:c r="N1123" s="75" t="str">
        <x:v>Not assessed</x:v>
      </x:c>
      <x:c r="O1123" s="75" t="str">
        <x:v>Source broad position and transfer quote only; detailed role and buyer-specific production not validated.</x:v>
      </x:c>
      <x:c r="P1123" s="75" t="str">
        <x:v>https://www.theguardian.com/football/ng-interactive/2026/sep/01/mens-transfer-window-summer-2026-all-deals-from-europes-top-five-leagues</x:v>
      </x:c>
    </x:row>
    <x:row r="1124" ht="25" customHeight="1">
      <x:c r="A1124" s="69" t="str">
        <x:v>summer-S26-0565</x:v>
      </x:c>
      <x:c r="B1124" s="69" t="str">
        <x:v>Mika Wallentowitz</x:v>
      </x:c>
      <x:c r="C1124" s="69" t="str">
        <x:v>Greuther Fürth</x:v>
      </x:c>
      <x:c r="D1124" s="69" t="str">
        <x:v>Schalke 04</x:v>
      </x:c>
      <x:c r="E1124" s="76" t="d">
        <x:v>2026-07-24T00:00:00.000Z</x:v>
      </x:c>
      <x:c r="F1124" s="69" t="str">
        <x:v>summer</x:v>
      </x:c>
      <x:c r="G1124" s="69" t="str">
        <x:v>Midfielder — source label</x:v>
      </x:c>
      <x:c r="H1124" s="78"/>
      <x:c r="I1124" s="69" t="str">
        <x:v>GBP</x:v>
      </x:c>
      <x:c r="J1124" s="80"/>
      <x:c r="K1124" s="82"/>
      <x:c r="L1124" s="69" t="str">
        <x:v>Evidence needed</x:v>
      </x:c>
      <x:c r="M1124" s="69" t="str">
        <x:v>Buyer-specific role, production, availability, signing age and total fee evidence are needed before assigning a deal-value score. Loan/swap costs must be treated separately.</x:v>
      </x:c>
      <x:c r="N1124" s="69" t="str">
        <x:v>Not assessed</x:v>
      </x:c>
      <x:c r="O1124" s="69" t="str">
        <x:v>Source broad position and transfer quote only; detailed role and buyer-specific production not validated.</x:v>
      </x:c>
      <x:c r="P1124" s="69" t="str">
        <x:v>https://www.theguardian.com/football/ng-interactive/2026/sep/01/mens-transfer-window-summer-2026-all-deals-from-europes-top-five-leagues</x:v>
      </x:c>
    </x:row>
    <x:row r="1125" ht="25" customHeight="1">
      <x:c r="A1125" s="75" t="str">
        <x:v>summer-S26-0568</x:v>
      </x:c>
      <x:c r="B1125" s="75" t="str">
        <x:v>Luis Hasa</x:v>
      </x:c>
      <x:c r="C1125" s="75" t="str">
        <x:v>Frosinone</x:v>
      </x:c>
      <x:c r="D1125" s="75" t="str">
        <x:v>Napoli</x:v>
      </x:c>
      <x:c r="E1125" s="77" t="d">
        <x:v>2026-07-24T00:00:00.000Z</x:v>
      </x:c>
      <x:c r="F1125" s="75" t="str">
        <x:v>summer</x:v>
      </x:c>
      <x:c r="G1125" s="75" t="str">
        <x:v>Midfielder — source label</x:v>
      </x:c>
      <x:c r="H1125" s="79" t="n">
        <x:v>3800000</x:v>
      </x:c>
      <x:c r="I1125" s="75" t="str">
        <x:v>GBP</x:v>
      </x:c>
      <x:c r="J1125" s="81"/>
      <x:c r="K1125" s="83"/>
      <x:c r="L1125" s="75" t="str">
        <x:v>Evidence needed</x:v>
      </x:c>
      <x:c r="M1125" s="75" t="str">
        <x:v>Buyer-specific role, production, availability, signing age and total fee evidence are needed before assigning a deal-value score.</x:v>
      </x:c>
      <x:c r="N1125" s="75" t="str">
        <x:v>Not assessed</x:v>
      </x:c>
      <x:c r="O1125" s="75" t="str">
        <x:v>Source broad position and transfer quote only; detailed role and buyer-specific production not validated.</x:v>
      </x:c>
      <x:c r="P1125" s="75" t="str">
        <x:v>https://www.theguardian.com/football/ng-interactive/2026/sep/01/mens-transfer-window-summer-2026-all-deals-from-europes-top-five-leagues</x:v>
      </x:c>
    </x:row>
    <x:row r="1126" ht="25" customHeight="1">
      <x:c r="A1126" s="69" t="str">
        <x:v>summer-S26-0570</x:v>
      </x:c>
      <x:c r="B1126" s="69" t="str">
        <x:v>Amara Nallo</x:v>
      </x:c>
      <x:c r="C1126" s="69" t="str">
        <x:v>HJK Helsinki</x:v>
      </x:c>
      <x:c r="D1126" s="69" t="str">
        <x:v>Liverpool</x:v>
      </x:c>
      <x:c r="E1126" s="76" t="d">
        <x:v>2026-07-24T00:00:00.000Z</x:v>
      </x:c>
      <x:c r="F1126" s="69" t="str">
        <x:v>summer</x:v>
      </x:c>
      <x:c r="G1126" s="69" t="str">
        <x:v>Defender — source label</x:v>
      </x:c>
      <x:c r="H1126" s="78"/>
      <x:c r="I1126" s="69" t="str">
        <x:v>GBP</x:v>
      </x:c>
      <x:c r="J1126" s="80"/>
      <x:c r="K1126" s="82"/>
      <x:c r="L1126" s="69" t="str">
        <x:v>Evidence needed</x:v>
      </x:c>
      <x:c r="M1126" s="69" t="str">
        <x:v>Buyer-specific role, production, availability, signing age and total fee evidence are needed before assigning a deal-value score. Loan/swap costs must be treated separately.</x:v>
      </x:c>
      <x:c r="N1126" s="69" t="str">
        <x:v>Not assessed</x:v>
      </x:c>
      <x:c r="O1126" s="69" t="str">
        <x:v>Source broad position and transfer quote only; detailed role and buyer-specific production not validated.</x:v>
      </x:c>
      <x:c r="P1126" s="69" t="str">
        <x:v>https://www.theguardian.com/football/ng-interactive/2026/sep/01/mens-transfer-window-summer-2026-all-deals-from-europes-top-five-leagues</x:v>
      </x:c>
    </x:row>
    <x:row r="1127" ht="25" customHeight="1">
      <x:c r="A1127" s="75" t="str">
        <x:v>summer-S26-0572</x:v>
      </x:c>
      <x:c r="B1127" s="75" t="str">
        <x:v>Alessandro Milani</x:v>
      </x:c>
      <x:c r="C1127" s="75" t="str">
        <x:v>Inter</x:v>
      </x:c>
      <x:c r="D1127" s="75" t="str">
        <x:v>Lazio</x:v>
      </x:c>
      <x:c r="E1127" s="77" t="d">
        <x:v>2026-07-24T00:00:00.000Z</x:v>
      </x:c>
      <x:c r="F1127" s="75" t="str">
        <x:v>summer</x:v>
      </x:c>
      <x:c r="G1127" s="75" t="str">
        <x:v>Defender — source label</x:v>
      </x:c>
      <x:c r="H1127" s="79"/>
      <x:c r="I1127" s="75" t="str">
        <x:v>GBP</x:v>
      </x:c>
      <x:c r="J1127" s="81"/>
      <x:c r="K1127" s="83"/>
      <x:c r="L1127" s="75" t="str">
        <x:v>Evidence needed</x:v>
      </x:c>
      <x:c r="M1127" s="75" t="str">
        <x:v>Buyer-specific role, production, availability, signing age and total fee evidence are needed before assigning a deal-value score.</x:v>
      </x:c>
      <x:c r="N1127" s="75" t="str">
        <x:v>Not assessed</x:v>
      </x:c>
      <x:c r="O1127" s="75" t="str">
        <x:v>Source broad position and transfer quote only; detailed role and buyer-specific production not validated.</x:v>
      </x:c>
      <x:c r="P1127" s="75" t="str">
        <x:v>https://www.theguardian.com/football/ng-interactive/2026/sep/01/mens-transfer-window-summer-2026-all-deals-from-europes-top-five-leagues</x:v>
      </x:c>
    </x:row>
    <x:row r="1128" ht="25" customHeight="1">
      <x:c r="A1128" s="69" t="str">
        <x:v>summer-S26-0573</x:v>
      </x:c>
      <x:c r="B1128" s="69" t="str">
        <x:v>Jacopo Grossi</x:v>
      </x:c>
      <x:c r="C1128" s="69" t="str">
        <x:v>Trento</x:v>
      </x:c>
      <x:c r="D1128" s="69" t="str">
        <x:v>Genoa</x:v>
      </x:c>
      <x:c r="E1128" s="76" t="d">
        <x:v>2026-07-24T00:00:00.000Z</x:v>
      </x:c>
      <x:c r="F1128" s="69" t="str">
        <x:v>summer</x:v>
      </x:c>
      <x:c r="G1128" s="69" t="str">
        <x:v>Midfielder — source label</x:v>
      </x:c>
      <x:c r="H1128" s="78"/>
      <x:c r="I1128" s="69" t="str">
        <x:v>GBP</x:v>
      </x:c>
      <x:c r="J1128" s="80"/>
      <x:c r="K1128" s="82"/>
      <x:c r="L1128" s="69" t="str">
        <x:v>Evidence needed</x:v>
      </x:c>
      <x:c r="M1128" s="69" t="str">
        <x:v>Buyer-specific role, production, availability, signing age and total fee evidence are needed before assigning a deal-value score. Loan/swap costs must be treated separately.</x:v>
      </x:c>
      <x:c r="N1128" s="69" t="str">
        <x:v>Not assessed</x:v>
      </x:c>
      <x:c r="O1128" s="69" t="str">
        <x:v>Source broad position and transfer quote only; detailed role and buyer-specific production not validated.</x:v>
      </x:c>
      <x:c r="P1128" s="69" t="str">
        <x:v>https://www.theguardian.com/football/ng-interactive/2026/sep/01/mens-transfer-window-summer-2026-all-deals-from-europes-top-five-leagues</x:v>
      </x:c>
    </x:row>
    <x:row r="1129" ht="25" customHeight="1">
      <x:c r="A1129" s="75" t="str">
        <x:v>summer-S26-0574</x:v>
      </x:c>
      <x:c r="B1129" s="75" t="str">
        <x:v>Lee Kang-in</x:v>
      </x:c>
      <x:c r="C1129" s="75" t="str">
        <x:v>Atlético Madrid</x:v>
      </x:c>
      <x:c r="D1129" s="75" t="str">
        <x:v>Paris Saint-Germain</x:v>
      </x:c>
      <x:c r="E1129" s="77" t="d">
        <x:v>2026-07-25T00:00:00.000Z</x:v>
      </x:c>
      <x:c r="F1129" s="75" t="str">
        <x:v>summer</x:v>
      </x:c>
      <x:c r="G1129" s="75" t="str">
        <x:v>Midfielder — source label</x:v>
      </x:c>
      <x:c r="H1129" s="79" t="n">
        <x:v>34000000</x:v>
      </x:c>
      <x:c r="I1129" s="75" t="str">
        <x:v>GBP</x:v>
      </x:c>
      <x:c r="J1129" s="81"/>
      <x:c r="K1129" s="83"/>
      <x:c r="L1129" s="75" t="str">
        <x:v>Evidence needed</x:v>
      </x:c>
      <x:c r="M1129" s="75" t="str">
        <x:v>Buyer-specific role, production, availability, signing age and total fee evidence are needed before assigning a deal-value score.</x:v>
      </x:c>
      <x:c r="N1129" s="75" t="str">
        <x:v>Not assessed</x:v>
      </x:c>
      <x:c r="O1129" s="75" t="str">
        <x:v>Source broad position and transfer quote only; detailed role and buyer-specific production not validated.</x:v>
      </x:c>
      <x:c r="P1129" s="75" t="str">
        <x:v>https://www.theguardian.com/football/ng-interactive/2026/sep/01/mens-transfer-window-summer-2026-all-deals-from-europes-top-five-leagues</x:v>
      </x:c>
    </x:row>
    <x:row r="1130" ht="25" customHeight="1">
      <x:c r="A1130" s="69" t="str">
        <x:v>summer-S26-0576</x:v>
      </x:c>
      <x:c r="B1130" s="69" t="str">
        <x:v>Bilal Nadir</x:v>
      </x:c>
      <x:c r="C1130" s="69" t="str">
        <x:v>Hamburg</x:v>
      </x:c>
      <x:c r="D1130" s="69" t="str">
        <x:v>Marseille</x:v>
      </x:c>
      <x:c r="E1130" s="76" t="d">
        <x:v>2026-07-24T00:00:00.000Z</x:v>
      </x:c>
      <x:c r="F1130" s="69" t="str">
        <x:v>summer</x:v>
      </x:c>
      <x:c r="G1130" s="69" t="str">
        <x:v>Midfielder — source label</x:v>
      </x:c>
      <x:c r="H1130" s="78"/>
      <x:c r="I1130" s="69" t="str">
        <x:v>GBP</x:v>
      </x:c>
      <x:c r="J1130" s="80"/>
      <x:c r="K1130" s="82"/>
      <x:c r="L1130" s="69" t="str">
        <x:v>Evidence needed</x:v>
      </x:c>
      <x:c r="M1130" s="69" t="str">
        <x:v>Buyer-specific role, production, availability, signing age and total fee evidence are needed before assigning a deal-value score. A zero base fee does not represent wages or signing costs.</x:v>
      </x:c>
      <x:c r="N1130" s="69" t="str">
        <x:v>Not assessed</x:v>
      </x:c>
      <x:c r="O1130" s="69" t="str">
        <x:v>Source broad position and transfer quote only; detailed role and buyer-specific production not validated.</x:v>
      </x:c>
      <x:c r="P1130" s="69" t="str">
        <x:v>https://www.theguardian.com/football/ng-interactive/2026/sep/01/mens-transfer-window-summer-2026-all-deals-from-europes-top-five-leagues</x:v>
      </x:c>
    </x:row>
    <x:row r="1131" ht="25" customHeight="1">
      <x:c r="A1131" s="75" t="str">
        <x:v>summer-S26-0577</x:v>
      </x:c>
      <x:c r="B1131" s="75" t="str">
        <x:v>Juan Cruz</x:v>
      </x:c>
      <x:c r="C1131" s="75" t="str">
        <x:v>Real Oviedo</x:v>
      </x:c>
      <x:c r="D1131" s="75" t="str">
        <x:v>Osasuna</x:v>
      </x:c>
      <x:c r="E1131" s="77" t="d">
        <x:v>2026-07-24T00:00:00.000Z</x:v>
      </x:c>
      <x:c r="F1131" s="75" t="str">
        <x:v>summer</x:v>
      </x:c>
      <x:c r="G1131" s="75" t="str">
        <x:v>Defender — source label</x:v>
      </x:c>
      <x:c r="H1131" s="79"/>
      <x:c r="I1131" s="75" t="str">
        <x:v>GBP</x:v>
      </x:c>
      <x:c r="J1131" s="81"/>
      <x:c r="K1131" s="83"/>
      <x:c r="L1131" s="75" t="str">
        <x:v>Evidence needed</x:v>
      </x:c>
      <x:c r="M1131" s="75" t="str">
        <x:v>Buyer-specific role, production, availability, signing age and total fee evidence are needed before assigning a deal-value score. A zero base fee does not represent wages or signing costs.</x:v>
      </x:c>
      <x:c r="N1131" s="75" t="str">
        <x:v>Not assessed</x:v>
      </x:c>
      <x:c r="O1131" s="75" t="str">
        <x:v>Source broad position and transfer quote only; detailed role and buyer-specific production not validated.</x:v>
      </x:c>
      <x:c r="P1131" s="75" t="str">
        <x:v>https://www.theguardian.com/football/ng-interactive/2026/sep/01/mens-transfer-window-summer-2026-all-deals-from-europes-top-five-leagues</x:v>
      </x:c>
    </x:row>
    <x:row r="1132" ht="25" customHeight="1">
      <x:c r="A1132" s="69" t="str">
        <x:v>summer-S26-0579</x:v>
      </x:c>
      <x:c r="B1132" s="69" t="str">
        <x:v>Maximilian Wöber</x:v>
      </x:c>
      <x:c r="C1132" s="69" t="str">
        <x:v>Schalke 04</x:v>
      </x:c>
      <x:c r="D1132" s="69" t="str">
        <x:v>Leeds United</x:v>
      </x:c>
      <x:c r="E1132" s="76" t="d">
        <x:v>2026-07-22T00:00:00.000Z</x:v>
      </x:c>
      <x:c r="F1132" s="69" t="str">
        <x:v>summer</x:v>
      </x:c>
      <x:c r="G1132" s="69" t="str">
        <x:v>Defender — source label</x:v>
      </x:c>
      <x:c r="H1132" s="78"/>
      <x:c r="I1132" s="69" t="str">
        <x:v>GBP</x:v>
      </x:c>
      <x:c r="J1132" s="80"/>
      <x:c r="K1132" s="82"/>
      <x:c r="L1132" s="69" t="str">
        <x:v>Evidence needed</x:v>
      </x:c>
      <x:c r="M1132" s="69" t="str">
        <x:v>Buyer-specific role, production, availability, signing age and total fee evidence are needed before assigning a deal-value score. A zero base fee does not represent wages or signing costs.</x:v>
      </x:c>
      <x:c r="N1132" s="69" t="str">
        <x:v>Not assessed</x:v>
      </x:c>
      <x:c r="O1132" s="69" t="str">
        <x:v>Source broad position and transfer quote only; detailed role and buyer-specific production not validated.</x:v>
      </x:c>
      <x:c r="P1132" s="69" t="str">
        <x:v>https://www.theguardian.com/football/ng-interactive/2026/sep/01/mens-transfer-window-summer-2026-all-deals-from-europes-top-five-leagues</x:v>
      </x:c>
    </x:row>
    <x:row r="1133" ht="25" customHeight="1">
      <x:c r="A1133" s="75" t="str">
        <x:v>summer-S26-0580</x:v>
      </x:c>
      <x:c r="B1133" s="75" t="str">
        <x:v>Lorenzo Riccio</x:v>
      </x:c>
      <x:c r="C1133" s="75" t="str">
        <x:v>Dordrecht</x:v>
      </x:c>
      <x:c r="D1133" s="75" t="str">
        <x:v>Atalanta</x:v>
      </x:c>
      <x:c r="E1133" s="77" t="d">
        <x:v>2026-07-21T00:00:00.000Z</x:v>
      </x:c>
      <x:c r="F1133" s="75" t="str">
        <x:v>summer</x:v>
      </x:c>
      <x:c r="G1133" s="75" t="str">
        <x:v>Midfielder — source label</x:v>
      </x:c>
      <x:c r="H1133" s="79"/>
      <x:c r="I1133" s="75" t="str">
        <x:v>GBP</x:v>
      </x:c>
      <x:c r="J1133" s="81"/>
      <x:c r="K1133" s="83"/>
      <x:c r="L1133" s="75" t="str">
        <x:v>Evidence needed</x:v>
      </x:c>
      <x:c r="M1133" s="75" t="str">
        <x:v>Buyer-specific role, production, availability, signing age and total fee evidence are needed before assigning a deal-value score.</x:v>
      </x:c>
      <x:c r="N1133" s="75" t="str">
        <x:v>Not assessed</x:v>
      </x:c>
      <x:c r="O1133" s="75" t="str">
        <x:v>Source broad position and transfer quote only; detailed role and buyer-specific production not validated.</x:v>
      </x:c>
      <x:c r="P1133" s="75" t="str">
        <x:v>https://www.theguardian.com/football/ng-interactive/2026/sep/01/mens-transfer-window-summer-2026-all-deals-from-europes-top-five-leagues</x:v>
      </x:c>
    </x:row>
    <x:row r="1134" ht="25" customHeight="1">
      <x:c r="A1134" s="69" t="str">
        <x:v>summer-S26-0581</x:v>
      </x:c>
      <x:c r="B1134" s="69" t="str">
        <x:v>Luca Erlein</x:v>
      </x:c>
      <x:c r="C1134" s="69" t="str">
        <x:v>Bayer Leverkusen</x:v>
      </x:c>
      <x:c r="D1134" s="69" t="str">
        <x:v>Hoffenheim</x:v>
      </x:c>
      <x:c r="E1134" s="76" t="d">
        <x:v>2026-07-25T00:00:00.000Z</x:v>
      </x:c>
      <x:c r="F1134" s="69" t="str">
        <x:v>summer</x:v>
      </x:c>
      <x:c r="G1134" s="69" t="str">
        <x:v>Defender — source label</x:v>
      </x:c>
      <x:c r="H1134" s="78" t="n">
        <x:v>1700000</x:v>
      </x:c>
      <x:c r="I1134" s="69" t="str">
        <x:v>GBP</x:v>
      </x:c>
      <x:c r="J1134" s="80"/>
      <x:c r="K1134" s="82"/>
      <x:c r="L1134" s="69" t="str">
        <x:v>Evidence needed</x:v>
      </x:c>
      <x:c r="M1134" s="69" t="str">
        <x:v>Buyer-specific role, production, availability, signing age and total fee evidence are needed before assigning a deal-value score.</x:v>
      </x:c>
      <x:c r="N1134" s="69" t="str">
        <x:v>Not assessed</x:v>
      </x:c>
      <x:c r="O1134" s="69" t="str">
        <x:v>Source broad position and transfer quote only; detailed role and buyer-specific production not validated.</x:v>
      </x:c>
      <x:c r="P1134" s="69" t="str">
        <x:v>https://www.theguardian.com/football/ng-interactive/2026/sep/01/mens-transfer-window-summer-2026-all-deals-from-europes-top-five-leagues</x:v>
      </x:c>
    </x:row>
    <x:row r="1135" ht="25" customHeight="1">
      <x:c r="A1135" s="75" t="str">
        <x:v>summer-S26-0582</x:v>
      </x:c>
      <x:c r="B1135" s="75" t="str">
        <x:v>Arnau Tenas</x:v>
      </x:c>
      <x:c r="C1135" s="75" t="str">
        <x:v>Mallorca</x:v>
      </x:c>
      <x:c r="D1135" s="75" t="str">
        <x:v>Villarreal</x:v>
      </x:c>
      <x:c r="E1135" s="77" t="d">
        <x:v>2026-07-25T00:00:00.000Z</x:v>
      </x:c>
      <x:c r="F1135" s="75" t="str">
        <x:v>summer</x:v>
      </x:c>
      <x:c r="G1135" s="75" t="str">
        <x:v>Goalkeeper — source label</x:v>
      </x:c>
      <x:c r="H1135" s="79"/>
      <x:c r="I1135" s="75" t="str">
        <x:v>GBP</x:v>
      </x:c>
      <x:c r="J1135" s="81"/>
      <x:c r="K1135" s="83"/>
      <x:c r="L1135" s="75" t="str">
        <x:v>Evidence needed</x:v>
      </x:c>
      <x:c r="M1135" s="75" t="str">
        <x:v>Buyer-specific shot-stopping, distribution, aerial command, sweeping, signing age and total fee evidence are needed before scoring. Loan/swap costs must be treated separately.</x:v>
      </x:c>
      <x:c r="N1135" s="75" t="str">
        <x:v>Not assessed</x:v>
      </x:c>
      <x:c r="O1135" s="75" t="str">
        <x:v>Source broad position and transfer quote only; detailed role and buyer-specific production not validated.</x:v>
      </x:c>
      <x:c r="P1135" s="75" t="str">
        <x:v>https://www.theguardian.com/football/ng-interactive/2026/sep/01/mens-transfer-window-summer-2026-all-deals-from-europes-top-five-leagues</x:v>
      </x:c>
    </x:row>
    <x:row r="1136" ht="25" customHeight="1">
      <x:c r="A1136" s="69" t="str">
        <x:v>summer-S26-0583</x:v>
      </x:c>
      <x:c r="B1136" s="69" t="str">
        <x:v>Jackson Izquierdo</x:v>
      </x:c>
      <x:c r="C1136" s="69" t="str">
        <x:v>Crawley Town</x:v>
      </x:c>
      <x:c r="D1136" s="69" t="str">
        <x:v>Crystal Palace</x:v>
      </x:c>
      <x:c r="E1136" s="76" t="d">
        <x:v>2026-07-25T00:00:00.000Z</x:v>
      </x:c>
      <x:c r="F1136" s="69" t="str">
        <x:v>summer</x:v>
      </x:c>
      <x:c r="G1136" s="69" t="str">
        <x:v>Goalkeeper — source label</x:v>
      </x:c>
      <x:c r="H1136" s="78"/>
      <x:c r="I1136" s="69" t="str">
        <x:v>GBP</x:v>
      </x:c>
      <x:c r="J1136" s="80"/>
      <x:c r="K1136" s="82"/>
      <x:c r="L1136" s="69" t="str">
        <x:v>Evidence needed</x:v>
      </x:c>
      <x:c r="M1136" s="69" t="str">
        <x:v>Buyer-specific shot-stopping, distribution, aerial command, sweeping, signing age and total fee evidence are needed before scoring. A zero base fee does not represent wages or signing costs.</x:v>
      </x:c>
      <x:c r="N1136" s="69" t="str">
        <x:v>Not assessed</x:v>
      </x:c>
      <x:c r="O1136" s="69" t="str">
        <x:v>Source broad position and transfer quote only; detailed role and buyer-specific production not validated.</x:v>
      </x:c>
      <x:c r="P1136" s="69" t="str">
        <x:v>https://www.theguardian.com/football/ng-interactive/2026/sep/01/mens-transfer-window-summer-2026-all-deals-from-europes-top-five-leagues</x:v>
      </x:c>
    </x:row>
    <x:row r="1137" ht="25" customHeight="1">
      <x:c r="A1137" s="75" t="str">
        <x:v>summer-S26-0584</x:v>
      </x:c>
      <x:c r="B1137" s="75" t="str">
        <x:v>Matthew Cox</x:v>
      </x:c>
      <x:c r="C1137" s="75" t="str">
        <x:v>Barnet</x:v>
      </x:c>
      <x:c r="D1137" s="75" t="str">
        <x:v>Brentford</x:v>
      </x:c>
      <x:c r="E1137" s="77" t="d">
        <x:v>2026-07-25T00:00:00.000Z</x:v>
      </x:c>
      <x:c r="F1137" s="75" t="str">
        <x:v>summer</x:v>
      </x:c>
      <x:c r="G1137" s="75" t="str">
        <x:v>Goalkeeper — source label</x:v>
      </x:c>
      <x:c r="H1137" s="79"/>
      <x:c r="I1137" s="75" t="str">
        <x:v>GBP</x:v>
      </x:c>
      <x:c r="J1137" s="81"/>
      <x:c r="K1137" s="83"/>
      <x:c r="L1137" s="75" t="str">
        <x:v>Evidence needed</x:v>
      </x:c>
      <x:c r="M1137" s="75" t="str">
        <x:v>Buyer-specific shot-stopping, distribution, aerial command, sweeping, signing age and total fee evidence are needed before scoring. Loan/swap costs must be treated separately.</x:v>
      </x:c>
      <x:c r="N1137" s="75" t="str">
        <x:v>Not assessed</x:v>
      </x:c>
      <x:c r="O1137" s="75" t="str">
        <x:v>Source broad position and transfer quote only; detailed role and buyer-specific production not validated.</x:v>
      </x:c>
      <x:c r="P1137" s="75" t="str">
        <x:v>https://www.theguardian.com/football/ng-interactive/2026/sep/01/mens-transfer-window-summer-2026-all-deals-from-europes-top-five-leagues</x:v>
      </x:c>
    </x:row>
    <x:row r="1138" ht="25" customHeight="1">
      <x:c r="A1138" s="69" t="str">
        <x:v>summer-S26-0585</x:v>
      </x:c>
      <x:c r="B1138" s="69" t="str">
        <x:v>Conor Townsend</x:v>
      </x:c>
      <x:c r="C1138" s="69" t="str">
        <x:v>West Bromwich Albion</x:v>
      </x:c>
      <x:c r="D1138" s="69" t="str">
        <x:v>Ipswich Town</x:v>
      </x:c>
      <x:c r="E1138" s="76" t="d">
        <x:v>2026-07-24T00:00:00.000Z</x:v>
      </x:c>
      <x:c r="F1138" s="69" t="str">
        <x:v>summer</x:v>
      </x:c>
      <x:c r="G1138" s="69" t="str">
        <x:v>Defender — source label</x:v>
      </x:c>
      <x:c r="H1138" s="78"/>
      <x:c r="I1138" s="69" t="str">
        <x:v>GBP</x:v>
      </x:c>
      <x:c r="J1138" s="80"/>
      <x:c r="K1138" s="82"/>
      <x:c r="L1138" s="69" t="str">
        <x:v>Evidence needed</x:v>
      </x:c>
      <x:c r="M1138" s="69" t="str">
        <x:v>Buyer-specific role, production, availability, signing age and total fee evidence are needed before assigning a deal-value score. A zero base fee does not represent wages or signing costs.</x:v>
      </x:c>
      <x:c r="N1138" s="69" t="str">
        <x:v>Not assessed</x:v>
      </x:c>
      <x:c r="O1138" s="69" t="str">
        <x:v>Source broad position and transfer quote only; detailed role and buyer-specific production not validated.</x:v>
      </x:c>
      <x:c r="P1138" s="69" t="str">
        <x:v>https://www.theguardian.com/football/ng-interactive/2026/sep/01/mens-transfer-window-summer-2026-all-deals-from-europes-top-five-leagues</x:v>
      </x:c>
    </x:row>
    <x:row r="1139" ht="25" customHeight="1">
      <x:c r="A1139" s="75" t="str">
        <x:v>summer-S26-0586</x:v>
      </x:c>
      <x:c r="B1139" s="75" t="str">
        <x:v>Owen Goodman</x:v>
      </x:c>
      <x:c r="C1139" s="75" t="str">
        <x:v>Dundee</x:v>
      </x:c>
      <x:c r="D1139" s="75" t="str">
        <x:v>Crystal Palace</x:v>
      </x:c>
      <x:c r="E1139" s="77" t="d">
        <x:v>2026-07-25T00:00:00.000Z</x:v>
      </x:c>
      <x:c r="F1139" s="75" t="str">
        <x:v>summer</x:v>
      </x:c>
      <x:c r="G1139" s="75" t="str">
        <x:v>Goalkeeper — source label</x:v>
      </x:c>
      <x:c r="H1139" s="79"/>
      <x:c r="I1139" s="75" t="str">
        <x:v>GBP</x:v>
      </x:c>
      <x:c r="J1139" s="81"/>
      <x:c r="K1139" s="83"/>
      <x:c r="L1139" s="75" t="str">
        <x:v>Evidence needed</x:v>
      </x:c>
      <x:c r="M1139" s="75" t="str">
        <x:v>Buyer-specific shot-stopping, distribution, aerial command, sweeping, signing age and total fee evidence are needed before scoring. Loan/swap costs must be treated separately.</x:v>
      </x:c>
      <x:c r="N1139" s="75" t="str">
        <x:v>Not assessed</x:v>
      </x:c>
      <x:c r="O1139" s="75" t="str">
        <x:v>Source broad position and transfer quote only; detailed role and buyer-specific production not validated.</x:v>
      </x:c>
      <x:c r="P1139" s="75" t="str">
        <x:v>https://www.theguardian.com/football/ng-interactive/2026/sep/01/mens-transfer-window-summer-2026-all-deals-from-europes-top-five-leagues</x:v>
      </x:c>
    </x:row>
    <x:row r="1140" ht="25" customHeight="1">
      <x:c r="A1140" s="69" t="str">
        <x:v>summer-S26-0587</x:v>
      </x:c>
      <x:c r="B1140" s="69" t="str">
        <x:v>Borna Knezovic</x:v>
      </x:c>
      <x:c r="C1140" s="69" t="str">
        <x:v>Casarano</x:v>
      </x:c>
      <x:c r="D1140" s="69" t="str">
        <x:v>Sassuolo</x:v>
      </x:c>
      <x:c r="E1140" s="76" t="d">
        <x:v>2026-07-21T00:00:00.000Z</x:v>
      </x:c>
      <x:c r="F1140" s="69" t="str">
        <x:v>summer</x:v>
      </x:c>
      <x:c r="G1140" s="69" t="str">
        <x:v>Midfielder — source label</x:v>
      </x:c>
      <x:c r="H1140" s="78"/>
      <x:c r="I1140" s="69" t="str">
        <x:v>GBP</x:v>
      </x:c>
      <x:c r="J1140" s="80"/>
      <x:c r="K1140" s="82"/>
      <x:c r="L1140" s="69" t="str">
        <x:v>Evidence needed</x:v>
      </x:c>
      <x:c r="M1140" s="69" t="str">
        <x:v>Buyer-specific role, production, availability, signing age and total fee evidence are needed before assigning a deal-value score.</x:v>
      </x:c>
      <x:c r="N1140" s="69" t="str">
        <x:v>Not assessed</x:v>
      </x:c>
      <x:c r="O1140" s="69" t="str">
        <x:v>Source broad position and transfer quote only; detailed role and buyer-specific production not validated.</x:v>
      </x:c>
      <x:c r="P1140" s="69" t="str">
        <x:v>https://www.theguardian.com/football/ng-interactive/2026/sep/01/mens-transfer-window-summer-2026-all-deals-from-europes-top-five-leagues</x:v>
      </x:c>
    </x:row>
    <x:row r="1141" ht="25" customHeight="1">
      <x:c r="A1141" s="75" t="str">
        <x:v>summer-S26-0588</x:v>
      </x:c>
      <x:c r="B1141" s="75" t="str">
        <x:v>Nobel Mendy</x:v>
      </x:c>
      <x:c r="C1141" s="75" t="str">
        <x:v>Rayo Vallecano</x:v>
      </x:c>
      <x:c r="D1141" s="75" t="str">
        <x:v>Real Betis</x:v>
      </x:c>
      <x:c r="E1141" s="77" t="d">
        <x:v>2026-06-12T00:00:00.000Z</x:v>
      </x:c>
      <x:c r="F1141" s="75" t="str">
        <x:v>summer</x:v>
      </x:c>
      <x:c r="G1141" s="75" t="str">
        <x:v>Defender — source label</x:v>
      </x:c>
      <x:c r="H1141" s="79" t="n">
        <x:v>2000000</x:v>
      </x:c>
      <x:c r="I1141" s="75" t="str">
        <x:v>GBP</x:v>
      </x:c>
      <x:c r="J1141" s="81"/>
      <x:c r="K1141" s="83"/>
      <x:c r="L1141" s="75" t="str">
        <x:v>Evidence needed</x:v>
      </x:c>
      <x:c r="M1141" s="75" t="str">
        <x:v>Buyer-specific role, production, availability, signing age and total fee evidence are needed before assigning a deal-value score.</x:v>
      </x:c>
      <x:c r="N1141" s="75" t="str">
        <x:v>Not assessed</x:v>
      </x:c>
      <x:c r="O1141" s="75" t="str">
        <x:v>Source broad position and transfer quote only; detailed role and buyer-specific production not validated.</x:v>
      </x:c>
      <x:c r="P1141" s="75" t="str">
        <x:v>https://www.theguardian.com/football/ng-interactive/2026/sep/01/mens-transfer-window-summer-2026-all-deals-from-europes-top-five-leagues</x:v>
      </x:c>
    </x:row>
    <x:row r="1142" ht="25" customHeight="1">
      <x:c r="A1142" s="69" t="str">
        <x:v>summer-S26-0589</x:v>
      </x:c>
      <x:c r="B1142" s="69" t="str">
        <x:v>Justin de Haas</x:v>
      </x:c>
      <x:c r="C1142" s="69" t="str">
        <x:v>Valencia</x:v>
      </x:c>
      <x:c r="D1142" s="69" t="str">
        <x:v>Famalicão</x:v>
      </x:c>
      <x:c r="E1142" s="76" t="d">
        <x:v>2026-07-01T00:00:00.000Z</x:v>
      </x:c>
      <x:c r="F1142" s="69" t="str">
        <x:v>summer</x:v>
      </x:c>
      <x:c r="G1142" s="69" t="str">
        <x:v>Defender — source label</x:v>
      </x:c>
      <x:c r="H1142" s="78"/>
      <x:c r="I1142" s="69" t="str">
        <x:v>GBP</x:v>
      </x:c>
      <x:c r="J1142" s="80"/>
      <x:c r="K1142" s="82"/>
      <x:c r="L1142" s="69" t="str">
        <x:v>Evidence needed</x:v>
      </x:c>
      <x:c r="M1142" s="69" t="str">
        <x:v>Buyer-specific role, production, availability, signing age and total fee evidence are needed before assigning a deal-value score. A zero base fee does not represent wages or signing costs.</x:v>
      </x:c>
      <x:c r="N1142" s="69" t="str">
        <x:v>Not assessed</x:v>
      </x:c>
      <x:c r="O1142" s="69" t="str">
        <x:v>Source broad position and transfer quote only; detailed role and buyer-specific production not validated.</x:v>
      </x:c>
      <x:c r="P1142" s="69" t="str">
        <x:v>https://www.theguardian.com/football/ng-interactive/2026/sep/01/mens-transfer-window-summer-2026-all-deals-from-europes-top-five-leagues</x:v>
      </x:c>
    </x:row>
    <x:row r="1143" ht="25" customHeight="1">
      <x:c r="A1143" s="75" t="str">
        <x:v>summer-S26-0591</x:v>
      </x:c>
      <x:c r="B1143" s="75" t="str">
        <x:v>Egoitz Muñoz</x:v>
      </x:c>
      <x:c r="C1143" s="75" t="str">
        <x:v>Córdoba</x:v>
      </x:c>
      <x:c r="D1143" s="75" t="str">
        <x:v>Alavés</x:v>
      </x:c>
      <x:c r="E1143" s="77" t="d">
        <x:v>2026-06-19T00:00:00.000Z</x:v>
      </x:c>
      <x:c r="F1143" s="75" t="str">
        <x:v>summer</x:v>
      </x:c>
      <x:c r="G1143" s="75" t="str">
        <x:v>Defender — source label</x:v>
      </x:c>
      <x:c r="H1143" s="79"/>
      <x:c r="I1143" s="75" t="str">
        <x:v>GBP</x:v>
      </x:c>
      <x:c r="J1143" s="81"/>
      <x:c r="K1143" s="83"/>
      <x:c r="L1143" s="75" t="str">
        <x:v>Evidence needed</x:v>
      </x:c>
      <x:c r="M1143" s="75" t="str">
        <x:v>Buyer-specific role, production, availability, signing age and total fee evidence are needed before assigning a deal-value score. Loan/swap costs must be treated separately.</x:v>
      </x:c>
      <x:c r="N1143" s="75" t="str">
        <x:v>Not assessed</x:v>
      </x:c>
      <x:c r="O1143" s="75" t="str">
        <x:v>Source broad position and transfer quote only; detailed role and buyer-specific production not validated.</x:v>
      </x:c>
      <x:c r="P1143" s="75" t="str">
        <x:v>https://www.theguardian.com/football/ng-interactive/2026/sep/01/mens-transfer-window-summer-2026-all-deals-from-europes-top-five-leagues</x:v>
      </x:c>
    </x:row>
    <x:row r="1144" ht="25" customHeight="1">
      <x:c r="A1144" s="69" t="str">
        <x:v>summer-S26-0592</x:v>
      </x:c>
      <x:c r="B1144" s="69" t="str">
        <x:v>Jon García</x:v>
      </x:c>
      <x:c r="C1144" s="69" t="str">
        <x:v>Cultural Leonesa</x:v>
      </x:c>
      <x:c r="D1144" s="69" t="str">
        <x:v>Osasuna</x:v>
      </x:c>
      <x:c r="E1144" s="76" t="d">
        <x:v>2026-06-19T00:00:00.000Z</x:v>
      </x:c>
      <x:c r="F1144" s="69" t="str">
        <x:v>summer</x:v>
      </x:c>
      <x:c r="G1144" s="69" t="str">
        <x:v>Midfielder — source label</x:v>
      </x:c>
      <x:c r="H1144" s="78"/>
      <x:c r="I1144" s="69" t="str">
        <x:v>GBP</x:v>
      </x:c>
      <x:c r="J1144" s="80"/>
      <x:c r="K1144" s="82"/>
      <x:c r="L1144" s="69" t="str">
        <x:v>Evidence needed</x:v>
      </x:c>
      <x:c r="M1144" s="69" t="str">
        <x:v>Buyer-specific role, production, availability, signing age and total fee evidence are needed before assigning a deal-value score. A zero base fee does not represent wages or signing costs.</x:v>
      </x:c>
      <x:c r="N1144" s="69" t="str">
        <x:v>Not assessed</x:v>
      </x:c>
      <x:c r="O1144" s="69" t="str">
        <x:v>Source broad position and transfer quote only; detailed role and buyer-specific production not validated.</x:v>
      </x:c>
      <x:c r="P1144" s="69" t="str">
        <x:v>https://www.theguardian.com/football/ng-interactive/2026/sep/01/mens-transfer-window-summer-2026-all-deals-from-europes-top-five-leagues</x:v>
      </x:c>
    </x:row>
    <x:row r="1145" ht="25" customHeight="1">
      <x:c r="A1145" s="75" t="str">
        <x:v>summer-S26-0593</x:v>
      </x:c>
      <x:c r="B1145" s="75" t="str">
        <x:v>Víctor Fernández</x:v>
      </x:c>
      <x:c r="C1145" s="75" t="str">
        <x:v>Valencia</x:v>
      </x:c>
      <x:c r="D1145" s="75" t="str">
        <x:v>Levante</x:v>
      </x:c>
      <x:c r="E1145" s="77" t="d">
        <x:v>2026-06-24T00:00:00.000Z</x:v>
      </x:c>
      <x:c r="F1145" s="75" t="str">
        <x:v>summer</x:v>
      </x:c>
      <x:c r="G1145" s="75" t="str">
        <x:v>Midfielder — source label</x:v>
      </x:c>
      <x:c r="H1145" s="79" t="n">
        <x:v>100000</x:v>
      </x:c>
      <x:c r="I1145" s="75" t="str">
        <x:v>GBP</x:v>
      </x:c>
      <x:c r="J1145" s="81"/>
      <x:c r="K1145" s="83"/>
      <x:c r="L1145" s="75" t="str">
        <x:v>Evidence needed</x:v>
      </x:c>
      <x:c r="M1145" s="75" t="str">
        <x:v>Buyer-specific role, production, availability, signing age and total fee evidence are needed before assigning a deal-value score.</x:v>
      </x:c>
      <x:c r="N1145" s="75" t="str">
        <x:v>Not assessed</x:v>
      </x:c>
      <x:c r="O1145" s="75" t="str">
        <x:v>Source broad position and transfer quote only; detailed role and buyer-specific production not validated.</x:v>
      </x:c>
      <x:c r="P1145" s="75" t="str">
        <x:v>https://www.theguardian.com/football/ng-interactive/2026/sep/01/mens-transfer-window-summer-2026-all-deals-from-europes-top-five-leagues</x:v>
      </x:c>
    </x:row>
    <x:row r="1146" ht="25" customHeight="1">
      <x:c r="A1146" s="69" t="str">
        <x:v>summer-S26-0594</x:v>
      </x:c>
      <x:c r="B1146" s="69" t="str">
        <x:v>Javi Pamies</x:v>
      </x:c>
      <x:c r="C1146" s="69" t="str">
        <x:v>Orihuela</x:v>
      </x:c>
      <x:c r="D1146" s="69" t="str">
        <x:v>Valencia</x:v>
      </x:c>
      <x:c r="E1146" s="76" t="d">
        <x:v>2026-06-29T00:00:00.000Z</x:v>
      </x:c>
      <x:c r="F1146" s="69" t="str">
        <x:v>summer</x:v>
      </x:c>
      <x:c r="G1146" s="69" t="str">
        <x:v>Defender — source label</x:v>
      </x:c>
      <x:c r="H1146" s="78"/>
      <x:c r="I1146" s="69" t="str">
        <x:v>GBP</x:v>
      </x:c>
      <x:c r="J1146" s="80"/>
      <x:c r="K1146" s="82"/>
      <x:c r="L1146" s="69" t="str">
        <x:v>Evidence needed</x:v>
      </x:c>
      <x:c r="M1146" s="69" t="str">
        <x:v>Buyer-specific role, production, availability, signing age and total fee evidence are needed before assigning a deal-value score. A zero base fee does not represent wages or signing costs.</x:v>
      </x:c>
      <x:c r="N1146" s="69" t="str">
        <x:v>Not assessed</x:v>
      </x:c>
      <x:c r="O1146" s="69" t="str">
        <x:v>Source broad position and transfer quote only; detailed role and buyer-specific production not validated.</x:v>
      </x:c>
      <x:c r="P1146" s="69" t="str">
        <x:v>https://www.theguardian.com/football/ng-interactive/2026/sep/01/mens-transfer-window-summer-2026-all-deals-from-europes-top-five-leagues</x:v>
      </x:c>
    </x:row>
    <x:row r="1147" ht="25" customHeight="1">
      <x:c r="A1147" s="75" t="str">
        <x:v>summer-S26-0596</x:v>
      </x:c>
      <x:c r="B1147" s="75" t="str">
        <x:v>Kazunari Kita</x:v>
      </x:c>
      <x:c r="C1147" s="75" t="str">
        <x:v>Real Sociedad</x:v>
      </x:c>
      <x:c r="D1147" s="75" t="str">
        <x:v>Kyoto Sanga</x:v>
      </x:c>
      <x:c r="E1147" s="77" t="d">
        <x:v>2026-06-30T00:00:00.000Z</x:v>
      </x:c>
      <x:c r="F1147" s="75" t="str">
        <x:v>summer</x:v>
      </x:c>
      <x:c r="G1147" s="75" t="str">
        <x:v>Defender — source label</x:v>
      </x:c>
      <x:c r="H1147" s="79" t="n">
        <x:v>1300000</x:v>
      </x:c>
      <x:c r="I1147" s="75" t="str">
        <x:v>GBP</x:v>
      </x:c>
      <x:c r="J1147" s="81"/>
      <x:c r="K1147" s="83"/>
      <x:c r="L1147" s="75" t="str">
        <x:v>Evidence needed</x:v>
      </x:c>
      <x:c r="M1147" s="75" t="str">
        <x:v>Buyer-specific role, production, availability, signing age and total fee evidence are needed before assigning a deal-value score.</x:v>
      </x:c>
      <x:c r="N1147" s="75" t="str">
        <x:v>Not assessed</x:v>
      </x:c>
      <x:c r="O1147" s="75" t="str">
        <x:v>Source broad position and transfer quote only; detailed role and buyer-specific production not validated.</x:v>
      </x:c>
      <x:c r="P1147" s="75" t="str">
        <x:v>https://www.theguardian.com/football/ng-interactive/2026/sep/01/mens-transfer-window-summer-2026-all-deals-from-europes-top-five-leagues</x:v>
      </x:c>
    </x:row>
    <x:row r="1148" ht="25" customHeight="1">
      <x:c r="A1148" s="69" t="str">
        <x:v>summer-S26-0598</x:v>
      </x:c>
      <x:c r="B1148" s="69" t="str">
        <x:v>Jano Monserrate</x:v>
      </x:c>
      <x:c r="C1148" s="69" t="str">
        <x:v>Ajax</x:v>
      </x:c>
      <x:c r="D1148" s="69" t="str">
        <x:v>Atlético Madrid</x:v>
      </x:c>
      <x:c r="E1148" s="76" t="d">
        <x:v>2026-06-30T00:00:00.000Z</x:v>
      </x:c>
      <x:c r="F1148" s="69" t="str">
        <x:v>summer</x:v>
      </x:c>
      <x:c r="G1148" s="69" t="str">
        <x:v>Midfielder — source label</x:v>
      </x:c>
      <x:c r="H1148" s="78"/>
      <x:c r="I1148" s="69" t="str">
        <x:v>GBP</x:v>
      </x:c>
      <x:c r="J1148" s="80"/>
      <x:c r="K1148" s="82"/>
      <x:c r="L1148" s="69" t="str">
        <x:v>Evidence needed</x:v>
      </x:c>
      <x:c r="M1148" s="69" t="str">
        <x:v>Buyer-specific role, production, availability, signing age and total fee evidence are needed before assigning a deal-value score. A zero base fee does not represent wages or signing costs.</x:v>
      </x:c>
      <x:c r="N1148" s="69" t="str">
        <x:v>Not assessed</x:v>
      </x:c>
      <x:c r="O1148" s="69" t="str">
        <x:v>Source broad position and transfer quote only; detailed role and buyer-specific production not validated.</x:v>
      </x:c>
      <x:c r="P1148" s="69" t="str">
        <x:v>https://www.theguardian.com/football/ng-interactive/2026/sep/01/mens-transfer-window-summer-2026-all-deals-from-europes-top-five-leagues</x:v>
      </x:c>
    </x:row>
    <x:row r="1149" ht="25" customHeight="1">
      <x:c r="A1149" s="75" t="str">
        <x:v>summer-S26-0599</x:v>
      </x:c>
      <x:c r="B1149" s="75" t="str">
        <x:v>José Gragera</x:v>
      </x:c>
      <x:c r="C1149" s="75" t="str">
        <x:v>Burgos</x:v>
      </x:c>
      <x:c r="D1149" s="75" t="str">
        <x:v>Espanyol</x:v>
      </x:c>
      <x:c r="E1149" s="77" t="d">
        <x:v>2026-07-25T00:00:00.000Z</x:v>
      </x:c>
      <x:c r="F1149" s="75" t="str">
        <x:v>summer</x:v>
      </x:c>
      <x:c r="G1149" s="75" t="str">
        <x:v>Midfielder — source label</x:v>
      </x:c>
      <x:c r="H1149" s="79"/>
      <x:c r="I1149" s="75" t="str">
        <x:v>GBP</x:v>
      </x:c>
      <x:c r="J1149" s="81"/>
      <x:c r="K1149" s="83"/>
      <x:c r="L1149" s="75" t="str">
        <x:v>Evidence needed</x:v>
      </x:c>
      <x:c r="M1149" s="75" t="str">
        <x:v>Buyer-specific role, production, availability, signing age and total fee evidence are needed before assigning a deal-value score. Loan/swap costs must be treated separately.</x:v>
      </x:c>
      <x:c r="N1149" s="75" t="str">
        <x:v>Not assessed</x:v>
      </x:c>
      <x:c r="O1149" s="75" t="str">
        <x:v>Source broad position and transfer quote only; detailed role and buyer-specific production not validated.</x:v>
      </x:c>
      <x:c r="P1149" s="75" t="str">
        <x:v>https://www.theguardian.com/football/ng-interactive/2026/sep/01/mens-transfer-window-summer-2026-all-deals-from-europes-top-five-leagues</x:v>
      </x:c>
    </x:row>
    <x:row r="1150" ht="25" customHeight="1">
      <x:c r="A1150" s="69" t="str">
        <x:v>summer-S26-0601</x:v>
      </x:c>
      <x:c r="B1150" s="69" t="str">
        <x:v>Jusuf Gazibegovic</x:v>
      </x:c>
      <x:c r="C1150" s="69" t="str">
        <x:v>Widzew Lodz</x:v>
      </x:c>
      <x:c r="D1150" s="69" t="str">
        <x:v>Cologne</x:v>
      </x:c>
      <x:c r="E1150" s="76" t="d">
        <x:v>2026-07-26T00:00:00.000Z</x:v>
      </x:c>
      <x:c r="F1150" s="69" t="str">
        <x:v>summer</x:v>
      </x:c>
      <x:c r="G1150" s="69" t="str">
        <x:v>Defender — source label</x:v>
      </x:c>
      <x:c r="H1150" s="78"/>
      <x:c r="I1150" s="69" t="str">
        <x:v>GBP</x:v>
      </x:c>
      <x:c r="J1150" s="80"/>
      <x:c r="K1150" s="82"/>
      <x:c r="L1150" s="69" t="str">
        <x:v>Evidence needed</x:v>
      </x:c>
      <x:c r="M1150" s="69" t="str">
        <x:v>Buyer-specific role, production, availability, signing age and total fee evidence are needed before assigning a deal-value score. Loan/swap costs must be treated separately.</x:v>
      </x:c>
      <x:c r="N1150" s="69" t="str">
        <x:v>Not assessed</x:v>
      </x:c>
      <x:c r="O1150" s="69" t="str">
        <x:v>Source broad position and transfer quote only; detailed role and buyer-specific production not validated.</x:v>
      </x:c>
      <x:c r="P1150" s="69" t="str">
        <x:v>https://www.theguardian.com/football/ng-interactive/2026/sep/01/mens-transfer-window-summer-2026-all-deals-from-europes-top-five-leagues</x:v>
      </x:c>
    </x:row>
    <x:row r="1151" ht="25" customHeight="1">
      <x:c r="A1151" s="75" t="str">
        <x:v>summer-S26-0602</x:v>
      </x:c>
      <x:c r="B1151" s="75" t="str">
        <x:v>José Salinas</x:v>
      </x:c>
      <x:c r="C1151" s="75" t="str">
        <x:v>Málaga</x:v>
      </x:c>
      <x:c r="D1151" s="75" t="str">
        <x:v>Espanyol</x:v>
      </x:c>
      <x:c r="E1151" s="77" t="d">
        <x:v>2026-07-27T00:00:00.000Z</x:v>
      </x:c>
      <x:c r="F1151" s="75" t="str">
        <x:v>summer</x:v>
      </x:c>
      <x:c r="G1151" s="75" t="str">
        <x:v>Defender — source label</x:v>
      </x:c>
      <x:c r="H1151" s="79"/>
      <x:c r="I1151" s="75" t="str">
        <x:v>GBP</x:v>
      </x:c>
      <x:c r="J1151" s="81"/>
      <x:c r="K1151" s="83"/>
      <x:c r="L1151" s="75" t="str">
        <x:v>Evidence needed</x:v>
      </x:c>
      <x:c r="M1151" s="75" t="str">
        <x:v>Buyer-specific role, production, availability, signing age and total fee evidence are needed before assigning a deal-value score. Loan/swap costs must be treated separately.</x:v>
      </x:c>
      <x:c r="N1151" s="75" t="str">
        <x:v>Not assessed</x:v>
      </x:c>
      <x:c r="O1151" s="75" t="str">
        <x:v>Source broad position and transfer quote only; detailed role and buyer-specific production not validated.</x:v>
      </x:c>
      <x:c r="P1151" s="75" t="str">
        <x:v>https://www.theguardian.com/football/ng-interactive/2026/sep/01/mens-transfer-window-summer-2026-all-deals-from-europes-top-five-leagues</x:v>
      </x:c>
    </x:row>
    <x:row r="1152" ht="25" customHeight="1">
      <x:c r="A1152" s="69" t="str">
        <x:v>summer-S26-0606</x:v>
      </x:c>
      <x:c r="B1152" s="69" t="str">
        <x:v>Luca Erlein</x:v>
      </x:c>
      <x:c r="C1152" s="69" t="str">
        <x:v>Energie Cottbus</x:v>
      </x:c>
      <x:c r="D1152" s="69" t="str">
        <x:v>Bayer Leverkusen</x:v>
      </x:c>
      <x:c r="E1152" s="76" t="d">
        <x:v>2026-07-27T00:00:00.000Z</x:v>
      </x:c>
      <x:c r="F1152" s="69" t="str">
        <x:v>summer</x:v>
      </x:c>
      <x:c r="G1152" s="69" t="str">
        <x:v>Defender — source label</x:v>
      </x:c>
      <x:c r="H1152" s="78"/>
      <x:c r="I1152" s="69" t="str">
        <x:v>GBP</x:v>
      </x:c>
      <x:c r="J1152" s="80"/>
      <x:c r="K1152" s="82"/>
      <x:c r="L1152" s="69" t="str">
        <x:v>Evidence needed</x:v>
      </x:c>
      <x:c r="M1152" s="69" t="str">
        <x:v>Buyer-specific role, production, availability, signing age and total fee evidence are needed before assigning a deal-value score. Loan/swap costs must be treated separately.</x:v>
      </x:c>
      <x:c r="N1152" s="69" t="str">
        <x:v>Not assessed</x:v>
      </x:c>
      <x:c r="O1152" s="69" t="str">
        <x:v>Source broad position and transfer quote only; detailed role and buyer-specific production not validated.</x:v>
      </x:c>
      <x:c r="P1152" s="69" t="str">
        <x:v>https://www.theguardian.com/football/ng-interactive/2026/sep/01/mens-transfer-window-summer-2026-all-deals-from-europes-top-five-leagues</x:v>
      </x:c>
    </x:row>
    <x:row r="1153" ht="25" customHeight="1">
      <x:c r="A1153" s="75" t="str">
        <x:v>summer-S26-0608</x:v>
      </x:c>
      <x:c r="B1153" s="75" t="str">
        <x:v>Tommaso Vannucchi</x:v>
      </x:c>
      <x:c r="C1153" s="75" t="str">
        <x:v>Arzignano</x:v>
      </x:c>
      <x:c r="D1153" s="75" t="str">
        <x:v>Fiorentina</x:v>
      </x:c>
      <x:c r="E1153" s="77" t="d">
        <x:v>2026-07-27T00:00:00.000Z</x:v>
      </x:c>
      <x:c r="F1153" s="75" t="str">
        <x:v>summer</x:v>
      </x:c>
      <x:c r="G1153" s="75" t="str">
        <x:v>Goalkeeper — source label</x:v>
      </x:c>
      <x:c r="H1153" s="79"/>
      <x:c r="I1153" s="75" t="str">
        <x:v>GBP</x:v>
      </x:c>
      <x:c r="J1153" s="81"/>
      <x:c r="K1153" s="83"/>
      <x:c r="L1153" s="75" t="str">
        <x:v>Evidence needed</x:v>
      </x:c>
      <x:c r="M1153" s="75" t="str">
        <x:v>Buyer-specific shot-stopping, distribution, aerial command, sweeping, signing age and total fee evidence are needed before scoring. Loan/swap costs must be treated separately.</x:v>
      </x:c>
      <x:c r="N1153" s="75" t="str">
        <x:v>Not assessed</x:v>
      </x:c>
      <x:c r="O1153" s="75" t="str">
        <x:v>Source broad position and transfer quote only; detailed role and buyer-specific production not validated.</x:v>
      </x:c>
      <x:c r="P1153" s="75" t="str">
        <x:v>https://www.theguardian.com/football/ng-interactive/2026/sep/01/mens-transfer-window-summer-2026-all-deals-from-europes-top-five-leagues</x:v>
      </x:c>
    </x:row>
    <x:row r="1154" ht="25" customHeight="1">
      <x:c r="A1154" s="69" t="str">
        <x:v>summer-S26-0610</x:v>
      </x:c>
      <x:c r="B1154" s="69" t="str">
        <x:v>Kjell Scherpen</x:v>
      </x:c>
      <x:c r="C1154" s="69" t="str">
        <x:v>Ipswich Town</x:v>
      </x:c>
      <x:c r="D1154" s="69" t="str">
        <x:v>Union St-Gilloise</x:v>
      </x:c>
      <x:c r="E1154" s="76" t="d">
        <x:v>2026-07-28T00:00:00.000Z</x:v>
      </x:c>
      <x:c r="F1154" s="69" t="str">
        <x:v>summer</x:v>
      </x:c>
      <x:c r="G1154" s="69" t="str">
        <x:v>Goalkeeper — source label</x:v>
      </x:c>
      <x:c r="H1154" s="78" t="n">
        <x:v>8600000</x:v>
      </x:c>
      <x:c r="I1154" s="69" t="str">
        <x:v>GBP</x:v>
      </x:c>
      <x:c r="J1154" s="80"/>
      <x:c r="K1154" s="82"/>
      <x:c r="L1154" s="69" t="str">
        <x:v>Evidence needed</x:v>
      </x:c>
      <x:c r="M1154" s="69" t="str">
        <x:v>Buyer-specific shot-stopping, distribution, aerial command, sweeping, signing age and total fee evidence are needed before scoring.</x:v>
      </x:c>
      <x:c r="N1154" s="69" t="str">
        <x:v>Not assessed</x:v>
      </x:c>
      <x:c r="O1154" s="69" t="str">
        <x:v>Source broad position and transfer quote only; detailed role and buyer-specific production not validated.</x:v>
      </x:c>
      <x:c r="P1154" s="69" t="str">
        <x:v>https://www.theguardian.com/football/ng-interactive/2026/sep/01/mens-transfer-window-summer-2026-all-deals-from-europes-top-five-leagues</x:v>
      </x:c>
    </x:row>
    <x:row r="1155" ht="25" customHeight="1">
      <x:c r="A1155" s="75" t="str">
        <x:v>summer-S26-0611</x:v>
      </x:c>
      <x:c r="B1155" s="75" t="str">
        <x:v>Otávio</x:v>
      </x:c>
      <x:c r="C1155" s="75" t="str">
        <x:v>Eintracht Frankfurt</x:v>
      </x:c>
      <x:c r="D1155" s="75" t="str">
        <x:v>Estrela Amadora</x:v>
      </x:c>
      <x:c r="E1155" s="77" t="d">
        <x:v>2026-07-28T00:00:00.000Z</x:v>
      </x:c>
      <x:c r="F1155" s="75" t="str">
        <x:v>summer</x:v>
      </x:c>
      <x:c r="G1155" s="75" t="str">
        <x:v>Defender — source label</x:v>
      </x:c>
      <x:c r="H1155" s="79" t="n">
        <x:v>3850000</x:v>
      </x:c>
      <x:c r="I1155" s="75" t="str">
        <x:v>GBP</x:v>
      </x:c>
      <x:c r="J1155" s="81"/>
      <x:c r="K1155" s="83"/>
      <x:c r="L1155" s="75" t="str">
        <x:v>Evidence needed</x:v>
      </x:c>
      <x:c r="M1155" s="75" t="str">
        <x:v>Buyer-specific role, production, availability, signing age and total fee evidence are needed before assigning a deal-value score.</x:v>
      </x:c>
      <x:c r="N1155" s="75" t="str">
        <x:v>Not assessed</x:v>
      </x:c>
      <x:c r="O1155" s="75" t="str">
        <x:v>Source broad position and transfer quote only; detailed role and buyer-specific production not validated.</x:v>
      </x:c>
      <x:c r="P1155" s="75" t="str">
        <x:v>https://www.theguardian.com/football/ng-interactive/2026/sep/01/mens-transfer-window-summer-2026-all-deals-from-europes-top-five-leagues</x:v>
      </x:c>
    </x:row>
    <x:row r="1156" ht="25" customHeight="1">
      <x:c r="A1156" s="69" t="str">
        <x:v>summer-S26-0612</x:v>
      </x:c>
      <x:c r="B1156" s="69" t="str">
        <x:v>Joe Gauci</x:v>
      </x:c>
      <x:c r="C1156" s="69" t="str">
        <x:v>Lincoln City</x:v>
      </x:c>
      <x:c r="D1156" s="69" t="str">
        <x:v>Aston Villa</x:v>
      </x:c>
      <x:c r="E1156" s="76" t="d">
        <x:v>2026-07-28T00:00:00.000Z</x:v>
      </x:c>
      <x:c r="F1156" s="69" t="str">
        <x:v>summer</x:v>
      </x:c>
      <x:c r="G1156" s="69" t="str">
        <x:v>Goalkeeper — source label</x:v>
      </x:c>
      <x:c r="H1156" s="78"/>
      <x:c r="I1156" s="69" t="str">
        <x:v>GBP</x:v>
      </x:c>
      <x:c r="J1156" s="80"/>
      <x:c r="K1156" s="82"/>
      <x:c r="L1156" s="69" t="str">
        <x:v>Evidence needed</x:v>
      </x:c>
      <x:c r="M1156" s="69" t="str">
        <x:v>Buyer-specific shot-stopping, distribution, aerial command, sweeping, signing age and total fee evidence are needed before scoring. Loan/swap costs must be treated separately.</x:v>
      </x:c>
      <x:c r="N1156" s="69" t="str">
        <x:v>Not assessed</x:v>
      </x:c>
      <x:c r="O1156" s="69" t="str">
        <x:v>Source broad position and transfer quote only; detailed role and buyer-specific production not validated.</x:v>
      </x:c>
      <x:c r="P1156" s="69" t="str">
        <x:v>https://www.theguardian.com/football/ng-interactive/2026/sep/01/mens-transfer-window-summer-2026-all-deals-from-europes-top-five-leagues</x:v>
      </x:c>
    </x:row>
    <x:row r="1157" ht="25" customHeight="1">
      <x:c r="A1157" s="75" t="str">
        <x:v>summer-S26-0614</x:v>
      </x:c>
      <x:c r="B1157" s="75" t="str">
        <x:v>Ugo Raghouber</x:v>
      </x:c>
      <x:c r="C1157" s="75" t="str">
        <x:v>Burnley</x:v>
      </x:c>
      <x:c r="D1157" s="75" t="str">
        <x:v>Lille</x:v>
      </x:c>
      <x:c r="E1157" s="77" t="d">
        <x:v>2026-07-28T00:00:00.000Z</x:v>
      </x:c>
      <x:c r="F1157" s="75" t="str">
        <x:v>summer</x:v>
      </x:c>
      <x:c r="G1157" s="75" t="str">
        <x:v>Midfielder — source label</x:v>
      </x:c>
      <x:c r="H1157" s="79" t="n">
        <x:v>4300000</x:v>
      </x:c>
      <x:c r="I1157" s="75" t="str">
        <x:v>GBP</x:v>
      </x:c>
      <x:c r="J1157" s="81"/>
      <x:c r="K1157" s="83"/>
      <x:c r="L1157" s="75" t="str">
        <x:v>Evidence needed</x:v>
      </x:c>
      <x:c r="M1157" s="75" t="str">
        <x:v>Buyer-specific role, production, availability, signing age and total fee evidence are needed before assigning a deal-value score.</x:v>
      </x:c>
      <x:c r="N1157" s="75" t="str">
        <x:v>Not assessed</x:v>
      </x:c>
      <x:c r="O1157" s="75" t="str">
        <x:v>Source broad position and transfer quote only; detailed role and buyer-specific production not validated.</x:v>
      </x:c>
      <x:c r="P1157" s="75" t="str">
        <x:v>https://www.theguardian.com/football/ng-interactive/2026/sep/01/mens-transfer-window-summer-2026-all-deals-from-europes-top-five-leagues</x:v>
      </x:c>
    </x:row>
    <x:row r="1158" ht="25" customHeight="1">
      <x:c r="A1158" s="69" t="str">
        <x:v>summer-S26-0618</x:v>
      </x:c>
      <x:c r="B1158" s="69" t="str">
        <x:v>Lorenzo Villa</x:v>
      </x:c>
      <x:c r="C1158" s="69" t="str">
        <x:v>Sion</x:v>
      </x:c>
      <x:c r="D1158" s="69" t="str">
        <x:v>Juventus</x:v>
      </x:c>
      <x:c r="E1158" s="76" t="d">
        <x:v>2026-07-27T00:00:00.000Z</x:v>
      </x:c>
      <x:c r="F1158" s="69" t="str">
        <x:v>summer</x:v>
      </x:c>
      <x:c r="G1158" s="69" t="str">
        <x:v>Defender — source label</x:v>
      </x:c>
      <x:c r="H1158" s="78"/>
      <x:c r="I1158" s="69" t="str">
        <x:v>GBP</x:v>
      </x:c>
      <x:c r="J1158" s="80"/>
      <x:c r="K1158" s="82"/>
      <x:c r="L1158" s="69" t="str">
        <x:v>Evidence needed</x:v>
      </x:c>
      <x:c r="M1158" s="69" t="str">
        <x:v>Buyer-specific role, production, availability, signing age and total fee evidence are needed before assigning a deal-value score.</x:v>
      </x:c>
      <x:c r="N1158" s="69" t="str">
        <x:v>Not assessed</x:v>
      </x:c>
      <x:c r="O1158" s="69" t="str">
        <x:v>Source broad position and transfer quote only; detailed role and buyer-specific production not validated.</x:v>
      </x:c>
      <x:c r="P1158" s="69" t="str">
        <x:v>https://www.theguardian.com/football/ng-interactive/2026/sep/01/mens-transfer-window-summer-2026-all-deals-from-europes-top-five-leagues</x:v>
      </x:c>
    </x:row>
    <x:row r="1159" ht="25" customHeight="1">
      <x:c r="A1159" s="75" t="str">
        <x:v>summer-S26-0619</x:v>
      </x:c>
      <x:c r="B1159" s="75" t="str">
        <x:v>Rares Ilie</x:v>
      </x:c>
      <x:c r="C1159" s="75" t="str">
        <x:v>Mantova</x:v>
      </x:c>
      <x:c r="D1159" s="75" t="str">
        <x:v>Nice</x:v>
      </x:c>
      <x:c r="E1159" s="77" t="d">
        <x:v>2026-07-28T00:00:00.000Z</x:v>
      </x:c>
      <x:c r="F1159" s="75" t="str">
        <x:v>summer</x:v>
      </x:c>
      <x:c r="G1159" s="75" t="str">
        <x:v>Midfielder — source label</x:v>
      </x:c>
      <x:c r="H1159" s="79"/>
      <x:c r="I1159" s="75" t="str">
        <x:v>GBP</x:v>
      </x:c>
      <x:c r="J1159" s="81"/>
      <x:c r="K1159" s="83"/>
      <x:c r="L1159" s="75" t="str">
        <x:v>Evidence needed</x:v>
      </x:c>
      <x:c r="M1159" s="75" t="str">
        <x:v>Buyer-specific role, production, availability, signing age and total fee evidence are needed before assigning a deal-value score.</x:v>
      </x:c>
      <x:c r="N1159" s="75" t="str">
        <x:v>Not assessed</x:v>
      </x:c>
      <x:c r="O1159" s="75" t="str">
        <x:v>Source broad position and transfer quote only; detailed role and buyer-specific production not validated.</x:v>
      </x:c>
      <x:c r="P1159" s="75" t="str">
        <x:v>https://www.theguardian.com/football/ng-interactive/2026/sep/01/mens-transfer-window-summer-2026-all-deals-from-europes-top-five-leagues</x:v>
      </x:c>
    </x:row>
    <x:row r="1160" ht="25" customHeight="1">
      <x:c r="A1160" s="69" t="str">
        <x:v>summer-S26-0620</x:v>
      </x:c>
      <x:c r="B1160" s="69" t="str">
        <x:v>Harvey Cartwright</x:v>
      </x:c>
      <x:c r="C1160" s="69" t="str">
        <x:v>Grimsby Town</x:v>
      </x:c>
      <x:c r="D1160" s="69" t="str">
        <x:v>Hull City</x:v>
      </x:c>
      <x:c r="E1160" s="76" t="d">
        <x:v>2026-07-28T00:00:00.000Z</x:v>
      </x:c>
      <x:c r="F1160" s="69" t="str">
        <x:v>summer</x:v>
      </x:c>
      <x:c r="G1160" s="69" t="str">
        <x:v>Goalkeeper — source label</x:v>
      </x:c>
      <x:c r="H1160" s="78"/>
      <x:c r="I1160" s="69" t="str">
        <x:v>GBP</x:v>
      </x:c>
      <x:c r="J1160" s="80"/>
      <x:c r="K1160" s="82"/>
      <x:c r="L1160" s="69" t="str">
        <x:v>Evidence needed</x:v>
      </x:c>
      <x:c r="M1160" s="69" t="str">
        <x:v>Buyer-specific shot-stopping, distribution, aerial command, sweeping, signing age and total fee evidence are needed before scoring. Loan/swap costs must be treated separately.</x:v>
      </x:c>
      <x:c r="N1160" s="69" t="str">
        <x:v>Not assessed</x:v>
      </x:c>
      <x:c r="O1160" s="69" t="str">
        <x:v>Source broad position and transfer quote only; detailed role and buyer-specific production not validated.</x:v>
      </x:c>
      <x:c r="P1160" s="69" t="str">
        <x:v>https://www.theguardian.com/football/ng-interactive/2026/sep/01/mens-transfer-window-summer-2026-all-deals-from-europes-top-five-leagues</x:v>
      </x:c>
    </x:row>
    <x:row r="1161" ht="25" customHeight="1">
      <x:c r="A1161" s="75" t="str">
        <x:v>summer-S26-0621</x:v>
      </x:c>
      <x:c r="B1161" s="75" t="str">
        <x:v>Julio Díaz</x:v>
      </x:c>
      <x:c r="C1161" s="75" t="str">
        <x:v>Sevilla</x:v>
      </x:c>
      <x:c r="D1161" s="75" t="str">
        <x:v>Atlético Madrid</x:v>
      </x:c>
      <x:c r="E1161" s="77" t="d">
        <x:v>2026-07-28T00:00:00.000Z</x:v>
      </x:c>
      <x:c r="F1161" s="75" t="str">
        <x:v>summer</x:v>
      </x:c>
      <x:c r="G1161" s="75" t="str">
        <x:v>Defender — source label</x:v>
      </x:c>
      <x:c r="H1161" s="79" t="n">
        <x:v>900000</x:v>
      </x:c>
      <x:c r="I1161" s="75" t="str">
        <x:v>GBP</x:v>
      </x:c>
      <x:c r="J1161" s="81"/>
      <x:c r="K1161" s="83"/>
      <x:c r="L1161" s="75" t="str">
        <x:v>Evidence needed</x:v>
      </x:c>
      <x:c r="M1161" s="75" t="str">
        <x:v>Buyer-specific role, production, availability, signing age and total fee evidence are needed before assigning a deal-value score.</x:v>
      </x:c>
      <x:c r="N1161" s="75" t="str">
        <x:v>Not assessed</x:v>
      </x:c>
      <x:c r="O1161" s="75" t="str">
        <x:v>Source broad position and transfer quote only; detailed role and buyer-specific production not validated.</x:v>
      </x:c>
      <x:c r="P1161" s="75" t="str">
        <x:v>https://www.theguardian.com/football/ng-interactive/2026/sep/01/mens-transfer-window-summer-2026-all-deals-from-europes-top-five-leagues</x:v>
      </x:c>
    </x:row>
    <x:row r="1162" ht="25" customHeight="1">
      <x:c r="A1162" s="69" t="str">
        <x:v>summer-S26-0623</x:v>
      </x:c>
      <x:c r="B1162" s="69" t="str">
        <x:v>Hugo Solozábal</x:v>
      </x:c>
      <x:c r="C1162" s="69" t="str">
        <x:v>FC Andorra</x:v>
      </x:c>
      <x:c r="D1162" s="69" t="str">
        <x:v>Getafe</x:v>
      </x:c>
      <x:c r="E1162" s="76" t="d">
        <x:v>2026-07-12T00:00:00.000Z</x:v>
      </x:c>
      <x:c r="F1162" s="69" t="str">
        <x:v>summer</x:v>
      </x:c>
      <x:c r="G1162" s="69" t="str">
        <x:v>Midfielder — source label</x:v>
      </x:c>
      <x:c r="H1162" s="78"/>
      <x:c r="I1162" s="69" t="str">
        <x:v>GBP</x:v>
      </x:c>
      <x:c r="J1162" s="80"/>
      <x:c r="K1162" s="82"/>
      <x:c r="L1162" s="69" t="str">
        <x:v>Evidence needed</x:v>
      </x:c>
      <x:c r="M1162" s="69" t="str">
        <x:v>Buyer-specific role, production, availability, signing age and total fee evidence are needed before assigning a deal-value score. A zero base fee does not represent wages or signing costs.</x:v>
      </x:c>
      <x:c r="N1162" s="69" t="str">
        <x:v>Not assessed</x:v>
      </x:c>
      <x:c r="O1162" s="69" t="str">
        <x:v>Source broad position and transfer quote only; detailed role and buyer-specific production not validated.</x:v>
      </x:c>
      <x:c r="P1162" s="69" t="str">
        <x:v>https://www.theguardian.com/football/ng-interactive/2026/sep/01/mens-transfer-window-summer-2026-all-deals-from-europes-top-five-leagues</x:v>
      </x:c>
    </x:row>
    <x:row r="1163" ht="25" customHeight="1">
      <x:c r="A1163" s="75" t="str">
        <x:v>summer-S26-0624</x:v>
      </x:c>
      <x:c r="B1163" s="75" t="str">
        <x:v>Darling Bladi</x:v>
      </x:c>
      <x:c r="C1163" s="75" t="str">
        <x:v>Heerenveen</x:v>
      </x:c>
      <x:c r="D1163" s="75" t="str">
        <x:v>Real Betis</x:v>
      </x:c>
      <x:c r="E1163" s="77" t="d">
        <x:v>2026-06-20T00:00:00.000Z</x:v>
      </x:c>
      <x:c r="F1163" s="75" t="str">
        <x:v>summer</x:v>
      </x:c>
      <x:c r="G1163" s="75" t="str">
        <x:v>Defender — source label</x:v>
      </x:c>
      <x:c r="H1163" s="79"/>
      <x:c r="I1163" s="75" t="str">
        <x:v>GBP</x:v>
      </x:c>
      <x:c r="J1163" s="81"/>
      <x:c r="K1163" s="83"/>
      <x:c r="L1163" s="75" t="str">
        <x:v>Evidence needed</x:v>
      </x:c>
      <x:c r="M1163" s="75" t="str">
        <x:v>Buyer-specific role, production, availability, signing age and total fee evidence are needed before assigning a deal-value score. A zero base fee does not represent wages or signing costs.</x:v>
      </x:c>
      <x:c r="N1163" s="75" t="str">
        <x:v>Not assessed</x:v>
      </x:c>
      <x:c r="O1163" s="75" t="str">
        <x:v>Source broad position and transfer quote only; detailed role and buyer-specific production not validated.</x:v>
      </x:c>
      <x:c r="P1163" s="75" t="str">
        <x:v>https://www.theguardian.com/football/ng-interactive/2026/sep/01/mens-transfer-window-summer-2026-all-deals-from-europes-top-five-leagues</x:v>
      </x:c>
    </x:row>
    <x:row r="1164" ht="25" customHeight="1">
      <x:c r="A1164" s="69" t="str">
        <x:v>summer-S26-0626</x:v>
      </x:c>
      <x:c r="B1164" s="69" t="str">
        <x:v>Jon de Luis</x:v>
      </x:c>
      <x:c r="C1164" s="69" t="str">
        <x:v>Kifisia</x:v>
      </x:c>
      <x:c r="D1164" s="69" t="str">
        <x:v>Athletic Club</x:v>
      </x:c>
      <x:c r="E1164" s="76" t="d">
        <x:v>2026-07-04T00:00:00.000Z</x:v>
      </x:c>
      <x:c r="F1164" s="69" t="str">
        <x:v>summer</x:v>
      </x:c>
      <x:c r="G1164" s="69" t="str">
        <x:v>Defender — source label</x:v>
      </x:c>
      <x:c r="H1164" s="78"/>
      <x:c r="I1164" s="69" t="str">
        <x:v>GBP</x:v>
      </x:c>
      <x:c r="J1164" s="80"/>
      <x:c r="K1164" s="82"/>
      <x:c r="L1164" s="69" t="str">
        <x:v>Evidence needed</x:v>
      </x:c>
      <x:c r="M1164" s="69" t="str">
        <x:v>Buyer-specific role, production, availability, signing age and total fee evidence are needed before assigning a deal-value score. A zero base fee does not represent wages or signing costs.</x:v>
      </x:c>
      <x:c r="N1164" s="69" t="str">
        <x:v>Not assessed</x:v>
      </x:c>
      <x:c r="O1164" s="69" t="str">
        <x:v>Source broad position and transfer quote only; detailed role and buyer-specific production not validated.</x:v>
      </x:c>
      <x:c r="P1164" s="69" t="str">
        <x:v>https://www.theguardian.com/football/ng-interactive/2026/sep/01/mens-transfer-window-summer-2026-all-deals-from-europes-top-five-leagues</x:v>
      </x:c>
    </x:row>
    <x:row r="1165" ht="25" customHeight="1">
      <x:c r="A1165" s="75" t="str">
        <x:v>summer-S26-0627</x:v>
      </x:c>
      <x:c r="B1165" s="75" t="str">
        <x:v>Jokin Ezkieta</x:v>
      </x:c>
      <x:c r="C1165" s="75" t="str">
        <x:v>Cádiz</x:v>
      </x:c>
      <x:c r="D1165" s="75" t="str">
        <x:v>Racing Santander</x:v>
      </x:c>
      <x:c r="E1165" s="77" t="d">
        <x:v>2026-07-05T00:00:00.000Z</x:v>
      </x:c>
      <x:c r="F1165" s="75" t="str">
        <x:v>summer</x:v>
      </x:c>
      <x:c r="G1165" s="75" t="str">
        <x:v>Goalkeeper — source label</x:v>
      </x:c>
      <x:c r="H1165" s="79"/>
      <x:c r="I1165" s="75" t="str">
        <x:v>GBP</x:v>
      </x:c>
      <x:c r="J1165" s="81"/>
      <x:c r="K1165" s="83"/>
      <x:c r="L1165" s="75" t="str">
        <x:v>Evidence needed</x:v>
      </x:c>
      <x:c r="M1165" s="75" t="str">
        <x:v>Buyer-specific shot-stopping, distribution, aerial command, sweeping, signing age and total fee evidence are needed before scoring. Loan/swap costs must be treated separately.</x:v>
      </x:c>
      <x:c r="N1165" s="75" t="str">
        <x:v>Not assessed</x:v>
      </x:c>
      <x:c r="O1165" s="75" t="str">
        <x:v>Source broad position and transfer quote only; detailed role and buyer-specific production not validated.</x:v>
      </x:c>
      <x:c r="P1165" s="75" t="str">
        <x:v>https://www.theguardian.com/football/ng-interactive/2026/sep/01/mens-transfer-window-summer-2026-all-deals-from-europes-top-five-leagues</x:v>
      </x:c>
    </x:row>
    <x:row r="1166" ht="25" customHeight="1">
      <x:c r="A1166" s="69" t="str">
        <x:v>summer-S26-0628</x:v>
      </x:c>
      <x:c r="B1166" s="69" t="str">
        <x:v>Damián Cáceres</x:v>
      </x:c>
      <x:c r="C1166" s="69" t="str">
        <x:v>Córdoba</x:v>
      </x:c>
      <x:c r="D1166" s="69" t="str">
        <x:v>Getafe</x:v>
      </x:c>
      <x:c r="E1166" s="76" t="d">
        <x:v>2026-07-05T00:00:00.000Z</x:v>
      </x:c>
      <x:c r="F1166" s="69" t="str">
        <x:v>summer</x:v>
      </x:c>
      <x:c r="G1166" s="69" t="str">
        <x:v>Midfielder — source label</x:v>
      </x:c>
      <x:c r="H1166" s="78"/>
      <x:c r="I1166" s="69" t="str">
        <x:v>GBP</x:v>
      </x:c>
      <x:c r="J1166" s="80"/>
      <x:c r="K1166" s="82"/>
      <x:c r="L1166" s="69" t="str">
        <x:v>Evidence needed</x:v>
      </x:c>
      <x:c r="M1166" s="69" t="str">
        <x:v>Buyer-specific role, production, availability, signing age and total fee evidence are needed before assigning a deal-value score. A zero base fee does not represent wages or signing costs.</x:v>
      </x:c>
      <x:c r="N1166" s="69" t="str">
        <x:v>Not assessed</x:v>
      </x:c>
      <x:c r="O1166" s="69" t="str">
        <x:v>Source broad position and transfer quote only; detailed role and buyer-specific production not validated.</x:v>
      </x:c>
      <x:c r="P1166" s="69" t="str">
        <x:v>https://www.theguardian.com/football/ng-interactive/2026/sep/01/mens-transfer-window-summer-2026-all-deals-from-europes-top-five-leagues</x:v>
      </x:c>
    </x:row>
    <x:row r="1167" ht="25" customHeight="1">
      <x:c r="A1167" s="75" t="str">
        <x:v>summer-S26-0629</x:v>
      </x:c>
      <x:c r="B1167" s="75" t="str">
        <x:v>Javi Castro</x:v>
      </x:c>
      <x:c r="C1167" s="75" t="str">
        <x:v>Cádiz</x:v>
      </x:c>
      <x:c r="D1167" s="75" t="str">
        <x:v>Racing Santander</x:v>
      </x:c>
      <x:c r="E1167" s="77" t="d">
        <x:v>2026-07-06T00:00:00.000Z</x:v>
      </x:c>
      <x:c r="F1167" s="75" t="str">
        <x:v>summer</x:v>
      </x:c>
      <x:c r="G1167" s="75" t="str">
        <x:v>Defender — source label</x:v>
      </x:c>
      <x:c r="H1167" s="79"/>
      <x:c r="I1167" s="75" t="str">
        <x:v>GBP</x:v>
      </x:c>
      <x:c r="J1167" s="81"/>
      <x:c r="K1167" s="83"/>
      <x:c r="L1167" s="75" t="str">
        <x:v>Evidence needed</x:v>
      </x:c>
      <x:c r="M1167" s="75" t="str">
        <x:v>Buyer-specific role, production, availability, signing age and total fee evidence are needed before assigning a deal-value score. A zero base fee does not represent wages or signing costs.</x:v>
      </x:c>
      <x:c r="N1167" s="75" t="str">
        <x:v>Not assessed</x:v>
      </x:c>
      <x:c r="O1167" s="75" t="str">
        <x:v>Source broad position and transfer quote only; detailed role and buyer-specific production not validated.</x:v>
      </x:c>
      <x:c r="P1167" s="75" t="str">
        <x:v>https://www.theguardian.com/football/ng-interactive/2026/sep/01/mens-transfer-window-summer-2026-all-deals-from-europes-top-five-leagues</x:v>
      </x:c>
    </x:row>
    <x:row r="1168" ht="25" customHeight="1">
      <x:c r="A1168" s="69" t="str">
        <x:v>summer-S26-0630</x:v>
      </x:c>
      <x:c r="B1168" s="69" t="str">
        <x:v>Jean Ives Valou</x:v>
      </x:c>
      <x:c r="C1168" s="69" t="str">
        <x:v>Getafe</x:v>
      </x:c>
      <x:c r="D1168" s="69" t="str">
        <x:v>Villarreal</x:v>
      </x:c>
      <x:c r="E1168" s="76" t="d">
        <x:v>2026-07-07T00:00:00.000Z</x:v>
      </x:c>
      <x:c r="F1168" s="69" t="str">
        <x:v>summer</x:v>
      </x:c>
      <x:c r="G1168" s="69" t="str">
        <x:v>Defender — source label</x:v>
      </x:c>
      <x:c r="H1168" s="78"/>
      <x:c r="I1168" s="69" t="str">
        <x:v>GBP</x:v>
      </x:c>
      <x:c r="J1168" s="80"/>
      <x:c r="K1168" s="82"/>
      <x:c r="L1168" s="69" t="str">
        <x:v>Evidence needed</x:v>
      </x:c>
      <x:c r="M1168" s="69" t="str">
        <x:v>Buyer-specific role, production, availability, signing age and total fee evidence are needed before assigning a deal-value score. Loan/swap costs must be treated separately.</x:v>
      </x:c>
      <x:c r="N1168" s="69" t="str">
        <x:v>Not assessed</x:v>
      </x:c>
      <x:c r="O1168" s="69" t="str">
        <x:v>Source broad position and transfer quote only; detailed role and buyer-specific production not validated.</x:v>
      </x:c>
      <x:c r="P1168" s="69" t="str">
        <x:v>https://www.theguardian.com/football/ng-interactive/2026/sep/01/mens-transfer-window-summer-2026-all-deals-from-europes-top-five-leagues</x:v>
      </x:c>
    </x:row>
    <x:row r="1169" ht="25" customHeight="1">
      <x:c r="A1169" s="75" t="str">
        <x:v>summer-S26-0632</x:v>
      </x:c>
      <x:c r="B1169" s="75" t="str">
        <x:v>Ibon Sánchez</x:v>
      </x:c>
      <x:c r="C1169" s="75" t="str">
        <x:v>Cádiz</x:v>
      </x:c>
      <x:c r="D1169" s="75" t="str">
        <x:v>Athletic Club</x:v>
      </x:c>
      <x:c r="E1169" s="77" t="d">
        <x:v>2026-07-07T00:00:00.000Z</x:v>
      </x:c>
      <x:c r="F1169" s="75" t="str">
        <x:v>summer</x:v>
      </x:c>
      <x:c r="G1169" s="75" t="str">
        <x:v>Midfielder — source label</x:v>
      </x:c>
      <x:c r="H1169" s="79"/>
      <x:c r="I1169" s="75" t="str">
        <x:v>GBP</x:v>
      </x:c>
      <x:c r="J1169" s="81"/>
      <x:c r="K1169" s="83"/>
      <x:c r="L1169" s="75" t="str">
        <x:v>Evidence needed</x:v>
      </x:c>
      <x:c r="M1169" s="75" t="str">
        <x:v>Buyer-specific role, production, availability, signing age and total fee evidence are needed before assigning a deal-value score.</x:v>
      </x:c>
      <x:c r="N1169" s="75" t="str">
        <x:v>Not assessed</x:v>
      </x:c>
      <x:c r="O1169" s="75" t="str">
        <x:v>Source broad position and transfer quote only; detailed role and buyer-specific production not validated.</x:v>
      </x:c>
      <x:c r="P1169" s="75" t="str">
        <x:v>https://www.theguardian.com/football/ng-interactive/2026/sep/01/mens-transfer-window-summer-2026-all-deals-from-europes-top-five-leagues</x:v>
      </x:c>
    </x:row>
    <x:row r="1170" ht="25" customHeight="1">
      <x:c r="A1170" s="69" t="str">
        <x:v>summer-S26-0633</x:v>
      </x:c>
      <x:c r="B1170" s="69" t="str">
        <x:v>Eder García</x:v>
      </x:c>
      <x:c r="C1170" s="69" t="str">
        <x:v>Córdoba</x:v>
      </x:c>
      <x:c r="D1170" s="69" t="str">
        <x:v>Athletic Club</x:v>
      </x:c>
      <x:c r="E1170" s="76" t="d">
        <x:v>2026-07-08T00:00:00.000Z</x:v>
      </x:c>
      <x:c r="F1170" s="69" t="str">
        <x:v>summer</x:v>
      </x:c>
      <x:c r="G1170" s="69" t="str">
        <x:v>Midfielder — source label</x:v>
      </x:c>
      <x:c r="H1170" s="78"/>
      <x:c r="I1170" s="69" t="str">
        <x:v>GBP</x:v>
      </x:c>
      <x:c r="J1170" s="80"/>
      <x:c r="K1170" s="82"/>
      <x:c r="L1170" s="69" t="str">
        <x:v>Evidence needed</x:v>
      </x:c>
      <x:c r="M1170" s="69" t="str">
        <x:v>Buyer-specific role, production, availability, signing age and total fee evidence are needed before assigning a deal-value score. Loan/swap costs must be treated separately.</x:v>
      </x:c>
      <x:c r="N1170" s="69" t="str">
        <x:v>Not assessed</x:v>
      </x:c>
      <x:c r="O1170" s="69" t="str">
        <x:v>Source broad position and transfer quote only; detailed role and buyer-specific production not validated.</x:v>
      </x:c>
      <x:c r="P1170" s="69" t="str">
        <x:v>https://www.theguardian.com/football/ng-interactive/2026/sep/01/mens-transfer-window-summer-2026-all-deals-from-europes-top-five-leagues</x:v>
      </x:c>
    </x:row>
    <x:row r="1171" ht="25" customHeight="1">
      <x:c r="A1171" s="75" t="str">
        <x:v>summer-S26-0634</x:v>
      </x:c>
      <x:c r="B1171" s="75" t="str">
        <x:v>Aimar Duñabeitia</x:v>
      </x:c>
      <x:c r="C1171" s="75" t="str">
        <x:v>Sporting Gijón</x:v>
      </x:c>
      <x:c r="D1171" s="75" t="str">
        <x:v>Athletic Club</x:v>
      </x:c>
      <x:c r="E1171" s="77" t="d">
        <x:v>2026-07-08T00:00:00.000Z</x:v>
      </x:c>
      <x:c r="F1171" s="75" t="str">
        <x:v>summer</x:v>
      </x:c>
      <x:c r="G1171" s="75" t="str">
        <x:v>Defender — source label</x:v>
      </x:c>
      <x:c r="H1171" s="79"/>
      <x:c r="I1171" s="75" t="str">
        <x:v>GBP</x:v>
      </x:c>
      <x:c r="J1171" s="81"/>
      <x:c r="K1171" s="83"/>
      <x:c r="L1171" s="75" t="str">
        <x:v>Evidence needed</x:v>
      </x:c>
      <x:c r="M1171" s="75" t="str">
        <x:v>Buyer-specific role, production, availability, signing age and total fee evidence are needed before assigning a deal-value score. Loan/swap costs must be treated separately.</x:v>
      </x:c>
      <x:c r="N1171" s="75" t="str">
        <x:v>Not assessed</x:v>
      </x:c>
      <x:c r="O1171" s="75" t="str">
        <x:v>Source broad position and transfer quote only; detailed role and buyer-specific production not validated.</x:v>
      </x:c>
      <x:c r="P1171" s="75" t="str">
        <x:v>https://www.theguardian.com/football/ng-interactive/2026/sep/01/mens-transfer-window-summer-2026-all-deals-from-europes-top-five-leagues</x:v>
      </x:c>
    </x:row>
    <x:row r="1172" ht="25" customHeight="1">
      <x:c r="A1172" s="69" t="str">
        <x:v>summer-S26-0637</x:v>
      </x:c>
      <x:c r="B1172" s="69" t="str">
        <x:v>Dimitrios Stamatakis</x:v>
      </x:c>
      <x:c r="C1172" s="69" t="str">
        <x:v>Ibiza</x:v>
      </x:c>
      <x:c r="D1172" s="69" t="str">
        <x:v>Osasuna</x:v>
      </x:c>
      <x:c r="E1172" s="76" t="d">
        <x:v>2026-07-08T00:00:00.000Z</x:v>
      </x:c>
      <x:c r="F1172" s="69" t="str">
        <x:v>summer</x:v>
      </x:c>
      <x:c r="G1172" s="69" t="str">
        <x:v>Goalkeeper — source label</x:v>
      </x:c>
      <x:c r="H1172" s="78"/>
      <x:c r="I1172" s="69" t="str">
        <x:v>GBP</x:v>
      </x:c>
      <x:c r="J1172" s="80"/>
      <x:c r="K1172" s="82"/>
      <x:c r="L1172" s="69" t="str">
        <x:v>Evidence needed</x:v>
      </x:c>
      <x:c r="M1172" s="69" t="str">
        <x:v>Buyer-specific shot-stopping, distribution, aerial command, sweeping, signing age and total fee evidence are needed before scoring. Loan/swap costs must be treated separately.</x:v>
      </x:c>
      <x:c r="N1172" s="69" t="str">
        <x:v>Not assessed</x:v>
      </x:c>
      <x:c r="O1172" s="69" t="str">
        <x:v>Source broad position and transfer quote only; detailed role and buyer-specific production not validated.</x:v>
      </x:c>
      <x:c r="P1172" s="69" t="str">
        <x:v>https://www.theguardian.com/football/ng-interactive/2026/sep/01/mens-transfer-window-summer-2026-all-deals-from-europes-top-five-leagues</x:v>
      </x:c>
    </x:row>
    <x:row r="1173" ht="25" customHeight="1">
      <x:c r="A1173" s="75" t="str">
        <x:v>summer-S26-0639</x:v>
      </x:c>
      <x:c r="B1173" s="75" t="str">
        <x:v>Sankhoun Diawara</x:v>
      </x:c>
      <x:c r="C1173" s="75" t="str">
        <x:v>Milan</x:v>
      </x:c>
      <x:c r="D1173" s="75" t="str">
        <x:v>Troyes</x:v>
      </x:c>
      <x:c r="E1173" s="77" t="d">
        <x:v>2026-07-29T00:00:00.000Z</x:v>
      </x:c>
      <x:c r="F1173" s="75" t="str">
        <x:v>summer</x:v>
      </x:c>
      <x:c r="G1173" s="75" t="str">
        <x:v>Defender — source label</x:v>
      </x:c>
      <x:c r="H1173" s="79" t="n">
        <x:v>2600000</x:v>
      </x:c>
      <x:c r="I1173" s="75" t="str">
        <x:v>GBP</x:v>
      </x:c>
      <x:c r="J1173" s="81"/>
      <x:c r="K1173" s="83"/>
      <x:c r="L1173" s="75" t="str">
        <x:v>Evidence needed</x:v>
      </x:c>
      <x:c r="M1173" s="75" t="str">
        <x:v>Buyer-specific role, production, availability, signing age and total fee evidence are needed before assigning a deal-value score.</x:v>
      </x:c>
      <x:c r="N1173" s="75" t="str">
        <x:v>Not assessed</x:v>
      </x:c>
      <x:c r="O1173" s="75" t="str">
        <x:v>Source broad position and transfer quote only; detailed role and buyer-specific production not validated.</x:v>
      </x:c>
      <x:c r="P1173" s="75" t="str">
        <x:v>https://www.theguardian.com/football/ng-interactive/2026/sep/01/mens-transfer-window-summer-2026-all-deals-from-europes-top-five-leagues</x:v>
      </x:c>
    </x:row>
    <x:row r="1174" ht="25" customHeight="1">
      <x:c r="A1174" s="69" t="str">
        <x:v>summer-S26-0640</x:v>
      </x:c>
      <x:c r="B1174" s="69" t="str">
        <x:v>Ekain Díaz</x:v>
      </x:c>
      <x:c r="C1174" s="69" t="str">
        <x:v>Amorebieta</x:v>
      </x:c>
      <x:c r="D1174" s="69" t="str">
        <x:v>Racing Santander</x:v>
      </x:c>
      <x:c r="E1174" s="76" t="d">
        <x:v>2026-07-08T00:00:00.000Z</x:v>
      </x:c>
      <x:c r="F1174" s="69" t="str">
        <x:v>summer</x:v>
      </x:c>
      <x:c r="G1174" s="69" t="str">
        <x:v>Defender — source label</x:v>
      </x:c>
      <x:c r="H1174" s="78"/>
      <x:c r="I1174" s="69" t="str">
        <x:v>GBP</x:v>
      </x:c>
      <x:c r="J1174" s="80"/>
      <x:c r="K1174" s="82"/>
      <x:c r="L1174" s="69" t="str">
        <x:v>Evidence needed</x:v>
      </x:c>
      <x:c r="M1174" s="69" t="str">
        <x:v>Buyer-specific role, production, availability, signing age and total fee evidence are needed before assigning a deal-value score. A zero base fee does not represent wages or signing costs.</x:v>
      </x:c>
      <x:c r="N1174" s="69" t="str">
        <x:v>Not assessed</x:v>
      </x:c>
      <x:c r="O1174" s="69" t="str">
        <x:v>Source broad position and transfer quote only; detailed role and buyer-specific production not validated.</x:v>
      </x:c>
      <x:c r="P1174" s="69" t="str">
        <x:v>https://www.theguardian.com/football/ng-interactive/2026/sep/01/mens-transfer-window-summer-2026-all-deals-from-europes-top-five-leagues</x:v>
      </x:c>
    </x:row>
    <x:row r="1175" ht="25" customHeight="1">
      <x:c r="A1175" s="75" t="str">
        <x:v>summer-S26-0643</x:v>
      </x:c>
      <x:c r="B1175" s="75" t="str">
        <x:v>Germán García</x:v>
      </x:c>
      <x:c r="C1175" s="75" t="str">
        <x:v>Cacereño</x:v>
      </x:c>
      <x:c r="D1175" s="75" t="str">
        <x:v>Real Betis</x:v>
      </x:c>
      <x:c r="E1175" s="77" t="d">
        <x:v>2026-07-08T00:00:00.000Z</x:v>
      </x:c>
      <x:c r="F1175" s="75" t="str">
        <x:v>summer</x:v>
      </x:c>
      <x:c r="G1175" s="75" t="str">
        <x:v>Goalkeeper — source label</x:v>
      </x:c>
      <x:c r="H1175" s="79"/>
      <x:c r="I1175" s="75" t="str">
        <x:v>GBP</x:v>
      </x:c>
      <x:c r="J1175" s="81"/>
      <x:c r="K1175" s="83"/>
      <x:c r="L1175" s="75" t="str">
        <x:v>Evidence needed</x:v>
      </x:c>
      <x:c r="M1175" s="75" t="str">
        <x:v>Buyer-specific shot-stopping, distribution, aerial command, sweeping, signing age and total fee evidence are needed before scoring. A zero base fee does not represent wages or signing costs.</x:v>
      </x:c>
      <x:c r="N1175" s="75" t="str">
        <x:v>Not assessed</x:v>
      </x:c>
      <x:c r="O1175" s="75" t="str">
        <x:v>Source broad position and transfer quote only; detailed role and buyer-specific production not validated.</x:v>
      </x:c>
      <x:c r="P1175" s="75" t="str">
        <x:v>https://www.theguardian.com/football/ng-interactive/2026/sep/01/mens-transfer-window-summer-2026-all-deals-from-europes-top-five-leagues</x:v>
      </x:c>
    </x:row>
    <x:row r="1176" ht="25" customHeight="1">
      <x:c r="A1176" s="69" t="str">
        <x:v>summer-S26-0644</x:v>
      </x:c>
      <x:c r="B1176" s="69" t="str">
        <x:v>Aitor Gismera</x:v>
      </x:c>
      <x:c r="C1176" s="69" t="str">
        <x:v>Hércules</x:v>
      </x:c>
      <x:c r="D1176" s="69" t="str">
        <x:v>Real Betis</x:v>
      </x:c>
      <x:c r="E1176" s="76" t="d">
        <x:v>2026-07-13T00:00:00.000Z</x:v>
      </x:c>
      <x:c r="F1176" s="69" t="str">
        <x:v>summer</x:v>
      </x:c>
      <x:c r="G1176" s="69" t="str">
        <x:v>Midfielder — source label</x:v>
      </x:c>
      <x:c r="H1176" s="78"/>
      <x:c r="I1176" s="69" t="str">
        <x:v>GBP</x:v>
      </x:c>
      <x:c r="J1176" s="80"/>
      <x:c r="K1176" s="82"/>
      <x:c r="L1176" s="69" t="str">
        <x:v>Evidence needed</x:v>
      </x:c>
      <x:c r="M1176" s="69" t="str">
        <x:v>Buyer-specific role, production, availability, signing age and total fee evidence are needed before assigning a deal-value score. Loan/swap costs must be treated separately.</x:v>
      </x:c>
      <x:c r="N1176" s="69" t="str">
        <x:v>Not assessed</x:v>
      </x:c>
      <x:c r="O1176" s="69" t="str">
        <x:v>Source broad position and transfer quote only; detailed role and buyer-specific production not validated.</x:v>
      </x:c>
      <x:c r="P1176" s="69" t="str">
        <x:v>https://www.theguardian.com/football/ng-interactive/2026/sep/01/mens-transfer-window-summer-2026-all-deals-from-europes-top-five-leagues</x:v>
      </x:c>
    </x:row>
    <x:row r="1177" ht="25" customHeight="1">
      <x:c r="A1177" s="75" t="str">
        <x:v>summer-S26-0645</x:v>
      </x:c>
      <x:c r="B1177" s="75" t="str">
        <x:v>José Luis Català</x:v>
      </x:c>
      <x:c r="C1177" s="75" t="str">
        <x:v>Sabadell</x:v>
      </x:c>
      <x:c r="D1177" s="75" t="str">
        <x:v>Espanyol</x:v>
      </x:c>
      <x:c r="E1177" s="77" t="d">
        <x:v>2026-07-15T00:00:00.000Z</x:v>
      </x:c>
      <x:c r="F1177" s="75" t="str">
        <x:v>summer</x:v>
      </x:c>
      <x:c r="G1177" s="75" t="str">
        <x:v>Defender — source label</x:v>
      </x:c>
      <x:c r="H1177" s="79"/>
      <x:c r="I1177" s="75" t="str">
        <x:v>GBP</x:v>
      </x:c>
      <x:c r="J1177" s="81"/>
      <x:c r="K1177" s="83"/>
      <x:c r="L1177" s="75" t="str">
        <x:v>Evidence needed</x:v>
      </x:c>
      <x:c r="M1177" s="75" t="str">
        <x:v>Buyer-specific role, production, availability, signing age and total fee evidence are needed before assigning a deal-value score. A zero base fee does not represent wages or signing costs.</x:v>
      </x:c>
      <x:c r="N1177" s="75" t="str">
        <x:v>Not assessed</x:v>
      </x:c>
      <x:c r="O1177" s="75" t="str">
        <x:v>Source broad position and transfer quote only; detailed role and buyer-specific production not validated.</x:v>
      </x:c>
      <x:c r="P1177" s="75" t="str">
        <x:v>https://www.theguardian.com/football/ng-interactive/2026/sep/01/mens-transfer-window-summer-2026-all-deals-from-europes-top-five-leagues</x:v>
      </x:c>
    </x:row>
    <x:row r="1178" ht="25" customHeight="1">
      <x:c r="A1178" s="69" t="str">
        <x:v>summer-S26-0646</x:v>
      </x:c>
      <x:c r="B1178" s="69" t="str">
        <x:v>Dani Requena</x:v>
      </x:c>
      <x:c r="C1178" s="69" t="str">
        <x:v>Levante</x:v>
      </x:c>
      <x:c r="D1178" s="69" t="str">
        <x:v>Villarreal</x:v>
      </x:c>
      <x:c r="E1178" s="76" t="d">
        <x:v>2026-07-17T00:00:00.000Z</x:v>
      </x:c>
      <x:c r="F1178" s="69" t="str">
        <x:v>summer</x:v>
      </x:c>
      <x:c r="G1178" s="69" t="str">
        <x:v>Midfielder — source label</x:v>
      </x:c>
      <x:c r="H1178" s="78"/>
      <x:c r="I1178" s="69" t="str">
        <x:v>GBP</x:v>
      </x:c>
      <x:c r="J1178" s="80"/>
      <x:c r="K1178" s="82"/>
      <x:c r="L1178" s="69" t="str">
        <x:v>Evidence needed</x:v>
      </x:c>
      <x:c r="M1178" s="69" t="str">
        <x:v>Buyer-specific role, production, availability, signing age and total fee evidence are needed before assigning a deal-value score. Loan/swap costs must be treated separately.</x:v>
      </x:c>
      <x:c r="N1178" s="69" t="str">
        <x:v>Not assessed</x:v>
      </x:c>
      <x:c r="O1178" s="69" t="str">
        <x:v>Source broad position and transfer quote only; detailed role and buyer-specific production not validated.</x:v>
      </x:c>
      <x:c r="P1178" s="69" t="str">
        <x:v>https://www.theguardian.com/football/ng-interactive/2026/sep/01/mens-transfer-window-summer-2026-all-deals-from-europes-top-five-leagues</x:v>
      </x:c>
    </x:row>
    <x:row r="1179" ht="25" customHeight="1">
      <x:c r="A1179" s="75" t="str">
        <x:v>summer-S26-0647</x:v>
      </x:c>
      <x:c r="B1179" s="75" t="str">
        <x:v>Daouda Doumbia</x:v>
      </x:c>
      <x:c r="C1179" s="75" t="str">
        <x:v>NK Istra</x:v>
      </x:c>
      <x:c r="D1179" s="75" t="str">
        <x:v>Alavés</x:v>
      </x:c>
      <x:c r="E1179" s="77" t="d">
        <x:v>2026-07-18T00:00:00.000Z</x:v>
      </x:c>
      <x:c r="F1179" s="75" t="str">
        <x:v>summer</x:v>
      </x:c>
      <x:c r="G1179" s="75" t="str">
        <x:v>Midfielder — source label</x:v>
      </x:c>
      <x:c r="H1179" s="79"/>
      <x:c r="I1179" s="75" t="str">
        <x:v>GBP</x:v>
      </x:c>
      <x:c r="J1179" s="81"/>
      <x:c r="K1179" s="83"/>
      <x:c r="L1179" s="75" t="str">
        <x:v>Evidence needed</x:v>
      </x:c>
      <x:c r="M1179" s="75" t="str">
        <x:v>Buyer-specific role, production, availability, signing age and total fee evidence are needed before assigning a deal-value score.</x:v>
      </x:c>
      <x:c r="N1179" s="75" t="str">
        <x:v>Not assessed</x:v>
      </x:c>
      <x:c r="O1179" s="75" t="str">
        <x:v>Source broad position and transfer quote only; detailed role and buyer-specific production not validated.</x:v>
      </x:c>
      <x:c r="P1179" s="75" t="str">
        <x:v>https://www.theguardian.com/football/ng-interactive/2026/sep/01/mens-transfer-window-summer-2026-all-deals-from-europes-top-five-leagues</x:v>
      </x:c>
    </x:row>
    <x:row r="1180" ht="25" customHeight="1">
      <x:c r="A1180" s="69" t="str">
        <x:v>summer-S26-0648</x:v>
      </x:c>
      <x:c r="B1180" s="69" t="str">
        <x:v>Ginés Sorroche</x:v>
      </x:c>
      <x:c r="C1180" s="69" t="str">
        <x:v>Getafe</x:v>
      </x:c>
      <x:c r="D1180" s="69" t="str">
        <x:v>Real Betis</x:v>
      </x:c>
      <x:c r="E1180" s="76" t="d">
        <x:v>2026-07-14T00:00:00.000Z</x:v>
      </x:c>
      <x:c r="F1180" s="69" t="str">
        <x:v>summer</x:v>
      </x:c>
      <x:c r="G1180" s="69" t="str">
        <x:v>Midfielder — source label</x:v>
      </x:c>
      <x:c r="H1180" s="78"/>
      <x:c r="I1180" s="69" t="str">
        <x:v>GBP</x:v>
      </x:c>
      <x:c r="J1180" s="80"/>
      <x:c r="K1180" s="82"/>
      <x:c r="L1180" s="69" t="str">
        <x:v>Evidence needed</x:v>
      </x:c>
      <x:c r="M1180" s="69" t="str">
        <x:v>Buyer-specific role, production, availability, signing age and total fee evidence are needed before assigning a deal-value score. A zero base fee does not represent wages or signing costs.</x:v>
      </x:c>
      <x:c r="N1180" s="69" t="str">
        <x:v>Not assessed</x:v>
      </x:c>
      <x:c r="O1180" s="69" t="str">
        <x:v>Source broad position and transfer quote only; detailed role and buyer-specific production not validated.</x:v>
      </x:c>
      <x:c r="P1180" s="69" t="str">
        <x:v>https://www.theguardian.com/football/ng-interactive/2026/sep/01/mens-transfer-window-summer-2026-all-deals-from-europes-top-five-leagues</x:v>
      </x:c>
    </x:row>
    <x:row r="1181" ht="25" customHeight="1">
      <x:c r="A1181" s="75" t="str">
        <x:v>summer-S26-0649</x:v>
      </x:c>
      <x:c r="B1181" s="75" t="str">
        <x:v>Carlos Dotor</x:v>
      </x:c>
      <x:c r="C1181" s="75" t="str">
        <x:v>Málaga</x:v>
      </x:c>
      <x:c r="D1181" s="75" t="str">
        <x:v>Celta Vigo</x:v>
      </x:c>
      <x:c r="E1181" s="77" t="d">
        <x:v>2026-07-21T00:00:00.000Z</x:v>
      </x:c>
      <x:c r="F1181" s="75" t="str">
        <x:v>summer</x:v>
      </x:c>
      <x:c r="G1181" s="75" t="str">
        <x:v>Midfielder — source label</x:v>
      </x:c>
      <x:c r="H1181" s="79"/>
      <x:c r="I1181" s="75" t="str">
        <x:v>GBP</x:v>
      </x:c>
      <x:c r="J1181" s="81"/>
      <x:c r="K1181" s="83"/>
      <x:c r="L1181" s="75" t="str">
        <x:v>Evidence needed</x:v>
      </x:c>
      <x:c r="M1181" s="75" t="str">
        <x:v>Buyer-specific role, production, availability, signing age and total fee evidence are needed before assigning a deal-value score. Loan/swap costs must be treated separately.</x:v>
      </x:c>
      <x:c r="N1181" s="75" t="str">
        <x:v>Not assessed</x:v>
      </x:c>
      <x:c r="O1181" s="75" t="str">
        <x:v>Source broad position and transfer quote only; detailed role and buyer-specific production not validated.</x:v>
      </x:c>
      <x:c r="P1181" s="75" t="str">
        <x:v>https://www.theguardian.com/football/ng-interactive/2026/sep/01/mens-transfer-window-summer-2026-all-deals-from-europes-top-five-leagues</x:v>
      </x:c>
    </x:row>
    <x:row r="1182" ht="25" customHeight="1">
      <x:c r="A1182" s="69" t="str">
        <x:v>summer-S26-0650</x:v>
      </x:c>
      <x:c r="B1182" s="69" t="str">
        <x:v>Manu Sánchez</x:v>
      </x:c>
      <x:c r="C1182" s="69" t="str">
        <x:v>Levante</x:v>
      </x:c>
      <x:c r="D1182" s="69" t="str">
        <x:v>Celta Vigo</x:v>
      </x:c>
      <x:c r="E1182" s="76" t="d">
        <x:v>2026-07-21T00:00:00.000Z</x:v>
      </x:c>
      <x:c r="F1182" s="69" t="str">
        <x:v>summer</x:v>
      </x:c>
      <x:c r="G1182" s="69" t="str">
        <x:v>Defender — source label</x:v>
      </x:c>
      <x:c r="H1182" s="78"/>
      <x:c r="I1182" s="69" t="str">
        <x:v>GBP</x:v>
      </x:c>
      <x:c r="J1182" s="80"/>
      <x:c r="K1182" s="82"/>
      <x:c r="L1182" s="69" t="str">
        <x:v>Evidence needed</x:v>
      </x:c>
      <x:c r="M1182" s="69" t="str">
        <x:v>Buyer-specific role, production, availability, signing age and total fee evidence are needed before assigning a deal-value score. Loan/swap costs must be treated separately.</x:v>
      </x:c>
      <x:c r="N1182" s="69" t="str">
        <x:v>Not assessed</x:v>
      </x:c>
      <x:c r="O1182" s="69" t="str">
        <x:v>Source broad position and transfer quote only; detailed role and buyer-specific production not validated.</x:v>
      </x:c>
      <x:c r="P1182" s="69" t="str">
        <x:v>https://www.theguardian.com/football/ng-interactive/2026/sep/01/mens-transfer-window-summer-2026-all-deals-from-europes-top-five-leagues</x:v>
      </x:c>
    </x:row>
    <x:row r="1183" ht="25" customHeight="1">
      <x:c r="A1183" s="75" t="str">
        <x:v>summer-S26-0652</x:v>
      </x:c>
      <x:c r="B1183" s="75" t="str">
        <x:v>Pablo Rivera</x:v>
      </x:c>
      <x:c r="C1183" s="75" t="str">
        <x:v>Alcorcón</x:v>
      </x:c>
      <x:c r="D1183" s="75" t="str">
        <x:v>Sevilla</x:v>
      </x:c>
      <x:c r="E1183" s="77" t="d">
        <x:v>2026-07-20T00:00:00.000Z</x:v>
      </x:c>
      <x:c r="F1183" s="75" t="str">
        <x:v>summer</x:v>
      </x:c>
      <x:c r="G1183" s="75" t="str">
        <x:v>Midfielder — source label</x:v>
      </x:c>
      <x:c r="H1183" s="79"/>
      <x:c r="I1183" s="75" t="str">
        <x:v>GBP</x:v>
      </x:c>
      <x:c r="J1183" s="81"/>
      <x:c r="K1183" s="83"/>
      <x:c r="L1183" s="75" t="str">
        <x:v>Evidence needed</x:v>
      </x:c>
      <x:c r="M1183" s="75" t="str">
        <x:v>Buyer-specific role, production, availability, signing age and total fee evidence are needed before assigning a deal-value score. A zero base fee does not represent wages or signing costs.</x:v>
      </x:c>
      <x:c r="N1183" s="75" t="str">
        <x:v>Not assessed</x:v>
      </x:c>
      <x:c r="O1183" s="75" t="str">
        <x:v>Source broad position and transfer quote only; detailed role and buyer-specific production not validated.</x:v>
      </x:c>
      <x:c r="P1183" s="75" t="str">
        <x:v>https://www.theguardian.com/football/ng-interactive/2026/sep/01/mens-transfer-window-summer-2026-all-deals-from-europes-top-five-leagues</x:v>
      </x:c>
    </x:row>
    <x:row r="1184" ht="25" customHeight="1">
      <x:c r="A1184" s="69" t="str">
        <x:v>summer-S26-0654</x:v>
      </x:c>
      <x:c r="B1184" s="69" t="str">
        <x:v>Lucas Núñez</x:v>
      </x:c>
      <x:c r="C1184" s="69" t="str">
        <x:v>Eibar</x:v>
      </x:c>
      <x:c r="D1184" s="69" t="str">
        <x:v>Valencia</x:v>
      </x:c>
      <x:c r="E1184" s="76" t="d">
        <x:v>2026-07-26T00:00:00.000Z</x:v>
      </x:c>
      <x:c r="F1184" s="69" t="str">
        <x:v>summer</x:v>
      </x:c>
      <x:c r="G1184" s="69" t="str">
        <x:v>Midfielder — source label</x:v>
      </x:c>
      <x:c r="H1184" s="78"/>
      <x:c r="I1184" s="69" t="str">
        <x:v>GBP</x:v>
      </x:c>
      <x:c r="J1184" s="80"/>
      <x:c r="K1184" s="82"/>
      <x:c r="L1184" s="69" t="str">
        <x:v>Evidence needed</x:v>
      </x:c>
      <x:c r="M1184" s="69" t="str">
        <x:v>Buyer-specific role, production, availability, signing age and total fee evidence are needed before assigning a deal-value score. Loan/swap costs must be treated separately.</x:v>
      </x:c>
      <x:c r="N1184" s="69" t="str">
        <x:v>Not assessed</x:v>
      </x:c>
      <x:c r="O1184" s="69" t="str">
        <x:v>Source broad position and transfer quote only; detailed role and buyer-specific production not validated.</x:v>
      </x:c>
      <x:c r="P1184" s="69" t="str">
        <x:v>https://www.theguardian.com/football/ng-interactive/2026/sep/01/mens-transfer-window-summer-2026-all-deals-from-europes-top-five-leagues</x:v>
      </x:c>
    </x:row>
    <x:row r="1185" ht="25" customHeight="1">
      <x:c r="A1185" s="75" t="str">
        <x:v>summer-S26-0655</x:v>
      </x:c>
      <x:c r="B1185" s="75" t="str">
        <x:v>Alejandro Mestanza</x:v>
      </x:c>
      <x:c r="C1185" s="75" t="str">
        <x:v>Académico Viseu</x:v>
      </x:c>
      <x:c r="D1185" s="75" t="str">
        <x:v>Atlético Madrid</x:v>
      </x:c>
      <x:c r="E1185" s="77" t="d">
        <x:v>2026-07-22T00:00:00.000Z</x:v>
      </x:c>
      <x:c r="F1185" s="75" t="str">
        <x:v>summer</x:v>
      </x:c>
      <x:c r="G1185" s="75" t="str">
        <x:v>Midfielder — source label</x:v>
      </x:c>
      <x:c r="H1185" s="79"/>
      <x:c r="I1185" s="75" t="str">
        <x:v>GBP</x:v>
      </x:c>
      <x:c r="J1185" s="81"/>
      <x:c r="K1185" s="83"/>
      <x:c r="L1185" s="75" t="str">
        <x:v>Evidence needed</x:v>
      </x:c>
      <x:c r="M1185" s="75" t="str">
        <x:v>Buyer-specific role, production, availability, signing age and total fee evidence are needed before assigning a deal-value score. A zero base fee does not represent wages or signing costs.</x:v>
      </x:c>
      <x:c r="N1185" s="75" t="str">
        <x:v>Not assessed</x:v>
      </x:c>
      <x:c r="O1185" s="75" t="str">
        <x:v>Source broad position and transfer quote only; detailed role and buyer-specific production not validated.</x:v>
      </x:c>
      <x:c r="P1185" s="75" t="str">
        <x:v>https://www.theguardian.com/football/ng-interactive/2026/sep/01/mens-transfer-window-summer-2026-all-deals-from-europes-top-five-leagues</x:v>
      </x:c>
    </x:row>
    <x:row r="1186" ht="25" customHeight="1">
      <x:c r="A1186" s="69" t="str">
        <x:v>summer-S26-0656</x:v>
      </x:c>
      <x:c r="B1186" s="69" t="str">
        <x:v>Gil Juanpe</x:v>
      </x:c>
      <x:c r="C1186" s="69" t="str">
        <x:v>Móstoles</x:v>
      </x:c>
      <x:c r="D1186" s="69" t="str">
        <x:v>Rayo Vallecano</x:v>
      </x:c>
      <x:c r="E1186" s="76" t="d">
        <x:v>2026-07-13T00:00:00.000Z</x:v>
      </x:c>
      <x:c r="F1186" s="69" t="str">
        <x:v>summer</x:v>
      </x:c>
      <x:c r="G1186" s="69" t="str">
        <x:v>Goalkeeper — source label</x:v>
      </x:c>
      <x:c r="H1186" s="78"/>
      <x:c r="I1186" s="69" t="str">
        <x:v>GBP</x:v>
      </x:c>
      <x:c r="J1186" s="80"/>
      <x:c r="K1186" s="82"/>
      <x:c r="L1186" s="69" t="str">
        <x:v>Evidence needed</x:v>
      </x:c>
      <x:c r="M1186" s="69" t="str">
        <x:v>Buyer-specific shot-stopping, distribution, aerial command, sweeping, signing age and total fee evidence are needed before scoring. A zero base fee does not represent wages or signing costs.</x:v>
      </x:c>
      <x:c r="N1186" s="69" t="str">
        <x:v>Not assessed</x:v>
      </x:c>
      <x:c r="O1186" s="69" t="str">
        <x:v>Source broad position and transfer quote only; detailed role and buyer-specific production not validated.</x:v>
      </x:c>
      <x:c r="P1186" s="69" t="str">
        <x:v>https://www.theguardian.com/football/ng-interactive/2026/sep/01/mens-transfer-window-summer-2026-all-deals-from-europes-top-five-leagues</x:v>
      </x:c>
    </x:row>
    <x:row r="1187" ht="25" customHeight="1">
      <x:c r="A1187" s="75" t="str">
        <x:v>summer-S26-0659</x:v>
      </x:c>
      <x:c r="B1187" s="75" t="str">
        <x:v>Bema Sina</x:v>
      </x:c>
      <x:c r="C1187" s="75" t="str">
        <x:v>Rayo Majadahonda</x:v>
      </x:c>
      <x:c r="D1187" s="75" t="str">
        <x:v>Elche</x:v>
      </x:c>
      <x:c r="E1187" s="77" t="d">
        <x:v>2026-06-22T00:00:00.000Z</x:v>
      </x:c>
      <x:c r="F1187" s="75" t="str">
        <x:v>summer</x:v>
      </x:c>
      <x:c r="G1187" s="75" t="str">
        <x:v>Defender — source label</x:v>
      </x:c>
      <x:c r="H1187" s="79"/>
      <x:c r="I1187" s="75" t="str">
        <x:v>GBP</x:v>
      </x:c>
      <x:c r="J1187" s="81"/>
      <x:c r="K1187" s="83"/>
      <x:c r="L1187" s="75" t="str">
        <x:v>Evidence needed</x:v>
      </x:c>
      <x:c r="M1187" s="75" t="str">
        <x:v>Buyer-specific role, production, availability, signing age and total fee evidence are needed before assigning a deal-value score. A zero base fee does not represent wages or signing costs.</x:v>
      </x:c>
      <x:c r="N1187" s="75" t="str">
        <x:v>Not assessed</x:v>
      </x:c>
      <x:c r="O1187" s="75" t="str">
        <x:v>Source broad position and transfer quote only; detailed role and buyer-specific production not validated.</x:v>
      </x:c>
      <x:c r="P1187" s="75" t="str">
        <x:v>https://www.theguardian.com/football/ng-interactive/2026/sep/01/mens-transfer-window-summer-2026-all-deals-from-europes-top-five-leagues</x:v>
      </x:c>
    </x:row>
    <x:row r="1188" ht="25" customHeight="1">
      <x:c r="A1188" s="69" t="str">
        <x:v>summer-S26-0661</x:v>
      </x:c>
      <x:c r="B1188" s="69" t="str">
        <x:v>Samuel Calera</x:v>
      </x:c>
      <x:c r="C1188" s="69" t="str">
        <x:v>Barakaldo</x:v>
      </x:c>
      <x:c r="D1188" s="69" t="str">
        <x:v>Racing Santander</x:v>
      </x:c>
      <x:c r="E1188" s="76" t="d">
        <x:v>2026-06-24T00:00:00.000Z</x:v>
      </x:c>
      <x:c r="F1188" s="69" t="str">
        <x:v>summer</x:v>
      </x:c>
      <x:c r="G1188" s="69" t="str">
        <x:v>Defender — source label</x:v>
      </x:c>
      <x:c r="H1188" s="78"/>
      <x:c r="I1188" s="69" t="str">
        <x:v>GBP</x:v>
      </x:c>
      <x:c r="J1188" s="80"/>
      <x:c r="K1188" s="82"/>
      <x:c r="L1188" s="69" t="str">
        <x:v>Evidence needed</x:v>
      </x:c>
      <x:c r="M1188" s="69" t="str">
        <x:v>Buyer-specific role, production, availability, signing age and total fee evidence are needed before assigning a deal-value score. A zero base fee does not represent wages or signing costs.</x:v>
      </x:c>
      <x:c r="N1188" s="69" t="str">
        <x:v>Not assessed</x:v>
      </x:c>
      <x:c r="O1188" s="69" t="str">
        <x:v>Source broad position and transfer quote only; detailed role and buyer-specific production not validated.</x:v>
      </x:c>
      <x:c r="P1188" s="69" t="str">
        <x:v>https://www.theguardian.com/football/ng-interactive/2026/sep/01/mens-transfer-window-summer-2026-all-deals-from-europes-top-five-leagues</x:v>
      </x:c>
    </x:row>
    <x:row r="1189" ht="25" customHeight="1">
      <x:c r="A1189" s="75" t="str">
        <x:v>summer-S26-0662</x:v>
      </x:c>
      <x:c r="B1189" s="75" t="str">
        <x:v>Luis Balbo</x:v>
      </x:c>
      <x:c r="C1189" s="75" t="str">
        <x:v>Sturm Graz</x:v>
      </x:c>
      <x:c r="D1189" s="75" t="str">
        <x:v>Fiorentina</x:v>
      </x:c>
      <x:c r="E1189" s="77" t="d">
        <x:v>2026-07-29T00:00:00.000Z</x:v>
      </x:c>
      <x:c r="F1189" s="75" t="str">
        <x:v>summer</x:v>
      </x:c>
      <x:c r="G1189" s="75" t="str">
        <x:v>Defender — source label</x:v>
      </x:c>
      <x:c r="H1189" s="79" t="n">
        <x:v>1300000</x:v>
      </x:c>
      <x:c r="I1189" s="75" t="str">
        <x:v>GBP</x:v>
      </x:c>
      <x:c r="J1189" s="81"/>
      <x:c r="K1189" s="83"/>
      <x:c r="L1189" s="75" t="str">
        <x:v>Evidence needed</x:v>
      </x:c>
      <x:c r="M1189" s="75" t="str">
        <x:v>Buyer-specific role, production, availability, signing age and total fee evidence are needed before assigning a deal-value score.</x:v>
      </x:c>
      <x:c r="N1189" s="75" t="str">
        <x:v>Not assessed</x:v>
      </x:c>
      <x:c r="O1189" s="75" t="str">
        <x:v>Source broad position and transfer quote only; detailed role and buyer-specific production not validated.</x:v>
      </x:c>
      <x:c r="P1189" s="75" t="str">
        <x:v>https://www.theguardian.com/football/ng-interactive/2026/sep/01/mens-transfer-window-summer-2026-all-deals-from-europes-top-five-leagues</x:v>
      </x:c>
    </x:row>
    <x:row r="1190" ht="25" customHeight="1">
      <x:c r="A1190" s="69" t="str">
        <x:v>summer-S26-0663</x:v>
      </x:c>
      <x:c r="B1190" s="69" t="str">
        <x:v>Stefan Ortega</x:v>
      </x:c>
      <x:c r="C1190" s="69" t="str">
        <x:v>Olympiakos</x:v>
      </x:c>
      <x:c r="D1190" s="69" t="str">
        <x:v>Nottingham Forest</x:v>
      </x:c>
      <x:c r="E1190" s="76" t="d">
        <x:v>2026-07-29T00:00:00.000Z</x:v>
      </x:c>
      <x:c r="F1190" s="69" t="str">
        <x:v>summer</x:v>
      </x:c>
      <x:c r="G1190" s="69" t="str">
        <x:v>Goalkeeper — source label</x:v>
      </x:c>
      <x:c r="H1190" s="78"/>
      <x:c r="I1190" s="69" t="str">
        <x:v>GBP</x:v>
      </x:c>
      <x:c r="J1190" s="80"/>
      <x:c r="K1190" s="82"/>
      <x:c r="L1190" s="69" t="str">
        <x:v>Evidence needed</x:v>
      </x:c>
      <x:c r="M1190" s="69" t="str">
        <x:v>Buyer-specific shot-stopping, distribution, aerial command, sweeping, signing age and total fee evidence are needed before scoring. A zero base fee does not represent wages or signing costs.</x:v>
      </x:c>
      <x:c r="N1190" s="69" t="str">
        <x:v>Not assessed</x:v>
      </x:c>
      <x:c r="O1190" s="69" t="str">
        <x:v>Source broad position and transfer quote only; detailed role and buyer-specific production not validated.</x:v>
      </x:c>
      <x:c r="P1190" s="69" t="str">
        <x:v>https://www.theguardian.com/football/ng-interactive/2026/sep/01/mens-transfer-window-summer-2026-all-deals-from-europes-top-five-leagues</x:v>
      </x:c>
    </x:row>
    <x:row r="1191" ht="25" customHeight="1">
      <x:c r="A1191" s="75" t="str">
        <x:v>summer-S26-0666</x:v>
      </x:c>
      <x:c r="B1191" s="75" t="str">
        <x:v>Junior Mwanga</x:v>
      </x:c>
      <x:c r="C1191" s="75" t="str">
        <x:v>Le Havre</x:v>
      </x:c>
      <x:c r="D1191" s="75" t="str">
        <x:v>Strasbourg</x:v>
      </x:c>
      <x:c r="E1191" s="77" t="d">
        <x:v>2026-07-29T00:00:00.000Z</x:v>
      </x:c>
      <x:c r="F1191" s="75" t="str">
        <x:v>summer</x:v>
      </x:c>
      <x:c r="G1191" s="75" t="str">
        <x:v>Defender — source label</x:v>
      </x:c>
      <x:c r="H1191" s="79" t="n">
        <x:v>1300000</x:v>
      </x:c>
      <x:c r="I1191" s="75" t="str">
        <x:v>GBP</x:v>
      </x:c>
      <x:c r="J1191" s="81"/>
      <x:c r="K1191" s="83"/>
      <x:c r="L1191" s="75" t="str">
        <x:v>Evidence needed</x:v>
      </x:c>
      <x:c r="M1191" s="75" t="str">
        <x:v>Buyer-specific role, production, availability, signing age and total fee evidence are needed before assigning a deal-value score.</x:v>
      </x:c>
      <x:c r="N1191" s="75" t="str">
        <x:v>Not assessed</x:v>
      </x:c>
      <x:c r="O1191" s="75" t="str">
        <x:v>Source broad position and transfer quote only; detailed role and buyer-specific production not validated.</x:v>
      </x:c>
      <x:c r="P1191" s="75" t="str">
        <x:v>https://www.theguardian.com/football/ng-interactive/2026/sep/01/mens-transfer-window-summer-2026-all-deals-from-europes-top-five-leagues</x:v>
      </x:c>
    </x:row>
    <x:row r="1192" ht="25" customHeight="1">
      <x:c r="A1192" s="69" t="str">
        <x:v>summer-S26-0667</x:v>
      </x:c>
      <x:c r="B1192" s="69" t="str">
        <x:v>Pietro Comuzzo</x:v>
      </x:c>
      <x:c r="C1192" s="69" t="str">
        <x:v>Torino</x:v>
      </x:c>
      <x:c r="D1192" s="69" t="str">
        <x:v>Fiorentina</x:v>
      </x:c>
      <x:c r="E1192" s="76" t="d">
        <x:v>2026-07-29T00:00:00.000Z</x:v>
      </x:c>
      <x:c r="F1192" s="69" t="str">
        <x:v>summer</x:v>
      </x:c>
      <x:c r="G1192" s="69" t="str">
        <x:v>Defender — source label</x:v>
      </x:c>
      <x:c r="H1192" s="78"/>
      <x:c r="I1192" s="69" t="str">
        <x:v>GBP</x:v>
      </x:c>
      <x:c r="J1192" s="80"/>
      <x:c r="K1192" s="82"/>
      <x:c r="L1192" s="69" t="str">
        <x:v>Evidence needed</x:v>
      </x:c>
      <x:c r="M1192" s="69" t="str">
        <x:v>Buyer-specific role, production, availability, signing age and total fee evidence are needed before assigning a deal-value score. Loan/swap costs must be treated separately.</x:v>
      </x:c>
      <x:c r="N1192" s="69" t="str">
        <x:v>Not assessed</x:v>
      </x:c>
      <x:c r="O1192" s="69" t="str">
        <x:v>Source broad position and transfer quote only; detailed role and buyer-specific production not validated.</x:v>
      </x:c>
      <x:c r="P1192" s="69" t="str">
        <x:v>https://www.theguardian.com/football/ng-interactive/2026/sep/01/mens-transfer-window-summer-2026-all-deals-from-europes-top-five-leagues</x:v>
      </x:c>
    </x:row>
    <x:row r="1193" ht="25" customHeight="1">
      <x:c r="A1193" s="75" t="str">
        <x:v>summer-S26-0668</x:v>
      </x:c>
      <x:c r="B1193" s="75" t="str">
        <x:v>Eray Cömert</x:v>
      </x:c>
      <x:c r="C1193" s="75" t="str">
        <x:v>Torino</x:v>
      </x:c>
      <x:c r="D1193" s="75" t="str">
        <x:v>Valencia</x:v>
      </x:c>
      <x:c r="E1193" s="77" t="d">
        <x:v>2026-07-29T00:00:00.000Z</x:v>
      </x:c>
      <x:c r="F1193" s="75" t="str">
        <x:v>summer</x:v>
      </x:c>
      <x:c r="G1193" s="75" t="str">
        <x:v>Defender — source label</x:v>
      </x:c>
      <x:c r="H1193" s="79"/>
      <x:c r="I1193" s="75" t="str">
        <x:v>GBP</x:v>
      </x:c>
      <x:c r="J1193" s="81"/>
      <x:c r="K1193" s="83"/>
      <x:c r="L1193" s="75" t="str">
        <x:v>Evidence needed</x:v>
      </x:c>
      <x:c r="M1193" s="75" t="str">
        <x:v>Buyer-specific role, production, availability, signing age and total fee evidence are needed before assigning a deal-value score. A zero base fee does not represent wages or signing costs.</x:v>
      </x:c>
      <x:c r="N1193" s="75" t="str">
        <x:v>Not assessed</x:v>
      </x:c>
      <x:c r="O1193" s="75" t="str">
        <x:v>Source broad position and transfer quote only; detailed role and buyer-specific production not validated.</x:v>
      </x:c>
      <x:c r="P1193" s="75" t="str">
        <x:v>https://www.theguardian.com/football/ng-interactive/2026/sep/01/mens-transfer-window-summer-2026-all-deals-from-europes-top-five-leagues</x:v>
      </x:c>
    </x:row>
    <x:row r="1194" ht="25" customHeight="1">
      <x:c r="A1194" s="69" t="str">
        <x:v>summer-S26-0669</x:v>
      </x:c>
      <x:c r="B1194" s="69" t="str">
        <x:v>Mikel Amondarain</x:v>
      </x:c>
      <x:c r="C1194" s="69" t="str">
        <x:v>Bologna</x:v>
      </x:c>
      <x:c r="D1194" s="69" t="str">
        <x:v>Estudiantes</x:v>
      </x:c>
      <x:c r="E1194" s="76" t="d">
        <x:v>2026-07-29T00:00:00.000Z</x:v>
      </x:c>
      <x:c r="F1194" s="69" t="str">
        <x:v>summer</x:v>
      </x:c>
      <x:c r="G1194" s="69" t="str">
        <x:v>Midfielder — source label</x:v>
      </x:c>
      <x:c r="H1194" s="78" t="n">
        <x:v>7700000</x:v>
      </x:c>
      <x:c r="I1194" s="69" t="str">
        <x:v>GBP</x:v>
      </x:c>
      <x:c r="J1194" s="80"/>
      <x:c r="K1194" s="82"/>
      <x:c r="L1194" s="69" t="str">
        <x:v>Evidence needed</x:v>
      </x:c>
      <x:c r="M1194" s="69" t="str">
        <x:v>Buyer-specific role, production, availability, signing age and total fee evidence are needed before assigning a deal-value score.</x:v>
      </x:c>
      <x:c r="N1194" s="69" t="str">
        <x:v>Not assessed</x:v>
      </x:c>
      <x:c r="O1194" s="69" t="str">
        <x:v>Source broad position and transfer quote only; detailed role and buyer-specific production not validated.</x:v>
      </x:c>
      <x:c r="P1194" s="69" t="str">
        <x:v>https://www.theguardian.com/football/ng-interactive/2026/sep/01/mens-transfer-window-summer-2026-all-deals-from-europes-top-five-leagues</x:v>
      </x:c>
    </x:row>
    <x:row r="1195" ht="25" customHeight="1">
      <x:c r="A1195" s="75" t="str">
        <x:v>summer-S26-0671</x:v>
      </x:c>
      <x:c r="B1195" s="75" t="str">
        <x:v>Riccardo Pagano</x:v>
      </x:c>
      <x:c r="C1195" s="75" t="str">
        <x:v>Cesena</x:v>
      </x:c>
      <x:c r="D1195" s="75" t="str">
        <x:v>Roma</x:v>
      </x:c>
      <x:c r="E1195" s="77" t="d">
        <x:v>2026-07-29T00:00:00.000Z</x:v>
      </x:c>
      <x:c r="F1195" s="75" t="str">
        <x:v>summer</x:v>
      </x:c>
      <x:c r="G1195" s="75" t="str">
        <x:v>Midfielder — source label</x:v>
      </x:c>
      <x:c r="H1195" s="79"/>
      <x:c r="I1195" s="75" t="str">
        <x:v>GBP</x:v>
      </x:c>
      <x:c r="J1195" s="81"/>
      <x:c r="K1195" s="83"/>
      <x:c r="L1195" s="75" t="str">
        <x:v>Evidence needed</x:v>
      </x:c>
      <x:c r="M1195" s="75" t="str">
        <x:v>Buyer-specific role, production, availability, signing age and total fee evidence are needed before assigning a deal-value score.</x:v>
      </x:c>
      <x:c r="N1195" s="75" t="str">
        <x:v>Not assessed</x:v>
      </x:c>
      <x:c r="O1195" s="75" t="str">
        <x:v>Source broad position and transfer quote only; detailed role and buyer-specific production not validated.</x:v>
      </x:c>
      <x:c r="P1195" s="75" t="str">
        <x:v>https://www.theguardian.com/football/ng-interactive/2026/sep/01/mens-transfer-window-summer-2026-all-deals-from-europes-top-five-leagues</x:v>
      </x:c>
    </x:row>
    <x:row r="1196" ht="25" customHeight="1">
      <x:c r="A1196" s="69" t="str">
        <x:v>summer-S26-0672</x:v>
      </x:c>
      <x:c r="B1196" s="69" t="str">
        <x:v>Maxence Lacroix</x:v>
      </x:c>
      <x:c r="C1196" s="69" t="str">
        <x:v>Chelsea</x:v>
      </x:c>
      <x:c r="D1196" s="69" t="str">
        <x:v>Crystal Palace</x:v>
      </x:c>
      <x:c r="E1196" s="76" t="d">
        <x:v>2026-07-30T00:00:00.000Z</x:v>
      </x:c>
      <x:c r="F1196" s="69" t="str">
        <x:v>summer</x:v>
      </x:c>
      <x:c r="G1196" s="69" t="str">
        <x:v>Defender — source label</x:v>
      </x:c>
      <x:c r="H1196" s="78" t="n">
        <x:v>52000000</x:v>
      </x:c>
      <x:c r="I1196" s="69" t="str">
        <x:v>GBP</x:v>
      </x:c>
      <x:c r="J1196" s="80"/>
      <x:c r="K1196" s="82"/>
      <x:c r="L1196" s="69" t="str">
        <x:v>Evidence needed</x:v>
      </x:c>
      <x:c r="M1196" s="69" t="str">
        <x:v>Buyer-specific role, production, availability, signing age and total fee evidence are needed before assigning a deal-value score.</x:v>
      </x:c>
      <x:c r="N1196" s="69" t="str">
        <x:v>Not assessed</x:v>
      </x:c>
      <x:c r="O1196" s="69" t="str">
        <x:v>Source broad position and transfer quote only; detailed role and buyer-specific production not validated.</x:v>
      </x:c>
      <x:c r="P1196" s="69" t="str">
        <x:v>https://www.theguardian.com/football/ng-interactive/2026/sep/01/mens-transfer-window-summer-2026-all-deals-from-europes-top-five-leagues</x:v>
      </x:c>
    </x:row>
    <x:row r="1197" ht="25" customHeight="1">
      <x:c r="A1197" s="75" t="str">
        <x:v>summer-S26-0674</x:v>
      </x:c>
      <x:c r="B1197" s="75" t="str">
        <x:v>Danny Imray</x:v>
      </x:c>
      <x:c r="C1197" s="75" t="str">
        <x:v>Wrexham</x:v>
      </x:c>
      <x:c r="D1197" s="75" t="str">
        <x:v>Crystal Palace</x:v>
      </x:c>
      <x:c r="E1197" s="77" t="d">
        <x:v>2026-07-29T00:00:00.000Z</x:v>
      </x:c>
      <x:c r="F1197" s="75" t="str">
        <x:v>summer</x:v>
      </x:c>
      <x:c r="G1197" s="75" t="str">
        <x:v>Defender — source label</x:v>
      </x:c>
      <x:c r="H1197" s="79" t="n">
        <x:v>5000000</x:v>
      </x:c>
      <x:c r="I1197" s="75" t="str">
        <x:v>GBP</x:v>
      </x:c>
      <x:c r="J1197" s="81"/>
      <x:c r="K1197" s="83"/>
      <x:c r="L1197" s="75" t="str">
        <x:v>Evidence needed</x:v>
      </x:c>
      <x:c r="M1197" s="75" t="str">
        <x:v>Buyer-specific role, production, availability, signing age and total fee evidence are needed before assigning a deal-value score.</x:v>
      </x:c>
      <x:c r="N1197" s="75" t="str">
        <x:v>Not assessed</x:v>
      </x:c>
      <x:c r="O1197" s="75" t="str">
        <x:v>Source broad position and transfer quote only; detailed role and buyer-specific production not validated.</x:v>
      </x:c>
      <x:c r="P1197" s="75" t="str">
        <x:v>https://www.theguardian.com/football/ng-interactive/2026/sep/01/mens-transfer-window-summer-2026-all-deals-from-europes-top-five-leagues</x:v>
      </x:c>
    </x:row>
    <x:row r="1198" ht="25" customHeight="1">
      <x:c r="A1198" s="69" t="str">
        <x:v>summer-S26-0675</x:v>
      </x:c>
      <x:c r="B1198" s="69" t="str">
        <x:v>Tyler Fredricson</x:v>
      </x:c>
      <x:c r="C1198" s="69" t="str">
        <x:v>Lausanne</x:v>
      </x:c>
      <x:c r="D1198" s="69" t="str">
        <x:v>Manchester United</x:v>
      </x:c>
      <x:c r="E1198" s="76" t="d">
        <x:v>2026-07-30T00:00:00.000Z</x:v>
      </x:c>
      <x:c r="F1198" s="69" t="str">
        <x:v>summer</x:v>
      </x:c>
      <x:c r="G1198" s="69" t="str">
        <x:v>Defender — source label</x:v>
      </x:c>
      <x:c r="H1198" s="78"/>
      <x:c r="I1198" s="69" t="str">
        <x:v>GBP</x:v>
      </x:c>
      <x:c r="J1198" s="80"/>
      <x:c r="K1198" s="82"/>
      <x:c r="L1198" s="69" t="str">
        <x:v>Evidence needed</x:v>
      </x:c>
      <x:c r="M1198" s="69" t="str">
        <x:v>Buyer-specific role, production, availability, signing age and total fee evidence are needed before assigning a deal-value score.</x:v>
      </x:c>
      <x:c r="N1198" s="69" t="str">
        <x:v>Not assessed</x:v>
      </x:c>
      <x:c r="O1198" s="69" t="str">
        <x:v>Source broad position and transfer quote only; detailed role and buyer-specific production not validated.</x:v>
      </x:c>
      <x:c r="P1198" s="69" t="str">
        <x:v>https://www.theguardian.com/football/ng-interactive/2026/sep/01/mens-transfer-window-summer-2026-all-deals-from-europes-top-five-leagues</x:v>
      </x:c>
    </x:row>
    <x:row r="1199" ht="25" customHeight="1">
      <x:c r="A1199" s="75" t="str">
        <x:v>summer-S26-0676</x:v>
      </x:c>
      <x:c r="B1199" s="75" t="str">
        <x:v>Daiki Hashioka</x:v>
      </x:c>
      <x:c r="C1199" s="75" t="str">
        <x:v>Borussia Mönchengladbach</x:v>
      </x:c>
      <x:c r="D1199" s="75" t="str">
        <x:v>Slavia Prague</x:v>
      </x:c>
      <x:c r="E1199" s="77" t="d">
        <x:v>2026-07-30T00:00:00.000Z</x:v>
      </x:c>
      <x:c r="F1199" s="75" t="str">
        <x:v>summer</x:v>
      </x:c>
      <x:c r="G1199" s="75" t="str">
        <x:v>Defender — source label</x:v>
      </x:c>
      <x:c r="H1199" s="79"/>
      <x:c r="I1199" s="75" t="str">
        <x:v>GBP</x:v>
      </x:c>
      <x:c r="J1199" s="81"/>
      <x:c r="K1199" s="83"/>
      <x:c r="L1199" s="75" t="str">
        <x:v>Evidence needed</x:v>
      </x:c>
      <x:c r="M1199" s="75" t="str">
        <x:v>Buyer-specific role, production, availability, signing age and total fee evidence are needed before assigning a deal-value score. Loan/swap costs must be treated separately.</x:v>
      </x:c>
      <x:c r="N1199" s="75" t="str">
        <x:v>Not assessed</x:v>
      </x:c>
      <x:c r="O1199" s="75" t="str">
        <x:v>Source broad position and transfer quote only; detailed role and buyer-specific production not validated.</x:v>
      </x:c>
      <x:c r="P1199" s="75" t="str">
        <x:v>https://www.theguardian.com/football/ng-interactive/2026/sep/01/mens-transfer-window-summer-2026-all-deals-from-europes-top-five-leagues</x:v>
      </x:c>
    </x:row>
    <x:row r="1200" ht="25" customHeight="1">
      <x:c r="A1200" s="69" t="str">
        <x:v>summer-S26-0677</x:v>
      </x:c>
      <x:c r="B1200" s="69" t="str">
        <x:v>Rayan Bamba</x:v>
      </x:c>
      <x:c r="C1200" s="69" t="str">
        <x:v>Le Mans</x:v>
      </x:c>
      <x:c r="D1200" s="69" t="str">
        <x:v>Rennes</x:v>
      </x:c>
      <x:c r="E1200" s="76" t="d">
        <x:v>2026-07-30T00:00:00.000Z</x:v>
      </x:c>
      <x:c r="F1200" s="69" t="str">
        <x:v>summer</x:v>
      </x:c>
      <x:c r="G1200" s="69" t="str">
        <x:v>Defender — source label</x:v>
      </x:c>
      <x:c r="H1200" s="78"/>
      <x:c r="I1200" s="69" t="str">
        <x:v>GBP</x:v>
      </x:c>
      <x:c r="J1200" s="80"/>
      <x:c r="K1200" s="82"/>
      <x:c r="L1200" s="69" t="str">
        <x:v>Evidence needed</x:v>
      </x:c>
      <x:c r="M1200" s="69" t="str">
        <x:v>Buyer-specific role, production, availability, signing age and total fee evidence are needed before assigning a deal-value score. Loan/swap costs must be treated separately.</x:v>
      </x:c>
      <x:c r="N1200" s="69" t="str">
        <x:v>Not assessed</x:v>
      </x:c>
      <x:c r="O1200" s="69" t="str">
        <x:v>Source broad position and transfer quote only; detailed role and buyer-specific production not validated.</x:v>
      </x:c>
      <x:c r="P1200" s="69" t="str">
        <x:v>https://www.theguardian.com/football/ng-interactive/2026/sep/01/mens-transfer-window-summer-2026-all-deals-from-europes-top-five-leagues</x:v>
      </x:c>
    </x:row>
    <x:row r="1201" ht="25" customHeight="1">
      <x:c r="A1201" s="75" t="str">
        <x:v>summer-S26-0679</x:v>
      </x:c>
      <x:c r="B1201" s="75" t="str">
        <x:v>Gustavo Sá</x:v>
      </x:c>
      <x:c r="C1201" s="75" t="str">
        <x:v>Nottingham Forest</x:v>
      </x:c>
      <x:c r="D1201" s="75" t="str">
        <x:v>Famalicão</x:v>
      </x:c>
      <x:c r="E1201" s="77" t="d">
        <x:v>2026-07-30T00:00:00.000Z</x:v>
      </x:c>
      <x:c r="F1201" s="75" t="str">
        <x:v>summer</x:v>
      </x:c>
      <x:c r="G1201" s="75" t="str">
        <x:v>Midfielder — source label</x:v>
      </x:c>
      <x:c r="H1201" s="79"/>
      <x:c r="I1201" s="75" t="str">
        <x:v>GBP</x:v>
      </x:c>
      <x:c r="J1201" s="81"/>
      <x:c r="K1201" s="83"/>
      <x:c r="L1201" s="75" t="str">
        <x:v>Evidence needed</x:v>
      </x:c>
      <x:c r="M1201" s="75" t="str">
        <x:v>Buyer-specific role, production, availability, signing age and total fee evidence are needed before assigning a deal-value score.</x:v>
      </x:c>
      <x:c r="N1201" s="75" t="str">
        <x:v>Not assessed</x:v>
      </x:c>
      <x:c r="O1201" s="75" t="str">
        <x:v>Source broad position and transfer quote only; detailed role and buyer-specific production not validated.</x:v>
      </x:c>
      <x:c r="P1201" s="75" t="str">
        <x:v>https://www.theguardian.com/football/ng-interactive/2026/sep/01/mens-transfer-window-summer-2026-all-deals-from-europes-top-five-leagues</x:v>
      </x:c>
    </x:row>
    <x:row r="1202" ht="25" customHeight="1">
      <x:c r="A1202" s="69" t="str">
        <x:v>summer-S26-0681</x:v>
      </x:c>
      <x:c r="B1202" s="69" t="str">
        <x:v>Alessandro Dellavalle</x:v>
      </x:c>
      <x:c r="C1202" s="69" t="str">
        <x:v>Padova</x:v>
      </x:c>
      <x:c r="D1202" s="69" t="str">
        <x:v>Torino</x:v>
      </x:c>
      <x:c r="E1202" s="76" t="d">
        <x:v>2026-07-30T00:00:00.000Z</x:v>
      </x:c>
      <x:c r="F1202" s="69" t="str">
        <x:v>summer</x:v>
      </x:c>
      <x:c r="G1202" s="69" t="str">
        <x:v>Defender — source label</x:v>
      </x:c>
      <x:c r="H1202" s="78"/>
      <x:c r="I1202" s="69" t="str">
        <x:v>GBP</x:v>
      </x:c>
      <x:c r="J1202" s="80"/>
      <x:c r="K1202" s="82"/>
      <x:c r="L1202" s="69" t="str">
        <x:v>Evidence needed</x:v>
      </x:c>
      <x:c r="M1202" s="69" t="str">
        <x:v>Buyer-specific role, production, availability, signing age and total fee evidence are needed before assigning a deal-value score. Loan/swap costs must be treated separately.</x:v>
      </x:c>
      <x:c r="N1202" s="69" t="str">
        <x:v>Not assessed</x:v>
      </x:c>
      <x:c r="O1202" s="69" t="str">
        <x:v>Source broad position and transfer quote only; detailed role and buyer-specific production not validated.</x:v>
      </x:c>
      <x:c r="P1202" s="69" t="str">
        <x:v>https://www.theguardian.com/football/ng-interactive/2026/sep/01/mens-transfer-window-summer-2026-all-deals-from-europes-top-five-leagues</x:v>
      </x:c>
    </x:row>
    <x:row r="1203" ht="25" customHeight="1">
      <x:c r="A1203" s="75" t="str">
        <x:v>summer-S26-0685</x:v>
      </x:c>
      <x:c r="B1203" s="75" t="str">
        <x:v>Mathys Tourraine</x:v>
      </x:c>
      <x:c r="C1203" s="75" t="str">
        <x:v>Pau</x:v>
      </x:c>
      <x:c r="D1203" s="75" t="str">
        <x:v>Paris FC</x:v>
      </x:c>
      <x:c r="E1203" s="77" t="d">
        <x:v>2026-07-30T00:00:00.000Z</x:v>
      </x:c>
      <x:c r="F1203" s="75" t="str">
        <x:v>summer</x:v>
      </x:c>
      <x:c r="G1203" s="75" t="str">
        <x:v>Defender — source label</x:v>
      </x:c>
      <x:c r="H1203" s="79"/>
      <x:c r="I1203" s="75" t="str">
        <x:v>GBP</x:v>
      </x:c>
      <x:c r="J1203" s="81"/>
      <x:c r="K1203" s="83"/>
      <x:c r="L1203" s="75" t="str">
        <x:v>Evidence needed</x:v>
      </x:c>
      <x:c r="M1203" s="75" t="str">
        <x:v>Buyer-specific role, production, availability, signing age and total fee evidence are needed before assigning a deal-value score.</x:v>
      </x:c>
      <x:c r="N1203" s="75" t="str">
        <x:v>Not assessed</x:v>
      </x:c>
      <x:c r="O1203" s="75" t="str">
        <x:v>Source broad position and transfer quote only; detailed role and buyer-specific production not validated.</x:v>
      </x:c>
      <x:c r="P1203" s="75" t="str">
        <x:v>https://www.theguardian.com/football/ng-interactive/2026/sep/01/mens-transfer-window-summer-2026-all-deals-from-europes-top-five-leagues</x:v>
      </x:c>
    </x:row>
    <x:row r="1204" ht="25" customHeight="1">
      <x:c r="A1204" s="69" t="str">
        <x:v>summer-S26-0687</x:v>
      </x:c>
      <x:c r="B1204" s="69" t="str">
        <x:v>Matías Moreno</x:v>
      </x:c>
      <x:c r="C1204" s="69" t="str">
        <x:v>Venezia</x:v>
      </x:c>
      <x:c r="D1204" s="69" t="str">
        <x:v>Fiorentina</x:v>
      </x:c>
      <x:c r="E1204" s="76" t="d">
        <x:v>2026-07-30T00:00:00.000Z</x:v>
      </x:c>
      <x:c r="F1204" s="69" t="str">
        <x:v>summer</x:v>
      </x:c>
      <x:c r="G1204" s="69" t="str">
        <x:v>Defender — source label</x:v>
      </x:c>
      <x:c r="H1204" s="78"/>
      <x:c r="I1204" s="69" t="str">
        <x:v>GBP</x:v>
      </x:c>
      <x:c r="J1204" s="80"/>
      <x:c r="K1204" s="82"/>
      <x:c r="L1204" s="69" t="str">
        <x:v>Evidence needed</x:v>
      </x:c>
      <x:c r="M1204" s="69" t="str">
        <x:v>Buyer-specific role, production, availability, signing age and total fee evidence are needed before assigning a deal-value score. Loan/swap costs must be treated separately.</x:v>
      </x:c>
      <x:c r="N1204" s="69" t="str">
        <x:v>Not assessed</x:v>
      </x:c>
      <x:c r="O1204" s="69" t="str">
        <x:v>Source broad position and transfer quote only; detailed role and buyer-specific production not validated.</x:v>
      </x:c>
      <x:c r="P1204" s="69" t="str">
        <x:v>https://www.theguardian.com/football/ng-interactive/2026/sep/01/mens-transfer-window-summer-2026-all-deals-from-europes-top-five-leagues</x:v>
      </x:c>
    </x:row>
    <x:row r="1205" ht="25" customHeight="1">
      <x:c r="A1205" s="75" t="str">
        <x:v>summer-S26-0688</x:v>
      </x:c>
      <x:c r="B1205" s="75" t="str">
        <x:v>Saba Sazonov</x:v>
      </x:c>
      <x:c r="C1205" s="75" t="str">
        <x:v>Getafe</x:v>
      </x:c>
      <x:c r="D1205" s="75" t="str">
        <x:v>Torino</x:v>
      </x:c>
      <x:c r="E1205" s="77" t="d">
        <x:v>2026-07-31T00:00:00.000Z</x:v>
      </x:c>
      <x:c r="F1205" s="75" t="str">
        <x:v>summer</x:v>
      </x:c>
      <x:c r="G1205" s="75" t="str">
        <x:v>Defender — source label</x:v>
      </x:c>
      <x:c r="H1205" s="79"/>
      <x:c r="I1205" s="75" t="str">
        <x:v>GBP</x:v>
      </x:c>
      <x:c r="J1205" s="81"/>
      <x:c r="K1205" s="83"/>
      <x:c r="L1205" s="75" t="str">
        <x:v>Evidence needed</x:v>
      </x:c>
      <x:c r="M1205" s="75" t="str">
        <x:v>Buyer-specific role, production, availability, signing age and total fee evidence are needed before assigning a deal-value score. A zero base fee does not represent wages or signing costs.</x:v>
      </x:c>
      <x:c r="N1205" s="75" t="str">
        <x:v>Not assessed</x:v>
      </x:c>
      <x:c r="O1205" s="75" t="str">
        <x:v>Source broad position and transfer quote only; detailed role and buyer-specific production not validated.</x:v>
      </x:c>
      <x:c r="P1205" s="75" t="str">
        <x:v>https://www.theguardian.com/football/ng-interactive/2026/sep/01/mens-transfer-window-summer-2026-all-deals-from-europes-top-five-leagues</x:v>
      </x:c>
    </x:row>
    <x:row r="1206" ht="25" customHeight="1">
      <x:c r="A1206" s="69" t="str">
        <x:v>summer-S26-0690</x:v>
      </x:c>
      <x:c r="B1206" s="69" t="str">
        <x:v>Ollie Harrison</x:v>
      </x:c>
      <x:c r="C1206" s="69" t="str">
        <x:v>Wimbledon</x:v>
      </x:c>
      <x:c r="D1206" s="69" t="str">
        <x:v>Chelsea</x:v>
      </x:c>
      <x:c r="E1206" s="76" t="d">
        <x:v>2026-07-31T00:00:00.000Z</x:v>
      </x:c>
      <x:c r="F1206" s="69" t="str">
        <x:v>summer</x:v>
      </x:c>
      <x:c r="G1206" s="69" t="str">
        <x:v>Midfielder — source label</x:v>
      </x:c>
      <x:c r="H1206" s="78"/>
      <x:c r="I1206" s="69" t="str">
        <x:v>GBP</x:v>
      </x:c>
      <x:c r="J1206" s="80"/>
      <x:c r="K1206" s="82"/>
      <x:c r="L1206" s="69" t="str">
        <x:v>Evidence needed</x:v>
      </x:c>
      <x:c r="M1206" s="69" t="str">
        <x:v>Buyer-specific role, production, availability, signing age and total fee evidence are needed before assigning a deal-value score. Loan/swap costs must be treated separately.</x:v>
      </x:c>
      <x:c r="N1206" s="69" t="str">
        <x:v>Not assessed</x:v>
      </x:c>
      <x:c r="O1206" s="69" t="str">
        <x:v>Source broad position and transfer quote only; detailed role and buyer-specific production not validated.</x:v>
      </x:c>
      <x:c r="P1206" s="69" t="str">
        <x:v>https://www.theguardian.com/football/ng-interactive/2026/sep/01/mens-transfer-window-summer-2026-all-deals-from-europes-top-five-leagues</x:v>
      </x:c>
    </x:row>
    <x:row r="1207" ht="25" customHeight="1">
      <x:c r="A1207" s="75" t="str">
        <x:v>summer-S26-0692</x:v>
      </x:c>
      <x:c r="B1207" s="75" t="str">
        <x:v>Martín Payero</x:v>
      </x:c>
      <x:c r="C1207" s="75" t="str">
        <x:v>Watford</x:v>
      </x:c>
      <x:c r="D1207" s="75" t="str">
        <x:v>Udinese</x:v>
      </x:c>
      <x:c r="E1207" s="77" t="d">
        <x:v>2026-07-31T00:00:00.000Z</x:v>
      </x:c>
      <x:c r="F1207" s="75" t="str">
        <x:v>summer</x:v>
      </x:c>
      <x:c r="G1207" s="75" t="str">
        <x:v>Midfielder — source label</x:v>
      </x:c>
      <x:c r="H1207" s="79"/>
      <x:c r="I1207" s="75" t="str">
        <x:v>GBP</x:v>
      </x:c>
      <x:c r="J1207" s="81"/>
      <x:c r="K1207" s="83"/>
      <x:c r="L1207" s="75" t="str">
        <x:v>Evidence needed</x:v>
      </x:c>
      <x:c r="M1207" s="75" t="str">
        <x:v>Buyer-specific role, production, availability, signing age and total fee evidence are needed before assigning a deal-value score.</x:v>
      </x:c>
      <x:c r="N1207" s="75" t="str">
        <x:v>Not assessed</x:v>
      </x:c>
      <x:c r="O1207" s="75" t="str">
        <x:v>Source broad position and transfer quote only; detailed role and buyer-specific production not validated.</x:v>
      </x:c>
      <x:c r="P1207" s="75" t="str">
        <x:v>https://www.theguardian.com/football/ng-interactive/2026/sep/01/mens-transfer-window-summer-2026-all-deals-from-europes-top-five-leagues</x:v>
      </x:c>
    </x:row>
    <x:row r="1208" ht="25" customHeight="1">
      <x:c r="A1208" s="69" t="str">
        <x:v>summer-S26-0694</x:v>
      </x:c>
      <x:c r="B1208" s="69" t="str">
        <x:v>Federico Ravaglia</x:v>
      </x:c>
      <x:c r="C1208" s="69" t="str">
        <x:v>Watford</x:v>
      </x:c>
      <x:c r="D1208" s="69" t="str">
        <x:v>Bologna</x:v>
      </x:c>
      <x:c r="E1208" s="76" t="d">
        <x:v>2026-07-31T00:00:00.000Z</x:v>
      </x:c>
      <x:c r="F1208" s="69" t="str">
        <x:v>summer</x:v>
      </x:c>
      <x:c r="G1208" s="69" t="str">
        <x:v>Goalkeeper — source label</x:v>
      </x:c>
      <x:c r="H1208" s="78" t="n">
        <x:v>6000000</x:v>
      </x:c>
      <x:c r="I1208" s="69" t="str">
        <x:v>GBP</x:v>
      </x:c>
      <x:c r="J1208" s="80"/>
      <x:c r="K1208" s="82"/>
      <x:c r="L1208" s="69" t="str">
        <x:v>Evidence needed</x:v>
      </x:c>
      <x:c r="M1208" s="69" t="str">
        <x:v>Buyer-specific shot-stopping, distribution, aerial command, sweeping, signing age and total fee evidence are needed before scoring.</x:v>
      </x:c>
      <x:c r="N1208" s="69" t="str">
        <x:v>Not assessed</x:v>
      </x:c>
      <x:c r="O1208" s="69" t="str">
        <x:v>Source broad position and transfer quote only; detailed role and buyer-specific production not validated.</x:v>
      </x:c>
      <x:c r="P1208" s="69" t="str">
        <x:v>https://www.theguardian.com/football/ng-interactive/2026/sep/01/mens-transfer-window-summer-2026-all-deals-from-europes-top-five-leagues</x:v>
      </x:c>
    </x:row>
    <x:row r="1209" ht="25" customHeight="1">
      <x:c r="A1209" s="75" t="str">
        <x:v>summer-S26-0695</x:v>
      </x:c>
      <x:c r="B1209" s="75" t="str">
        <x:v>Mateusz Wieteska</x:v>
      </x:c>
      <x:c r="C1209" s="75" t="str">
        <x:v>Wieczysta</x:v>
      </x:c>
      <x:c r="D1209" s="75" t="str">
        <x:v>Cagliari</x:v>
      </x:c>
      <x:c r="E1209" s="77" t="d">
        <x:v>2026-07-31T00:00:00.000Z</x:v>
      </x:c>
      <x:c r="F1209" s="75" t="str">
        <x:v>summer</x:v>
      </x:c>
      <x:c r="G1209" s="75" t="str">
        <x:v>Defender — source label</x:v>
      </x:c>
      <x:c r="H1209" s="79"/>
      <x:c r="I1209" s="75" t="str">
        <x:v>GBP</x:v>
      </x:c>
      <x:c r="J1209" s="81"/>
      <x:c r="K1209" s="83"/>
      <x:c r="L1209" s="75" t="str">
        <x:v>Evidence needed</x:v>
      </x:c>
      <x:c r="M1209" s="75" t="str">
        <x:v>Buyer-specific role, production, availability, signing age and total fee evidence are needed before assigning a deal-value score.</x:v>
      </x:c>
      <x:c r="N1209" s="75" t="str">
        <x:v>Not assessed</x:v>
      </x:c>
      <x:c r="O1209" s="75" t="str">
        <x:v>Source broad position and transfer quote only; detailed role and buyer-specific production not validated.</x:v>
      </x:c>
      <x:c r="P1209" s="75" t="str">
        <x:v>https://www.theguardian.com/football/ng-interactive/2026/sep/01/mens-transfer-window-summer-2026-all-deals-from-europes-top-five-leagues</x:v>
      </x:c>
    </x:row>
    <x:row r="1210" ht="25" customHeight="1">
      <x:c r="A1210" s="69" t="str">
        <x:v>summer-S26-0696</x:v>
      </x:c>
      <x:c r="B1210" s="69" t="str">
        <x:v>Kian Fitz-Jim</x:v>
      </x:c>
      <x:c r="C1210" s="69" t="str">
        <x:v>Torino</x:v>
      </x:c>
      <x:c r="D1210" s="69" t="str">
        <x:v>Ajax</x:v>
      </x:c>
      <x:c r="E1210" s="76" t="d">
        <x:v>2026-07-31T00:00:00.000Z</x:v>
      </x:c>
      <x:c r="F1210" s="69" t="str">
        <x:v>summer</x:v>
      </x:c>
      <x:c r="G1210" s="69" t="str">
        <x:v>Midfielder — source label</x:v>
      </x:c>
      <x:c r="H1210" s="78" t="n">
        <x:v>2570000</x:v>
      </x:c>
      <x:c r="I1210" s="69" t="str">
        <x:v>GBP</x:v>
      </x:c>
      <x:c r="J1210" s="80"/>
      <x:c r="K1210" s="82"/>
      <x:c r="L1210" s="69" t="str">
        <x:v>Evidence needed</x:v>
      </x:c>
      <x:c r="M1210" s="69" t="str">
        <x:v>Buyer-specific role, production, availability, signing age and total fee evidence are needed before assigning a deal-value score.</x:v>
      </x:c>
      <x:c r="N1210" s="69" t="str">
        <x:v>Not assessed</x:v>
      </x:c>
      <x:c r="O1210" s="69" t="str">
        <x:v>Source broad position and transfer quote only; detailed role and buyer-specific production not validated.</x:v>
      </x:c>
      <x:c r="P1210" s="69" t="str">
        <x:v>https://www.theguardian.com/football/ng-interactive/2026/sep/01/mens-transfer-window-summer-2026-all-deals-from-europes-top-five-leagues</x:v>
      </x:c>
    </x:row>
    <x:row r="1211" ht="25" customHeight="1">
      <x:c r="A1211" s="75" t="str">
        <x:v>summer-S26-0698</x:v>
      </x:c>
      <x:c r="B1211" s="75" t="str">
        <x:v>Mattia Viti</x:v>
      </x:c>
      <x:c r="C1211" s="75" t="str">
        <x:v>Sampdoria</x:v>
      </x:c>
      <x:c r="D1211" s="75" t="str">
        <x:v>Nice</x:v>
      </x:c>
      <x:c r="E1211" s="77" t="d">
        <x:v>2026-07-31T00:00:00.000Z</x:v>
      </x:c>
      <x:c r="F1211" s="75" t="str">
        <x:v>summer</x:v>
      </x:c>
      <x:c r="G1211" s="75" t="str">
        <x:v>Defender — source label</x:v>
      </x:c>
      <x:c r="H1211" s="79"/>
      <x:c r="I1211" s="75" t="str">
        <x:v>GBP</x:v>
      </x:c>
      <x:c r="J1211" s="81"/>
      <x:c r="K1211" s="83"/>
      <x:c r="L1211" s="75" t="str">
        <x:v>Evidence needed</x:v>
      </x:c>
      <x:c r="M1211" s="75" t="str">
        <x:v>Buyer-specific role, production, availability, signing age and total fee evidence are needed before assigning a deal-value score.</x:v>
      </x:c>
      <x:c r="N1211" s="75" t="str">
        <x:v>Not assessed</x:v>
      </x:c>
      <x:c r="O1211" s="75" t="str">
        <x:v>Source broad position and transfer quote only; detailed role and buyer-specific production not validated.</x:v>
      </x:c>
      <x:c r="P1211" s="75" t="str">
        <x:v>https://www.theguardian.com/football/ng-interactive/2026/sep/01/mens-transfer-window-summer-2026-all-deals-from-europes-top-five-leagues</x:v>
      </x:c>
    </x:row>
    <x:row r="1212" ht="25" customHeight="1">
      <x:c r="A1212" s="69" t="str">
        <x:v>summer-S26-0699</x:v>
      </x:c>
      <x:c r="B1212" s="69" t="str">
        <x:v>Julian Brandt</x:v>
      </x:c>
      <x:c r="C1212" s="69" t="str">
        <x:v>Ajax</x:v>
      </x:c>
      <x:c r="D1212" s="69" t="str">
        <x:v>Borussia Dortmund</x:v>
      </x:c>
      <x:c r="E1212" s="76" t="d">
        <x:v>2026-07-31T00:00:00.000Z</x:v>
      </x:c>
      <x:c r="F1212" s="69" t="str">
        <x:v>summer</x:v>
      </x:c>
      <x:c r="G1212" s="69" t="str">
        <x:v>Midfielder — source label</x:v>
      </x:c>
      <x:c r="H1212" s="78"/>
      <x:c r="I1212" s="69" t="str">
        <x:v>GBP</x:v>
      </x:c>
      <x:c r="J1212" s="80"/>
      <x:c r="K1212" s="82"/>
      <x:c r="L1212" s="69" t="str">
        <x:v>Evidence needed</x:v>
      </x:c>
      <x:c r="M1212" s="69" t="str">
        <x:v>Buyer-specific role, production, availability, signing age and total fee evidence are needed before assigning a deal-value score. A zero base fee does not represent wages or signing costs.</x:v>
      </x:c>
      <x:c r="N1212" s="69" t="str">
        <x:v>Not assessed</x:v>
      </x:c>
      <x:c r="O1212" s="69" t="str">
        <x:v>Source broad position and transfer quote only; detailed role and buyer-specific production not validated.</x:v>
      </x:c>
      <x:c r="P1212" s="69" t="str">
        <x:v>https://www.theguardian.com/football/ng-interactive/2026/sep/01/mens-transfer-window-summer-2026-all-deals-from-europes-top-five-leagues</x:v>
      </x:c>
    </x:row>
    <x:row r="1213" ht="25" customHeight="1">
      <x:c r="A1213" s="75" t="str">
        <x:v>summer-S26-0701</x:v>
      </x:c>
      <x:c r="B1213" s="75" t="str">
        <x:v>Mario Mitaj</x:v>
      </x:c>
      <x:c r="C1213" s="75" t="str">
        <x:v>Genoa</x:v>
      </x:c>
      <x:c r="D1213" s="75" t="str">
        <x:v>Al-Ittihad</x:v>
      </x:c>
      <x:c r="E1213" s="77" t="d">
        <x:v>2026-07-31T00:00:00.000Z</x:v>
      </x:c>
      <x:c r="F1213" s="75" t="str">
        <x:v>summer</x:v>
      </x:c>
      <x:c r="G1213" s="75" t="str">
        <x:v>Defender — source label</x:v>
      </x:c>
      <x:c r="H1213" s="79"/>
      <x:c r="I1213" s="75" t="str">
        <x:v>GBP</x:v>
      </x:c>
      <x:c r="J1213" s="81"/>
      <x:c r="K1213" s="83"/>
      <x:c r="L1213" s="75" t="str">
        <x:v>Evidence needed</x:v>
      </x:c>
      <x:c r="M1213" s="75" t="str">
        <x:v>Buyer-specific role, production, availability, signing age and total fee evidence are needed before assigning a deal-value score. Loan/swap costs must be treated separately.</x:v>
      </x:c>
      <x:c r="N1213" s="75" t="str">
        <x:v>Not assessed</x:v>
      </x:c>
      <x:c r="O1213" s="75" t="str">
        <x:v>Source broad position and transfer quote only; detailed role and buyer-specific production not validated.</x:v>
      </x:c>
      <x:c r="P1213" s="75" t="str">
        <x:v>https://www.theguardian.com/football/ng-interactive/2026/sep/01/mens-transfer-window-summer-2026-all-deals-from-europes-top-five-leagues</x:v>
      </x:c>
    </x:row>
    <x:row r="1214" ht="25" customHeight="1">
      <x:c r="A1214" s="69" t="str">
        <x:v>summer-S26-0703</x:v>
      </x:c>
      <x:c r="B1214" s="69" t="str">
        <x:v>António Silva</x:v>
      </x:c>
      <x:c r="C1214" s="69" t="str">
        <x:v>Bournemouth</x:v>
      </x:c>
      <x:c r="D1214" s="69" t="str">
        <x:v>Benfica</x:v>
      </x:c>
      <x:c r="E1214" s="76" t="d">
        <x:v>2026-08-01T00:00:00.000Z</x:v>
      </x:c>
      <x:c r="F1214" s="69" t="str">
        <x:v>summer</x:v>
      </x:c>
      <x:c r="G1214" s="69" t="str">
        <x:v>Defender — source label</x:v>
      </x:c>
      <x:c r="H1214" s="78" t="n">
        <x:v>21400000</x:v>
      </x:c>
      <x:c r="I1214" s="69" t="str">
        <x:v>GBP</x:v>
      </x:c>
      <x:c r="J1214" s="80"/>
      <x:c r="K1214" s="82"/>
      <x:c r="L1214" s="69" t="str">
        <x:v>Evidence needed</x:v>
      </x:c>
      <x:c r="M1214" s="69" t="str">
        <x:v>Buyer-specific role, production, availability, signing age and total fee evidence are needed before assigning a deal-value score.</x:v>
      </x:c>
      <x:c r="N1214" s="69" t="str">
        <x:v>Not assessed</x:v>
      </x:c>
      <x:c r="O1214" s="69" t="str">
        <x:v>Source broad position and transfer quote only; detailed role and buyer-specific production not validated.</x:v>
      </x:c>
      <x:c r="P1214" s="69" t="str">
        <x:v>https://www.theguardian.com/football/ng-interactive/2026/sep/01/mens-transfer-window-summer-2026-all-deals-from-europes-top-five-leagues</x:v>
      </x:c>
    </x:row>
    <x:row r="1215" ht="25" customHeight="1">
      <x:c r="A1215" s="75" t="str">
        <x:v>summer-S26-0705</x:v>
      </x:c>
      <x:c r="B1215" s="75" t="str">
        <x:v>Damían Rodríguez</x:v>
      </x:c>
      <x:c r="C1215" s="75" t="str">
        <x:v>Cádiz</x:v>
      </x:c>
      <x:c r="D1215" s="75" t="str">
        <x:v>Celta Vigo</x:v>
      </x:c>
      <x:c r="E1215" s="77" t="d">
        <x:v>2026-07-31T00:00:00.000Z</x:v>
      </x:c>
      <x:c r="F1215" s="75" t="str">
        <x:v>summer</x:v>
      </x:c>
      <x:c r="G1215" s="75" t="str">
        <x:v>Midfielder — source label</x:v>
      </x:c>
      <x:c r="H1215" s="79"/>
      <x:c r="I1215" s="75" t="str">
        <x:v>GBP</x:v>
      </x:c>
      <x:c r="J1215" s="81"/>
      <x:c r="K1215" s="83"/>
      <x:c r="L1215" s="75" t="str">
        <x:v>Evidence needed</x:v>
      </x:c>
      <x:c r="M1215" s="75" t="str">
        <x:v>Buyer-specific role, production, availability, signing age and total fee evidence are needed before assigning a deal-value score. Loan/swap costs must be treated separately.</x:v>
      </x:c>
      <x:c r="N1215" s="75" t="str">
        <x:v>Not assessed</x:v>
      </x:c>
      <x:c r="O1215" s="75" t="str">
        <x:v>Source broad position and transfer quote only; detailed role and buyer-specific production not validated.</x:v>
      </x:c>
      <x:c r="P1215" s="75" t="str">
        <x:v>https://www.theguardian.com/football/ng-interactive/2026/sep/01/mens-transfer-window-summer-2026-all-deals-from-europes-top-five-leagues</x:v>
      </x:c>
    </x:row>
    <x:row r="1216" ht="25" customHeight="1">
      <x:c r="A1216" s="69" t="str">
        <x:v>summer-S26-0706</x:v>
      </x:c>
      <x:c r="B1216" s="69" t="str">
        <x:v>Hervé Koffi</x:v>
      </x:c>
      <x:c r="C1216" s="69" t="str">
        <x:v>Union St-Gilloise</x:v>
      </x:c>
      <x:c r="D1216" s="69" t="str">
        <x:v>Lens</x:v>
      </x:c>
      <x:c r="E1216" s="76" t="d">
        <x:v>2026-08-01T00:00:00.000Z</x:v>
      </x:c>
      <x:c r="F1216" s="69" t="str">
        <x:v>summer</x:v>
      </x:c>
      <x:c r="G1216" s="69" t="str">
        <x:v>Goalkeeper — source label</x:v>
      </x:c>
      <x:c r="H1216" s="78"/>
      <x:c r="I1216" s="69" t="str">
        <x:v>GBP</x:v>
      </x:c>
      <x:c r="J1216" s="80"/>
      <x:c r="K1216" s="82"/>
      <x:c r="L1216" s="69" t="str">
        <x:v>Evidence needed</x:v>
      </x:c>
      <x:c r="M1216" s="69" t="str">
        <x:v>Buyer-specific shot-stopping, distribution, aerial command, sweeping, signing age and total fee evidence are needed before scoring. Loan/swap costs must be treated separately.</x:v>
      </x:c>
      <x:c r="N1216" s="69" t="str">
        <x:v>Not assessed</x:v>
      </x:c>
      <x:c r="O1216" s="69" t="str">
        <x:v>Source broad position and transfer quote only; detailed role and buyer-specific production not validated.</x:v>
      </x:c>
      <x:c r="P1216" s="69" t="str">
        <x:v>https://www.theguardian.com/football/ng-interactive/2026/sep/01/mens-transfer-window-summer-2026-all-deals-from-europes-top-five-leagues</x:v>
      </x:c>
    </x:row>
    <x:row r="1217" ht="25" customHeight="1">
      <x:c r="A1217" s="75" t="str">
        <x:v>summer-S26-0707</x:v>
      </x:c>
      <x:c r="B1217" s="75" t="str">
        <x:v>Kevin Akpoguma</x:v>
      </x:c>
      <x:c r="C1217" s="75" t="str">
        <x:v>Frosinone</x:v>
      </x:c>
      <x:c r="D1217" s="75" t="str">
        <x:v>Hoffenheim</x:v>
      </x:c>
      <x:c r="E1217" s="77" t="d">
        <x:v>2026-08-01T00:00:00.000Z</x:v>
      </x:c>
      <x:c r="F1217" s="75" t="str">
        <x:v>summer</x:v>
      </x:c>
      <x:c r="G1217" s="75" t="str">
        <x:v>Defender — source label</x:v>
      </x:c>
      <x:c r="H1217" s="79"/>
      <x:c r="I1217" s="75" t="str">
        <x:v>GBP</x:v>
      </x:c>
      <x:c r="J1217" s="81"/>
      <x:c r="K1217" s="83"/>
      <x:c r="L1217" s="75" t="str">
        <x:v>Evidence needed</x:v>
      </x:c>
      <x:c r="M1217" s="75" t="str">
        <x:v>Buyer-specific role, production, availability, signing age and total fee evidence are needed before assigning a deal-value score. A zero base fee does not represent wages or signing costs.</x:v>
      </x:c>
      <x:c r="N1217" s="75" t="str">
        <x:v>Not assessed</x:v>
      </x:c>
      <x:c r="O1217" s="75" t="str">
        <x:v>Source broad position and transfer quote only; detailed role and buyer-specific production not validated.</x:v>
      </x:c>
      <x:c r="P1217" s="75" t="str">
        <x:v>https://www.theguardian.com/football/ng-interactive/2026/sep/01/mens-transfer-window-summer-2026-all-deals-from-europes-top-five-leagues</x:v>
      </x:c>
    </x:row>
    <x:row r="1218" ht="25" customHeight="1">
      <x:c r="A1218" s="69" t="str">
        <x:v>summer-S26-0708</x:v>
      </x:c>
      <x:c r="B1218" s="69" t="str">
        <x:v>Ebenezer Akinsanmiro</x:v>
      </x:c>
      <x:c r="C1218" s="69" t="str">
        <x:v>Monza</x:v>
      </x:c>
      <x:c r="D1218" s="69" t="str">
        <x:v>Inter</x:v>
      </x:c>
      <x:c r="E1218" s="76" t="d">
        <x:v>2026-08-01T00:00:00.000Z</x:v>
      </x:c>
      <x:c r="F1218" s="69" t="str">
        <x:v>summer</x:v>
      </x:c>
      <x:c r="G1218" s="69" t="str">
        <x:v>Midfielder — source label</x:v>
      </x:c>
      <x:c r="H1218" s="78"/>
      <x:c r="I1218" s="69" t="str">
        <x:v>GBP</x:v>
      </x:c>
      <x:c r="J1218" s="80"/>
      <x:c r="K1218" s="82"/>
      <x:c r="L1218" s="69" t="str">
        <x:v>Evidence needed</x:v>
      </x:c>
      <x:c r="M1218" s="69" t="str">
        <x:v>Buyer-specific role, production, availability, signing age and total fee evidence are needed before assigning a deal-value score. Loan/swap costs must be treated separately.</x:v>
      </x:c>
      <x:c r="N1218" s="69" t="str">
        <x:v>Not assessed</x:v>
      </x:c>
      <x:c r="O1218" s="69" t="str">
        <x:v>Source broad position and transfer quote only; detailed role and buyer-specific production not validated.</x:v>
      </x:c>
      <x:c r="P1218" s="69" t="str">
        <x:v>https://www.theguardian.com/football/ng-interactive/2026/sep/01/mens-transfer-window-summer-2026-all-deals-from-europes-top-five-leagues</x:v>
      </x:c>
    </x:row>
    <x:row r="1219" ht="25" customHeight="1">
      <x:c r="A1219" s="75" t="str">
        <x:v>summer-S26-0710</x:v>
      </x:c>
      <x:c r="B1219" s="75" t="str">
        <x:v>Mamadou Sangaré</x:v>
      </x:c>
      <x:c r="C1219" s="75" t="str">
        <x:v>Brentford</x:v>
      </x:c>
      <x:c r="D1219" s="75" t="str">
        <x:v>Lens</x:v>
      </x:c>
      <x:c r="E1219" s="77" t="d">
        <x:v>2026-08-01T00:00:00.000Z</x:v>
      </x:c>
      <x:c r="F1219" s="75" t="str">
        <x:v>summer</x:v>
      </x:c>
      <x:c r="G1219" s="75" t="str">
        <x:v>Midfielder — source label</x:v>
      </x:c>
      <x:c r="H1219" s="79" t="n">
        <x:v>39000000</x:v>
      </x:c>
      <x:c r="I1219" s="75" t="str">
        <x:v>GBP</x:v>
      </x:c>
      <x:c r="J1219" s="81"/>
      <x:c r="K1219" s="83"/>
      <x:c r="L1219" s="75" t="str">
        <x:v>Evidence needed</x:v>
      </x:c>
      <x:c r="M1219" s="75" t="str">
        <x:v>Buyer-specific role, production, availability, signing age and total fee evidence are needed before assigning a deal-value score.</x:v>
      </x:c>
      <x:c r="N1219" s="75" t="str">
        <x:v>Not assessed</x:v>
      </x:c>
      <x:c r="O1219" s="75" t="str">
        <x:v>Source broad position and transfer quote only; detailed role and buyer-specific production not validated.</x:v>
      </x:c>
      <x:c r="P1219" s="75" t="str">
        <x:v>https://www.theguardian.com/football/ng-interactive/2026/sep/01/mens-transfer-window-summer-2026-all-deals-from-europes-top-five-leagues</x:v>
      </x:c>
    </x:row>
    <x:row r="1220" ht="25" customHeight="1">
      <x:c r="A1220" s="69" t="str">
        <x:v>summer-S26-0711</x:v>
      </x:c>
      <x:c r="B1220" s="69" t="str">
        <x:v>Nathan Tinsdale</x:v>
      </x:c>
      <x:c r="C1220" s="69" t="str">
        <x:v>Crawley Town</x:v>
      </x:c>
      <x:c r="D1220" s="69" t="str">
        <x:v>Hull City</x:v>
      </x:c>
      <x:c r="E1220" s="76" t="d">
        <x:v>2026-08-01T00:00:00.000Z</x:v>
      </x:c>
      <x:c r="F1220" s="69" t="str">
        <x:v>summer</x:v>
      </x:c>
      <x:c r="G1220" s="69" t="str">
        <x:v>Midfielder — source label</x:v>
      </x:c>
      <x:c r="H1220" s="78"/>
      <x:c r="I1220" s="69" t="str">
        <x:v>GBP</x:v>
      </x:c>
      <x:c r="J1220" s="80"/>
      <x:c r="K1220" s="82"/>
      <x:c r="L1220" s="69" t="str">
        <x:v>Evidence needed</x:v>
      </x:c>
      <x:c r="M1220" s="69" t="str">
        <x:v>Buyer-specific role, production, availability, signing age and total fee evidence are needed before assigning a deal-value score. Loan/swap costs must be treated separately.</x:v>
      </x:c>
      <x:c r="N1220" s="69" t="str">
        <x:v>Not assessed</x:v>
      </x:c>
      <x:c r="O1220" s="69" t="str">
        <x:v>Source broad position and transfer quote only; detailed role and buyer-specific production not validated.</x:v>
      </x:c>
      <x:c r="P1220" s="69" t="str">
        <x:v>https://www.theguardian.com/football/ng-interactive/2026/sep/01/mens-transfer-window-summer-2026-all-deals-from-europes-top-five-leagues</x:v>
      </x:c>
    </x:row>
    <x:row r="1221" ht="25" customHeight="1">
      <x:c r="A1221" s="75" t="str">
        <x:v>summer-S26-0713</x:v>
      </x:c>
      <x:c r="B1221" s="75" t="str">
        <x:v>Konstantinos Koulierakis</x:v>
      </x:c>
      <x:c r="C1221" s="75" t="str">
        <x:v>Roma</x:v>
      </x:c>
      <x:c r="D1221" s="75" t="str">
        <x:v>Wolfsburg</x:v>
      </x:c>
      <x:c r="E1221" s="77" t="d">
        <x:v>2026-08-01T00:00:00.000Z</x:v>
      </x:c>
      <x:c r="F1221" s="75" t="str">
        <x:v>summer</x:v>
      </x:c>
      <x:c r="G1221" s="75" t="str">
        <x:v>Defender — source label</x:v>
      </x:c>
      <x:c r="H1221" s="79" t="n">
        <x:v>14100000</x:v>
      </x:c>
      <x:c r="I1221" s="75" t="str">
        <x:v>GBP</x:v>
      </x:c>
      <x:c r="J1221" s="81"/>
      <x:c r="K1221" s="83"/>
      <x:c r="L1221" s="75" t="str">
        <x:v>Evidence needed</x:v>
      </x:c>
      <x:c r="M1221" s="75" t="str">
        <x:v>Buyer-specific role, production, availability, signing age and total fee evidence are needed before assigning a deal-value score.</x:v>
      </x:c>
      <x:c r="N1221" s="75" t="str">
        <x:v>Not assessed</x:v>
      </x:c>
      <x:c r="O1221" s="75" t="str">
        <x:v>Source broad position and transfer quote only; detailed role and buyer-specific production not validated.</x:v>
      </x:c>
      <x:c r="P1221" s="75" t="str">
        <x:v>https://www.theguardian.com/football/ng-interactive/2026/sep/01/mens-transfer-window-summer-2026-all-deals-from-europes-top-five-leagues</x:v>
      </x:c>
    </x:row>
    <x:row r="1222" ht="25" customHeight="1">
      <x:c r="A1222" s="69" t="str">
        <x:v>summer-S26-0716</x:v>
      </x:c>
      <x:c r="B1222" s="69" t="str">
        <x:v>Jordan Zemura</x:v>
      </x:c>
      <x:c r="C1222" s="69" t="str">
        <x:v>Watford</x:v>
      </x:c>
      <x:c r="D1222" s="69" t="str">
        <x:v>Udinese</x:v>
      </x:c>
      <x:c r="E1222" s="76" t="d">
        <x:v>2026-08-02T00:00:00.000Z</x:v>
      </x:c>
      <x:c r="F1222" s="69" t="str">
        <x:v>summer</x:v>
      </x:c>
      <x:c r="G1222" s="69" t="str">
        <x:v>Defender — source label</x:v>
      </x:c>
      <x:c r="H1222" s="78"/>
      <x:c r="I1222" s="69" t="str">
        <x:v>GBP</x:v>
      </x:c>
      <x:c r="J1222" s="80"/>
      <x:c r="K1222" s="82"/>
      <x:c r="L1222" s="69" t="str">
        <x:v>Evidence needed</x:v>
      </x:c>
      <x:c r="M1222" s="69" t="str">
        <x:v>Buyer-specific role, production, availability, signing age and total fee evidence are needed before assigning a deal-value score. Loan/swap costs must be treated separately.</x:v>
      </x:c>
      <x:c r="N1222" s="69" t="str">
        <x:v>Not assessed</x:v>
      </x:c>
      <x:c r="O1222" s="69" t="str">
        <x:v>Source broad position and transfer quote only; detailed role and buyer-specific production not validated.</x:v>
      </x:c>
      <x:c r="P1222" s="69" t="str">
        <x:v>https://www.theguardian.com/football/ng-interactive/2026/sep/01/mens-transfer-window-summer-2026-all-deals-from-europes-top-five-leagues</x:v>
      </x:c>
    </x:row>
    <x:row r="1223" ht="25" customHeight="1">
      <x:c r="A1223" s="75" t="str">
        <x:v>summer-S26-0718</x:v>
      </x:c>
      <x:c r="B1223" s="75" t="str">
        <x:v>Simon Sohm</x:v>
      </x:c>
      <x:c r="C1223" s="75" t="str">
        <x:v>Venezia</x:v>
      </x:c>
      <x:c r="D1223" s="75" t="str">
        <x:v>Fiorentina</x:v>
      </x:c>
      <x:c r="E1223" s="77" t="d">
        <x:v>2026-08-02T00:00:00.000Z</x:v>
      </x:c>
      <x:c r="F1223" s="75" t="str">
        <x:v>summer</x:v>
      </x:c>
      <x:c r="G1223" s="75" t="str">
        <x:v>Midfielder — source label</x:v>
      </x:c>
      <x:c r="H1223" s="79"/>
      <x:c r="I1223" s="75" t="str">
        <x:v>GBP</x:v>
      </x:c>
      <x:c r="J1223" s="81"/>
      <x:c r="K1223" s="83"/>
      <x:c r="L1223" s="75" t="str">
        <x:v>Evidence needed</x:v>
      </x:c>
      <x:c r="M1223" s="75" t="str">
        <x:v>Buyer-specific role, production, availability, signing age and total fee evidence are needed before assigning a deal-value score. Loan/swap costs must be treated separately.</x:v>
      </x:c>
      <x:c r="N1223" s="75" t="str">
        <x:v>Not assessed</x:v>
      </x:c>
      <x:c r="O1223" s="75" t="str">
        <x:v>Source broad position and transfer quote only; detailed role and buyer-specific production not validated.</x:v>
      </x:c>
      <x:c r="P1223" s="75" t="str">
        <x:v>https://www.theguardian.com/football/ng-interactive/2026/sep/01/mens-transfer-window-summer-2026-all-deals-from-europes-top-five-leagues</x:v>
      </x:c>
    </x:row>
    <x:row r="1224" ht="25" customHeight="1">
      <x:c r="A1224" s="69" t="str">
        <x:v>summer-S26-0719</x:v>
      </x:c>
      <x:c r="B1224" s="69" t="str">
        <x:v>Velizar-Iliya Iliev</x:v>
      </x:c>
      <x:c r="C1224" s="69" t="str">
        <x:v>Cosenza</x:v>
      </x:c>
      <x:c r="D1224" s="69" t="str">
        <x:v>Cagliari</x:v>
      </x:c>
      <x:c r="E1224" s="76" t="d">
        <x:v>2026-08-02T00:00:00.000Z</x:v>
      </x:c>
      <x:c r="F1224" s="69" t="str">
        <x:v>summer</x:v>
      </x:c>
      <x:c r="G1224" s="69" t="str">
        <x:v>Goalkeeper — source label</x:v>
      </x:c>
      <x:c r="H1224" s="78"/>
      <x:c r="I1224" s="69" t="str">
        <x:v>GBP</x:v>
      </x:c>
      <x:c r="J1224" s="80"/>
      <x:c r="K1224" s="82"/>
      <x:c r="L1224" s="69" t="str">
        <x:v>Evidence needed</x:v>
      </x:c>
      <x:c r="M1224" s="69" t="str">
        <x:v>Buyer-specific shot-stopping, distribution, aerial command, sweeping, signing age and total fee evidence are needed before scoring. Loan/swap costs must be treated separately.</x:v>
      </x:c>
      <x:c r="N1224" s="69" t="str">
        <x:v>Not assessed</x:v>
      </x:c>
      <x:c r="O1224" s="69" t="str">
        <x:v>Source broad position and transfer quote only; detailed role and buyer-specific production not validated.</x:v>
      </x:c>
      <x:c r="P1224" s="69" t="str">
        <x:v>https://www.theguardian.com/football/ng-interactive/2026/sep/01/mens-transfer-window-summer-2026-all-deals-from-europes-top-five-leagues</x:v>
      </x:c>
    </x:row>
    <x:row r="1225" ht="25" customHeight="1">
      <x:c r="A1225" s="75" t="str">
        <x:v>summer-S26-0723</x:v>
      </x:c>
      <x:c r="B1225" s="75" t="str">
        <x:v>Valentín Barco</x:v>
      </x:c>
      <x:c r="C1225" s="75" t="str">
        <x:v>Chelsea</x:v>
      </x:c>
      <x:c r="D1225" s="75" t="str">
        <x:v>Strasbourg</x:v>
      </x:c>
      <x:c r="E1225" s="77" t="d">
        <x:v>2026-08-02T00:00:00.000Z</x:v>
      </x:c>
      <x:c r="F1225" s="75" t="str">
        <x:v>summer</x:v>
      </x:c>
      <x:c r="G1225" s="75" t="str">
        <x:v>Midfielder — source label</x:v>
      </x:c>
      <x:c r="H1225" s="79" t="n">
        <x:v>34000000</x:v>
      </x:c>
      <x:c r="I1225" s="75" t="str">
        <x:v>GBP</x:v>
      </x:c>
      <x:c r="J1225" s="81"/>
      <x:c r="K1225" s="83"/>
      <x:c r="L1225" s="75" t="str">
        <x:v>Evidence needed</x:v>
      </x:c>
      <x:c r="M1225" s="75" t="str">
        <x:v>Buyer-specific role, production, availability, signing age and total fee evidence are needed before assigning a deal-value score.</x:v>
      </x:c>
      <x:c r="N1225" s="75" t="str">
        <x:v>Not assessed</x:v>
      </x:c>
      <x:c r="O1225" s="75" t="str">
        <x:v>Source broad position and transfer quote only; detailed role and buyer-specific production not validated.</x:v>
      </x:c>
      <x:c r="P1225" s="75" t="str">
        <x:v>https://www.theguardian.com/football/ng-interactive/2026/sep/01/mens-transfer-window-summer-2026-all-deals-from-europes-top-five-leagues</x:v>
      </x:c>
    </x:row>
    <x:row r="1226" ht="25" customHeight="1">
      <x:c r="A1226" s="69" t="str">
        <x:v>summer-S26-0727</x:v>
      </x:c>
      <x:c r="B1226" s="69" t="str">
        <x:v>Fran González</x:v>
      </x:c>
      <x:c r="C1226" s="69" t="str">
        <x:v>Sevilla</x:v>
      </x:c>
      <x:c r="D1226" s="69" t="str">
        <x:v>Real Madrid</x:v>
      </x:c>
      <x:c r="E1226" s="76" t="d">
        <x:v>2026-08-02T00:00:00.000Z</x:v>
      </x:c>
      <x:c r="F1226" s="69" t="str">
        <x:v>summer</x:v>
      </x:c>
      <x:c r="G1226" s="69" t="str">
        <x:v>Goalkeeper — source label</x:v>
      </x:c>
      <x:c r="H1226" s="78"/>
      <x:c r="I1226" s="69" t="str">
        <x:v>GBP</x:v>
      </x:c>
      <x:c r="J1226" s="80"/>
      <x:c r="K1226" s="82"/>
      <x:c r="L1226" s="69" t="str">
        <x:v>Evidence needed</x:v>
      </x:c>
      <x:c r="M1226" s="69" t="str">
        <x:v>Buyer-specific shot-stopping, distribution, aerial command, sweeping, signing age and total fee evidence are needed before scoring.</x:v>
      </x:c>
      <x:c r="N1226" s="69" t="str">
        <x:v>Not assessed</x:v>
      </x:c>
      <x:c r="O1226" s="69" t="str">
        <x:v>Source broad position and transfer quote only; detailed role and buyer-specific production not validated.</x:v>
      </x:c>
      <x:c r="P1226" s="69" t="str">
        <x:v>https://www.theguardian.com/football/ng-interactive/2026/sep/01/mens-transfer-window-summer-2026-all-deals-from-europes-top-five-leagues</x:v>
      </x:c>
    </x:row>
    <x:row r="1227" ht="25" customHeight="1">
      <x:c r="A1227" s="75" t="str">
        <x:v>summer-S26-0728</x:v>
      </x:c>
      <x:c r="B1227" s="75" t="str">
        <x:v>Lukas Hornicek</x:v>
      </x:c>
      <x:c r="C1227" s="75" t="str">
        <x:v>Newcastle United</x:v>
      </x:c>
      <x:c r="D1227" s="75" t="str">
        <x:v>Braga</x:v>
      </x:c>
      <x:c r="E1227" s="77" t="d">
        <x:v>2026-08-03T00:00:00.000Z</x:v>
      </x:c>
      <x:c r="F1227" s="75" t="str">
        <x:v>summer</x:v>
      </x:c>
      <x:c r="G1227" s="75" t="str">
        <x:v>Goalkeeper — source label</x:v>
      </x:c>
      <x:c r="H1227" s="79" t="n">
        <x:v>25700000</x:v>
      </x:c>
      <x:c r="I1227" s="75" t="str">
        <x:v>GBP</x:v>
      </x:c>
      <x:c r="J1227" s="81"/>
      <x:c r="K1227" s="83"/>
      <x:c r="L1227" s="75" t="str">
        <x:v>Evidence needed</x:v>
      </x:c>
      <x:c r="M1227" s="75" t="str">
        <x:v>Buyer-specific shot-stopping, distribution, aerial command, sweeping, signing age and total fee evidence are needed before scoring.</x:v>
      </x:c>
      <x:c r="N1227" s="75" t="str">
        <x:v>Not assessed</x:v>
      </x:c>
      <x:c r="O1227" s="75" t="str">
        <x:v>Source broad position and transfer quote only; detailed role and buyer-specific production not validated.</x:v>
      </x:c>
      <x:c r="P1227" s="75" t="str">
        <x:v>https://www.theguardian.com/football/ng-interactive/2026/sep/01/mens-transfer-window-summer-2026-all-deals-from-europes-top-five-leagues</x:v>
      </x:c>
    </x:row>
    <x:row r="1228" ht="25" customHeight="1">
      <x:c r="A1228" s="69" t="str">
        <x:v>summer-S26-0730</x:v>
      </x:c>
      <x:c r="B1228" s="69" t="str">
        <x:v>Felix Bacher</x:v>
      </x:c>
      <x:c r="C1228" s="69" t="str">
        <x:v>Lyon</x:v>
      </x:c>
      <x:c r="D1228" s="69" t="str">
        <x:v>Estoril</x:v>
      </x:c>
      <x:c r="E1228" s="76" t="d">
        <x:v>2026-08-02T00:00:00.000Z</x:v>
      </x:c>
      <x:c r="F1228" s="69" t="str">
        <x:v>summer</x:v>
      </x:c>
      <x:c r="G1228" s="69" t="str">
        <x:v>Defender — source label</x:v>
      </x:c>
      <x:c r="H1228" s="78" t="n">
        <x:v>3700000</x:v>
      </x:c>
      <x:c r="I1228" s="69" t="str">
        <x:v>GBP</x:v>
      </x:c>
      <x:c r="J1228" s="80"/>
      <x:c r="K1228" s="82"/>
      <x:c r="L1228" s="69" t="str">
        <x:v>Evidence needed</x:v>
      </x:c>
      <x:c r="M1228" s="69" t="str">
        <x:v>Buyer-specific role, production, availability, signing age and total fee evidence are needed before assigning a deal-value score.</x:v>
      </x:c>
      <x:c r="N1228" s="69" t="str">
        <x:v>Not assessed</x:v>
      </x:c>
      <x:c r="O1228" s="69" t="str">
        <x:v>Source broad position and transfer quote only; detailed role and buyer-specific production not validated.</x:v>
      </x:c>
      <x:c r="P1228" s="69" t="str">
        <x:v>https://www.theguardian.com/football/ng-interactive/2026/sep/01/mens-transfer-window-summer-2026-all-deals-from-europes-top-five-leagues</x:v>
      </x:c>
    </x:row>
    <x:row r="1229" ht="25" customHeight="1">
      <x:c r="A1229" s="75" t="str">
        <x:v>summer-S26-0731</x:v>
      </x:c>
      <x:c r="B1229" s="75" t="str">
        <x:v>Redouane Halhal</x:v>
      </x:c>
      <x:c r="C1229" s="75" t="str">
        <x:v>Venezia</x:v>
      </x:c>
      <x:c r="D1229" s="75" t="str">
        <x:v>Mechelen</x:v>
      </x:c>
      <x:c r="E1229" s="77" t="d">
        <x:v>2026-08-01T00:00:00.000Z</x:v>
      </x:c>
      <x:c r="F1229" s="75" t="str">
        <x:v>summer</x:v>
      </x:c>
      <x:c r="G1229" s="75" t="str">
        <x:v>Defender — source label</x:v>
      </x:c>
      <x:c r="H1229" s="79" t="n">
        <x:v>4300000</x:v>
      </x:c>
      <x:c r="I1229" s="75" t="str">
        <x:v>GBP</x:v>
      </x:c>
      <x:c r="J1229" s="81"/>
      <x:c r="K1229" s="83"/>
      <x:c r="L1229" s="75" t="str">
        <x:v>Evidence needed</x:v>
      </x:c>
      <x:c r="M1229" s="75" t="str">
        <x:v>Buyer-specific role, production, availability, signing age and total fee evidence are needed before assigning a deal-value score.</x:v>
      </x:c>
      <x:c r="N1229" s="75" t="str">
        <x:v>Not assessed</x:v>
      </x:c>
      <x:c r="O1229" s="75" t="str">
        <x:v>Source broad position and transfer quote only; detailed role and buyer-specific production not validated.</x:v>
      </x:c>
      <x:c r="P1229" s="75" t="str">
        <x:v>https://www.theguardian.com/football/ng-interactive/2026/sep/01/mens-transfer-window-summer-2026-all-deals-from-europes-top-five-leagues</x:v>
      </x:c>
    </x:row>
    <x:row r="1230" ht="25" customHeight="1">
      <x:c r="A1230" s="69" t="str">
        <x:v>summer-S26-0732</x:v>
      </x:c>
      <x:c r="B1230" s="69" t="str">
        <x:v>Luca Montenegro</x:v>
      </x:c>
      <x:c r="C1230" s="69" t="str">
        <x:v>Dolomiti</x:v>
      </x:c>
      <x:c r="D1230" s="69" t="str">
        <x:v>Fiorentina</x:v>
      </x:c>
      <x:c r="E1230" s="76" t="d">
        <x:v>2026-08-01T00:00:00.000Z</x:v>
      </x:c>
      <x:c r="F1230" s="69" t="str">
        <x:v>summer</x:v>
      </x:c>
      <x:c r="G1230" s="69" t="str">
        <x:v>Midfielder — source label</x:v>
      </x:c>
      <x:c r="H1230" s="78"/>
      <x:c r="I1230" s="69" t="str">
        <x:v>GBP</x:v>
      </x:c>
      <x:c r="J1230" s="80"/>
      <x:c r="K1230" s="82"/>
      <x:c r="L1230" s="69" t="str">
        <x:v>Evidence needed</x:v>
      </x:c>
      <x:c r="M1230" s="69" t="str">
        <x:v>Buyer-specific role, production, availability, signing age and total fee evidence are needed before assigning a deal-value score. Loan/swap costs must be treated separately.</x:v>
      </x:c>
      <x:c r="N1230" s="69" t="str">
        <x:v>Not assessed</x:v>
      </x:c>
      <x:c r="O1230" s="69" t="str">
        <x:v>Source broad position and transfer quote only; detailed role and buyer-specific production not validated.</x:v>
      </x:c>
      <x:c r="P1230" s="69" t="str">
        <x:v>https://www.theguardian.com/football/ng-interactive/2026/sep/01/mens-transfer-window-summer-2026-all-deals-from-europes-top-five-leagues</x:v>
      </x:c>
    </x:row>
    <x:row r="1231" ht="25" customHeight="1">
      <x:c r="A1231" s="75" t="str">
        <x:v>summer-S26-0734</x:v>
      </x:c>
      <x:c r="B1231" s="75" t="str">
        <x:v>Abdoulaye Faye</x:v>
      </x:c>
      <x:c r="C1231" s="75" t="str">
        <x:v>Celta Vigo</x:v>
      </x:c>
      <x:c r="D1231" s="75" t="str">
        <x:v>Bayer Leverkusen</x:v>
      </x:c>
      <x:c r="E1231" s="77" t="d">
        <x:v>2026-08-03T00:00:00.000Z</x:v>
      </x:c>
      <x:c r="F1231" s="75" t="str">
        <x:v>summer</x:v>
      </x:c>
      <x:c r="G1231" s="75" t="str">
        <x:v>Defender — source label</x:v>
      </x:c>
      <x:c r="H1231" s="79"/>
      <x:c r="I1231" s="75" t="str">
        <x:v>GBP</x:v>
      </x:c>
      <x:c r="J1231" s="81"/>
      <x:c r="K1231" s="83"/>
      <x:c r="L1231" s="75" t="str">
        <x:v>Evidence needed</x:v>
      </x:c>
      <x:c r="M1231" s="75" t="str">
        <x:v>Buyer-specific role, production, availability, signing age and total fee evidence are needed before assigning a deal-value score. Loan/swap costs must be treated separately.</x:v>
      </x:c>
      <x:c r="N1231" s="75" t="str">
        <x:v>Not assessed</x:v>
      </x:c>
      <x:c r="O1231" s="75" t="str">
        <x:v>Source broad position and transfer quote only; detailed role and buyer-specific production not validated.</x:v>
      </x:c>
      <x:c r="P1231" s="75" t="str">
        <x:v>https://www.theguardian.com/football/ng-interactive/2026/sep/01/mens-transfer-window-summer-2026-all-deals-from-europes-top-five-leagues</x:v>
      </x:c>
    </x:row>
    <x:row r="1232" ht="25" customHeight="1">
      <x:c r="A1232" s="69" t="str">
        <x:v>summer-S26-0735</x:v>
      </x:c>
      <x:c r="B1232" s="69" t="str">
        <x:v>Glen Kamara</x:v>
      </x:c>
      <x:c r="C1232" s="69" t="str">
        <x:v>QPR</x:v>
      </x:c>
      <x:c r="D1232" s="69" t="str">
        <x:v>Rennes</x:v>
      </x:c>
      <x:c r="E1232" s="76" t="d">
        <x:v>2026-08-03T00:00:00.000Z</x:v>
      </x:c>
      <x:c r="F1232" s="69" t="str">
        <x:v>summer</x:v>
      </x:c>
      <x:c r="G1232" s="69" t="str">
        <x:v>Midfielder — source label</x:v>
      </x:c>
      <x:c r="H1232" s="78"/>
      <x:c r="I1232" s="69" t="str">
        <x:v>GBP</x:v>
      </x:c>
      <x:c r="J1232" s="80"/>
      <x:c r="K1232" s="82"/>
      <x:c r="L1232" s="69" t="str">
        <x:v>Evidence needed</x:v>
      </x:c>
      <x:c r="M1232" s="69" t="str">
        <x:v>Buyer-specific role, production, availability, signing age and total fee evidence are needed before assigning a deal-value score. Loan/swap costs must be treated separately.</x:v>
      </x:c>
      <x:c r="N1232" s="69" t="str">
        <x:v>Not assessed</x:v>
      </x:c>
      <x:c r="O1232" s="69" t="str">
        <x:v>Source broad position and transfer quote only; detailed role and buyer-specific production not validated.</x:v>
      </x:c>
      <x:c r="P1232" s="69" t="str">
        <x:v>https://www.theguardian.com/football/ng-interactive/2026/sep/01/mens-transfer-window-summer-2026-all-deals-from-europes-top-five-leagues</x:v>
      </x:c>
    </x:row>
    <x:row r="1233" ht="25" customHeight="1">
      <x:c r="A1233" s="75" t="str">
        <x:v>summer-S26-0737</x:v>
      </x:c>
      <x:c r="B1233" s="75" t="str">
        <x:v>Vasilije Adzic</x:v>
      </x:c>
      <x:c r="C1233" s="75" t="str">
        <x:v>Sassuolo</x:v>
      </x:c>
      <x:c r="D1233" s="75" t="str">
        <x:v>Juventus</x:v>
      </x:c>
      <x:c r="E1233" s="77" t="d">
        <x:v>2026-08-03T00:00:00.000Z</x:v>
      </x:c>
      <x:c r="F1233" s="75" t="str">
        <x:v>summer</x:v>
      </x:c>
      <x:c r="G1233" s="75" t="str">
        <x:v>Midfielder — source label</x:v>
      </x:c>
      <x:c r="H1233" s="79" t="n">
        <x:v>428000</x:v>
      </x:c>
      <x:c r="I1233" s="75" t="str">
        <x:v>GBP</x:v>
      </x:c>
      <x:c r="J1233" s="81"/>
      <x:c r="K1233" s="83"/>
      <x:c r="L1233" s="75" t="str">
        <x:v>Evidence needed</x:v>
      </x:c>
      <x:c r="M1233" s="75" t="str">
        <x:v>Buyer-specific role, production, availability, signing age and total fee evidence are needed before assigning a deal-value score. Loan/swap costs must be treated separately.</x:v>
      </x:c>
      <x:c r="N1233" s="75" t="str">
        <x:v>Not assessed</x:v>
      </x:c>
      <x:c r="O1233" s="75" t="str">
        <x:v>Source broad position and transfer quote only; detailed role and buyer-specific production not validated.</x:v>
      </x:c>
      <x:c r="P1233" s="75" t="str">
        <x:v>https://www.theguardian.com/football/ng-interactive/2026/sep/01/mens-transfer-window-summer-2026-all-deals-from-europes-top-five-leagues</x:v>
      </x:c>
    </x:row>
    <x:row r="1234" ht="25" customHeight="1">
      <x:c r="A1234" s="69" t="str">
        <x:v>summer-S26-0738</x:v>
      </x:c>
      <x:c r="B1234" s="69" t="str">
        <x:v>Peter Gulacsi</x:v>
      </x:c>
      <x:c r="C1234" s="69" t="str">
        <x:v>Villarreal</x:v>
      </x:c>
      <x:c r="D1234" s="69" t="str">
        <x:v>RB Leipzig</x:v>
      </x:c>
      <x:c r="E1234" s="76" t="d">
        <x:v>2026-08-03T00:00:00.000Z</x:v>
      </x:c>
      <x:c r="F1234" s="69" t="str">
        <x:v>summer</x:v>
      </x:c>
      <x:c r="G1234" s="69" t="str">
        <x:v>Goalkeeper — source label</x:v>
      </x:c>
      <x:c r="H1234" s="78" t="n">
        <x:v>1710000</x:v>
      </x:c>
      <x:c r="I1234" s="69" t="str">
        <x:v>GBP</x:v>
      </x:c>
      <x:c r="J1234" s="80"/>
      <x:c r="K1234" s="82"/>
      <x:c r="L1234" s="69" t="str">
        <x:v>Evidence needed</x:v>
      </x:c>
      <x:c r="M1234" s="69" t="str">
        <x:v>Buyer-specific shot-stopping, distribution, aerial command, sweeping, signing age and total fee evidence are needed before scoring.</x:v>
      </x:c>
      <x:c r="N1234" s="69" t="str">
        <x:v>Not assessed</x:v>
      </x:c>
      <x:c r="O1234" s="69" t="str">
        <x:v>Source broad position and transfer quote only; detailed role and buyer-specific production not validated.</x:v>
      </x:c>
      <x:c r="P1234" s="69" t="str">
        <x:v>https://www.theguardian.com/football/ng-interactive/2026/sep/01/mens-transfer-window-summer-2026-all-deals-from-europes-top-five-leagues</x:v>
      </x:c>
    </x:row>
    <x:row r="1235" ht="25" customHeight="1">
      <x:c r="A1235" s="75" t="str">
        <x:v>summer-S26-0739</x:v>
      </x:c>
      <x:c r="B1235" s="75" t="str">
        <x:v>João Mário</x:v>
      </x:c>
      <x:c r="C1235" s="75" t="str">
        <x:v>Fiorentina</x:v>
      </x:c>
      <x:c r="D1235" s="75" t="str">
        <x:v>Juventus</x:v>
      </x:c>
      <x:c r="E1235" s="77" t="d">
        <x:v>2026-08-03T00:00:00.000Z</x:v>
      </x:c>
      <x:c r="F1235" s="75" t="str">
        <x:v>summer</x:v>
      </x:c>
      <x:c r="G1235" s="75" t="str">
        <x:v>Defender — source label</x:v>
      </x:c>
      <x:c r="H1235" s="79"/>
      <x:c r="I1235" s="75" t="str">
        <x:v>GBP</x:v>
      </x:c>
      <x:c r="J1235" s="81"/>
      <x:c r="K1235" s="83"/>
      <x:c r="L1235" s="75" t="str">
        <x:v>Evidence needed</x:v>
      </x:c>
      <x:c r="M1235" s="75" t="str">
        <x:v>Buyer-specific role, production, availability, signing age and total fee evidence are needed before assigning a deal-value score. Loan/swap costs must be treated separately.</x:v>
      </x:c>
      <x:c r="N1235" s="75" t="str">
        <x:v>Not assessed</x:v>
      </x:c>
      <x:c r="O1235" s="75" t="str">
        <x:v>Source broad position and transfer quote only; detailed role and buyer-specific production not validated.</x:v>
      </x:c>
      <x:c r="P1235" s="75" t="str">
        <x:v>https://www.theguardian.com/football/ng-interactive/2026/sep/01/mens-transfer-window-summer-2026-all-deals-from-europes-top-five-leagues</x:v>
      </x:c>
    </x:row>
    <x:row r="1236" ht="25" customHeight="1">
      <x:c r="A1236" s="69" t="str">
        <x:v>summer-S26-0740</x:v>
      </x:c>
      <x:c r="B1236" s="69" t="str">
        <x:v>Yacine Titraoui</x:v>
      </x:c>
      <x:c r="C1236" s="69" t="str">
        <x:v>Lens</x:v>
      </x:c>
      <x:c r="D1236" s="69" t="str">
        <x:v>Charleroi</x:v>
      </x:c>
      <x:c r="E1236" s="76" t="d">
        <x:v>2026-08-03T00:00:00.000Z</x:v>
      </x:c>
      <x:c r="F1236" s="69" t="str">
        <x:v>summer</x:v>
      </x:c>
      <x:c r="G1236" s="69" t="str">
        <x:v>Midfielder — source label</x:v>
      </x:c>
      <x:c r="H1236" s="78" t="n">
        <x:v>6860000</x:v>
      </x:c>
      <x:c r="I1236" s="69" t="str">
        <x:v>GBP</x:v>
      </x:c>
      <x:c r="J1236" s="80"/>
      <x:c r="K1236" s="82"/>
      <x:c r="L1236" s="69" t="str">
        <x:v>Evidence needed</x:v>
      </x:c>
      <x:c r="M1236" s="69" t="str">
        <x:v>Buyer-specific role, production, availability, signing age and total fee evidence are needed before assigning a deal-value score.</x:v>
      </x:c>
      <x:c r="N1236" s="69" t="str">
        <x:v>Not assessed</x:v>
      </x:c>
      <x:c r="O1236" s="69" t="str">
        <x:v>Source broad position and transfer quote only; detailed role and buyer-specific production not validated.</x:v>
      </x:c>
      <x:c r="P1236" s="69" t="str">
        <x:v>https://www.theguardian.com/football/ng-interactive/2026/sep/01/mens-transfer-window-summer-2026-all-deals-from-europes-top-five-leagues</x:v>
      </x:c>
    </x:row>
    <x:row r="1237" ht="25" customHeight="1">
      <x:c r="A1237" s="75" t="str">
        <x:v>summer-S26-0742</x:v>
      </x:c>
      <x:c r="B1237" s="75" t="str">
        <x:v>Carl Rushworth</x:v>
      </x:c>
      <x:c r="C1237" s="75" t="str">
        <x:v>Coventry City</x:v>
      </x:c>
      <x:c r="D1237" s="75" t="str">
        <x:v>Brighton</x:v>
      </x:c>
      <x:c r="E1237" s="77" t="d">
        <x:v>2026-08-04T00:00:00.000Z</x:v>
      </x:c>
      <x:c r="F1237" s="75" t="str">
        <x:v>summer</x:v>
      </x:c>
      <x:c r="G1237" s="75" t="str">
        <x:v>Goalkeeper — source label</x:v>
      </x:c>
      <x:c r="H1237" s="79" t="n">
        <x:v>22500000</x:v>
      </x:c>
      <x:c r="I1237" s="75" t="str">
        <x:v>GBP</x:v>
      </x:c>
      <x:c r="J1237" s="81"/>
      <x:c r="K1237" s="83"/>
      <x:c r="L1237" s="75" t="str">
        <x:v>Evidence needed</x:v>
      </x:c>
      <x:c r="M1237" s="75" t="str">
        <x:v>Buyer-specific shot-stopping, distribution, aerial command, sweeping, signing age and total fee evidence are needed before scoring.</x:v>
      </x:c>
      <x:c r="N1237" s="75" t="str">
        <x:v>Not assessed</x:v>
      </x:c>
      <x:c r="O1237" s="75" t="str">
        <x:v>Source broad position and transfer quote only; detailed role and buyer-specific production not validated.</x:v>
      </x:c>
      <x:c r="P1237" s="75" t="str">
        <x:v>https://www.theguardian.com/football/ng-interactive/2026/sep/01/mens-transfer-window-summer-2026-all-deals-from-europes-top-five-leagues</x:v>
      </x:c>
    </x:row>
    <x:row r="1238" ht="25" customHeight="1">
      <x:c r="A1238" s="69" t="str">
        <x:v>summer-S26-0743</x:v>
      </x:c>
      <x:c r="B1238" s="69" t="str">
        <x:v>César Palacios</x:v>
      </x:c>
      <x:c r="C1238" s="69" t="str">
        <x:v>Fulham</x:v>
      </x:c>
      <x:c r="D1238" s="69" t="str">
        <x:v>Real Madrid</x:v>
      </x:c>
      <x:c r="E1238" s="76" t="d">
        <x:v>2026-08-03T00:00:00.000Z</x:v>
      </x:c>
      <x:c r="F1238" s="69" t="str">
        <x:v>summer</x:v>
      </x:c>
      <x:c r="G1238" s="69" t="str">
        <x:v>Midfielder — source label</x:v>
      </x:c>
      <x:c r="H1238" s="78" t="n">
        <x:v>8600000</x:v>
      </x:c>
      <x:c r="I1238" s="69" t="str">
        <x:v>GBP</x:v>
      </x:c>
      <x:c r="J1238" s="80"/>
      <x:c r="K1238" s="82"/>
      <x:c r="L1238" s="69" t="str">
        <x:v>Evidence needed</x:v>
      </x:c>
      <x:c r="M1238" s="69" t="str">
        <x:v>Buyer-specific role, production, availability, signing age and total fee evidence are needed before assigning a deal-value score.</x:v>
      </x:c>
      <x:c r="N1238" s="69" t="str">
        <x:v>Not assessed</x:v>
      </x:c>
      <x:c r="O1238" s="69" t="str">
        <x:v>Source broad position and transfer quote only; detailed role and buyer-specific production not validated.</x:v>
      </x:c>
      <x:c r="P1238" s="69" t="str">
        <x:v>https://www.theguardian.com/football/ng-interactive/2026/sep/01/mens-transfer-window-summer-2026-all-deals-from-europes-top-five-leagues</x:v>
      </x:c>
    </x:row>
    <x:row r="1239" ht="25" customHeight="1">
      <x:c r="A1239" s="75" t="str">
        <x:v>summer-S26-0744</x:v>
      </x:c>
      <x:c r="B1239" s="75" t="str">
        <x:v>Marc-André ter Stegen</x:v>
      </x:c>
      <x:c r="C1239" s="75" t="str">
        <x:v>Ajax</x:v>
      </x:c>
      <x:c r="D1239" s="75" t="str">
        <x:v>Barcelona</x:v>
      </x:c>
      <x:c r="E1239" s="77" t="d">
        <x:v>2026-08-04T00:00:00.000Z</x:v>
      </x:c>
      <x:c r="F1239" s="75" t="str">
        <x:v>summer</x:v>
      </x:c>
      <x:c r="G1239" s="75" t="str">
        <x:v>Goalkeeper — source label</x:v>
      </x:c>
      <x:c r="H1239" s="79"/>
      <x:c r="I1239" s="75" t="str">
        <x:v>GBP</x:v>
      </x:c>
      <x:c r="J1239" s="81"/>
      <x:c r="K1239" s="83"/>
      <x:c r="L1239" s="75" t="str">
        <x:v>Evidence needed</x:v>
      </x:c>
      <x:c r="M1239" s="75" t="str">
        <x:v>Buyer-specific shot-stopping, distribution, aerial command, sweeping, signing age and total fee evidence are needed before scoring. Loan/swap costs must be treated separately.</x:v>
      </x:c>
      <x:c r="N1239" s="75" t="str">
        <x:v>Not assessed</x:v>
      </x:c>
      <x:c r="O1239" s="75" t="str">
        <x:v>Source broad position and transfer quote only; detailed role and buyer-specific production not validated.</x:v>
      </x:c>
      <x:c r="P1239" s="75" t="str">
        <x:v>https://www.theguardian.com/football/ng-interactive/2026/sep/01/mens-transfer-window-summer-2026-all-deals-from-europes-top-five-leagues</x:v>
      </x:c>
    </x:row>
    <x:row r="1240" ht="25" customHeight="1">
      <x:c r="A1240" s="69" t="str">
        <x:v>summer-S26-0745</x:v>
      </x:c>
      <x:c r="B1240" s="69" t="str">
        <x:v>Ørjan Nyland</x:v>
      </x:c>
      <x:c r="C1240" s="69" t="str">
        <x:v>RB Leipzig</x:v>
      </x:c>
      <x:c r="D1240" s="69" t="str">
        <x:v>Sevilla</x:v>
      </x:c>
      <x:c r="E1240" s="76" t="d">
        <x:v>2026-08-04T00:00:00.000Z</x:v>
      </x:c>
      <x:c r="F1240" s="69" t="str">
        <x:v>summer</x:v>
      </x:c>
      <x:c r="G1240" s="69" t="str">
        <x:v>Goalkeeper — source label</x:v>
      </x:c>
      <x:c r="H1240" s="78"/>
      <x:c r="I1240" s="69" t="str">
        <x:v>GBP</x:v>
      </x:c>
      <x:c r="J1240" s="80"/>
      <x:c r="K1240" s="82"/>
      <x:c r="L1240" s="69" t="str">
        <x:v>Evidence needed</x:v>
      </x:c>
      <x:c r="M1240" s="69" t="str">
        <x:v>Buyer-specific shot-stopping, distribution, aerial command, sweeping, signing age and total fee evidence are needed before scoring. A zero base fee does not represent wages or signing costs.</x:v>
      </x:c>
      <x:c r="N1240" s="69" t="str">
        <x:v>Not assessed</x:v>
      </x:c>
      <x:c r="O1240" s="69" t="str">
        <x:v>Source broad position and transfer quote only; detailed role and buyer-specific production not validated.</x:v>
      </x:c>
      <x:c r="P1240" s="69" t="str">
        <x:v>https://www.theguardian.com/football/ng-interactive/2026/sep/01/mens-transfer-window-summer-2026-all-deals-from-europes-top-five-leagues</x:v>
      </x:c>
    </x:row>
    <x:row r="1241" ht="25" customHeight="1">
      <x:c r="A1241" s="75" t="str">
        <x:v>summer-S26-0746</x:v>
      </x:c>
      <x:c r="B1241" s="75" t="str">
        <x:v>Charlie Cresswell</x:v>
      </x:c>
      <x:c r="C1241" s="75" t="str">
        <x:v>Rennes</x:v>
      </x:c>
      <x:c r="D1241" s="75" t="str">
        <x:v>Toulouse</x:v>
      </x:c>
      <x:c r="E1241" s="77" t="d">
        <x:v>2026-08-04T00:00:00.000Z</x:v>
      </x:c>
      <x:c r="F1241" s="75" t="str">
        <x:v>summer</x:v>
      </x:c>
      <x:c r="G1241" s="75" t="str">
        <x:v>Defender — source label</x:v>
      </x:c>
      <x:c r="H1241" s="79"/>
      <x:c r="I1241" s="75" t="str">
        <x:v>GBP</x:v>
      </x:c>
      <x:c r="J1241" s="81"/>
      <x:c r="K1241" s="83"/>
      <x:c r="L1241" s="75" t="str">
        <x:v>Evidence needed</x:v>
      </x:c>
      <x:c r="M1241" s="75" t="str">
        <x:v>Buyer-specific role, production, availability, signing age and total fee evidence are needed before assigning a deal-value score. Loan/swap costs must be treated separately.</x:v>
      </x:c>
      <x:c r="N1241" s="75" t="str">
        <x:v>Not assessed</x:v>
      </x:c>
      <x:c r="O1241" s="75" t="str">
        <x:v>Source broad position and transfer quote only; detailed role and buyer-specific production not validated.</x:v>
      </x:c>
      <x:c r="P1241" s="75" t="str">
        <x:v>https://www.theguardian.com/football/ng-interactive/2026/sep/01/mens-transfer-window-summer-2026-all-deals-from-europes-top-five-leagues</x:v>
      </x:c>
    </x:row>
    <x:row r="1242" ht="25" customHeight="1">
      <x:c r="A1242" s="69" t="str">
        <x:v>summer-S26-0747</x:v>
      </x:c>
      <x:c r="B1242" s="69" t="str">
        <x:v>Gio Reyna</x:v>
      </x:c>
      <x:c r="C1242" s="69" t="str">
        <x:v>Strasbourg</x:v>
      </x:c>
      <x:c r="D1242" s="69" t="str">
        <x:v>Borussia Mönchengladbach</x:v>
      </x:c>
      <x:c r="E1242" s="76" t="d">
        <x:v>2026-08-04T00:00:00.000Z</x:v>
      </x:c>
      <x:c r="F1242" s="69" t="str">
        <x:v>summer</x:v>
      </x:c>
      <x:c r="G1242" s="69" t="str">
        <x:v>Midfielder — source label</x:v>
      </x:c>
      <x:c r="H1242" s="78" t="n">
        <x:v>2600000</x:v>
      </x:c>
      <x:c r="I1242" s="69" t="str">
        <x:v>GBP</x:v>
      </x:c>
      <x:c r="J1242" s="80"/>
      <x:c r="K1242" s="82"/>
      <x:c r="L1242" s="69" t="str">
        <x:v>Evidence needed</x:v>
      </x:c>
      <x:c r="M1242" s="69" t="str">
        <x:v>Buyer-specific role, production, availability, signing age and total fee evidence are needed before assigning a deal-value score.</x:v>
      </x:c>
      <x:c r="N1242" s="69" t="str">
        <x:v>Not assessed</x:v>
      </x:c>
      <x:c r="O1242" s="69" t="str">
        <x:v>Source broad position and transfer quote only; detailed role and buyer-specific production not validated.</x:v>
      </x:c>
      <x:c r="P1242" s="69" t="str">
        <x:v>https://www.theguardian.com/football/ng-interactive/2026/sep/01/mens-transfer-window-summer-2026-all-deals-from-europes-top-five-leagues</x:v>
      </x:c>
    </x:row>
    <x:row r="1243" ht="25" customHeight="1">
      <x:c r="A1243" s="75" t="str">
        <x:v>summer-S26-0753</x:v>
      </x:c>
      <x:c r="B1243" s="75" t="str">
        <x:v>Victor Valdepeñas</x:v>
      </x:c>
      <x:c r="C1243" s="75" t="str">
        <x:v>Fiorentina</x:v>
      </x:c>
      <x:c r="D1243" s="75" t="str">
        <x:v>Real Madrid</x:v>
      </x:c>
      <x:c r="E1243" s="77" t="d">
        <x:v>2026-08-01T00:00:00.000Z</x:v>
      </x:c>
      <x:c r="F1243" s="75" t="str">
        <x:v>summer</x:v>
      </x:c>
      <x:c r="G1243" s="75" t="str">
        <x:v>Defender — source label</x:v>
      </x:c>
      <x:c r="H1243" s="79" t="n">
        <x:v>6860000</x:v>
      </x:c>
      <x:c r="I1243" s="75" t="str">
        <x:v>GBP</x:v>
      </x:c>
      <x:c r="J1243" s="81"/>
      <x:c r="K1243" s="83"/>
      <x:c r="L1243" s="75" t="str">
        <x:v>Evidence needed</x:v>
      </x:c>
      <x:c r="M1243" s="75" t="str">
        <x:v>Buyer-specific role, production, availability, signing age and total fee evidence are needed before assigning a deal-value score.</x:v>
      </x:c>
      <x:c r="N1243" s="75" t="str">
        <x:v>Not assessed</x:v>
      </x:c>
      <x:c r="O1243" s="75" t="str">
        <x:v>Source broad position and transfer quote only; detailed role and buyer-specific production not validated.</x:v>
      </x:c>
      <x:c r="P1243" s="75" t="str">
        <x:v>https://www.theguardian.com/football/ng-interactive/2026/sep/01/mens-transfer-window-summer-2026-all-deals-from-europes-top-five-leagues</x:v>
      </x:c>
    </x:row>
    <x:row r="1244" ht="25" customHeight="1">
      <x:c r="A1244" s="69" t="str">
        <x:v>summer-S26-0755</x:v>
      </x:c>
      <x:c r="B1244" s="69" t="str">
        <x:v>Pedro Felipe</x:v>
      </x:c>
      <x:c r="C1244" s="69" t="str">
        <x:v>Racing Santander</x:v>
      </x:c>
      <x:c r="D1244" s="69" t="str">
        <x:v>Juventus</x:v>
      </x:c>
      <x:c r="E1244" s="76" t="d">
        <x:v>2026-08-04T00:00:00.000Z</x:v>
      </x:c>
      <x:c r="F1244" s="69" t="str">
        <x:v>summer</x:v>
      </x:c>
      <x:c r="G1244" s="69" t="str">
        <x:v>Defender — source label</x:v>
      </x:c>
      <x:c r="H1244" s="78"/>
      <x:c r="I1244" s="69" t="str">
        <x:v>GBP</x:v>
      </x:c>
      <x:c r="J1244" s="80"/>
      <x:c r="K1244" s="82"/>
      <x:c r="L1244" s="69" t="str">
        <x:v>Evidence needed</x:v>
      </x:c>
      <x:c r="M1244" s="69" t="str">
        <x:v>Buyer-specific role, production, availability, signing age and total fee evidence are needed before assigning a deal-value score.</x:v>
      </x:c>
      <x:c r="N1244" s="69" t="str">
        <x:v>Not assessed</x:v>
      </x:c>
      <x:c r="O1244" s="69" t="str">
        <x:v>Source broad position and transfer quote only; detailed role and buyer-specific production not validated.</x:v>
      </x:c>
      <x:c r="P1244" s="69" t="str">
        <x:v>https://www.theguardian.com/football/ng-interactive/2026/sep/01/mens-transfer-window-summer-2026-all-deals-from-europes-top-five-leagues</x:v>
      </x:c>
    </x:row>
    <x:row r="1245" ht="25" customHeight="1">
      <x:c r="A1245" s="75" t="str">
        <x:v>summer-S26-0756</x:v>
      </x:c>
      <x:c r="B1245" s="75" t="str">
        <x:v>Darlin Yongwa</x:v>
      </x:c>
      <x:c r="C1245" s="75" t="str">
        <x:v>Norwich City</x:v>
      </x:c>
      <x:c r="D1245" s="75" t="str">
        <x:v>Lorient</x:v>
      </x:c>
      <x:c r="E1245" s="77" t="d">
        <x:v>2026-08-04T00:00:00.000Z</x:v>
      </x:c>
      <x:c r="F1245" s="75" t="str">
        <x:v>summer</x:v>
      </x:c>
      <x:c r="G1245" s="75" t="str">
        <x:v>Defender — source label</x:v>
      </x:c>
      <x:c r="H1245" s="79"/>
      <x:c r="I1245" s="75" t="str">
        <x:v>GBP</x:v>
      </x:c>
      <x:c r="J1245" s="81"/>
      <x:c r="K1245" s="83"/>
      <x:c r="L1245" s="75" t="str">
        <x:v>Evidence needed</x:v>
      </x:c>
      <x:c r="M1245" s="75" t="str">
        <x:v>Buyer-specific role, production, availability, signing age and total fee evidence are needed before assigning a deal-value score. A zero base fee does not represent wages or signing costs.</x:v>
      </x:c>
      <x:c r="N1245" s="75" t="str">
        <x:v>Not assessed</x:v>
      </x:c>
      <x:c r="O1245" s="75" t="str">
        <x:v>Source broad position and transfer quote only; detailed role and buyer-specific production not validated.</x:v>
      </x:c>
      <x:c r="P1245" s="75" t="str">
        <x:v>https://www.theguardian.com/football/ng-interactive/2026/sep/01/mens-transfer-window-summer-2026-all-deals-from-europes-top-five-leagues</x:v>
      </x:c>
    </x:row>
    <x:row r="1246" ht="25" customHeight="1">
      <x:c r="A1246" s="69" t="str">
        <x:v>summer-S26-0763</x:v>
      </x:c>
      <x:c r="B1246" s="69" t="str">
        <x:v>Pablo Ramón</x:v>
      </x:c>
      <x:c r="C1246" s="69" t="str">
        <x:v>Racing Santander</x:v>
      </x:c>
      <x:c r="D1246" s="69" t="str">
        <x:v>Espanyol</x:v>
      </x:c>
      <x:c r="E1246" s="76" t="d">
        <x:v>2026-08-05T00:00:00.000Z</x:v>
      </x:c>
      <x:c r="F1246" s="69" t="str">
        <x:v>summer</x:v>
      </x:c>
      <x:c r="G1246" s="69" t="str">
        <x:v>Defender — source label</x:v>
      </x:c>
      <x:c r="H1246" s="78"/>
      <x:c r="I1246" s="69" t="str">
        <x:v>GBP</x:v>
      </x:c>
      <x:c r="J1246" s="80"/>
      <x:c r="K1246" s="82"/>
      <x:c r="L1246" s="69" t="str">
        <x:v>Evidence needed</x:v>
      </x:c>
      <x:c r="M1246" s="69" t="str">
        <x:v>Buyer-specific role, production, availability, signing age and total fee evidence are needed before assigning a deal-value score.</x:v>
      </x:c>
      <x:c r="N1246" s="69" t="str">
        <x:v>Not assessed</x:v>
      </x:c>
      <x:c r="O1246" s="69" t="str">
        <x:v>Source broad position and transfer quote only; detailed role and buyer-specific production not validated.</x:v>
      </x:c>
      <x:c r="P1246" s="69" t="str">
        <x:v>https://www.theguardian.com/football/ng-interactive/2026/sep/01/mens-transfer-window-summer-2026-all-deals-from-europes-top-five-leagues</x:v>
      </x:c>
    </x:row>
    <x:row r="1247" ht="25" customHeight="1">
      <x:c r="A1247" s="75" t="str">
        <x:v>summer-S26-0764</x:v>
      </x:c>
      <x:c r="B1247" s="75" t="str">
        <x:v>Unai Elgezabal</x:v>
      </x:c>
      <x:c r="C1247" s="75" t="str">
        <x:v>Eibar</x:v>
      </x:c>
      <x:c r="D1247" s="75" t="str">
        <x:v>Levante</x:v>
      </x:c>
      <x:c r="E1247" s="77" t="d">
        <x:v>2026-08-05T00:00:00.000Z</x:v>
      </x:c>
      <x:c r="F1247" s="75" t="str">
        <x:v>summer</x:v>
      </x:c>
      <x:c r="G1247" s="75" t="str">
        <x:v>Defender — source label</x:v>
      </x:c>
      <x:c r="H1247" s="79"/>
      <x:c r="I1247" s="75" t="str">
        <x:v>GBP</x:v>
      </x:c>
      <x:c r="J1247" s="81"/>
      <x:c r="K1247" s="83"/>
      <x:c r="L1247" s="75" t="str">
        <x:v>Evidence needed</x:v>
      </x:c>
      <x:c r="M1247" s="75" t="str">
        <x:v>Buyer-specific role, production, availability, signing age and total fee evidence are needed before assigning a deal-value score. A zero base fee does not represent wages or signing costs.</x:v>
      </x:c>
      <x:c r="N1247" s="75" t="str">
        <x:v>Not assessed</x:v>
      </x:c>
      <x:c r="O1247" s="75" t="str">
        <x:v>Source broad position and transfer quote only; detailed role and buyer-specific production not validated.</x:v>
      </x:c>
      <x:c r="P1247" s="75" t="str">
        <x:v>https://www.theguardian.com/football/ng-interactive/2026/sep/01/mens-transfer-window-summer-2026-all-deals-from-europes-top-five-leagues</x:v>
      </x:c>
    </x:row>
    <x:row r="1248" ht="25" customHeight="1">
      <x:c r="A1248" s="69" t="str">
        <x:v>summer-S26-0765</x:v>
      </x:c>
      <x:c r="B1248" s="69" t="str">
        <x:v>Konstantinos Tzolakis</x:v>
      </x:c>
      <x:c r="C1248" s="69" t="str">
        <x:v>Hull City</x:v>
      </x:c>
      <x:c r="D1248" s="69" t="str">
        <x:v>Olympiakos</x:v>
      </x:c>
      <x:c r="E1248" s="76" t="d">
        <x:v>2026-08-05T00:00:00.000Z</x:v>
      </x:c>
      <x:c r="F1248" s="69" t="str">
        <x:v>summer</x:v>
      </x:c>
      <x:c r="G1248" s="69" t="str">
        <x:v>Goalkeeper — source label</x:v>
      </x:c>
      <x:c r="H1248" s="78" t="n">
        <x:v>20000000</x:v>
      </x:c>
      <x:c r="I1248" s="69" t="str">
        <x:v>GBP</x:v>
      </x:c>
      <x:c r="J1248" s="80"/>
      <x:c r="K1248" s="82"/>
      <x:c r="L1248" s="69" t="str">
        <x:v>Evidence needed</x:v>
      </x:c>
      <x:c r="M1248" s="69" t="str">
        <x:v>Buyer-specific shot-stopping, distribution, aerial command, sweeping, signing age and total fee evidence are needed before scoring.</x:v>
      </x:c>
      <x:c r="N1248" s="69" t="str">
        <x:v>Not assessed</x:v>
      </x:c>
      <x:c r="O1248" s="69" t="str">
        <x:v>Source broad position and transfer quote only; detailed role and buyer-specific production not validated.</x:v>
      </x:c>
      <x:c r="P1248" s="69" t="str">
        <x:v>https://www.theguardian.com/football/ng-interactive/2026/sep/01/mens-transfer-window-summer-2026-all-deals-from-europes-top-five-leagues</x:v>
      </x:c>
    </x:row>
    <x:row r="1249" ht="25" customHeight="1">
      <x:c r="A1249" s="75" t="str">
        <x:v>summer-S26-0766</x:v>
      </x:c>
      <x:c r="B1249" s="75" t="str">
        <x:v>Miguel Gutiérrez</x:v>
      </x:c>
      <x:c r="C1249" s="75" t="str">
        <x:v>Bayer Leverkusen</x:v>
      </x:c>
      <x:c r="D1249" s="75" t="str">
        <x:v>Napoli</x:v>
      </x:c>
      <x:c r="E1249" s="77" t="d">
        <x:v>2026-08-05T00:00:00.000Z</x:v>
      </x:c>
      <x:c r="F1249" s="75" t="str">
        <x:v>summer</x:v>
      </x:c>
      <x:c r="G1249" s="75" t="str">
        <x:v>Defender — source label</x:v>
      </x:c>
      <x:c r="H1249" s="79" t="n">
        <x:v>25700000</x:v>
      </x:c>
      <x:c r="I1249" s="75" t="str">
        <x:v>GBP</x:v>
      </x:c>
      <x:c r="J1249" s="81"/>
      <x:c r="K1249" s="83"/>
      <x:c r="L1249" s="75" t="str">
        <x:v>Evidence needed</x:v>
      </x:c>
      <x:c r="M1249" s="75" t="str">
        <x:v>Buyer-specific role, production, availability, signing age and total fee evidence are needed before assigning a deal-value score.</x:v>
      </x:c>
      <x:c r="N1249" s="75" t="str">
        <x:v>Not assessed</x:v>
      </x:c>
      <x:c r="O1249" s="75" t="str">
        <x:v>Source broad position and transfer quote only; detailed role and buyer-specific production not validated.</x:v>
      </x:c>
      <x:c r="P1249" s="75" t="str">
        <x:v>https://www.theguardian.com/football/ng-interactive/2026/sep/01/mens-transfer-window-summer-2026-all-deals-from-europes-top-five-leagues</x:v>
      </x:c>
    </x:row>
    <x:row r="1250" ht="25" customHeight="1">
      <x:c r="A1250" s="69" t="str">
        <x:v>summer-S26-0767</x:v>
      </x:c>
      <x:c r="B1250" s="69" t="str">
        <x:v>Joseph Nonge</x:v>
      </x:c>
      <x:c r="C1250" s="69" t="str">
        <x:v>Brest</x:v>
      </x:c>
      <x:c r="D1250" s="69" t="str">
        <x:v>Kocaelispor</x:v>
      </x:c>
      <x:c r="E1250" s="76" t="d">
        <x:v>2026-08-05T00:00:00.000Z</x:v>
      </x:c>
      <x:c r="F1250" s="69" t="str">
        <x:v>summer</x:v>
      </x:c>
      <x:c r="G1250" s="69" t="str">
        <x:v>Midfielder — source label</x:v>
      </x:c>
      <x:c r="H1250" s="78"/>
      <x:c r="I1250" s="69" t="str">
        <x:v>GBP</x:v>
      </x:c>
      <x:c r="J1250" s="80"/>
      <x:c r="K1250" s="82"/>
      <x:c r="L1250" s="69" t="str">
        <x:v>Evidence needed</x:v>
      </x:c>
      <x:c r="M1250" s="69" t="str">
        <x:v>Buyer-specific role, production, availability, signing age and total fee evidence are needed before assigning a deal-value score. A zero base fee does not represent wages or signing costs.</x:v>
      </x:c>
      <x:c r="N1250" s="69" t="str">
        <x:v>Not assessed</x:v>
      </x:c>
      <x:c r="O1250" s="69" t="str">
        <x:v>Source broad position and transfer quote only; detailed role and buyer-specific production not validated.</x:v>
      </x:c>
      <x:c r="P1250" s="69" t="str">
        <x:v>https://www.theguardian.com/football/ng-interactive/2026/sep/01/mens-transfer-window-summer-2026-all-deals-from-europes-top-five-leagues</x:v>
      </x:c>
    </x:row>
    <x:row r="1251" ht="25" customHeight="1">
      <x:c r="A1251" s="75" t="str">
        <x:v>summer-S26-0768</x:v>
      </x:c>
      <x:c r="B1251" s="75" t="str">
        <x:v>Kevin Leone</x:v>
      </x:c>
      <x:c r="C1251" s="75" t="str">
        <x:v>Arezzo</x:v>
      </x:c>
      <x:c r="D1251" s="75" t="str">
        <x:v>Sassuolo</x:v>
      </x:c>
      <x:c r="E1251" s="77" t="d">
        <x:v>2026-08-05T00:00:00.000Z</x:v>
      </x:c>
      <x:c r="F1251" s="75" t="str">
        <x:v>summer</x:v>
      </x:c>
      <x:c r="G1251" s="75" t="str">
        <x:v>Midfielder — source label</x:v>
      </x:c>
      <x:c r="H1251" s="79"/>
      <x:c r="I1251" s="75" t="str">
        <x:v>GBP</x:v>
      </x:c>
      <x:c r="J1251" s="81"/>
      <x:c r="K1251" s="83"/>
      <x:c r="L1251" s="75" t="str">
        <x:v>Evidence needed</x:v>
      </x:c>
      <x:c r="M1251" s="75" t="str">
        <x:v>Buyer-specific role, production, availability, signing age and total fee evidence are needed before assigning a deal-value score. Loan/swap costs must be treated separately.</x:v>
      </x:c>
      <x:c r="N1251" s="75" t="str">
        <x:v>Not assessed</x:v>
      </x:c>
      <x:c r="O1251" s="75" t="str">
        <x:v>Source broad position and transfer quote only; detailed role and buyer-specific production not validated.</x:v>
      </x:c>
      <x:c r="P1251" s="75" t="str">
        <x:v>https://www.theguardian.com/football/ng-interactive/2026/sep/01/mens-transfer-window-summer-2026-all-deals-from-europes-top-five-leagues</x:v>
      </x:c>
    </x:row>
    <x:row r="1252" ht="25" customHeight="1">
      <x:c r="A1252" s="69" t="str">
        <x:v>summer-S26-0769</x:v>
      </x:c>
      <x:c r="B1252" s="69" t="str">
        <x:v>Reece Welch</x:v>
      </x:c>
      <x:c r="C1252" s="69" t="str">
        <x:v>Bradford City</x:v>
      </x:c>
      <x:c r="D1252" s="69" t="str">
        <x:v>Everton</x:v>
      </x:c>
      <x:c r="E1252" s="76" t="d">
        <x:v>2026-08-05T00:00:00.000Z</x:v>
      </x:c>
      <x:c r="F1252" s="69" t="str">
        <x:v>summer</x:v>
      </x:c>
      <x:c r="G1252" s="69" t="str">
        <x:v>Defender — source label</x:v>
      </x:c>
      <x:c r="H1252" s="78"/>
      <x:c r="I1252" s="69" t="str">
        <x:v>GBP</x:v>
      </x:c>
      <x:c r="J1252" s="80"/>
      <x:c r="K1252" s="82"/>
      <x:c r="L1252" s="69" t="str">
        <x:v>Evidence needed</x:v>
      </x:c>
      <x:c r="M1252" s="69" t="str">
        <x:v>Buyer-specific role, production, availability, signing age and total fee evidence are needed before assigning a deal-value score. A zero base fee does not represent wages or signing costs.</x:v>
      </x:c>
      <x:c r="N1252" s="69" t="str">
        <x:v>Not assessed</x:v>
      </x:c>
      <x:c r="O1252" s="69" t="str">
        <x:v>Source broad position and transfer quote only; detailed role and buyer-specific production not validated.</x:v>
      </x:c>
      <x:c r="P1252" s="69" t="str">
        <x:v>https://www.theguardian.com/football/ng-interactive/2026/sep/01/mens-transfer-window-summer-2026-all-deals-from-europes-top-five-leagues</x:v>
      </x:c>
    </x:row>
    <x:row r="1253" ht="25" customHeight="1">
      <x:c r="A1253" s="75" t="str">
        <x:v>summer-S26-0771</x:v>
      </x:c>
      <x:c r="B1253" s="75" t="str">
        <x:v>Ruslan Malinovskyi</x:v>
      </x:c>
      <x:c r="C1253" s="75" t="str">
        <x:v>Trabzonspor</x:v>
      </x:c>
      <x:c r="D1253" s="75" t="str">
        <x:v>Genoa</x:v>
      </x:c>
      <x:c r="E1253" s="77" t="d">
        <x:v>2026-06-05T00:00:00.000Z</x:v>
      </x:c>
      <x:c r="F1253" s="75" t="str">
        <x:v>summer</x:v>
      </x:c>
      <x:c r="G1253" s="75" t="str">
        <x:v>Midfielder — source label</x:v>
      </x:c>
      <x:c r="H1253" s="79"/>
      <x:c r="I1253" s="75" t="str">
        <x:v>GBP</x:v>
      </x:c>
      <x:c r="J1253" s="81"/>
      <x:c r="K1253" s="83"/>
      <x:c r="L1253" s="75" t="str">
        <x:v>Evidence needed</x:v>
      </x:c>
      <x:c r="M1253" s="75" t="str">
        <x:v>Buyer-specific role, production, availability, signing age and total fee evidence are needed before assigning a deal-value score. A zero base fee does not represent wages or signing costs.</x:v>
      </x:c>
      <x:c r="N1253" s="75" t="str">
        <x:v>Not assessed</x:v>
      </x:c>
      <x:c r="O1253" s="75" t="str">
        <x:v>Source broad position and transfer quote only; detailed role and buyer-specific production not validated.</x:v>
      </x:c>
      <x:c r="P1253" s="75" t="str">
        <x:v>https://www.theguardian.com/football/ng-interactive/2026/sep/01/mens-transfer-window-summer-2026-all-deals-from-europes-top-five-leagues</x:v>
      </x:c>
    </x:row>
    <x:row r="1254" ht="25" customHeight="1">
      <x:c r="A1254" s="69" t="str">
        <x:v>summer-S26-0772</x:v>
      </x:c>
      <x:c r="B1254" s="69" t="str">
        <x:v>Hugo Cuenca</x:v>
      </x:c>
      <x:c r="C1254" s="69" t="str">
        <x:v>Celta Vigo</x:v>
      </x:c>
      <x:c r="D1254" s="69" t="str">
        <x:v>Genoa</x:v>
      </x:c>
      <x:c r="E1254" s="76" t="d">
        <x:v>2026-08-04T00:00:00.000Z</x:v>
      </x:c>
      <x:c r="F1254" s="69" t="str">
        <x:v>summer</x:v>
      </x:c>
      <x:c r="G1254" s="69" t="str">
        <x:v>Midfielder — source label</x:v>
      </x:c>
      <x:c r="H1254" s="78"/>
      <x:c r="I1254" s="69" t="str">
        <x:v>GBP</x:v>
      </x:c>
      <x:c r="J1254" s="80"/>
      <x:c r="K1254" s="82"/>
      <x:c r="L1254" s="69" t="str">
        <x:v>Evidence needed</x:v>
      </x:c>
      <x:c r="M1254" s="69" t="str">
        <x:v>Buyer-specific role, production, availability, signing age and total fee evidence are needed before assigning a deal-value score. Loan/swap costs must be treated separately.</x:v>
      </x:c>
      <x:c r="N1254" s="69" t="str">
        <x:v>Not assessed</x:v>
      </x:c>
      <x:c r="O1254" s="69" t="str">
        <x:v>Source broad position and transfer quote only; detailed role and buyer-specific production not validated.</x:v>
      </x:c>
      <x:c r="P1254" s="69" t="str">
        <x:v>https://www.theguardian.com/football/ng-interactive/2026/sep/01/mens-transfer-window-summer-2026-all-deals-from-europes-top-five-leagues</x:v>
      </x:c>
    </x:row>
    <x:row r="1255" ht="25" customHeight="1">
      <x:c r="A1255" s="75" t="str">
        <x:v>summer-S26-0773</x:v>
      </x:c>
      <x:c r="B1255" s="75" t="str">
        <x:v>Gianluca Rossi</x:v>
      </x:c>
      <x:c r="C1255" s="75" t="str">
        <x:v>Treviso</x:v>
      </x:c>
      <x:c r="D1255" s="75" t="str">
        <x:v>Genoa</x:v>
      </x:c>
      <x:c r="E1255" s="77" t="d">
        <x:v>2026-07-15T00:00:00.000Z</x:v>
      </x:c>
      <x:c r="F1255" s="75" t="str">
        <x:v>summer</x:v>
      </x:c>
      <x:c r="G1255" s="75" t="str">
        <x:v>Midfielder — source label</x:v>
      </x:c>
      <x:c r="H1255" s="79"/>
      <x:c r="I1255" s="75" t="str">
        <x:v>GBP</x:v>
      </x:c>
      <x:c r="J1255" s="81"/>
      <x:c r="K1255" s="83"/>
      <x:c r="L1255" s="75" t="str">
        <x:v>Evidence needed</x:v>
      </x:c>
      <x:c r="M1255" s="75" t="str">
        <x:v>Buyer-specific role, production, availability, signing age and total fee evidence are needed before assigning a deal-value score. Loan/swap costs must be treated separately.</x:v>
      </x:c>
      <x:c r="N1255" s="75" t="str">
        <x:v>Not assessed</x:v>
      </x:c>
      <x:c r="O1255" s="75" t="str">
        <x:v>Source broad position and transfer quote only; detailed role and buyer-specific production not validated.</x:v>
      </x:c>
      <x:c r="P1255" s="75" t="str">
        <x:v>https://www.theguardian.com/football/ng-interactive/2026/sep/01/mens-transfer-window-summer-2026-all-deals-from-europes-top-five-leagues</x:v>
      </x:c>
    </x:row>
    <x:row r="1256" ht="25" customHeight="1">
      <x:c r="A1256" s="69" t="str">
        <x:v>summer-S26-0775</x:v>
      </x:c>
      <x:c r="B1256" s="69" t="str">
        <x:v>Tommaso Pittino</x:v>
      </x:c>
      <x:c r="C1256" s="69" t="str">
        <x:v>Livorno</x:v>
      </x:c>
      <x:c r="D1256" s="69" t="str">
        <x:v>Genoa</x:v>
      </x:c>
      <x:c r="E1256" s="76" t="d">
        <x:v>2026-07-19T00:00:00.000Z</x:v>
      </x:c>
      <x:c r="F1256" s="69" t="str">
        <x:v>summer</x:v>
      </x:c>
      <x:c r="G1256" s="69" t="str">
        <x:v>Midfielder — source label</x:v>
      </x:c>
      <x:c r="H1256" s="78"/>
      <x:c r="I1256" s="69" t="str">
        <x:v>GBP</x:v>
      </x:c>
      <x:c r="J1256" s="80"/>
      <x:c r="K1256" s="82"/>
      <x:c r="L1256" s="69" t="str">
        <x:v>Evidence needed</x:v>
      </x:c>
      <x:c r="M1256" s="69" t="str">
        <x:v>Buyer-specific role, production, availability, signing age and total fee evidence are needed before assigning a deal-value score. Loan/swap costs must be treated separately.</x:v>
      </x:c>
      <x:c r="N1256" s="69" t="str">
        <x:v>Not assessed</x:v>
      </x:c>
      <x:c r="O1256" s="69" t="str">
        <x:v>Source broad position and transfer quote only; detailed role and buyer-specific production not validated.</x:v>
      </x:c>
      <x:c r="P1256" s="69" t="str">
        <x:v>https://www.theguardian.com/football/ng-interactive/2026/sep/01/mens-transfer-window-summer-2026-all-deals-from-europes-top-five-leagues</x:v>
      </x:c>
    </x:row>
    <x:row r="1257" ht="25" customHeight="1">
      <x:c r="A1257" s="75" t="str">
        <x:v>summer-S26-0776</x:v>
      </x:c>
      <x:c r="B1257" s="75" t="str">
        <x:v>Lorenzo Gagliardi</x:v>
      </x:c>
      <x:c r="C1257" s="75" t="str">
        <x:v>Altamura</x:v>
      </x:c>
      <x:c r="D1257" s="75" t="str">
        <x:v>Genoa</x:v>
      </x:c>
      <x:c r="E1257" s="77" t="d">
        <x:v>2026-07-08T00:00:00.000Z</x:v>
      </x:c>
      <x:c r="F1257" s="75" t="str">
        <x:v>summer</x:v>
      </x:c>
      <x:c r="G1257" s="75" t="str">
        <x:v>Defender — source label</x:v>
      </x:c>
      <x:c r="H1257" s="79"/>
      <x:c r="I1257" s="75" t="str">
        <x:v>GBP</x:v>
      </x:c>
      <x:c r="J1257" s="81"/>
      <x:c r="K1257" s="83"/>
      <x:c r="L1257" s="75" t="str">
        <x:v>Evidence needed</x:v>
      </x:c>
      <x:c r="M1257" s="75" t="str">
        <x:v>Buyer-specific role, production, availability, signing age and total fee evidence are needed before assigning a deal-value score. Loan/swap costs must be treated separately.</x:v>
      </x:c>
      <x:c r="N1257" s="75" t="str">
        <x:v>Not assessed</x:v>
      </x:c>
      <x:c r="O1257" s="75" t="str">
        <x:v>Source broad position and transfer quote only; detailed role and buyer-specific production not validated.</x:v>
      </x:c>
      <x:c r="P1257" s="75" t="str">
        <x:v>https://www.theguardian.com/football/ng-interactive/2026/sep/01/mens-transfer-window-summer-2026-all-deals-from-europes-top-five-leagues</x:v>
      </x:c>
    </x:row>
    <x:row r="1258" ht="25" customHeight="1">
      <x:c r="A1258" s="69" t="str">
        <x:v>summer-S26-0777</x:v>
      </x:c>
      <x:c r="B1258" s="69" t="str">
        <x:v>Simone Calvani</x:v>
      </x:c>
      <x:c r="C1258" s="69" t="str">
        <x:v>Vado</x:v>
      </x:c>
      <x:c r="D1258" s="69" t="str">
        <x:v>Genoa</x:v>
      </x:c>
      <x:c r="E1258" s="76" t="d">
        <x:v>2026-07-24T00:00:00.000Z</x:v>
      </x:c>
      <x:c r="F1258" s="69" t="str">
        <x:v>summer</x:v>
      </x:c>
      <x:c r="G1258" s="69" t="str">
        <x:v>Goalkeeper — source label</x:v>
      </x:c>
      <x:c r="H1258" s="78"/>
      <x:c r="I1258" s="69" t="str">
        <x:v>GBP</x:v>
      </x:c>
      <x:c r="J1258" s="80"/>
      <x:c r="K1258" s="82"/>
      <x:c r="L1258" s="69" t="str">
        <x:v>Evidence needed</x:v>
      </x:c>
      <x:c r="M1258" s="69" t="str">
        <x:v>Buyer-specific shot-stopping, distribution, aerial command, sweeping, signing age and total fee evidence are needed before scoring. Loan/swap costs must be treated separately.</x:v>
      </x:c>
      <x:c r="N1258" s="69" t="str">
        <x:v>Not assessed</x:v>
      </x:c>
      <x:c r="O1258" s="69" t="str">
        <x:v>Source broad position and transfer quote only; detailed role and buyer-specific production not validated.</x:v>
      </x:c>
      <x:c r="P1258" s="69" t="str">
        <x:v>https://www.theguardian.com/football/ng-interactive/2026/sep/01/mens-transfer-window-summer-2026-all-deals-from-europes-top-five-leagues</x:v>
      </x:c>
    </x:row>
    <x:row r="1259" ht="25" customHeight="1">
      <x:c r="A1259" s="75" t="str">
        <x:v>summer-S26-0778</x:v>
      </x:c>
      <x:c r="B1259" s="75" t="str">
        <x:v>Edoardo Meconi</x:v>
      </x:c>
      <x:c r="C1259" s="75" t="str">
        <x:v>Gubbio</x:v>
      </x:c>
      <x:c r="D1259" s="75" t="str">
        <x:v>Genoa</x:v>
      </x:c>
      <x:c r="E1259" s="77" t="d">
        <x:v>2026-07-07T00:00:00.000Z</x:v>
      </x:c>
      <x:c r="F1259" s="75" t="str">
        <x:v>summer</x:v>
      </x:c>
      <x:c r="G1259" s="75" t="str">
        <x:v>Defender — source label</x:v>
      </x:c>
      <x:c r="H1259" s="79"/>
      <x:c r="I1259" s="75" t="str">
        <x:v>GBP</x:v>
      </x:c>
      <x:c r="J1259" s="81"/>
      <x:c r="K1259" s="83"/>
      <x:c r="L1259" s="75" t="str">
        <x:v>Evidence needed</x:v>
      </x:c>
      <x:c r="M1259" s="75" t="str">
        <x:v>Buyer-specific role, production, availability, signing age and total fee evidence are needed before assigning a deal-value score. Loan/swap costs must be treated separately.</x:v>
      </x:c>
      <x:c r="N1259" s="75" t="str">
        <x:v>Not assessed</x:v>
      </x:c>
      <x:c r="O1259" s="75" t="str">
        <x:v>Source broad position and transfer quote only; detailed role and buyer-specific production not validated.</x:v>
      </x:c>
      <x:c r="P1259" s="75" t="str">
        <x:v>https://www.theguardian.com/football/ng-interactive/2026/sep/01/mens-transfer-window-summer-2026-all-deals-from-europes-top-five-leagues</x:v>
      </x:c>
    </x:row>
    <x:row r="1260" ht="25" customHeight="1">
      <x:c r="A1260" s="69" t="str">
        <x:v>summer-S26-0780</x:v>
      </x:c>
      <x:c r="B1260" s="69" t="str">
        <x:v>Charlie Crew</x:v>
      </x:c>
      <x:c r="C1260" s="69" t="str">
        <x:v>Walsall</x:v>
      </x:c>
      <x:c r="D1260" s="69" t="str">
        <x:v>Leeds United</x:v>
      </x:c>
      <x:c r="E1260" s="76" t="d">
        <x:v>2026-08-05T00:00:00.000Z</x:v>
      </x:c>
      <x:c r="F1260" s="69" t="str">
        <x:v>summer</x:v>
      </x:c>
      <x:c r="G1260" s="69" t="str">
        <x:v>Midfielder — source label</x:v>
      </x:c>
      <x:c r="H1260" s="78"/>
      <x:c r="I1260" s="69" t="str">
        <x:v>GBP</x:v>
      </x:c>
      <x:c r="J1260" s="80"/>
      <x:c r="K1260" s="82"/>
      <x:c r="L1260" s="69" t="str">
        <x:v>Evidence needed</x:v>
      </x:c>
      <x:c r="M1260" s="69" t="str">
        <x:v>Buyer-specific role, production, availability, signing age and total fee evidence are needed before assigning a deal-value score. Loan/swap costs must be treated separately.</x:v>
      </x:c>
      <x:c r="N1260" s="69" t="str">
        <x:v>Not assessed</x:v>
      </x:c>
      <x:c r="O1260" s="69" t="str">
        <x:v>Source broad position and transfer quote only; detailed role and buyer-specific production not validated.</x:v>
      </x:c>
      <x:c r="P1260" s="69" t="str">
        <x:v>https://www.theguardian.com/football/ng-interactive/2026/sep/01/mens-transfer-window-summer-2026-all-deals-from-europes-top-five-leagues</x:v>
      </x:c>
    </x:row>
    <x:row r="1261" ht="25" customHeight="1">
      <x:c r="A1261" s="75" t="str">
        <x:v>summer-S26-0781</x:v>
      </x:c>
      <x:c r="B1261" s="75" t="str">
        <x:v>Thimothée Lo-Tutala</x:v>
      </x:c>
      <x:c r="C1261" s="75" t="str">
        <x:v>Colchester</x:v>
      </x:c>
      <x:c r="D1261" s="75" t="str">
        <x:v>Hull City</x:v>
      </x:c>
      <x:c r="E1261" s="77" t="d">
        <x:v>2026-08-06T00:00:00.000Z</x:v>
      </x:c>
      <x:c r="F1261" s="75" t="str">
        <x:v>summer</x:v>
      </x:c>
      <x:c r="G1261" s="75" t="str">
        <x:v>Goalkeeper — source label</x:v>
      </x:c>
      <x:c r="H1261" s="79"/>
      <x:c r="I1261" s="75" t="str">
        <x:v>GBP</x:v>
      </x:c>
      <x:c r="J1261" s="81"/>
      <x:c r="K1261" s="83"/>
      <x:c r="L1261" s="75" t="str">
        <x:v>Evidence needed</x:v>
      </x:c>
      <x:c r="M1261" s="75" t="str">
        <x:v>Buyer-specific shot-stopping, distribution, aerial command, sweeping, signing age and total fee evidence are needed before scoring. Loan/swap costs must be treated separately.</x:v>
      </x:c>
      <x:c r="N1261" s="75" t="str">
        <x:v>Not assessed</x:v>
      </x:c>
      <x:c r="O1261" s="75" t="str">
        <x:v>Source broad position and transfer quote only; detailed role and buyer-specific production not validated.</x:v>
      </x:c>
      <x:c r="P1261" s="75" t="str">
        <x:v>https://www.theguardian.com/football/ng-interactive/2026/sep/01/mens-transfer-window-summer-2026-all-deals-from-europes-top-five-leagues</x:v>
      </x:c>
    </x:row>
    <x:row r="1262" ht="25" customHeight="1">
      <x:c r="A1262" s="69" t="str">
        <x:v>summer-S26-0782</x:v>
      </x:c>
      <x:c r="B1262" s="69" t="str">
        <x:v>Archie Harris</x:v>
      </x:c>
      <x:c r="C1262" s="69" t="str">
        <x:v>Wigan Athletic</x:v>
      </x:c>
      <x:c r="D1262" s="69" t="str">
        <x:v>Bournemouth</x:v>
      </x:c>
      <x:c r="E1262" s="76" t="d">
        <x:v>2026-08-06T00:00:00.000Z</x:v>
      </x:c>
      <x:c r="F1262" s="69" t="str">
        <x:v>summer</x:v>
      </x:c>
      <x:c r="G1262" s="69" t="str">
        <x:v>Defender — source label</x:v>
      </x:c>
      <x:c r="H1262" s="78"/>
      <x:c r="I1262" s="69" t="str">
        <x:v>GBP</x:v>
      </x:c>
      <x:c r="J1262" s="80"/>
      <x:c r="K1262" s="82"/>
      <x:c r="L1262" s="69" t="str">
        <x:v>Evidence needed</x:v>
      </x:c>
      <x:c r="M1262" s="69" t="str">
        <x:v>Buyer-specific role, production, availability, signing age and total fee evidence are needed before assigning a deal-value score.</x:v>
      </x:c>
      <x:c r="N1262" s="69" t="str">
        <x:v>Not assessed</x:v>
      </x:c>
      <x:c r="O1262" s="69" t="str">
        <x:v>Source broad position and transfer quote only; detailed role and buyer-specific production not validated.</x:v>
      </x:c>
      <x:c r="P1262" s="69" t="str">
        <x:v>https://www.theguardian.com/football/ng-interactive/2026/sep/01/mens-transfer-window-summer-2026-all-deals-from-europes-top-five-leagues</x:v>
      </x:c>
    </x:row>
    <x:row r="1263" ht="25" customHeight="1">
      <x:c r="A1263" s="75" t="str">
        <x:v>summer-S26-0784</x:v>
      </x:c>
      <x:c r="B1263" s="75" t="str">
        <x:v>Juanlu Sánchez</x:v>
      </x:c>
      <x:c r="C1263" s="75" t="str">
        <x:v>Bournemouth</x:v>
      </x:c>
      <x:c r="D1263" s="75" t="str">
        <x:v>Sevilla</x:v>
      </x:c>
      <x:c r="E1263" s="77" t="d">
        <x:v>2026-08-06T00:00:00.000Z</x:v>
      </x:c>
      <x:c r="F1263" s="75" t="str">
        <x:v>summer</x:v>
      </x:c>
      <x:c r="G1263" s="75" t="str">
        <x:v>Defender — source label</x:v>
      </x:c>
      <x:c r="H1263" s="79" t="n">
        <x:v>11100000</x:v>
      </x:c>
      <x:c r="I1263" s="75" t="str">
        <x:v>GBP</x:v>
      </x:c>
      <x:c r="J1263" s="81"/>
      <x:c r="K1263" s="83"/>
      <x:c r="L1263" s="75" t="str">
        <x:v>Evidence needed</x:v>
      </x:c>
      <x:c r="M1263" s="75" t="str">
        <x:v>Buyer-specific role, production, availability, signing age and total fee evidence are needed before assigning a deal-value score.</x:v>
      </x:c>
      <x:c r="N1263" s="75" t="str">
        <x:v>Not assessed</x:v>
      </x:c>
      <x:c r="O1263" s="75" t="str">
        <x:v>Source broad position and transfer quote only; detailed role and buyer-specific production not validated.</x:v>
      </x:c>
      <x:c r="P1263" s="75" t="str">
        <x:v>https://www.theguardian.com/football/ng-interactive/2026/sep/01/mens-transfer-window-summer-2026-all-deals-from-europes-top-five-leagues</x:v>
      </x:c>
    </x:row>
    <x:row r="1264" ht="25" customHeight="1">
      <x:c r="A1264" s="69" t="str">
        <x:v>summer-S26-0786</x:v>
      </x:c>
      <x:c r="B1264" s="69" t="str">
        <x:v>James Trafford</x:v>
      </x:c>
      <x:c r="C1264" s="69" t="str">
        <x:v>Leeds United</x:v>
      </x:c>
      <x:c r="D1264" s="69" t="str">
        <x:v>Manchester City</x:v>
      </x:c>
      <x:c r="E1264" s="76" t="d">
        <x:v>2026-08-06T00:00:00.000Z</x:v>
      </x:c>
      <x:c r="F1264" s="69" t="str">
        <x:v>summer</x:v>
      </x:c>
      <x:c r="G1264" s="69" t="str">
        <x:v>Goalkeeper — source label</x:v>
      </x:c>
      <x:c r="H1264" s="78" t="n">
        <x:v>40500000</x:v>
      </x:c>
      <x:c r="I1264" s="69" t="str">
        <x:v>GBP</x:v>
      </x:c>
      <x:c r="J1264" s="80"/>
      <x:c r="K1264" s="82"/>
      <x:c r="L1264" s="69" t="str">
        <x:v>Evidence needed</x:v>
      </x:c>
      <x:c r="M1264" s="69" t="str">
        <x:v>Buyer-specific shot-stopping, distribution, aerial command, sweeping, signing age and total fee evidence are needed before scoring.</x:v>
      </x:c>
      <x:c r="N1264" s="69" t="str">
        <x:v>Not assessed</x:v>
      </x:c>
      <x:c r="O1264" s="69" t="str">
        <x:v>Source broad position and transfer quote only; detailed role and buyer-specific production not validated.</x:v>
      </x:c>
      <x:c r="P1264" s="69" t="str">
        <x:v>https://www.theguardian.com/football/ng-interactive/2026/sep/01/mens-transfer-window-summer-2026-all-deals-from-europes-top-five-leagues</x:v>
      </x:c>
    </x:row>
    <x:row r="1265" ht="25" customHeight="1">
      <x:c r="A1265" s="75" t="str">
        <x:v>summer-S26-0787</x:v>
      </x:c>
      <x:c r="B1265" s="75" t="str">
        <x:v>Cristian Orozco</x:v>
      </x:c>
      <x:c r="C1265" s="75" t="str">
        <x:v>Manchester United</x:v>
      </x:c>
      <x:c r="D1265" s="75" t="str">
        <x:v>Fortaleza CEIF</x:v>
      </x:c>
      <x:c r="E1265" s="77" t="d">
        <x:v>2026-08-06T00:00:00.000Z</x:v>
      </x:c>
      <x:c r="F1265" s="75" t="str">
        <x:v>summer</x:v>
      </x:c>
      <x:c r="G1265" s="75" t="str">
        <x:v>Midfielder — source label</x:v>
      </x:c>
      <x:c r="H1265" s="79" t="n">
        <x:v>700000</x:v>
      </x:c>
      <x:c r="I1265" s="75" t="str">
        <x:v>GBP</x:v>
      </x:c>
      <x:c r="J1265" s="81"/>
      <x:c r="K1265" s="83"/>
      <x:c r="L1265" s="75" t="str">
        <x:v>Evidence needed</x:v>
      </x:c>
      <x:c r="M1265" s="75" t="str">
        <x:v>Buyer-specific role, production, availability, signing age and total fee evidence are needed before assigning a deal-value score.</x:v>
      </x:c>
      <x:c r="N1265" s="75" t="str">
        <x:v>Not assessed</x:v>
      </x:c>
      <x:c r="O1265" s="75" t="str">
        <x:v>Source broad position and transfer quote only; detailed role and buyer-specific production not validated.</x:v>
      </x:c>
      <x:c r="P1265" s="75" t="str">
        <x:v>https://www.theguardian.com/football/ng-interactive/2026/sep/01/mens-transfer-window-summer-2026-all-deals-from-europes-top-five-leagues</x:v>
      </x:c>
    </x:row>
    <x:row r="1266" ht="25" customHeight="1">
      <x:c r="A1266" s="69" t="str">
        <x:v>summer-S26-0788</x:v>
      </x:c>
      <x:c r="B1266" s="69" t="str">
        <x:v>Andrea Ceresoli</x:v>
      </x:c>
      <x:c r="C1266" s="69" t="str">
        <x:v>Nuremberg</x:v>
      </x:c>
      <x:c r="D1266" s="69" t="str">
        <x:v>Atalanta</x:v>
      </x:c>
      <x:c r="E1266" s="76" t="d">
        <x:v>2026-08-04T00:00:00.000Z</x:v>
      </x:c>
      <x:c r="F1266" s="69" t="str">
        <x:v>summer</x:v>
      </x:c>
      <x:c r="G1266" s="69" t="str">
        <x:v>Defender — source label</x:v>
      </x:c>
      <x:c r="H1266" s="78" t="n">
        <x:v>900000</x:v>
      </x:c>
      <x:c r="I1266" s="69" t="str">
        <x:v>GBP</x:v>
      </x:c>
      <x:c r="J1266" s="80"/>
      <x:c r="K1266" s="82"/>
      <x:c r="L1266" s="69" t="str">
        <x:v>Evidence needed</x:v>
      </x:c>
      <x:c r="M1266" s="69" t="str">
        <x:v>Buyer-specific role, production, availability, signing age and total fee evidence are needed before assigning a deal-value score.</x:v>
      </x:c>
      <x:c r="N1266" s="69" t="str">
        <x:v>Not assessed</x:v>
      </x:c>
      <x:c r="O1266" s="69" t="str">
        <x:v>Source broad position and transfer quote only; detailed role and buyer-specific production not validated.</x:v>
      </x:c>
      <x:c r="P1266" s="69" t="str">
        <x:v>https://www.theguardian.com/football/ng-interactive/2026/sep/01/mens-transfer-window-summer-2026-all-deals-from-europes-top-five-leagues</x:v>
      </x:c>
    </x:row>
    <x:row r="1267" ht="25" customHeight="1">
      <x:c r="A1267" s="75" t="str">
        <x:v>summer-S26-0789</x:v>
      </x:c>
      <x:c r="B1267" s="75" t="str">
        <x:v>Yan Couto</x:v>
      </x:c>
      <x:c r="C1267" s="75" t="str">
        <x:v>Como 1907</x:v>
      </x:c>
      <x:c r="D1267" s="75" t="str">
        <x:v>Borussia Dortmund</x:v>
      </x:c>
      <x:c r="E1267" s="77" t="d">
        <x:v>2026-08-06T00:00:00.000Z</x:v>
      </x:c>
      <x:c r="F1267" s="75" t="str">
        <x:v>summer</x:v>
      </x:c>
      <x:c r="G1267" s="75" t="str">
        <x:v>Defender — source label</x:v>
      </x:c>
      <x:c r="H1267" s="79"/>
      <x:c r="I1267" s="75" t="str">
        <x:v>GBP</x:v>
      </x:c>
      <x:c r="J1267" s="81"/>
      <x:c r="K1267" s="83"/>
      <x:c r="L1267" s="75" t="str">
        <x:v>Evidence needed</x:v>
      </x:c>
      <x:c r="M1267" s="75" t="str">
        <x:v>Buyer-specific role, production, availability, signing age and total fee evidence are needed before assigning a deal-value score. Loan/swap costs must be treated separately.</x:v>
      </x:c>
      <x:c r="N1267" s="75" t="str">
        <x:v>Not assessed</x:v>
      </x:c>
      <x:c r="O1267" s="75" t="str">
        <x:v>Source broad position and transfer quote only; detailed role and buyer-specific production not validated.</x:v>
      </x:c>
      <x:c r="P1267" s="75" t="str">
        <x:v>https://www.theguardian.com/football/ng-interactive/2026/sep/01/mens-transfer-window-summer-2026-all-deals-from-europes-top-five-leagues</x:v>
      </x:c>
    </x:row>
    <x:row r="1268" ht="25" customHeight="1">
      <x:c r="A1268" s="69" t="str">
        <x:v>summer-S26-0791</x:v>
      </x:c>
      <x:c r="B1268" s="69" t="str">
        <x:v>Djibril Sow</x:v>
      </x:c>
      <x:c r="C1268" s="69" t="str">
        <x:v>Genoa</x:v>
      </x:c>
      <x:c r="D1268" s="69" t="str">
        <x:v>Sevilla</x:v>
      </x:c>
      <x:c r="E1268" s="76" t="d">
        <x:v>2026-08-06T00:00:00.000Z</x:v>
      </x:c>
      <x:c r="F1268" s="69" t="str">
        <x:v>summer</x:v>
      </x:c>
      <x:c r="G1268" s="69" t="str">
        <x:v>Midfielder — source label</x:v>
      </x:c>
      <x:c r="H1268" s="78" t="n">
        <x:v>3400000</x:v>
      </x:c>
      <x:c r="I1268" s="69" t="str">
        <x:v>GBP</x:v>
      </x:c>
      <x:c r="J1268" s="80"/>
      <x:c r="K1268" s="82"/>
      <x:c r="L1268" s="69" t="str">
        <x:v>Evidence needed</x:v>
      </x:c>
      <x:c r="M1268" s="69" t="str">
        <x:v>Buyer-specific role, production, availability, signing age and total fee evidence are needed before assigning a deal-value score.</x:v>
      </x:c>
      <x:c r="N1268" s="69" t="str">
        <x:v>Not assessed</x:v>
      </x:c>
      <x:c r="O1268" s="69" t="str">
        <x:v>Source broad position and transfer quote only; detailed role and buyer-specific production not validated.</x:v>
      </x:c>
      <x:c r="P1268" s="69" t="str">
        <x:v>https://www.theguardian.com/football/ng-interactive/2026/sep/01/mens-transfer-window-summer-2026-all-deals-from-europes-top-five-leagues</x:v>
      </x:c>
    </x:row>
    <x:row r="1269" ht="25" customHeight="1">
      <x:c r="A1269" s="75" t="str">
        <x:v>summer-S26-0792</x:v>
      </x:c>
      <x:c r="B1269" s="75" t="str">
        <x:v>Christian Früchtl</x:v>
      </x:c>
      <x:c r="C1269" s="75" t="str">
        <x:v>Red Bull Salzburg</x:v>
      </x:c>
      <x:c r="D1269" s="75" t="str">
        <x:v>Lecce</x:v>
      </x:c>
      <x:c r="E1269" s="77" t="d">
        <x:v>2026-08-05T00:00:00.000Z</x:v>
      </x:c>
      <x:c r="F1269" s="75" t="str">
        <x:v>summer</x:v>
      </x:c>
      <x:c r="G1269" s="75" t="str">
        <x:v>Goalkeeper — source label</x:v>
      </x:c>
      <x:c r="H1269" s="79"/>
      <x:c r="I1269" s="75" t="str">
        <x:v>GBP</x:v>
      </x:c>
      <x:c r="J1269" s="81"/>
      <x:c r="K1269" s="83"/>
      <x:c r="L1269" s="75" t="str">
        <x:v>Evidence needed</x:v>
      </x:c>
      <x:c r="M1269" s="75" t="str">
        <x:v>Buyer-specific shot-stopping, distribution, aerial command, sweeping, signing age and total fee evidence are needed before scoring.</x:v>
      </x:c>
      <x:c r="N1269" s="75" t="str">
        <x:v>Not assessed</x:v>
      </x:c>
      <x:c r="O1269" s="75" t="str">
        <x:v>Source broad position and transfer quote only; detailed role and buyer-specific production not validated.</x:v>
      </x:c>
      <x:c r="P1269" s="75" t="str">
        <x:v>https://www.theguardian.com/football/ng-interactive/2026/sep/01/mens-transfer-window-summer-2026-all-deals-from-europes-top-five-leagues</x:v>
      </x:c>
    </x:row>
    <x:row r="1270" ht="25" customHeight="1">
      <x:c r="A1270" s="69" t="str">
        <x:v>summer-S26-0793</x:v>
      </x:c>
      <x:c r="B1270" s="69" t="str">
        <x:v>Giacomo Satalino</x:v>
      </x:c>
      <x:c r="C1270" s="69" t="str">
        <x:v>Sassuolo</x:v>
      </x:c>
      <x:c r="D1270" s="69" t="str">
        <x:v>Free agent</x:v>
      </x:c>
      <x:c r="E1270" s="76" t="d">
        <x:v>2026-08-06T00:00:00.000Z</x:v>
      </x:c>
      <x:c r="F1270" s="69" t="str">
        <x:v>summer</x:v>
      </x:c>
      <x:c r="G1270" s="69" t="str">
        <x:v>Goalkeeper — source label</x:v>
      </x:c>
      <x:c r="H1270" s="78"/>
      <x:c r="I1270" s="69" t="str">
        <x:v>GBP</x:v>
      </x:c>
      <x:c r="J1270" s="80"/>
      <x:c r="K1270" s="82"/>
      <x:c r="L1270" s="69" t="str">
        <x:v>Evidence needed</x:v>
      </x:c>
      <x:c r="M1270" s="69" t="str">
        <x:v>Buyer-specific shot-stopping, distribution, aerial command, sweeping, signing age and total fee evidence are needed before scoring. A zero base fee does not represent wages or signing costs.</x:v>
      </x:c>
      <x:c r="N1270" s="69" t="str">
        <x:v>Not assessed</x:v>
      </x:c>
      <x:c r="O1270" s="69" t="str">
        <x:v>Source broad position and transfer quote only; detailed role and buyer-specific production not validated.</x:v>
      </x:c>
      <x:c r="P1270" s="69" t="str">
        <x:v>https://www.theguardian.com/football/ng-interactive/2026/sep/01/mens-transfer-window-summer-2026-all-deals-from-europes-top-five-leagues</x:v>
      </x:c>
    </x:row>
    <x:row r="1271" ht="25" customHeight="1">
      <x:c r="A1271" s="75" t="str">
        <x:v>summer-S26-0794</x:v>
      </x:c>
      <x:c r="B1271" s="75" t="str">
        <x:v>Dimitris Giannoulis</x:v>
      </x:c>
      <x:c r="C1271" s="75" t="str">
        <x:v>PAOK</x:v>
      </x:c>
      <x:c r="D1271" s="75" t="str">
        <x:v>Augsburg</x:v>
      </x:c>
      <x:c r="E1271" s="77" t="d">
        <x:v>2026-08-06T00:00:00.000Z</x:v>
      </x:c>
      <x:c r="F1271" s="75" t="str">
        <x:v>summer</x:v>
      </x:c>
      <x:c r="G1271" s="75" t="str">
        <x:v>Defender — source label</x:v>
      </x:c>
      <x:c r="H1271" s="79" t="n">
        <x:v>3600000</x:v>
      </x:c>
      <x:c r="I1271" s="75" t="str">
        <x:v>GBP</x:v>
      </x:c>
      <x:c r="J1271" s="81"/>
      <x:c r="K1271" s="83"/>
      <x:c r="L1271" s="75" t="str">
        <x:v>Evidence needed</x:v>
      </x:c>
      <x:c r="M1271" s="75" t="str">
        <x:v>Buyer-specific role, production, availability, signing age and total fee evidence are needed before assigning a deal-value score.</x:v>
      </x:c>
      <x:c r="N1271" s="75" t="str">
        <x:v>Not assessed</x:v>
      </x:c>
      <x:c r="O1271" s="75" t="str">
        <x:v>Source broad position and transfer quote only; detailed role and buyer-specific production not validated.</x:v>
      </x:c>
      <x:c r="P1271" s="75" t="str">
        <x:v>https://www.theguardian.com/football/ng-interactive/2026/sep/01/mens-transfer-window-summer-2026-all-deals-from-europes-top-five-leagues</x:v>
      </x:c>
    </x:row>
    <x:row r="1272" ht="25" customHeight="1">
      <x:c r="A1272" s="69" t="str">
        <x:v>summer-S26-0797</x:v>
      </x:c>
      <x:c r="B1272" s="69" t="str">
        <x:v>Unai Núñez</x:v>
      </x:c>
      <x:c r="C1272" s="69" t="str">
        <x:v>Espanyol</x:v>
      </x:c>
      <x:c r="D1272" s="69" t="str">
        <x:v>Celta Vigo</x:v>
      </x:c>
      <x:c r="E1272" s="76" t="d">
        <x:v>2026-08-06T00:00:00.000Z</x:v>
      </x:c>
      <x:c r="F1272" s="69" t="str">
        <x:v>summer</x:v>
      </x:c>
      <x:c r="G1272" s="69" t="str">
        <x:v>Defender — source label</x:v>
      </x:c>
      <x:c r="H1272" s="78"/>
      <x:c r="I1272" s="69" t="str">
        <x:v>GBP</x:v>
      </x:c>
      <x:c r="J1272" s="80"/>
      <x:c r="K1272" s="82"/>
      <x:c r="L1272" s="69" t="str">
        <x:v>Evidence needed</x:v>
      </x:c>
      <x:c r="M1272" s="69" t="str">
        <x:v>Buyer-specific role, production, availability, signing age and total fee evidence are needed before assigning a deal-value score. Loan/swap costs must be treated separately.</x:v>
      </x:c>
      <x:c r="N1272" s="69" t="str">
        <x:v>Not assessed</x:v>
      </x:c>
      <x:c r="O1272" s="69" t="str">
        <x:v>Source broad position and transfer quote only; detailed role and buyer-specific production not validated.</x:v>
      </x:c>
      <x:c r="P1272" s="69" t="str">
        <x:v>https://www.theguardian.com/football/ng-interactive/2026/sep/01/mens-transfer-window-summer-2026-all-deals-from-europes-top-five-leagues</x:v>
      </x:c>
    </x:row>
    <x:row r="1273" ht="25" customHeight="1">
      <x:c r="A1273" s="75" t="str">
        <x:v>summer-S26-0798</x:v>
      </x:c>
      <x:c r="B1273" s="75" t="str">
        <x:v>Angeliño</x:v>
      </x:c>
      <x:c r="C1273" s="75" t="str">
        <x:v>Deportivo La Coruña</x:v>
      </x:c>
      <x:c r="D1273" s="75" t="str">
        <x:v>Roma</x:v>
      </x:c>
      <x:c r="E1273" s="77" t="d">
        <x:v>2026-08-05T00:00:00.000Z</x:v>
      </x:c>
      <x:c r="F1273" s="75" t="str">
        <x:v>summer</x:v>
      </x:c>
      <x:c r="G1273" s="75" t="str">
        <x:v>Defender — source label</x:v>
      </x:c>
      <x:c r="H1273" s="79"/>
      <x:c r="I1273" s="75" t="str">
        <x:v>GBP</x:v>
      </x:c>
      <x:c r="J1273" s="81"/>
      <x:c r="K1273" s="83"/>
      <x:c r="L1273" s="75" t="str">
        <x:v>Evidence needed</x:v>
      </x:c>
      <x:c r="M1273" s="75" t="str">
        <x:v>Buyer-specific role, production, availability, signing age and total fee evidence are needed before assigning a deal-value score. Loan/swap costs must be treated separately.</x:v>
      </x:c>
      <x:c r="N1273" s="75" t="str">
        <x:v>Not assessed</x:v>
      </x:c>
      <x:c r="O1273" s="75" t="str">
        <x:v>Source broad position and transfer quote only; detailed role and buyer-specific production not validated.</x:v>
      </x:c>
      <x:c r="P1273" s="75" t="str">
        <x:v>https://www.theguardian.com/football/ng-interactive/2026/sep/01/mens-transfer-window-summer-2026-all-deals-from-europes-top-five-leagues</x:v>
      </x:c>
    </x:row>
    <x:row r="1274" ht="25" customHeight="1">
      <x:c r="A1274" s="69" t="str">
        <x:v>summer-S26-0799</x:v>
      </x:c>
      <x:c r="B1274" s="69" t="str">
        <x:v>Javi Morcillo</x:v>
      </x:c>
      <x:c r="C1274" s="69" t="str">
        <x:v>Elche</x:v>
      </x:c>
      <x:c r="D1274" s="69" t="str">
        <x:v>Atlético Madrid</x:v>
      </x:c>
      <x:c r="E1274" s="76" t="d">
        <x:v>2026-08-06T00:00:00.000Z</x:v>
      </x:c>
      <x:c r="F1274" s="69" t="str">
        <x:v>summer</x:v>
      </x:c>
      <x:c r="G1274" s="69" t="str">
        <x:v>Midfielder — source label</x:v>
      </x:c>
      <x:c r="H1274" s="78" t="n">
        <x:v>1300000</x:v>
      </x:c>
      <x:c r="I1274" s="69" t="str">
        <x:v>GBP</x:v>
      </x:c>
      <x:c r="J1274" s="80"/>
      <x:c r="K1274" s="82"/>
      <x:c r="L1274" s="69" t="str">
        <x:v>Evidence needed</x:v>
      </x:c>
      <x:c r="M1274" s="69" t="str">
        <x:v>Buyer-specific role, production, availability, signing age and total fee evidence are needed before assigning a deal-value score.</x:v>
      </x:c>
      <x:c r="N1274" s="69" t="str">
        <x:v>Not assessed</x:v>
      </x:c>
      <x:c r="O1274" s="69" t="str">
        <x:v>Source broad position and transfer quote only; detailed role and buyer-specific production not validated.</x:v>
      </x:c>
      <x:c r="P1274" s="69" t="str">
        <x:v>https://www.theguardian.com/football/ng-interactive/2026/sep/01/mens-transfer-window-summer-2026-all-deals-from-europes-top-five-leagues</x:v>
      </x:c>
    </x:row>
    <x:row r="1275" ht="25" customHeight="1">
      <x:c r="A1275" s="75" t="str">
        <x:v>summer-S26-0800</x:v>
      </x:c>
      <x:c r="B1275" s="75" t="str">
        <x:v>Altay Bayindir</x:v>
      </x:c>
      <x:c r="C1275" s="75" t="str">
        <x:v>Celta Vigo</x:v>
      </x:c>
      <x:c r="D1275" s="75" t="str">
        <x:v>Manchester United</x:v>
      </x:c>
      <x:c r="E1275" s="77" t="d">
        <x:v>2026-08-07T00:00:00.000Z</x:v>
      </x:c>
      <x:c r="F1275" s="75" t="str">
        <x:v>summer</x:v>
      </x:c>
      <x:c r="G1275" s="75" t="str">
        <x:v>Goalkeeper — source label</x:v>
      </x:c>
      <x:c r="H1275" s="79"/>
      <x:c r="I1275" s="75" t="str">
        <x:v>GBP</x:v>
      </x:c>
      <x:c r="J1275" s="81"/>
      <x:c r="K1275" s="83"/>
      <x:c r="L1275" s="75" t="str">
        <x:v>Evidence needed</x:v>
      </x:c>
      <x:c r="M1275" s="75" t="str">
        <x:v>Buyer-specific shot-stopping, distribution, aerial command, sweeping, signing age and total fee evidence are needed before scoring. Loan/swap costs must be treated separately.</x:v>
      </x:c>
      <x:c r="N1275" s="75" t="str">
        <x:v>Not assessed</x:v>
      </x:c>
      <x:c r="O1275" s="75" t="str">
        <x:v>Source broad position and transfer quote only; detailed role and buyer-specific production not validated.</x:v>
      </x:c>
      <x:c r="P1275" s="75" t="str">
        <x:v>https://www.theguardian.com/football/ng-interactive/2026/sep/01/mens-transfer-window-summer-2026-all-deals-from-europes-top-five-leagues</x:v>
      </x:c>
    </x:row>
    <x:row r="1276" ht="25" customHeight="1">
      <x:c r="A1276" s="69" t="str">
        <x:v>summer-S26-0802</x:v>
      </x:c>
      <x:c r="B1276" s="69" t="str">
        <x:v>Alfie Merritt</x:v>
      </x:c>
      <x:c r="C1276" s="69" t="str">
        <x:v>Newport County</x:v>
      </x:c>
      <x:c r="D1276" s="69" t="str">
        <x:v>Bournemouth</x:v>
      </x:c>
      <x:c r="E1276" s="76" t="d">
        <x:v>2026-08-07T00:00:00.000Z</x:v>
      </x:c>
      <x:c r="F1276" s="69" t="str">
        <x:v>summer</x:v>
      </x:c>
      <x:c r="G1276" s="69" t="str">
        <x:v>Defender — source label</x:v>
      </x:c>
      <x:c r="H1276" s="78"/>
      <x:c r="I1276" s="69" t="str">
        <x:v>GBP</x:v>
      </x:c>
      <x:c r="J1276" s="80"/>
      <x:c r="K1276" s="82"/>
      <x:c r="L1276" s="69" t="str">
        <x:v>Evidence needed</x:v>
      </x:c>
      <x:c r="M1276" s="69" t="str">
        <x:v>Buyer-specific role, production, availability, signing age and total fee evidence are needed before assigning a deal-value score. Loan/swap costs must be treated separately.</x:v>
      </x:c>
      <x:c r="N1276" s="69" t="str">
        <x:v>Not assessed</x:v>
      </x:c>
      <x:c r="O1276" s="69" t="str">
        <x:v>Source broad position and transfer quote only; detailed role and buyer-specific production not validated.</x:v>
      </x:c>
      <x:c r="P1276" s="69" t="str">
        <x:v>https://www.theguardian.com/football/ng-interactive/2026/sep/01/mens-transfer-window-summer-2026-all-deals-from-europes-top-five-leagues</x:v>
      </x:c>
    </x:row>
    <x:row r="1277" ht="25" customHeight="1">
      <x:c r="A1277" s="75" t="str">
        <x:v>summer-S26-0804</x:v>
      </x:c>
      <x:c r="B1277" s="75" t="str">
        <x:v>Franco Mastantuono</x:v>
      </x:c>
      <x:c r="C1277" s="75" t="str">
        <x:v>Fiorentina</x:v>
      </x:c>
      <x:c r="D1277" s="75" t="str">
        <x:v>Real Madrid</x:v>
      </x:c>
      <x:c r="E1277" s="77" t="d">
        <x:v>2026-08-07T00:00:00.000Z</x:v>
      </x:c>
      <x:c r="F1277" s="75" t="str">
        <x:v>summer</x:v>
      </x:c>
      <x:c r="G1277" s="75" t="str">
        <x:v>Midfielder — source label</x:v>
      </x:c>
      <x:c r="H1277" s="79"/>
      <x:c r="I1277" s="75" t="str">
        <x:v>GBP</x:v>
      </x:c>
      <x:c r="J1277" s="81"/>
      <x:c r="K1277" s="83"/>
      <x:c r="L1277" s="75" t="str">
        <x:v>Evidence needed</x:v>
      </x:c>
      <x:c r="M1277" s="75" t="str">
        <x:v>Buyer-specific role, production, availability, signing age and total fee evidence are needed before assigning a deal-value score. Loan/swap costs must be treated separately.</x:v>
      </x:c>
      <x:c r="N1277" s="75" t="str">
        <x:v>Not assessed</x:v>
      </x:c>
      <x:c r="O1277" s="75" t="str">
        <x:v>Source broad position and transfer quote only; detailed role and buyer-specific production not validated.</x:v>
      </x:c>
      <x:c r="P1277" s="75" t="str">
        <x:v>https://www.theguardian.com/football/ng-interactive/2026/sep/01/mens-transfer-window-summer-2026-all-deals-from-europes-top-five-leagues</x:v>
      </x:c>
    </x:row>
    <x:row r="1278" ht="25" customHeight="1">
      <x:c r="A1278" s="69" t="str">
        <x:v>summer-S26-0805</x:v>
      </x:c>
      <x:c r="B1278" s="69" t="str">
        <x:v>Takehiro Tomiyasu</x:v>
      </x:c>
      <x:c r="C1278" s="69" t="str">
        <x:v>Crystal Palace</x:v>
      </x:c>
      <x:c r="D1278" s="69" t="str">
        <x:v>Ajax</x:v>
      </x:c>
      <x:c r="E1278" s="76" t="d">
        <x:v>2026-08-07T00:00:00.000Z</x:v>
      </x:c>
      <x:c r="F1278" s="69" t="str">
        <x:v>summer</x:v>
      </x:c>
      <x:c r="G1278" s="69" t="str">
        <x:v>Defender — source label</x:v>
      </x:c>
      <x:c r="H1278" s="78"/>
      <x:c r="I1278" s="69" t="str">
        <x:v>GBP</x:v>
      </x:c>
      <x:c r="J1278" s="80"/>
      <x:c r="K1278" s="82"/>
      <x:c r="L1278" s="69" t="str">
        <x:v>Evidence needed</x:v>
      </x:c>
      <x:c r="M1278" s="69" t="str">
        <x:v>Buyer-specific role, production, availability, signing age and total fee evidence are needed before assigning a deal-value score. A zero base fee does not represent wages or signing costs.</x:v>
      </x:c>
      <x:c r="N1278" s="69" t="str">
        <x:v>Not assessed</x:v>
      </x:c>
      <x:c r="O1278" s="69" t="str">
        <x:v>Source broad position and transfer quote only; detailed role and buyer-specific production not validated.</x:v>
      </x:c>
      <x:c r="P1278" s="69" t="str">
        <x:v>https://www.theguardian.com/football/ng-interactive/2026/sep/01/mens-transfer-window-summer-2026-all-deals-from-europes-top-five-leagues</x:v>
      </x:c>
    </x:row>
    <x:row r="1279" ht="25" customHeight="1">
      <x:c r="A1279" s="75" t="str">
        <x:v>summer-S26-0806</x:v>
      </x:c>
      <x:c r="B1279" s="75" t="str">
        <x:v>Sonny Aljofree</x:v>
      </x:c>
      <x:c r="C1279" s="75" t="str">
        <x:v>Rotherham</x:v>
      </x:c>
      <x:c r="D1279" s="75" t="str">
        <x:v>Manchester United</x:v>
      </x:c>
      <x:c r="E1279" s="77" t="d">
        <x:v>2026-08-07T00:00:00.000Z</x:v>
      </x:c>
      <x:c r="F1279" s="75" t="str">
        <x:v>summer</x:v>
      </x:c>
      <x:c r="G1279" s="75" t="str">
        <x:v>Defender — source label</x:v>
      </x:c>
      <x:c r="H1279" s="79"/>
      <x:c r="I1279" s="75" t="str">
        <x:v>GBP</x:v>
      </x:c>
      <x:c r="J1279" s="81"/>
      <x:c r="K1279" s="83"/>
      <x:c r="L1279" s="75" t="str">
        <x:v>Evidence needed</x:v>
      </x:c>
      <x:c r="M1279" s="75" t="str">
        <x:v>Buyer-specific role, production, availability, signing age and total fee evidence are needed before assigning a deal-value score.</x:v>
      </x:c>
      <x:c r="N1279" s="75" t="str">
        <x:v>Not assessed</x:v>
      </x:c>
      <x:c r="O1279" s="75" t="str">
        <x:v>Source broad position and transfer quote only; detailed role and buyer-specific production not validated.</x:v>
      </x:c>
      <x:c r="P1279" s="75" t="str">
        <x:v>https://www.theguardian.com/football/ng-interactive/2026/sep/01/mens-transfer-window-summer-2026-all-deals-from-europes-top-five-leagues</x:v>
      </x:c>
    </x:row>
    <x:row r="1280" ht="25" customHeight="1">
      <x:c r="A1280" s="69" t="str">
        <x:v>summer-S26-0807</x:v>
      </x:c>
      <x:c r="B1280" s="69" t="str">
        <x:v>Junior Dina Ebimbe</x:v>
      </x:c>
      <x:c r="C1280" s="69" t="str">
        <x:v>Schalke 04</x:v>
      </x:c>
      <x:c r="D1280" s="69" t="str">
        <x:v>Eintracht Frankfurt</x:v>
      </x:c>
      <x:c r="E1280" s="76" t="d">
        <x:v>2026-08-07T00:00:00.000Z</x:v>
      </x:c>
      <x:c r="F1280" s="69" t="str">
        <x:v>summer</x:v>
      </x:c>
      <x:c r="G1280" s="69" t="str">
        <x:v>Defender — source label</x:v>
      </x:c>
      <x:c r="H1280" s="78" t="n">
        <x:v>600000</x:v>
      </x:c>
      <x:c r="I1280" s="69" t="str">
        <x:v>GBP</x:v>
      </x:c>
      <x:c r="J1280" s="80"/>
      <x:c r="K1280" s="82"/>
      <x:c r="L1280" s="69" t="str">
        <x:v>Evidence needed</x:v>
      </x:c>
      <x:c r="M1280" s="69" t="str">
        <x:v>Buyer-specific role, production, availability, signing age and total fee evidence are needed before assigning a deal-value score.</x:v>
      </x:c>
      <x:c r="N1280" s="69" t="str">
        <x:v>Not assessed</x:v>
      </x:c>
      <x:c r="O1280" s="69" t="str">
        <x:v>Source broad position and transfer quote only; detailed role and buyer-specific production not validated.</x:v>
      </x:c>
      <x:c r="P1280" s="69" t="str">
        <x:v>https://www.theguardian.com/football/ng-interactive/2026/sep/01/mens-transfer-window-summer-2026-all-deals-from-europes-top-five-leagues</x:v>
      </x:c>
    </x:row>
    <x:row r="1281" ht="25" customHeight="1">
      <x:c r="A1281" s="75" t="str">
        <x:v>summer-S26-0808</x:v>
      </x:c>
      <x:c r="B1281" s="75" t="str">
        <x:v>Gil Neves</x:v>
      </x:c>
      <x:c r="C1281" s="75" t="str">
        <x:v>Cologne</x:v>
      </x:c>
      <x:c r="D1281" s="75" t="str">
        <x:v>Benfica</x:v>
      </x:c>
      <x:c r="E1281" s="77" t="d">
        <x:v>2026-08-07T00:00:00.000Z</x:v>
      </x:c>
      <x:c r="F1281" s="75" t="str">
        <x:v>summer</x:v>
      </x:c>
      <x:c r="G1281" s="75" t="str">
        <x:v>Midfielder — source label</x:v>
      </x:c>
      <x:c r="H1281" s="79"/>
      <x:c r="I1281" s="75" t="str">
        <x:v>GBP</x:v>
      </x:c>
      <x:c r="J1281" s="81"/>
      <x:c r="K1281" s="83"/>
      <x:c r="L1281" s="75" t="str">
        <x:v>Evidence needed</x:v>
      </x:c>
      <x:c r="M1281" s="75" t="str">
        <x:v>Buyer-specific role, production, availability, signing age and total fee evidence are needed before assigning a deal-value score.</x:v>
      </x:c>
      <x:c r="N1281" s="75" t="str">
        <x:v>Not assessed</x:v>
      </x:c>
      <x:c r="O1281" s="75" t="str">
        <x:v>Source broad position and transfer quote only; detailed role and buyer-specific production not validated.</x:v>
      </x:c>
      <x:c r="P1281" s="75" t="str">
        <x:v>https://www.theguardian.com/football/ng-interactive/2026/sep/01/mens-transfer-window-summer-2026-all-deals-from-europes-top-five-leagues</x:v>
      </x:c>
    </x:row>
    <x:row r="1282" ht="25" customHeight="1">
      <x:c r="A1282" s="69" t="str">
        <x:v>summer-S26-0810</x:v>
      </x:c>
      <x:c r="B1282" s="69" t="str">
        <x:v>Saïdou Sow</x:v>
      </x:c>
      <x:c r="C1282" s="69" t="str">
        <x:v>Nantes</x:v>
      </x:c>
      <x:c r="D1282" s="69" t="str">
        <x:v>Strasbourg</x:v>
      </x:c>
      <x:c r="E1282" s="76" t="d">
        <x:v>2026-08-07T00:00:00.000Z</x:v>
      </x:c>
      <x:c r="F1282" s="69" t="str">
        <x:v>summer</x:v>
      </x:c>
      <x:c r="G1282" s="69" t="str">
        <x:v>Defender — source label</x:v>
      </x:c>
      <x:c r="H1282" s="78"/>
      <x:c r="I1282" s="69" t="str">
        <x:v>GBP</x:v>
      </x:c>
      <x:c r="J1282" s="80"/>
      <x:c r="K1282" s="82"/>
      <x:c r="L1282" s="69" t="str">
        <x:v>Evidence needed</x:v>
      </x:c>
      <x:c r="M1282" s="69" t="str">
        <x:v>Buyer-specific role, production, availability, signing age and total fee evidence are needed before assigning a deal-value score. Loan/swap costs must be treated separately.</x:v>
      </x:c>
      <x:c r="N1282" s="69" t="str">
        <x:v>Not assessed</x:v>
      </x:c>
      <x:c r="O1282" s="69" t="str">
        <x:v>Source broad position and transfer quote only; detailed role and buyer-specific production not validated.</x:v>
      </x:c>
      <x:c r="P1282" s="69" t="str">
        <x:v>https://www.theguardian.com/football/ng-interactive/2026/sep/01/mens-transfer-window-summer-2026-all-deals-from-europes-top-five-leagues</x:v>
      </x:c>
    </x:row>
    <x:row r="1283" ht="25" customHeight="1">
      <x:c r="A1283" s="75" t="str">
        <x:v>summer-S26-0811</x:v>
      </x:c>
      <x:c r="B1283" s="75" t="str">
        <x:v>Jens Hjertø-Dahl</x:v>
      </x:c>
      <x:c r="C1283" s="75" t="str">
        <x:v>Hull City</x:v>
      </x:c>
      <x:c r="D1283" s="75" t="str">
        <x:v>Tromsø</x:v>
      </x:c>
      <x:c r="E1283" s="77" t="d">
        <x:v>2026-08-07T00:00:00.000Z</x:v>
      </x:c>
      <x:c r="F1283" s="75" t="str">
        <x:v>summer</x:v>
      </x:c>
      <x:c r="G1283" s="75" t="str">
        <x:v>Midfielder — source label</x:v>
      </x:c>
      <x:c r="H1283" s="79" t="n">
        <x:v>10000000</x:v>
      </x:c>
      <x:c r="I1283" s="75" t="str">
        <x:v>GBP</x:v>
      </x:c>
      <x:c r="J1283" s="81"/>
      <x:c r="K1283" s="83"/>
      <x:c r="L1283" s="75" t="str">
        <x:v>Evidence needed</x:v>
      </x:c>
      <x:c r="M1283" s="75" t="str">
        <x:v>Buyer-specific role, production, availability, signing age and total fee evidence are needed before assigning a deal-value score.</x:v>
      </x:c>
      <x:c r="N1283" s="75" t="str">
        <x:v>Not assessed</x:v>
      </x:c>
      <x:c r="O1283" s="75" t="str">
        <x:v>Source broad position and transfer quote only; detailed role and buyer-specific production not validated.</x:v>
      </x:c>
      <x:c r="P1283" s="75" t="str">
        <x:v>https://www.theguardian.com/football/ng-interactive/2026/sep/01/mens-transfer-window-summer-2026-all-deals-from-europes-top-five-leagues</x:v>
      </x:c>
    </x:row>
    <x:row r="1284" ht="25" customHeight="1">
      <x:c r="A1284" s="69" t="str">
        <x:v>summer-S26-0812</x:v>
      </x:c>
      <x:c r="B1284" s="69" t="str">
        <x:v>Gabriele Conti</x:v>
      </x:c>
      <x:c r="C1284" s="69" t="str">
        <x:v>Perugia</x:v>
      </x:c>
      <x:c r="D1284" s="69" t="str">
        <x:v>Fiorentina</x:v>
      </x:c>
      <x:c r="E1284" s="76" t="d">
        <x:v>2026-08-07T00:00:00.000Z</x:v>
      </x:c>
      <x:c r="F1284" s="69" t="str">
        <x:v>summer</x:v>
      </x:c>
      <x:c r="G1284" s="69" t="str">
        <x:v>Midfielder — source label</x:v>
      </x:c>
      <x:c r="H1284" s="78"/>
      <x:c r="I1284" s="69" t="str">
        <x:v>GBP</x:v>
      </x:c>
      <x:c r="J1284" s="80"/>
      <x:c r="K1284" s="82"/>
      <x:c r="L1284" s="69" t="str">
        <x:v>Evidence needed</x:v>
      </x:c>
      <x:c r="M1284" s="69" t="str">
        <x:v>Buyer-specific role, production, availability, signing age and total fee evidence are needed before assigning a deal-value score.</x:v>
      </x:c>
      <x:c r="N1284" s="69" t="str">
        <x:v>Not assessed</x:v>
      </x:c>
      <x:c r="O1284" s="69" t="str">
        <x:v>Source broad position and transfer quote only; detailed role and buyer-specific production not validated.</x:v>
      </x:c>
      <x:c r="P1284" s="69" t="str">
        <x:v>https://www.theguardian.com/football/ng-interactive/2026/sep/01/mens-transfer-window-summer-2026-all-deals-from-europes-top-five-leagues</x:v>
      </x:c>
    </x:row>
    <x:row r="1285" ht="25" customHeight="1">
      <x:c r="A1285" s="75" t="str">
        <x:v>summer-S26-0813</x:v>
      </x:c>
      <x:c r="B1285" s="75" t="str">
        <x:v>Dimitar Papazov</x:v>
      </x:c>
      <x:c r="C1285" s="75" t="str">
        <x:v>Perugia</x:v>
      </x:c>
      <x:c r="D1285" s="75" t="str">
        <x:v>Bologna</x:v>
      </x:c>
      <x:c r="E1285" s="77" t="d">
        <x:v>2026-08-07T00:00:00.000Z</x:v>
      </x:c>
      <x:c r="F1285" s="75" t="str">
        <x:v>summer</x:v>
      </x:c>
      <x:c r="G1285" s="75" t="str">
        <x:v>Defender — source label</x:v>
      </x:c>
      <x:c r="H1285" s="79"/>
      <x:c r="I1285" s="75" t="str">
        <x:v>GBP</x:v>
      </x:c>
      <x:c r="J1285" s="81"/>
      <x:c r="K1285" s="83"/>
      <x:c r="L1285" s="75" t="str">
        <x:v>Evidence needed</x:v>
      </x:c>
      <x:c r="M1285" s="75" t="str">
        <x:v>Buyer-specific role, production, availability, signing age and total fee evidence are needed before assigning a deal-value score. Loan/swap costs must be treated separately.</x:v>
      </x:c>
      <x:c r="N1285" s="75" t="str">
        <x:v>Not assessed</x:v>
      </x:c>
      <x:c r="O1285" s="75" t="str">
        <x:v>Source broad position and transfer quote only; detailed role and buyer-specific production not validated.</x:v>
      </x:c>
      <x:c r="P1285" s="75" t="str">
        <x:v>https://www.theguardian.com/football/ng-interactive/2026/sep/01/mens-transfer-window-summer-2026-all-deals-from-europes-top-five-leagues</x:v>
      </x:c>
    </x:row>
    <x:row r="1286" ht="25" customHeight="1">
      <x:c r="A1286" s="69" t="str">
        <x:v>summer-S26-0815</x:v>
      </x:c>
      <x:c r="B1286" s="69" t="str">
        <x:v>Davide Veroli</x:v>
      </x:c>
      <x:c r="C1286" s="69" t="str">
        <x:v>Südtirol</x:v>
      </x:c>
      <x:c r="D1286" s="69" t="str">
        <x:v>Cagliari</x:v>
      </x:c>
      <x:c r="E1286" s="76" t="d">
        <x:v>2026-07-31T00:00:00.000Z</x:v>
      </x:c>
      <x:c r="F1286" s="69" t="str">
        <x:v>summer</x:v>
      </x:c>
      <x:c r="G1286" s="69" t="str">
        <x:v>Defender — source label</x:v>
      </x:c>
      <x:c r="H1286" s="78"/>
      <x:c r="I1286" s="69" t="str">
        <x:v>GBP</x:v>
      </x:c>
      <x:c r="J1286" s="80"/>
      <x:c r="K1286" s="82"/>
      <x:c r="L1286" s="69" t="str">
        <x:v>Evidence needed</x:v>
      </x:c>
      <x:c r="M1286" s="69" t="str">
        <x:v>Buyer-specific role, production, availability, signing age and total fee evidence are needed before assigning a deal-value score. Loan/swap costs must be treated separately.</x:v>
      </x:c>
      <x:c r="N1286" s="69" t="str">
        <x:v>Not assessed</x:v>
      </x:c>
      <x:c r="O1286" s="69" t="str">
        <x:v>Source broad position and transfer quote only; detailed role and buyer-specific production not validated.</x:v>
      </x:c>
      <x:c r="P1286" s="69" t="str">
        <x:v>https://www.theguardian.com/football/ng-interactive/2026/sep/01/mens-transfer-window-summer-2026-all-deals-from-europes-top-five-leagues</x:v>
      </x:c>
    </x:row>
    <x:row r="1287" ht="25" customHeight="1">
      <x:c r="A1287" s="75" t="str">
        <x:v>summer-S26-0816</x:v>
      </x:c>
      <x:c r="B1287" s="75" t="str">
        <x:v>Coli Saco</x:v>
      </x:c>
      <x:c r="C1287" s="75" t="str">
        <x:v>Riga FC</x:v>
      </x:c>
      <x:c r="D1287" s="75" t="str">
        <x:v>Napoli</x:v>
      </x:c>
      <x:c r="E1287" s="77" t="d">
        <x:v>2026-08-01T00:00:00.000Z</x:v>
      </x:c>
      <x:c r="F1287" s="75" t="str">
        <x:v>summer</x:v>
      </x:c>
      <x:c r="G1287" s="75" t="str">
        <x:v>Midfielder — source label</x:v>
      </x:c>
      <x:c r="H1287" s="79"/>
      <x:c r="I1287" s="75" t="str">
        <x:v>GBP</x:v>
      </x:c>
      <x:c r="J1287" s="81"/>
      <x:c r="K1287" s="83"/>
      <x:c r="L1287" s="75" t="str">
        <x:v>Evidence needed</x:v>
      </x:c>
      <x:c r="M1287" s="75" t="str">
        <x:v>Buyer-specific role, production, availability, signing age and total fee evidence are needed before assigning a deal-value score. A zero base fee does not represent wages or signing costs.</x:v>
      </x:c>
      <x:c r="N1287" s="75" t="str">
        <x:v>Not assessed</x:v>
      </x:c>
      <x:c r="O1287" s="75" t="str">
        <x:v>Source broad position and transfer quote only; detailed role and buyer-specific production not validated.</x:v>
      </x:c>
      <x:c r="P1287" s="75" t="str">
        <x:v>https://www.theguardian.com/football/ng-interactive/2026/sep/01/mens-transfer-window-summer-2026-all-deals-from-europes-top-five-leagues</x:v>
      </x:c>
    </x:row>
    <x:row r="1288" ht="25" customHeight="1">
      <x:c r="A1288" s="69" t="str">
        <x:v>summer-S26-0817</x:v>
      </x:c>
      <x:c r="B1288" s="69" t="str">
        <x:v>Abdelhamid Sabiri</x:v>
      </x:c>
      <x:c r="C1288" s="69" t="str">
        <x:v>Eyupspor</x:v>
      </x:c>
      <x:c r="D1288" s="69" t="str">
        <x:v>Fiorentina</x:v>
      </x:c>
      <x:c r="E1288" s="76" t="d">
        <x:v>2026-07-31T00:00:00.000Z</x:v>
      </x:c>
      <x:c r="F1288" s="69" t="str">
        <x:v>summer</x:v>
      </x:c>
      <x:c r="G1288" s="69" t="str">
        <x:v>Midfielder — source label</x:v>
      </x:c>
      <x:c r="H1288" s="78"/>
      <x:c r="I1288" s="69" t="str">
        <x:v>GBP</x:v>
      </x:c>
      <x:c r="J1288" s="80"/>
      <x:c r="K1288" s="82"/>
      <x:c r="L1288" s="69" t="str">
        <x:v>Evidence needed</x:v>
      </x:c>
      <x:c r="M1288" s="69" t="str">
        <x:v>Buyer-specific role, production, availability, signing age and total fee evidence are needed before assigning a deal-value score. A zero base fee does not represent wages or signing costs.</x:v>
      </x:c>
      <x:c r="N1288" s="69" t="str">
        <x:v>Not assessed</x:v>
      </x:c>
      <x:c r="O1288" s="69" t="str">
        <x:v>Source broad position and transfer quote only; detailed role and buyer-specific production not validated.</x:v>
      </x:c>
      <x:c r="P1288" s="69" t="str">
        <x:v>https://www.theguardian.com/football/ng-interactive/2026/sep/01/mens-transfer-window-summer-2026-all-deals-from-europes-top-five-leagues</x:v>
      </x:c>
    </x:row>
    <x:row r="1289" ht="25" customHeight="1">
      <x:c r="A1289" s="75" t="str">
        <x:v>summer-S26-0818</x:v>
      </x:c>
      <x:c r="B1289" s="75" t="str">
        <x:v>Odysseas Vlachodimos</x:v>
      </x:c>
      <x:c r="C1289" s="75" t="str">
        <x:v>Sevilla</x:v>
      </x:c>
      <x:c r="D1289" s="75" t="str">
        <x:v>Newcastle United</x:v>
      </x:c>
      <x:c r="E1289" s="77" t="d">
        <x:v>2026-07-01T00:00:00.000Z</x:v>
      </x:c>
      <x:c r="F1289" s="75" t="str">
        <x:v>summer</x:v>
      </x:c>
      <x:c r="G1289" s="75" t="str">
        <x:v>Goalkeeper — source label</x:v>
      </x:c>
      <x:c r="H1289" s="79"/>
      <x:c r="I1289" s="75" t="str">
        <x:v>GBP</x:v>
      </x:c>
      <x:c r="J1289" s="81"/>
      <x:c r="K1289" s="83"/>
      <x:c r="L1289" s="75" t="str">
        <x:v>Evidence needed</x:v>
      </x:c>
      <x:c r="M1289" s="75" t="str">
        <x:v>Buyer-specific shot-stopping, distribution, aerial command, sweeping, signing age and total fee evidence are needed before scoring.</x:v>
      </x:c>
      <x:c r="N1289" s="75" t="str">
        <x:v>Not assessed</x:v>
      </x:c>
      <x:c r="O1289" s="75" t="str">
        <x:v>Source broad position and transfer quote only; detailed role and buyer-specific production not validated.</x:v>
      </x:c>
      <x:c r="P1289" s="75" t="str">
        <x:v>https://www.theguardian.com/football/ng-interactive/2026/sep/01/mens-transfer-window-summer-2026-all-deals-from-europes-top-five-leagues</x:v>
      </x:c>
    </x:row>
    <x:row r="1290" ht="25" customHeight="1">
      <x:c r="A1290" s="69" t="str">
        <x:v>summer-S26-0820</x:v>
      </x:c>
      <x:c r="B1290" s="69" t="str">
        <x:v>André Onana</x:v>
      </x:c>
      <x:c r="C1290" s="69" t="str">
        <x:v>Trabzonspor</x:v>
      </x:c>
      <x:c r="D1290" s="69" t="str">
        <x:v>Manchester United</x:v>
      </x:c>
      <x:c r="E1290" s="76" t="d">
        <x:v>2026-07-07T00:00:00.000Z</x:v>
      </x:c>
      <x:c r="F1290" s="69" t="str">
        <x:v>summer</x:v>
      </x:c>
      <x:c r="G1290" s="69" t="str">
        <x:v>Goalkeeper — source label</x:v>
      </x:c>
      <x:c r="H1290" s="78"/>
      <x:c r="I1290" s="69" t="str">
        <x:v>GBP</x:v>
      </x:c>
      <x:c r="J1290" s="80"/>
      <x:c r="K1290" s="82"/>
      <x:c r="L1290" s="69" t="str">
        <x:v>Evidence needed</x:v>
      </x:c>
      <x:c r="M1290" s="69" t="str">
        <x:v>Buyer-specific shot-stopping, distribution, aerial command, sweeping, signing age and total fee evidence are needed before scoring.</x:v>
      </x:c>
      <x:c r="N1290" s="69" t="str">
        <x:v>Not assessed</x:v>
      </x:c>
      <x:c r="O1290" s="69" t="str">
        <x:v>Source broad position and transfer quote only; detailed role and buyer-specific production not validated.</x:v>
      </x:c>
      <x:c r="P1290" s="69" t="str">
        <x:v>https://www.theguardian.com/football/ng-interactive/2026/sep/01/mens-transfer-window-summer-2026-all-deals-from-europes-top-five-leagues</x:v>
      </x:c>
    </x:row>
    <x:row r="1291" ht="25" customHeight="1">
      <x:c r="A1291" s="75" t="str">
        <x:v>summer-S26-0821</x:v>
      </x:c>
      <x:c r="B1291" s="75" t="str">
        <x:v>Pierce Charles</x:v>
      </x:c>
      <x:c r="C1291" s="75" t="str">
        <x:v>QPR</x:v>
      </x:c>
      <x:c r="D1291" s="75" t="str">
        <x:v>Manchester City</x:v>
      </x:c>
      <x:c r="E1291" s="77" t="d">
        <x:v>2026-07-10T00:00:00.000Z</x:v>
      </x:c>
      <x:c r="F1291" s="75" t="str">
        <x:v>summer</x:v>
      </x:c>
      <x:c r="G1291" s="75" t="str">
        <x:v>Goalkeeper — source label</x:v>
      </x:c>
      <x:c r="H1291" s="79"/>
      <x:c r="I1291" s="75" t="str">
        <x:v>GBP</x:v>
      </x:c>
      <x:c r="J1291" s="81"/>
      <x:c r="K1291" s="83"/>
      <x:c r="L1291" s="75" t="str">
        <x:v>Evidence needed</x:v>
      </x:c>
      <x:c r="M1291" s="75" t="str">
        <x:v>Buyer-specific shot-stopping, distribution, aerial command, sweeping, signing age and total fee evidence are needed before scoring. Loan/swap costs must be treated separately.</x:v>
      </x:c>
      <x:c r="N1291" s="75" t="str">
        <x:v>Not assessed</x:v>
      </x:c>
      <x:c r="O1291" s="75" t="str">
        <x:v>Source broad position and transfer quote only; detailed role and buyer-specific production not validated.</x:v>
      </x:c>
      <x:c r="P1291" s="75" t="str">
        <x:v>https://www.theguardian.com/football/ng-interactive/2026/sep/01/mens-transfer-window-summer-2026-all-deals-from-europes-top-five-leagues</x:v>
      </x:c>
    </x:row>
    <x:row r="1292" ht="25" customHeight="1">
      <x:c r="A1292" s="69" t="str">
        <x:v>summer-S26-0822</x:v>
      </x:c>
      <x:c r="B1292" s="69" t="str">
        <x:v>Cole Ramsey</x:v>
      </x:c>
      <x:c r="C1292" s="69" t="str">
        <x:v>Tottenham Hotspur</x:v>
      </x:c>
      <x:c r="D1292" s="69" t="str">
        <x:v>Aston Villa</x:v>
      </x:c>
      <x:c r="E1292" s="76" t="d">
        <x:v>2026-07-07T00:00:00.000Z</x:v>
      </x:c>
      <x:c r="F1292" s="69" t="str">
        <x:v>summer</x:v>
      </x:c>
      <x:c r="G1292" s="69" t="str">
        <x:v>Midfielder — source label</x:v>
      </x:c>
      <x:c r="H1292" s="78"/>
      <x:c r="I1292" s="69" t="str">
        <x:v>GBP</x:v>
      </x:c>
      <x:c r="J1292" s="80"/>
      <x:c r="K1292" s="82"/>
      <x:c r="L1292" s="69" t="str">
        <x:v>Evidence needed</x:v>
      </x:c>
      <x:c r="M1292" s="69" t="str">
        <x:v>Buyer-specific role, production, availability, signing age and total fee evidence are needed before assigning a deal-value score. A zero base fee does not represent wages or signing costs.</x:v>
      </x:c>
      <x:c r="N1292" s="69" t="str">
        <x:v>Not assessed</x:v>
      </x:c>
      <x:c r="O1292" s="69" t="str">
        <x:v>Source broad position and transfer quote only; detailed role and buyer-specific production not validated.</x:v>
      </x:c>
      <x:c r="P1292" s="69" t="str">
        <x:v>https://www.theguardian.com/football/ng-interactive/2026/sep/01/mens-transfer-window-summer-2026-all-deals-from-europes-top-five-leagues</x:v>
      </x:c>
    </x:row>
    <x:row r="1293" ht="25" customHeight="1">
      <x:c r="A1293" s="75" t="str">
        <x:v>summer-S26-0823</x:v>
      </x:c>
      <x:c r="B1293" s="75" t="str">
        <x:v>Luca Gunter</x:v>
      </x:c>
      <x:c r="C1293" s="75" t="str">
        <x:v>Boreham Wood</x:v>
      </x:c>
      <x:c r="D1293" s="75" t="str">
        <x:v>Tottenham Hotspur</x:v>
      </x:c>
      <x:c r="E1293" s="77" t="d">
        <x:v>2026-07-01T00:00:00.000Z</x:v>
      </x:c>
      <x:c r="F1293" s="75" t="str">
        <x:v>summer</x:v>
      </x:c>
      <x:c r="G1293" s="75" t="str">
        <x:v>Goalkeeper — source label</x:v>
      </x:c>
      <x:c r="H1293" s="79"/>
      <x:c r="I1293" s="75" t="str">
        <x:v>GBP</x:v>
      </x:c>
      <x:c r="J1293" s="81"/>
      <x:c r="K1293" s="83"/>
      <x:c r="L1293" s="75" t="str">
        <x:v>Evidence needed</x:v>
      </x:c>
      <x:c r="M1293" s="75" t="str">
        <x:v>Buyer-specific shot-stopping, distribution, aerial command, sweeping, signing age and total fee evidence are needed before scoring. Loan/swap costs must be treated separately.</x:v>
      </x:c>
      <x:c r="N1293" s="75" t="str">
        <x:v>Not assessed</x:v>
      </x:c>
      <x:c r="O1293" s="75" t="str">
        <x:v>Source broad position and transfer quote only; detailed role and buyer-specific production not validated.</x:v>
      </x:c>
      <x:c r="P1293" s="75" t="str">
        <x:v>https://www.theguardian.com/football/ng-interactive/2026/sep/01/mens-transfer-window-summer-2026-all-deals-from-europes-top-five-leagues</x:v>
      </x:c>
    </x:row>
    <x:row r="1294" ht="25" customHeight="1">
      <x:c r="A1294" s="69" t="str">
        <x:v>summer-S26-0825</x:v>
      </x:c>
      <x:c r="B1294" s="69" t="str">
        <x:v>Travis Hernes</x:v>
      </x:c>
      <x:c r="C1294" s="69" t="str">
        <x:v>Groningen</x:v>
      </x:c>
      <x:c r="D1294" s="69" t="str">
        <x:v>Newcastle United</x:v>
      </x:c>
      <x:c r="E1294" s="76" t="d">
        <x:v>2026-06-03T00:00:00.000Z</x:v>
      </x:c>
      <x:c r="F1294" s="69" t="str">
        <x:v>summer</x:v>
      </x:c>
      <x:c r="G1294" s="69" t="str">
        <x:v>Midfielder — source label</x:v>
      </x:c>
      <x:c r="H1294" s="78"/>
      <x:c r="I1294" s="69" t="str">
        <x:v>GBP</x:v>
      </x:c>
      <x:c r="J1294" s="80"/>
      <x:c r="K1294" s="82"/>
      <x:c r="L1294" s="69" t="str">
        <x:v>Evidence needed</x:v>
      </x:c>
      <x:c r="M1294" s="69" t="str">
        <x:v>Buyer-specific role, production, availability, signing age and total fee evidence are needed before assigning a deal-value score.</x:v>
      </x:c>
      <x:c r="N1294" s="69" t="str">
        <x:v>Not assessed</x:v>
      </x:c>
      <x:c r="O1294" s="69" t="str">
        <x:v>Source broad position and transfer quote only; detailed role and buyer-specific production not validated.</x:v>
      </x:c>
      <x:c r="P1294" s="69" t="str">
        <x:v>https://www.theguardian.com/football/ng-interactive/2026/sep/01/mens-transfer-window-summer-2026-all-deals-from-europes-top-five-leagues</x:v>
      </x:c>
    </x:row>
    <x:row r="1295" ht="25" customHeight="1">
      <x:c r="A1295" s="75" t="str">
        <x:v>summer-S26-0826</x:v>
      </x:c>
      <x:c r="B1295" s="75" t="str">
        <x:v>Aidon Shehu</x:v>
      </x:c>
      <x:c r="C1295" s="75" t="str">
        <x:v>Panathinaikos</x:v>
      </x:c>
      <x:c r="D1295" s="75" t="str">
        <x:v>Hull City</x:v>
      </x:c>
      <x:c r="E1295" s="77" t="d">
        <x:v>2026-07-01T00:00:00.000Z</x:v>
      </x:c>
      <x:c r="F1295" s="75" t="str">
        <x:v>summer</x:v>
      </x:c>
      <x:c r="G1295" s="75" t="str">
        <x:v>Midfielder — source label</x:v>
      </x:c>
      <x:c r="H1295" s="79" t="n">
        <x:v>2500000</x:v>
      </x:c>
      <x:c r="I1295" s="75" t="str">
        <x:v>GBP</x:v>
      </x:c>
      <x:c r="J1295" s="81"/>
      <x:c r="K1295" s="83"/>
      <x:c r="L1295" s="75" t="str">
        <x:v>Evidence needed</x:v>
      </x:c>
      <x:c r="M1295" s="75" t="str">
        <x:v>Buyer-specific role, production, availability, signing age and total fee evidence are needed before assigning a deal-value score.</x:v>
      </x:c>
      <x:c r="N1295" s="75" t="str">
        <x:v>Not assessed</x:v>
      </x:c>
      <x:c r="O1295" s="75" t="str">
        <x:v>Source broad position and transfer quote only; detailed role and buyer-specific production not validated.</x:v>
      </x:c>
      <x:c r="P1295" s="75" t="str">
        <x:v>https://www.theguardian.com/football/ng-interactive/2026/sep/01/mens-transfer-window-summer-2026-all-deals-from-europes-top-five-leagues</x:v>
      </x:c>
    </x:row>
    <x:row r="1296" ht="25" customHeight="1">
      <x:c r="A1296" s="69" t="str">
        <x:v>summer-S26-0827</x:v>
      </x:c>
      <x:c r="B1296" s="69" t="str">
        <x:v>Ben Robinson</x:v>
      </x:c>
      <x:c r="C1296" s="69" t="str">
        <x:v>Hull City</x:v>
      </x:c>
      <x:c r="D1296" s="69" t="str">
        <x:v>Free agent</x:v>
      </x:c>
      <x:c r="E1296" s="76" t="d">
        <x:v>2026-07-07T00:00:00.000Z</x:v>
      </x:c>
      <x:c r="F1296" s="69" t="str">
        <x:v>summer</x:v>
      </x:c>
      <x:c r="G1296" s="69" t="str">
        <x:v>Defender — source label</x:v>
      </x:c>
      <x:c r="H1296" s="78"/>
      <x:c r="I1296" s="69" t="str">
        <x:v>GBP</x:v>
      </x:c>
      <x:c r="J1296" s="80"/>
      <x:c r="K1296" s="82"/>
      <x:c r="L1296" s="69" t="str">
        <x:v>Evidence needed</x:v>
      </x:c>
      <x:c r="M1296" s="69" t="str">
        <x:v>Buyer-specific role, production, availability, signing age and total fee evidence are needed before assigning a deal-value score. A zero base fee does not represent wages or signing costs.</x:v>
      </x:c>
      <x:c r="N1296" s="69" t="str">
        <x:v>Not assessed</x:v>
      </x:c>
      <x:c r="O1296" s="69" t="str">
        <x:v>Source broad position and transfer quote only; detailed role and buyer-specific production not validated.</x:v>
      </x:c>
      <x:c r="P1296" s="69" t="str">
        <x:v>https://www.theguardian.com/football/ng-interactive/2026/sep/01/mens-transfer-window-summer-2026-all-deals-from-europes-top-five-leagues</x:v>
      </x:c>
    </x:row>
    <x:row r="1297" ht="25" customHeight="1">
      <x:c r="A1297" s="75" t="str">
        <x:v>summer-S26-0828</x:v>
      </x:c>
      <x:c r="B1297" s="75" t="str">
        <x:v>Caleb Yirenkyi</x:v>
      </x:c>
      <x:c r="C1297" s="75" t="str">
        <x:v>Coventry City</x:v>
      </x:c>
      <x:c r="D1297" s="75" t="str">
        <x:v>Nordsjælland</x:v>
      </x:c>
      <x:c r="E1297" s="77" t="d">
        <x:v>2026-08-07T00:00:00.000Z</x:v>
      </x:c>
      <x:c r="F1297" s="75" t="str">
        <x:v>summer</x:v>
      </x:c>
      <x:c r="G1297" s="75" t="str">
        <x:v>Midfielder — source label</x:v>
      </x:c>
      <x:c r="H1297" s="79" t="n">
        <x:v>23000000</x:v>
      </x:c>
      <x:c r="I1297" s="75" t="str">
        <x:v>GBP</x:v>
      </x:c>
      <x:c r="J1297" s="81"/>
      <x:c r="K1297" s="83"/>
      <x:c r="L1297" s="75" t="str">
        <x:v>Evidence needed</x:v>
      </x:c>
      <x:c r="M1297" s="75" t="str">
        <x:v>Buyer-specific role, production, availability, signing age and total fee evidence are needed before assigning a deal-value score.</x:v>
      </x:c>
      <x:c r="N1297" s="75" t="str">
        <x:v>Not assessed</x:v>
      </x:c>
      <x:c r="O1297" s="75" t="str">
        <x:v>Source broad position and transfer quote only; detailed role and buyer-specific production not validated.</x:v>
      </x:c>
      <x:c r="P1297" s="75" t="str">
        <x:v>https://www.theguardian.com/football/ng-interactive/2026/sep/01/mens-transfer-window-summer-2026-all-deals-from-europes-top-five-leagues</x:v>
      </x:c>
    </x:row>
    <x:row r="1298" ht="25" customHeight="1">
      <x:c r="A1298" s="69" t="str">
        <x:v>summer-S26-0829</x:v>
      </x:c>
      <x:c r="B1298" s="69" t="str">
        <x:v>Reiss Russell-Denny</x:v>
      </x:c>
      <x:c r="C1298" s="69" t="str">
        <x:v>Bristol Rovers</x:v>
      </x:c>
      <x:c r="D1298" s="69" t="str">
        <x:v>Tottenham Hotspur</x:v>
      </x:c>
      <x:c r="E1298" s="76" t="d">
        <x:v>2026-08-07T00:00:00.000Z</x:v>
      </x:c>
      <x:c r="F1298" s="69" t="str">
        <x:v>summer</x:v>
      </x:c>
      <x:c r="G1298" s="69" t="str">
        <x:v>Midfielder — source label</x:v>
      </x:c>
      <x:c r="H1298" s="78"/>
      <x:c r="I1298" s="69" t="str">
        <x:v>GBP</x:v>
      </x:c>
      <x:c r="J1298" s="80"/>
      <x:c r="K1298" s="82"/>
      <x:c r="L1298" s="69" t="str">
        <x:v>Evidence needed</x:v>
      </x:c>
      <x:c r="M1298" s="69" t="str">
        <x:v>Buyer-specific role, production, availability, signing age and total fee evidence are needed before assigning a deal-value score. Loan/swap costs must be treated separately.</x:v>
      </x:c>
      <x:c r="N1298" s="69" t="str">
        <x:v>Not assessed</x:v>
      </x:c>
      <x:c r="O1298" s="69" t="str">
        <x:v>Source broad position and transfer quote only; detailed role and buyer-specific production not validated.</x:v>
      </x:c>
      <x:c r="P1298" s="69" t="str">
        <x:v>https://www.theguardian.com/football/ng-interactive/2026/sep/01/mens-transfer-window-summer-2026-all-deals-from-europes-top-five-leagues</x:v>
      </x:c>
    </x:row>
    <x:row r="1299" ht="25" customHeight="1">
      <x:c r="A1299" s="75" t="str">
        <x:v>summer-S26-0831</x:v>
      </x:c>
      <x:c r="B1299" s="75" t="str">
        <x:v>Edgar Alcañiz</x:v>
      </x:c>
      <x:c r="C1299" s="75" t="str">
        <x:v>Atlético Madrid</x:v>
      </x:c>
      <x:c r="D1299" s="75" t="str">
        <x:v>Levante</x:v>
      </x:c>
      <x:c r="E1299" s="77" t="d">
        <x:v>2026-08-04T00:00:00.000Z</x:v>
      </x:c>
      <x:c r="F1299" s="75" t="str">
        <x:v>summer</x:v>
      </x:c>
      <x:c r="G1299" s="75" t="str">
        <x:v>Midfielder — source label</x:v>
      </x:c>
      <x:c r="H1299" s="79"/>
      <x:c r="I1299" s="75" t="str">
        <x:v>GBP</x:v>
      </x:c>
      <x:c r="J1299" s="81"/>
      <x:c r="K1299" s="83"/>
      <x:c r="L1299" s="75" t="str">
        <x:v>Evidence needed</x:v>
      </x:c>
      <x:c r="M1299" s="75" t="str">
        <x:v>Buyer-specific role, production, availability, signing age and total fee evidence are needed before assigning a deal-value score.</x:v>
      </x:c>
      <x:c r="N1299" s="75" t="str">
        <x:v>Not assessed</x:v>
      </x:c>
      <x:c r="O1299" s="75" t="str">
        <x:v>Source broad position and transfer quote only; detailed role and buyer-specific production not validated.</x:v>
      </x:c>
      <x:c r="P1299" s="75" t="str">
        <x:v>https://www.theguardian.com/football/ng-interactive/2026/sep/01/mens-transfer-window-summer-2026-all-deals-from-europes-top-five-leagues</x:v>
      </x:c>
    </x:row>
    <x:row r="1300" ht="25" customHeight="1">
      <x:c r="A1300" s="69" t="str">
        <x:v>summer-S26-0832</x:v>
      </x:c>
      <x:c r="B1300" s="69" t="str">
        <x:v>Finley Barbrook</x:v>
      </x:c>
      <x:c r="C1300" s="69" t="str">
        <x:v>Falkirk</x:v>
      </x:c>
      <x:c r="D1300" s="69" t="str">
        <x:v>Ipswich Town</x:v>
      </x:c>
      <x:c r="E1300" s="76" t="d">
        <x:v>2026-08-07T00:00:00.000Z</x:v>
      </x:c>
      <x:c r="F1300" s="69" t="str">
        <x:v>summer</x:v>
      </x:c>
      <x:c r="G1300" s="69" t="str">
        <x:v>Midfielder — source label</x:v>
      </x:c>
      <x:c r="H1300" s="78"/>
      <x:c r="I1300" s="69" t="str">
        <x:v>GBP</x:v>
      </x:c>
      <x:c r="J1300" s="80"/>
      <x:c r="K1300" s="82"/>
      <x:c r="L1300" s="69" t="str">
        <x:v>Evidence needed</x:v>
      </x:c>
      <x:c r="M1300" s="69" t="str">
        <x:v>Buyer-specific role, production, availability, signing age and total fee evidence are needed before assigning a deal-value score. Loan/swap costs must be treated separately.</x:v>
      </x:c>
      <x:c r="N1300" s="69" t="str">
        <x:v>Not assessed</x:v>
      </x:c>
      <x:c r="O1300" s="69" t="str">
        <x:v>Source broad position and transfer quote only; detailed role and buyer-specific production not validated.</x:v>
      </x:c>
      <x:c r="P1300" s="69" t="str">
        <x:v>https://www.theguardian.com/football/ng-interactive/2026/sep/01/mens-transfer-window-summer-2026-all-deals-from-europes-top-five-leagues</x:v>
      </x:c>
    </x:row>
    <x:row r="1301" ht="25" customHeight="1">
      <x:c r="A1301" s="75" t="str">
        <x:v>summer-S26-0833</x:v>
      </x:c>
      <x:c r="B1301" s="75" t="str">
        <x:v>Miguel Auría</x:v>
      </x:c>
      <x:c r="C1301" s="75" t="str">
        <x:v>Mirandés</x:v>
      </x:c>
      <x:c r="D1301" s="75" t="str">
        <x:v>Osasuna</x:v>
      </x:c>
      <x:c r="E1301" s="77" t="d">
        <x:v>2026-08-02T00:00:00.000Z</x:v>
      </x:c>
      <x:c r="F1301" s="75" t="str">
        <x:v>summer</x:v>
      </x:c>
      <x:c r="G1301" s="75" t="str">
        <x:v>Midfielder — source label</x:v>
      </x:c>
      <x:c r="H1301" s="79"/>
      <x:c r="I1301" s="75" t="str">
        <x:v>GBP</x:v>
      </x:c>
      <x:c r="J1301" s="81"/>
      <x:c r="K1301" s="83"/>
      <x:c r="L1301" s="75" t="str">
        <x:v>Evidence needed</x:v>
      </x:c>
      <x:c r="M1301" s="75" t="str">
        <x:v>Buyer-specific role, production, availability, signing age and total fee evidence are needed before assigning a deal-value score. Loan/swap costs must be treated separately.</x:v>
      </x:c>
      <x:c r="N1301" s="75" t="str">
        <x:v>Not assessed</x:v>
      </x:c>
      <x:c r="O1301" s="75" t="str">
        <x:v>Source broad position and transfer quote only; detailed role and buyer-specific production not validated.</x:v>
      </x:c>
      <x:c r="P1301" s="75" t="str">
        <x:v>https://www.theguardian.com/football/ng-interactive/2026/sep/01/mens-transfer-window-summer-2026-all-deals-from-europes-top-five-leagues</x:v>
      </x:c>
    </x:row>
    <x:row r="1302" ht="25" customHeight="1">
      <x:c r="A1302" s="69" t="str">
        <x:v>summer-S26-0837</x:v>
      </x:c>
      <x:c r="B1302" s="69" t="str">
        <x:v>Facundo Buonanotte</x:v>
      </x:c>
      <x:c r="C1302" s="69" t="str">
        <x:v>Elche</x:v>
      </x:c>
      <x:c r="D1302" s="69" t="str">
        <x:v>Brighton</x:v>
      </x:c>
      <x:c r="E1302" s="76" t="d">
        <x:v>2026-08-07T00:00:00.000Z</x:v>
      </x:c>
      <x:c r="F1302" s="69" t="str">
        <x:v>summer</x:v>
      </x:c>
      <x:c r="G1302" s="69" t="str">
        <x:v>Midfielder — source label</x:v>
      </x:c>
      <x:c r="H1302" s="78"/>
      <x:c r="I1302" s="69" t="str">
        <x:v>GBP</x:v>
      </x:c>
      <x:c r="J1302" s="80"/>
      <x:c r="K1302" s="82"/>
      <x:c r="L1302" s="69" t="str">
        <x:v>Evidence needed</x:v>
      </x:c>
      <x:c r="M1302" s="69" t="str">
        <x:v>Buyer-specific role, production, availability, signing age and total fee evidence are needed before assigning a deal-value score. Loan/swap costs must be treated separately.</x:v>
      </x:c>
      <x:c r="N1302" s="69" t="str">
        <x:v>Not assessed</x:v>
      </x:c>
      <x:c r="O1302" s="69" t="str">
        <x:v>Source broad position and transfer quote only; detailed role and buyer-specific production not validated.</x:v>
      </x:c>
      <x:c r="P1302" s="69" t="str">
        <x:v>https://www.theguardian.com/football/ng-interactive/2026/sep/01/mens-transfer-window-summer-2026-all-deals-from-europes-top-five-leagues</x:v>
      </x:c>
    </x:row>
    <x:row r="1303" ht="25" customHeight="1">
      <x:c r="A1303" s="75" t="str">
        <x:v>summer-S26-0838</x:v>
      </x:c>
      <x:c r="B1303" s="75" t="str">
        <x:v>Daouda Traoré</x:v>
      </x:c>
      <x:c r="C1303" s="75" t="str">
        <x:v>Le Mans</x:v>
      </x:c>
      <x:c r="D1303" s="75" t="str">
        <x:v>Southampton</x:v>
      </x:c>
      <x:c r="E1303" s="77" t="d">
        <x:v>2026-08-06T00:00:00.000Z</x:v>
      </x:c>
      <x:c r="F1303" s="75" t="str">
        <x:v>summer</x:v>
      </x:c>
      <x:c r="G1303" s="75" t="str">
        <x:v>Midfielder — source label</x:v>
      </x:c>
      <x:c r="H1303" s="79"/>
      <x:c r="I1303" s="75" t="str">
        <x:v>GBP</x:v>
      </x:c>
      <x:c r="J1303" s="81"/>
      <x:c r="K1303" s="83"/>
      <x:c r="L1303" s="75" t="str">
        <x:v>Evidence needed</x:v>
      </x:c>
      <x:c r="M1303" s="75" t="str">
        <x:v>Buyer-specific role, production, availability, signing age and total fee evidence are needed before assigning a deal-value score. Loan/swap costs must be treated separately.</x:v>
      </x:c>
      <x:c r="N1303" s="75" t="str">
        <x:v>Not assessed</x:v>
      </x:c>
      <x:c r="O1303" s="75" t="str">
        <x:v>Source broad position and transfer quote only; detailed role and buyer-specific production not validated.</x:v>
      </x:c>
      <x:c r="P1303" s="75" t="str">
        <x:v>https://www.theguardian.com/football/ng-interactive/2026/sep/01/mens-transfer-window-summer-2026-all-deals-from-europes-top-five-leagues</x:v>
      </x:c>
    </x:row>
    <x:row r="1304" ht="25" customHeight="1">
      <x:c r="A1304" s="69" t="str">
        <x:v>summer-S26-0840</x:v>
      </x:c>
      <x:c r="B1304" s="69" t="str">
        <x:v>Maghnes Akliouche</x:v>
      </x:c>
      <x:c r="C1304" s="69" t="str">
        <x:v>Paris Saint-Germain</x:v>
      </x:c>
      <x:c r="D1304" s="69" t="str">
        <x:v>Monaco</x:v>
      </x:c>
      <x:c r="E1304" s="76" t="d">
        <x:v>2026-08-06T00:00:00.000Z</x:v>
      </x:c>
      <x:c r="F1304" s="69" t="str">
        <x:v>summer</x:v>
      </x:c>
      <x:c r="G1304" s="69" t="str">
        <x:v>Midfielder — source label</x:v>
      </x:c>
      <x:c r="H1304" s="78" t="n">
        <x:v>42800000</x:v>
      </x:c>
      <x:c r="I1304" s="69" t="str">
        <x:v>GBP</x:v>
      </x:c>
      <x:c r="J1304" s="80"/>
      <x:c r="K1304" s="82"/>
      <x:c r="L1304" s="69" t="str">
        <x:v>Evidence needed</x:v>
      </x:c>
      <x:c r="M1304" s="69" t="str">
        <x:v>Buyer-specific role, production, availability, signing age and total fee evidence are needed before assigning a deal-value score.</x:v>
      </x:c>
      <x:c r="N1304" s="69" t="str">
        <x:v>Not assessed</x:v>
      </x:c>
      <x:c r="O1304" s="69" t="str">
        <x:v>Source broad position and transfer quote only; detailed role and buyer-specific production not validated.</x:v>
      </x:c>
      <x:c r="P1304" s="69" t="str">
        <x:v>https://www.theguardian.com/football/ng-interactive/2026/sep/01/mens-transfer-window-summer-2026-all-deals-from-europes-top-five-leagues</x:v>
      </x:c>
    </x:row>
    <x:row r="1305" ht="25" customHeight="1">
      <x:c r="A1305" s="75" t="str">
        <x:v>summer-S26-0844</x:v>
      </x:c>
      <x:c r="B1305" s="75" t="str">
        <x:v>Marash Kumbulla</x:v>
      </x:c>
      <x:c r="C1305" s="75" t="str">
        <x:v>Rayo Vallecano</x:v>
      </x:c>
      <x:c r="D1305" s="75" t="str">
        <x:v>Roma</x:v>
      </x:c>
      <x:c r="E1305" s="77" t="d">
        <x:v>2026-08-07T00:00:00.000Z</x:v>
      </x:c>
      <x:c r="F1305" s="75" t="str">
        <x:v>summer</x:v>
      </x:c>
      <x:c r="G1305" s="75" t="str">
        <x:v>Defender — source label</x:v>
      </x:c>
      <x:c r="H1305" s="79"/>
      <x:c r="I1305" s="75" t="str">
        <x:v>GBP</x:v>
      </x:c>
      <x:c r="J1305" s="81"/>
      <x:c r="K1305" s="83"/>
      <x:c r="L1305" s="75" t="str">
        <x:v>Evidence needed</x:v>
      </x:c>
      <x:c r="M1305" s="75" t="str">
        <x:v>Buyer-specific role, production, availability, signing age and total fee evidence are needed before assigning a deal-value score. Loan/swap costs must be treated separately.</x:v>
      </x:c>
      <x:c r="N1305" s="75" t="str">
        <x:v>Not assessed</x:v>
      </x:c>
      <x:c r="O1305" s="75" t="str">
        <x:v>Source broad position and transfer quote only; detailed role and buyer-specific production not validated.</x:v>
      </x:c>
      <x:c r="P1305" s="75" t="str">
        <x:v>https://www.theguardian.com/football/ng-interactive/2026/sep/01/mens-transfer-window-summer-2026-all-deals-from-europes-top-five-leagues</x:v>
      </x:c>
    </x:row>
    <x:row r="1306" ht="25" customHeight="1">
      <x:c r="A1306" s="69" t="str">
        <x:v>summer-S26-0845</x:v>
      </x:c>
      <x:c r="B1306" s="69" t="str">
        <x:v>Nicolás Valentini</x:v>
      </x:c>
      <x:c r="C1306" s="69" t="str">
        <x:v>Alavés</x:v>
      </x:c>
      <x:c r="D1306" s="69" t="str">
        <x:v>Fiorentina</x:v>
      </x:c>
      <x:c r="E1306" s="76" t="d">
        <x:v>2026-08-07T00:00:00.000Z</x:v>
      </x:c>
      <x:c r="F1306" s="69" t="str">
        <x:v>summer</x:v>
      </x:c>
      <x:c r="G1306" s="69" t="str">
        <x:v>Defender — source label</x:v>
      </x:c>
      <x:c r="H1306" s="78" t="n">
        <x:v>2600000</x:v>
      </x:c>
      <x:c r="I1306" s="69" t="str">
        <x:v>GBP</x:v>
      </x:c>
      <x:c r="J1306" s="80"/>
      <x:c r="K1306" s="82"/>
      <x:c r="L1306" s="69" t="str">
        <x:v>Evidence needed</x:v>
      </x:c>
      <x:c r="M1306" s="69" t="str">
        <x:v>Buyer-specific role, production, availability, signing age and total fee evidence are needed before assigning a deal-value score.</x:v>
      </x:c>
      <x:c r="N1306" s="69" t="str">
        <x:v>Not assessed</x:v>
      </x:c>
      <x:c r="O1306" s="69" t="str">
        <x:v>Source broad position and transfer quote only; detailed role and buyer-specific production not validated.</x:v>
      </x:c>
      <x:c r="P1306" s="69" t="str">
        <x:v>https://www.theguardian.com/football/ng-interactive/2026/sep/01/mens-transfer-window-summer-2026-all-deals-from-europes-top-five-leagues</x:v>
      </x:c>
    </x:row>
    <x:row r="1307" ht="25" customHeight="1">
      <x:c r="A1307" s="75" t="str">
        <x:v>summer-S26-0846</x:v>
      </x:c>
      <x:c r="B1307" s="75" t="str">
        <x:v>Alexis Olmedo</x:v>
      </x:c>
      <x:c r="C1307" s="75" t="str">
        <x:v>Celta Vigo</x:v>
      </x:c>
      <x:c r="D1307" s="75" t="str">
        <x:v>Barcelona</x:v>
      </x:c>
      <x:c r="E1307" s="77" t="d">
        <x:v>2026-08-05T00:00:00.000Z</x:v>
      </x:c>
      <x:c r="F1307" s="75" t="str">
        <x:v>summer</x:v>
      </x:c>
      <x:c r="G1307" s="75" t="str">
        <x:v>Defender — source label</x:v>
      </x:c>
      <x:c r="H1307" s="79"/>
      <x:c r="I1307" s="75" t="str">
        <x:v>GBP</x:v>
      </x:c>
      <x:c r="J1307" s="81"/>
      <x:c r="K1307" s="83"/>
      <x:c r="L1307" s="75" t="str">
        <x:v>Evidence needed</x:v>
      </x:c>
      <x:c r="M1307" s="75" t="str">
        <x:v>Buyer-specific role, production, availability, signing age and total fee evidence are needed before assigning a deal-value score.</x:v>
      </x:c>
      <x:c r="N1307" s="75" t="str">
        <x:v>Not assessed</x:v>
      </x:c>
      <x:c r="O1307" s="75" t="str">
        <x:v>Source broad position and transfer quote only; detailed role and buyer-specific production not validated.</x:v>
      </x:c>
      <x:c r="P1307" s="75" t="str">
        <x:v>https://www.theguardian.com/football/ng-interactive/2026/sep/01/mens-transfer-window-summer-2026-all-deals-from-europes-top-five-leagues</x:v>
      </x:c>
    </x:row>
    <x:row r="1308" ht="25" customHeight="1">
      <x:c r="A1308" s="69" t="str">
        <x:v>summer-S26-0847</x:v>
      </x:c>
      <x:c r="B1308" s="69" t="str">
        <x:v>Radek Vitek</x:v>
      </x:c>
      <x:c r="C1308" s="69" t="str">
        <x:v>Middlesbrough</x:v>
      </x:c>
      <x:c r="D1308" s="69" t="str">
        <x:v>Manchester United</x:v>
      </x:c>
      <x:c r="E1308" s="76" t="d">
        <x:v>2026-08-08T00:00:00.000Z</x:v>
      </x:c>
      <x:c r="F1308" s="69" t="str">
        <x:v>summer</x:v>
      </x:c>
      <x:c r="G1308" s="69" t="str">
        <x:v>Goalkeeper — source label</x:v>
      </x:c>
      <x:c r="H1308" s="78" t="n">
        <x:v>14000000</x:v>
      </x:c>
      <x:c r="I1308" s="69" t="str">
        <x:v>GBP</x:v>
      </x:c>
      <x:c r="J1308" s="80"/>
      <x:c r="K1308" s="82"/>
      <x:c r="L1308" s="69" t="str">
        <x:v>Evidence needed</x:v>
      </x:c>
      <x:c r="M1308" s="69" t="str">
        <x:v>Buyer-specific shot-stopping, distribution, aerial command, sweeping, signing age and total fee evidence are needed before scoring.</x:v>
      </x:c>
      <x:c r="N1308" s="69" t="str">
        <x:v>Not assessed</x:v>
      </x:c>
      <x:c r="O1308" s="69" t="str">
        <x:v>Source broad position and transfer quote only; detailed role and buyer-specific production not validated.</x:v>
      </x:c>
      <x:c r="P1308" s="69" t="str">
        <x:v>https://www.theguardian.com/football/ng-interactive/2026/sep/01/mens-transfer-window-summer-2026-all-deals-from-europes-top-five-leagues</x:v>
      </x:c>
    </x:row>
    <x:row r="1309" ht="25" customHeight="1">
      <x:c r="A1309" s="75" t="str">
        <x:v>summer-S26-0849</x:v>
      </x:c>
      <x:c r="B1309" s="75" t="str">
        <x:v>Thiago Almada</x:v>
      </x:c>
      <x:c r="C1309" s="75" t="str">
        <x:v>River Plate</x:v>
      </x:c>
      <x:c r="D1309" s="75" t="str">
        <x:v>Atlético Madrid</x:v>
      </x:c>
      <x:c r="E1309" s="77" t="d">
        <x:v>2026-08-08T00:00:00.000Z</x:v>
      </x:c>
      <x:c r="F1309" s="75" t="str">
        <x:v>summer</x:v>
      </x:c>
      <x:c r="G1309" s="75" t="str">
        <x:v>Midfielder — source label</x:v>
      </x:c>
      <x:c r="H1309" s="79" t="n">
        <x:v>17200000</x:v>
      </x:c>
      <x:c r="I1309" s="75" t="str">
        <x:v>GBP</x:v>
      </x:c>
      <x:c r="J1309" s="81"/>
      <x:c r="K1309" s="83"/>
      <x:c r="L1309" s="75" t="str">
        <x:v>Evidence needed</x:v>
      </x:c>
      <x:c r="M1309" s="75" t="str">
        <x:v>Buyer-specific role, production, availability, signing age and total fee evidence are needed before assigning a deal-value score.</x:v>
      </x:c>
      <x:c r="N1309" s="75" t="str">
        <x:v>Not assessed</x:v>
      </x:c>
      <x:c r="O1309" s="75" t="str">
        <x:v>Source broad position and transfer quote only; detailed role and buyer-specific production not validated.</x:v>
      </x:c>
      <x:c r="P1309" s="75" t="str">
        <x:v>https://www.theguardian.com/football/ng-interactive/2026/sep/01/mens-transfer-window-summer-2026-all-deals-from-europes-top-five-leagues</x:v>
      </x:c>
    </x:row>
    <x:row r="1310" ht="25" customHeight="1">
      <x:c r="A1310" s="69" t="str">
        <x:v>summer-S26-0855</x:v>
      </x:c>
      <x:c r="B1310" s="69" t="str">
        <x:v>Sergi Roberto</x:v>
      </x:c>
      <x:c r="C1310" s="69" t="str">
        <x:v>LA Galaxy</x:v>
      </x:c>
      <x:c r="D1310" s="69" t="str">
        <x:v>Como 1907</x:v>
      </x:c>
      <x:c r="E1310" s="76" t="d">
        <x:v>2026-08-08T00:00:00.000Z</x:v>
      </x:c>
      <x:c r="F1310" s="69" t="str">
        <x:v>summer</x:v>
      </x:c>
      <x:c r="G1310" s="69" t="str">
        <x:v>Midfielder — source label</x:v>
      </x:c>
      <x:c r="H1310" s="78"/>
      <x:c r="I1310" s="69" t="str">
        <x:v>GBP</x:v>
      </x:c>
      <x:c r="J1310" s="80"/>
      <x:c r="K1310" s="82"/>
      <x:c r="L1310" s="69" t="str">
        <x:v>Evidence needed</x:v>
      </x:c>
      <x:c r="M1310" s="69" t="str">
        <x:v>Buyer-specific role, production, availability, signing age and total fee evidence are needed before assigning a deal-value score. A zero base fee does not represent wages or signing costs.</x:v>
      </x:c>
      <x:c r="N1310" s="69" t="str">
        <x:v>Not assessed</x:v>
      </x:c>
      <x:c r="O1310" s="69" t="str">
        <x:v>Source broad position and transfer quote only; detailed role and buyer-specific production not validated.</x:v>
      </x:c>
      <x:c r="P1310" s="69" t="str">
        <x:v>https://www.theguardian.com/football/ng-interactive/2026/sep/01/mens-transfer-window-summer-2026-all-deals-from-europes-top-five-leagues</x:v>
      </x:c>
    </x:row>
    <x:row r="1311" ht="25" customHeight="1">
      <x:c r="A1311" s="75" t="str">
        <x:v>summer-S26-0857</x:v>
      </x:c>
      <x:c r="B1311" s="75" t="str">
        <x:v>Mauro Zalazar</x:v>
      </x:c>
      <x:c r="C1311" s="75" t="str">
        <x:v>Kustosija Zagreb</x:v>
      </x:c>
      <x:c r="D1311" s="75" t="str">
        <x:v>Schalke 04</x:v>
      </x:c>
      <x:c r="E1311" s="77" t="d">
        <x:v>2026-08-07T00:00:00.000Z</x:v>
      </x:c>
      <x:c r="F1311" s="75" t="str">
        <x:v>summer</x:v>
      </x:c>
      <x:c r="G1311" s="75" t="str">
        <x:v>Midfielder — source label</x:v>
      </x:c>
      <x:c r="H1311" s="79"/>
      <x:c r="I1311" s="75" t="str">
        <x:v>GBP</x:v>
      </x:c>
      <x:c r="J1311" s="81"/>
      <x:c r="K1311" s="83"/>
      <x:c r="L1311" s="75" t="str">
        <x:v>Evidence needed</x:v>
      </x:c>
      <x:c r="M1311" s="75" t="str">
        <x:v>Buyer-specific role, production, availability, signing age and total fee evidence are needed before assigning a deal-value score.</x:v>
      </x:c>
      <x:c r="N1311" s="75" t="str">
        <x:v>Not assessed</x:v>
      </x:c>
      <x:c r="O1311" s="75" t="str">
        <x:v>Source broad position and transfer quote only; detailed role and buyer-specific production not validated.</x:v>
      </x:c>
      <x:c r="P1311" s="75" t="str">
        <x:v>https://www.theguardian.com/football/ng-interactive/2026/sep/01/mens-transfer-window-summer-2026-all-deals-from-europes-top-five-leagues</x:v>
      </x:c>
    </x:row>
    <x:row r="1312" ht="25" customHeight="1">
      <x:c r="A1312" s="69" t="str">
        <x:v>summer-S26-0858</x:v>
      </x:c>
      <x:c r="B1312" s="69" t="str">
        <x:v>Daniel Maldini</x:v>
      </x:c>
      <x:c r="C1312" s="69" t="str">
        <x:v>Cagliari</x:v>
      </x:c>
      <x:c r="D1312" s="69" t="str">
        <x:v>Atalanta</x:v>
      </x:c>
      <x:c r="E1312" s="76" t="d">
        <x:v>2026-08-09T00:00:00.000Z</x:v>
      </x:c>
      <x:c r="F1312" s="69" t="str">
        <x:v>summer</x:v>
      </x:c>
      <x:c r="G1312" s="69" t="str">
        <x:v>Midfielder — source label</x:v>
      </x:c>
      <x:c r="H1312" s="78"/>
      <x:c r="I1312" s="69" t="str">
        <x:v>GBP</x:v>
      </x:c>
      <x:c r="J1312" s="80"/>
      <x:c r="K1312" s="82"/>
      <x:c r="L1312" s="69" t="str">
        <x:v>Evidence needed</x:v>
      </x:c>
      <x:c r="M1312" s="69" t="str">
        <x:v>Buyer-specific role, production, availability, signing age and total fee evidence are needed before assigning a deal-value score. Loan/swap costs must be treated separately.</x:v>
      </x:c>
      <x:c r="N1312" s="69" t="str">
        <x:v>Not assessed</x:v>
      </x:c>
      <x:c r="O1312" s="69" t="str">
        <x:v>Source broad position and transfer quote only; detailed role and buyer-specific production not validated.</x:v>
      </x:c>
      <x:c r="P1312" s="69" t="str">
        <x:v>https://www.theguardian.com/football/ng-interactive/2026/sep/01/mens-transfer-window-summer-2026-all-deals-from-europes-top-five-leagues</x:v>
      </x:c>
    </x:row>
    <x:row r="1313" ht="25" customHeight="1">
      <x:c r="A1313" s="75" t="str">
        <x:v>summer-S26-0860</x:v>
      </x:c>
      <x:c r="B1313" s="75" t="str">
        <x:v>Ahmed Sidibé</x:v>
      </x:c>
      <x:c r="C1313" s="75" t="str">
        <x:v>Vitória de Guimarães</x:v>
      </x:c>
      <x:c r="D1313" s="75" t="str">
        <x:v>Venezia</x:v>
      </x:c>
      <x:c r="E1313" s="77" t="d">
        <x:v>2026-08-06T00:00:00.000Z</x:v>
      </x:c>
      <x:c r="F1313" s="75" t="str">
        <x:v>summer</x:v>
      </x:c>
      <x:c r="G1313" s="75" t="str">
        <x:v>Defender — source label</x:v>
      </x:c>
      <x:c r="H1313" s="79"/>
      <x:c r="I1313" s="75" t="str">
        <x:v>GBP</x:v>
      </x:c>
      <x:c r="J1313" s="81"/>
      <x:c r="K1313" s="83"/>
      <x:c r="L1313" s="75" t="str">
        <x:v>Evidence needed</x:v>
      </x:c>
      <x:c r="M1313" s="75" t="str">
        <x:v>Buyer-specific role, production, availability, signing age and total fee evidence are needed before assigning a deal-value score. Loan/swap costs must be treated separately.</x:v>
      </x:c>
      <x:c r="N1313" s="75" t="str">
        <x:v>Not assessed</x:v>
      </x:c>
      <x:c r="O1313" s="75" t="str">
        <x:v>Source broad position and transfer quote only; detailed role and buyer-specific production not validated.</x:v>
      </x:c>
      <x:c r="P1313" s="75" t="str">
        <x:v>https://www.theguardian.com/football/ng-interactive/2026/sep/01/mens-transfer-window-summer-2026-all-deals-from-europes-top-five-leagues</x:v>
      </x:c>
    </x:row>
    <x:row r="1314" ht="25" customHeight="1">
      <x:c r="A1314" s="69" t="str">
        <x:v>summer-S26-0861</x:v>
      </x:c>
      <x:c r="B1314" s="69" t="str">
        <x:v>Bjarki Bjarkason</x:v>
      </x:c>
      <x:c r="C1314" s="69" t="str">
        <x:v>Südtirol</x:v>
      </x:c>
      <x:c r="D1314" s="69" t="str">
        <x:v>Venezia</x:v>
      </x:c>
      <x:c r="E1314" s="76" t="d">
        <x:v>2026-08-07T00:00:00.000Z</x:v>
      </x:c>
      <x:c r="F1314" s="69" t="str">
        <x:v>summer</x:v>
      </x:c>
      <x:c r="G1314" s="69" t="str">
        <x:v>Midfielder — source label</x:v>
      </x:c>
      <x:c r="H1314" s="78"/>
      <x:c r="I1314" s="69" t="str">
        <x:v>GBP</x:v>
      </x:c>
      <x:c r="J1314" s="80"/>
      <x:c r="K1314" s="82"/>
      <x:c r="L1314" s="69" t="str">
        <x:v>Evidence needed</x:v>
      </x:c>
      <x:c r="M1314" s="69" t="str">
        <x:v>Buyer-specific role, production, availability, signing age and total fee evidence are needed before assigning a deal-value score.</x:v>
      </x:c>
      <x:c r="N1314" s="69" t="str">
        <x:v>Not assessed</x:v>
      </x:c>
      <x:c r="O1314" s="69" t="str">
        <x:v>Source broad position and transfer quote only; detailed role and buyer-specific production not validated.</x:v>
      </x:c>
      <x:c r="P1314" s="69" t="str">
        <x:v>https://www.theguardian.com/football/ng-interactive/2026/sep/01/mens-transfer-window-summer-2026-all-deals-from-europes-top-five-leagues</x:v>
      </x:c>
    </x:row>
    <x:row r="1315" ht="25" customHeight="1">
      <x:c r="A1315" s="75" t="str">
        <x:v>summer-S26-0863</x:v>
      </x:c>
      <x:c r="B1315" s="75" t="str">
        <x:v>Elliot Stroud</x:v>
      </x:c>
      <x:c r="C1315" s="75" t="str">
        <x:v>Hull City</x:v>
      </x:c>
      <x:c r="D1315" s="75" t="str">
        <x:v>Mjällby</x:v>
      </x:c>
      <x:c r="E1315" s="77" t="d">
        <x:v>2026-08-09T00:00:00.000Z</x:v>
      </x:c>
      <x:c r="F1315" s="75" t="str">
        <x:v>summer</x:v>
      </x:c>
      <x:c r="G1315" s="75" t="str">
        <x:v>Defender — source label</x:v>
      </x:c>
      <x:c r="H1315" s="79" t="n">
        <x:v>3000000</x:v>
      </x:c>
      <x:c r="I1315" s="75" t="str">
        <x:v>GBP</x:v>
      </x:c>
      <x:c r="J1315" s="81"/>
      <x:c r="K1315" s="83"/>
      <x:c r="L1315" s="75" t="str">
        <x:v>Evidence needed</x:v>
      </x:c>
      <x:c r="M1315" s="75" t="str">
        <x:v>Buyer-specific role, production, availability, signing age and total fee evidence are needed before assigning a deal-value score.</x:v>
      </x:c>
      <x:c r="N1315" s="75" t="str">
        <x:v>Not assessed</x:v>
      </x:c>
      <x:c r="O1315" s="75" t="str">
        <x:v>Source broad position and transfer quote only; detailed role and buyer-specific production not validated.</x:v>
      </x:c>
      <x:c r="P1315" s="75" t="str">
        <x:v>https://www.theguardian.com/football/ng-interactive/2026/sep/01/mens-transfer-window-summer-2026-all-deals-from-europes-top-five-leagues</x:v>
      </x:c>
    </x:row>
    <x:row r="1316" ht="25" customHeight="1">
      <x:c r="A1316" s="69" t="str">
        <x:v>summer-S26-0864</x:v>
      </x:c>
      <x:c r="B1316" s="69" t="str">
        <x:v>Trevoh Chalobah</x:v>
      </x:c>
      <x:c r="C1316" s="69" t="str">
        <x:v>Como 1907</x:v>
      </x:c>
      <x:c r="D1316" s="69" t="str">
        <x:v>Chelsea</x:v>
      </x:c>
      <x:c r="E1316" s="76" t="d">
        <x:v>2026-08-09T00:00:00.000Z</x:v>
      </x:c>
      <x:c r="F1316" s="69" t="str">
        <x:v>summer</x:v>
      </x:c>
      <x:c r="G1316" s="69" t="str">
        <x:v>Defender — source label</x:v>
      </x:c>
      <x:c r="H1316" s="78" t="n">
        <x:v>25700000</x:v>
      </x:c>
      <x:c r="I1316" s="69" t="str">
        <x:v>GBP</x:v>
      </x:c>
      <x:c r="J1316" s="80"/>
      <x:c r="K1316" s="82"/>
      <x:c r="L1316" s="69" t="str">
        <x:v>Evidence needed</x:v>
      </x:c>
      <x:c r="M1316" s="69" t="str">
        <x:v>Buyer-specific role, production, availability, signing age and total fee evidence are needed before assigning a deal-value score.</x:v>
      </x:c>
      <x:c r="N1316" s="69" t="str">
        <x:v>Not assessed</x:v>
      </x:c>
      <x:c r="O1316" s="69" t="str">
        <x:v>Source broad position and transfer quote only; detailed role and buyer-specific production not validated.</x:v>
      </x:c>
      <x:c r="P1316" s="69" t="str">
        <x:v>https://www.theguardian.com/football/ng-interactive/2026/sep/01/mens-transfer-window-summer-2026-all-deals-from-europes-top-five-leagues</x:v>
      </x:c>
    </x:row>
    <x:row r="1317" ht="25" customHeight="1">
      <x:c r="A1317" s="75" t="str">
        <x:v>summer-S26-0865</x:v>
      </x:c>
      <x:c r="B1317" s="75" t="str">
        <x:v>Lucas Digne</x:v>
      </x:c>
      <x:c r="C1317" s="75" t="str">
        <x:v>Paris Saint-Germain</x:v>
      </x:c>
      <x:c r="D1317" s="75" t="str">
        <x:v>Aston Villa</x:v>
      </x:c>
      <x:c r="E1317" s="77" t="d">
        <x:v>2026-08-09T00:00:00.000Z</x:v>
      </x:c>
      <x:c r="F1317" s="75" t="str">
        <x:v>summer</x:v>
      </x:c>
      <x:c r="G1317" s="75" t="str">
        <x:v>Defender — source label</x:v>
      </x:c>
      <x:c r="H1317" s="79" t="n">
        <x:v>8500000</x:v>
      </x:c>
      <x:c r="I1317" s="75" t="str">
        <x:v>GBP</x:v>
      </x:c>
      <x:c r="J1317" s="81"/>
      <x:c r="K1317" s="83"/>
      <x:c r="L1317" s="75" t="str">
        <x:v>Evidence needed</x:v>
      </x:c>
      <x:c r="M1317" s="75" t="str">
        <x:v>Buyer-specific role, production, availability, signing age and total fee evidence are needed before assigning a deal-value score.</x:v>
      </x:c>
      <x:c r="N1317" s="75" t="str">
        <x:v>Not assessed</x:v>
      </x:c>
      <x:c r="O1317" s="75" t="str">
        <x:v>Source broad position and transfer quote only; detailed role and buyer-specific production not validated.</x:v>
      </x:c>
      <x:c r="P1317" s="75" t="str">
        <x:v>https://www.theguardian.com/football/ng-interactive/2026/sep/01/mens-transfer-window-summer-2026-all-deals-from-europes-top-five-leagues</x:v>
      </x:c>
    </x:row>
    <x:row r="1318" ht="25" customHeight="1">
      <x:c r="A1318" s="69" t="str">
        <x:v>summer-S26-0870</x:v>
      </x:c>
      <x:c r="B1318" s="69" t="str">
        <x:v>Bara Sapoko Ndiaye</x:v>
      </x:c>
      <x:c r="C1318" s="69" t="str">
        <x:v>Bayern Munich</x:v>
      </x:c>
      <x:c r="D1318" s="69" t="str">
        <x:v>Gambinos Stars Africa</x:v>
      </x:c>
      <x:c r="E1318" s="76" t="d">
        <x:v>2026-08-10T00:00:00.000Z</x:v>
      </x:c>
      <x:c r="F1318" s="69" t="str">
        <x:v>summer</x:v>
      </x:c>
      <x:c r="G1318" s="69" t="str">
        <x:v>Midfielder — source label</x:v>
      </x:c>
      <x:c r="H1318" s="78" t="n">
        <x:v>3000000</x:v>
      </x:c>
      <x:c r="I1318" s="69" t="str">
        <x:v>GBP</x:v>
      </x:c>
      <x:c r="J1318" s="80"/>
      <x:c r="K1318" s="82"/>
      <x:c r="L1318" s="69" t="str">
        <x:v>Evidence needed</x:v>
      </x:c>
      <x:c r="M1318" s="69" t="str">
        <x:v>Buyer-specific role, production, availability, signing age and total fee evidence are needed before assigning a deal-value score.</x:v>
      </x:c>
      <x:c r="N1318" s="69" t="str">
        <x:v>Not assessed</x:v>
      </x:c>
      <x:c r="O1318" s="69" t="str">
        <x:v>Source broad position and transfer quote only; detailed role and buyer-specific production not validated.</x:v>
      </x:c>
      <x:c r="P1318" s="69" t="str">
        <x:v>https://www.theguardian.com/football/ng-interactive/2026/sep/01/mens-transfer-window-summer-2026-all-deals-from-europes-top-five-leagues</x:v>
      </x:c>
    </x:row>
    <x:row r="1319" ht="25" customHeight="1">
      <x:c r="A1319" s="75" t="str">
        <x:v>summer-S26-0872</x:v>
      </x:c>
      <x:c r="B1319" s="75" t="str">
        <x:v>Patrizio Masini</x:v>
      </x:c>
      <x:c r="C1319" s="75" t="str">
        <x:v>Frosinone</x:v>
      </x:c>
      <x:c r="D1319" s="75" t="str">
        <x:v>Genoa</x:v>
      </x:c>
      <x:c r="E1319" s="77" t="d">
        <x:v>2026-08-10T00:00:00.000Z</x:v>
      </x:c>
      <x:c r="F1319" s="75" t="str">
        <x:v>summer</x:v>
      </x:c>
      <x:c r="G1319" s="75" t="str">
        <x:v>Midfielder — source label</x:v>
      </x:c>
      <x:c r="H1319" s="79"/>
      <x:c r="I1319" s="75" t="str">
        <x:v>GBP</x:v>
      </x:c>
      <x:c r="J1319" s="81"/>
      <x:c r="K1319" s="83"/>
      <x:c r="L1319" s="75" t="str">
        <x:v>Evidence needed</x:v>
      </x:c>
      <x:c r="M1319" s="75" t="str">
        <x:v>Buyer-specific role, production, availability, signing age and total fee evidence are needed before assigning a deal-value score. Loan/swap costs must be treated separately.</x:v>
      </x:c>
      <x:c r="N1319" s="75" t="str">
        <x:v>Not assessed</x:v>
      </x:c>
      <x:c r="O1319" s="75" t="str">
        <x:v>Source broad position and transfer quote only; detailed role and buyer-specific production not validated.</x:v>
      </x:c>
      <x:c r="P1319" s="75" t="str">
        <x:v>https://www.theguardian.com/football/ng-interactive/2026/sep/01/mens-transfer-window-summer-2026-all-deals-from-europes-top-five-leagues</x:v>
      </x:c>
    </x:row>
    <x:row r="1320" ht="25" customHeight="1">
      <x:c r="A1320" s="69" t="str">
        <x:v>summer-S26-0874</x:v>
      </x:c>
      <x:c r="B1320" s="69" t="str">
        <x:v>Ronald Araújo</x:v>
      </x:c>
      <x:c r="C1320" s="69" t="str">
        <x:v>Liverpool</x:v>
      </x:c>
      <x:c r="D1320" s="69" t="str">
        <x:v>Barcelona</x:v>
      </x:c>
      <x:c r="E1320" s="76" t="d">
        <x:v>2026-08-10T00:00:00.000Z</x:v>
      </x:c>
      <x:c r="F1320" s="69" t="str">
        <x:v>summer</x:v>
      </x:c>
      <x:c r="G1320" s="69" t="str">
        <x:v>Defender — source label</x:v>
      </x:c>
      <x:c r="H1320" s="78"/>
      <x:c r="I1320" s="69" t="str">
        <x:v>GBP</x:v>
      </x:c>
      <x:c r="J1320" s="80"/>
      <x:c r="K1320" s="82"/>
      <x:c r="L1320" s="69" t="str">
        <x:v>Evidence needed</x:v>
      </x:c>
      <x:c r="M1320" s="69" t="str">
        <x:v>Buyer-specific role, production, availability, signing age and total fee evidence are needed before assigning a deal-value score. Loan/swap costs must be treated separately.</x:v>
      </x:c>
      <x:c r="N1320" s="69" t="str">
        <x:v>Not assessed</x:v>
      </x:c>
      <x:c r="O1320" s="69" t="str">
        <x:v>Source broad position and transfer quote only; detailed role and buyer-specific production not validated.</x:v>
      </x:c>
      <x:c r="P1320" s="69" t="str">
        <x:v>https://www.theguardian.com/football/ng-interactive/2026/sep/01/mens-transfer-window-summer-2026-all-deals-from-europes-top-five-leagues</x:v>
      </x:c>
    </x:row>
    <x:row r="1321" ht="25" customHeight="1">
      <x:c r="A1321" s="75" t="str">
        <x:v>summer-S26-0876</x:v>
      </x:c>
      <x:c r="B1321" s="75" t="str">
        <x:v>Giuseppe Aurelio</x:v>
      </x:c>
      <x:c r="C1321" s="75" t="str">
        <x:v>Cagliari</x:v>
      </x:c>
      <x:c r="D1321" s="75" t="str">
        <x:v>Spezia</x:v>
      </x:c>
      <x:c r="E1321" s="77" t="d">
        <x:v>2026-08-10T00:00:00.000Z</x:v>
      </x:c>
      <x:c r="F1321" s="75" t="str">
        <x:v>summer</x:v>
      </x:c>
      <x:c r="G1321" s="75" t="str">
        <x:v>Defender — source label</x:v>
      </x:c>
      <x:c r="H1321" s="79" t="n">
        <x:v>700000</x:v>
      </x:c>
      <x:c r="I1321" s="75" t="str">
        <x:v>GBP</x:v>
      </x:c>
      <x:c r="J1321" s="81"/>
      <x:c r="K1321" s="83"/>
      <x:c r="L1321" s="75" t="str">
        <x:v>Evidence needed</x:v>
      </x:c>
      <x:c r="M1321" s="75" t="str">
        <x:v>Buyer-specific role, production, availability, signing age and total fee evidence are needed before assigning a deal-value score.</x:v>
      </x:c>
      <x:c r="N1321" s="75" t="str">
        <x:v>Not assessed</x:v>
      </x:c>
      <x:c r="O1321" s="75" t="str">
        <x:v>Source broad position and transfer quote only; detailed role and buyer-specific production not validated.</x:v>
      </x:c>
      <x:c r="P1321" s="75" t="str">
        <x:v>https://www.theguardian.com/football/ng-interactive/2026/sep/01/mens-transfer-window-summer-2026-all-deals-from-europes-top-five-leagues</x:v>
      </x:c>
    </x:row>
    <x:row r="1322" ht="25" customHeight="1">
      <x:c r="A1322" s="69" t="str">
        <x:v>summer-S26-0878</x:v>
      </x:c>
      <x:c r="B1322" s="69" t="str">
        <x:v>Arthur Masuaku</x:v>
      </x:c>
      <x:c r="C1322" s="69" t="str">
        <x:v>Konyaspor</x:v>
      </x:c>
      <x:c r="D1322" s="69" t="str">
        <x:v>Sunderland</x:v>
      </x:c>
      <x:c r="E1322" s="76" t="d">
        <x:v>2026-08-10T00:00:00.000Z</x:v>
      </x:c>
      <x:c r="F1322" s="69" t="str">
        <x:v>summer</x:v>
      </x:c>
      <x:c r="G1322" s="69" t="str">
        <x:v>Defender — source label</x:v>
      </x:c>
      <x:c r="H1322" s="78"/>
      <x:c r="I1322" s="69" t="str">
        <x:v>GBP</x:v>
      </x:c>
      <x:c r="J1322" s="80"/>
      <x:c r="K1322" s="82"/>
      <x:c r="L1322" s="69" t="str">
        <x:v>Evidence needed</x:v>
      </x:c>
      <x:c r="M1322" s="69" t="str">
        <x:v>Buyer-specific role, production, availability, signing age and total fee evidence are needed before assigning a deal-value score. A zero base fee does not represent wages or signing costs.</x:v>
      </x:c>
      <x:c r="N1322" s="69" t="str">
        <x:v>Not assessed</x:v>
      </x:c>
      <x:c r="O1322" s="69" t="str">
        <x:v>Source broad position and transfer quote only; detailed role and buyer-specific production not validated.</x:v>
      </x:c>
      <x:c r="P1322" s="69" t="str">
        <x:v>https://www.theguardian.com/football/ng-interactive/2026/sep/01/mens-transfer-window-summer-2026-all-deals-from-europes-top-five-leagues</x:v>
      </x:c>
    </x:row>
    <x:row r="1323" ht="25" customHeight="1">
      <x:c r="A1323" s="75" t="str">
        <x:v>summer-S26-0879</x:v>
      </x:c>
      <x:c r="B1323" s="75" t="str">
        <x:v>Julen Agirrezabala</x:v>
      </x:c>
      <x:c r="C1323" s="75" t="str">
        <x:v>Racing Santander</x:v>
      </x:c>
      <x:c r="D1323" s="75" t="str">
        <x:v>Athletic Club</x:v>
      </x:c>
      <x:c r="E1323" s="77" t="d">
        <x:v>2026-08-10T00:00:00.000Z</x:v>
      </x:c>
      <x:c r="F1323" s="75" t="str">
        <x:v>summer</x:v>
      </x:c>
      <x:c r="G1323" s="75" t="str">
        <x:v>Goalkeeper — source label</x:v>
      </x:c>
      <x:c r="H1323" s="79"/>
      <x:c r="I1323" s="75" t="str">
        <x:v>GBP</x:v>
      </x:c>
      <x:c r="J1323" s="81"/>
      <x:c r="K1323" s="83"/>
      <x:c r="L1323" s="75" t="str">
        <x:v>Evidence needed</x:v>
      </x:c>
      <x:c r="M1323" s="75" t="str">
        <x:v>Buyer-specific shot-stopping, distribution, aerial command, sweeping, signing age and total fee evidence are needed before scoring.</x:v>
      </x:c>
      <x:c r="N1323" s="75" t="str">
        <x:v>Not assessed</x:v>
      </x:c>
      <x:c r="O1323" s="75" t="str">
        <x:v>Source broad position and transfer quote only; detailed role and buyer-specific production not validated.</x:v>
      </x:c>
      <x:c r="P1323" s="75" t="str">
        <x:v>https://www.theguardian.com/football/ng-interactive/2026/sep/01/mens-transfer-window-summer-2026-all-deals-from-europes-top-five-leagues</x:v>
      </x:c>
    </x:row>
    <x:row r="1324" ht="25" customHeight="1">
      <x:c r="A1324" s="69" t="str">
        <x:v>summer-S26-0880</x:v>
      </x:c>
      <x:c r="B1324" s="69" t="str">
        <x:v>Joan Jordán</x:v>
      </x:c>
      <x:c r="C1324" s="69" t="str">
        <x:v>Estrela Amadora</x:v>
      </x:c>
      <x:c r="D1324" s="69" t="str">
        <x:v>Sevilla</x:v>
      </x:c>
      <x:c r="E1324" s="76" t="d">
        <x:v>2026-08-10T00:00:00.000Z</x:v>
      </x:c>
      <x:c r="F1324" s="69" t="str">
        <x:v>summer</x:v>
      </x:c>
      <x:c r="G1324" s="69" t="str">
        <x:v>Midfielder — source label</x:v>
      </x:c>
      <x:c r="H1324" s="78"/>
      <x:c r="I1324" s="69" t="str">
        <x:v>GBP</x:v>
      </x:c>
      <x:c r="J1324" s="80"/>
      <x:c r="K1324" s="82"/>
      <x:c r="L1324" s="69" t="str">
        <x:v>Evidence needed</x:v>
      </x:c>
      <x:c r="M1324" s="69" t="str">
        <x:v>Buyer-specific role, production, availability, signing age and total fee evidence are needed before assigning a deal-value score. A zero base fee does not represent wages or signing costs.</x:v>
      </x:c>
      <x:c r="N1324" s="69" t="str">
        <x:v>Not assessed</x:v>
      </x:c>
      <x:c r="O1324" s="69" t="str">
        <x:v>Source broad position and transfer quote only; detailed role and buyer-specific production not validated.</x:v>
      </x:c>
      <x:c r="P1324" s="69" t="str">
        <x:v>https://www.theguardian.com/football/ng-interactive/2026/sep/01/mens-transfer-window-summer-2026-all-deals-from-europes-top-five-leagues</x:v>
      </x:c>
    </x:row>
    <x:row r="1325" ht="25" customHeight="1">
      <x:c r="A1325" s="75" t="str">
        <x:v>summer-S26-0881</x:v>
      </x:c>
      <x:c r="B1325" s="75" t="str">
        <x:v>Alberto Flores</x:v>
      </x:c>
      <x:c r="C1325" s="75" t="str">
        <x:v>Granada</x:v>
      </x:c>
      <x:c r="D1325" s="75" t="str">
        <x:v>Sevilla</x:v>
      </x:c>
      <x:c r="E1325" s="77" t="d">
        <x:v>2026-08-10T00:00:00.000Z</x:v>
      </x:c>
      <x:c r="F1325" s="75" t="str">
        <x:v>summer</x:v>
      </x:c>
      <x:c r="G1325" s="75" t="str">
        <x:v>Goalkeeper — source label</x:v>
      </x:c>
      <x:c r="H1325" s="79"/>
      <x:c r="I1325" s="75" t="str">
        <x:v>GBP</x:v>
      </x:c>
      <x:c r="J1325" s="81"/>
      <x:c r="K1325" s="83"/>
      <x:c r="L1325" s="75" t="str">
        <x:v>Evidence needed</x:v>
      </x:c>
      <x:c r="M1325" s="75" t="str">
        <x:v>Buyer-specific shot-stopping, distribution, aerial command, sweeping, signing age and total fee evidence are needed before scoring. A zero base fee does not represent wages or signing costs.</x:v>
      </x:c>
      <x:c r="N1325" s="75" t="str">
        <x:v>Not assessed</x:v>
      </x:c>
      <x:c r="O1325" s="75" t="str">
        <x:v>Source broad position and transfer quote only; detailed role and buyer-specific production not validated.</x:v>
      </x:c>
      <x:c r="P1325" s="75" t="str">
        <x:v>https://www.theguardian.com/football/ng-interactive/2026/sep/01/mens-transfer-window-summer-2026-all-deals-from-europes-top-five-leagues</x:v>
      </x:c>
    </x:row>
    <x:row r="1326" ht="25" customHeight="1">
      <x:c r="A1326" s="69" t="str">
        <x:v>summer-S26-0882</x:v>
      </x:c>
      <x:c r="B1326" s="69" t="str">
        <x:v>Giovanni Bonfanti</x:v>
      </x:c>
      <x:c r="C1326" s="69" t="str">
        <x:v>Las Palmas</x:v>
      </x:c>
      <x:c r="D1326" s="69" t="str">
        <x:v>Atalanta</x:v>
      </x:c>
      <x:c r="E1326" s="76" t="d">
        <x:v>2026-08-10T00:00:00.000Z</x:v>
      </x:c>
      <x:c r="F1326" s="69" t="str">
        <x:v>summer</x:v>
      </x:c>
      <x:c r="G1326" s="69" t="str">
        <x:v>Defender — source label</x:v>
      </x:c>
      <x:c r="H1326" s="78"/>
      <x:c r="I1326" s="69" t="str">
        <x:v>GBP</x:v>
      </x:c>
      <x:c r="J1326" s="80"/>
      <x:c r="K1326" s="82"/>
      <x:c r="L1326" s="69" t="str">
        <x:v>Evidence needed</x:v>
      </x:c>
      <x:c r="M1326" s="69" t="str">
        <x:v>Buyer-specific role, production, availability, signing age and total fee evidence are needed before assigning a deal-value score. Loan/swap costs must be treated separately.</x:v>
      </x:c>
      <x:c r="N1326" s="69" t="str">
        <x:v>Not assessed</x:v>
      </x:c>
      <x:c r="O1326" s="69" t="str">
        <x:v>Source broad position and transfer quote only; detailed role and buyer-specific production not validated.</x:v>
      </x:c>
      <x:c r="P1326" s="69" t="str">
        <x:v>https://www.theguardian.com/football/ng-interactive/2026/sep/01/mens-transfer-window-summer-2026-all-deals-from-europes-top-five-leagues</x:v>
      </x:c>
    </x:row>
    <x:row r="1327" ht="25" customHeight="1">
      <x:c r="A1327" s="75" t="str">
        <x:v>summer-S26-0883</x:v>
      </x:c>
      <x:c r="B1327" s="75" t="str">
        <x:v>Ousmane Diomande</x:v>
      </x:c>
      <x:c r="C1327" s="75" t="str">
        <x:v>Nottingham Forest</x:v>
      </x:c>
      <x:c r="D1327" s="75" t="str">
        <x:v>Sporting</x:v>
      </x:c>
      <x:c r="E1327" s="77" t="d">
        <x:v>2026-08-11T00:00:00.000Z</x:v>
      </x:c>
      <x:c r="F1327" s="75" t="str">
        <x:v>summer</x:v>
      </x:c>
      <x:c r="G1327" s="75" t="str">
        <x:v>Defender — source label</x:v>
      </x:c>
      <x:c r="H1327" s="79" t="n">
        <x:v>34200000</x:v>
      </x:c>
      <x:c r="I1327" s="75" t="str">
        <x:v>GBP</x:v>
      </x:c>
      <x:c r="J1327" s="81"/>
      <x:c r="K1327" s="83"/>
      <x:c r="L1327" s="75" t="str">
        <x:v>Evidence needed</x:v>
      </x:c>
      <x:c r="M1327" s="75" t="str">
        <x:v>Buyer-specific role, production, availability, signing age and total fee evidence are needed before assigning a deal-value score.</x:v>
      </x:c>
      <x:c r="N1327" s="75" t="str">
        <x:v>Not assessed</x:v>
      </x:c>
      <x:c r="O1327" s="75" t="str">
        <x:v>Source broad position and transfer quote only; detailed role and buyer-specific production not validated.</x:v>
      </x:c>
      <x:c r="P1327" s="75" t="str">
        <x:v>https://www.theguardian.com/football/ng-interactive/2026/sep/01/mens-transfer-window-summer-2026-all-deals-from-europes-top-five-leagues</x:v>
      </x:c>
    </x:row>
    <x:row r="1328" ht="25" customHeight="1">
      <x:c r="A1328" s="69" t="str">
        <x:v>summer-S26-0885</x:v>
      </x:c>
      <x:c r="B1328" s="69" t="str">
        <x:v>Filip Jörgensen</x:v>
      </x:c>
      <x:c r="C1328" s="69" t="str">
        <x:v>Strasbourg</x:v>
      </x:c>
      <x:c r="D1328" s="69" t="str">
        <x:v>Chelsea</x:v>
      </x:c>
      <x:c r="E1328" s="76" t="d">
        <x:v>2026-08-11T00:00:00.000Z</x:v>
      </x:c>
      <x:c r="F1328" s="69" t="str">
        <x:v>summer</x:v>
      </x:c>
      <x:c r="G1328" s="69" t="str">
        <x:v>Goalkeeper — source label</x:v>
      </x:c>
      <x:c r="H1328" s="78"/>
      <x:c r="I1328" s="69" t="str">
        <x:v>GBP</x:v>
      </x:c>
      <x:c r="J1328" s="80"/>
      <x:c r="K1328" s="82"/>
      <x:c r="L1328" s="69" t="str">
        <x:v>Evidence needed</x:v>
      </x:c>
      <x:c r="M1328" s="69" t="str">
        <x:v>Buyer-specific shot-stopping, distribution, aerial command, sweeping, signing age and total fee evidence are needed before scoring. Loan/swap costs must be treated separately.</x:v>
      </x:c>
      <x:c r="N1328" s="69" t="str">
        <x:v>Not assessed</x:v>
      </x:c>
      <x:c r="O1328" s="69" t="str">
        <x:v>Source broad position and transfer quote only; detailed role and buyer-specific production not validated.</x:v>
      </x:c>
      <x:c r="P1328" s="69" t="str">
        <x:v>https://www.theguardian.com/football/ng-interactive/2026/sep/01/mens-transfer-window-summer-2026-all-deals-from-europes-top-five-leagues</x:v>
      </x:c>
    </x:row>
    <x:row r="1329" ht="25" customHeight="1">
      <x:c r="A1329" s="75" t="str">
        <x:v>summer-S26-0888</x:v>
      </x:c>
      <x:c r="B1329" s="75" t="str">
        <x:v>Alex Murphy</x:v>
      </x:c>
      <x:c r="C1329" s="75" t="str">
        <x:v>Kaiserslautern</x:v>
      </x:c>
      <x:c r="D1329" s="75" t="str">
        <x:v>Newcastle United</x:v>
      </x:c>
      <x:c r="E1329" s="77" t="d">
        <x:v>2026-08-11T00:00:00.000Z</x:v>
      </x:c>
      <x:c r="F1329" s="75" t="str">
        <x:v>summer</x:v>
      </x:c>
      <x:c r="G1329" s="75" t="str">
        <x:v>Defender — source label</x:v>
      </x:c>
      <x:c r="H1329" s="79"/>
      <x:c r="I1329" s="75" t="str">
        <x:v>GBP</x:v>
      </x:c>
      <x:c r="J1329" s="81"/>
      <x:c r="K1329" s="83"/>
      <x:c r="L1329" s="75" t="str">
        <x:v>Evidence needed</x:v>
      </x:c>
      <x:c r="M1329" s="75" t="str">
        <x:v>Buyer-specific role, production, availability, signing age and total fee evidence are needed before assigning a deal-value score. Loan/swap costs must be treated separately.</x:v>
      </x:c>
      <x:c r="N1329" s="75" t="str">
        <x:v>Not assessed</x:v>
      </x:c>
      <x:c r="O1329" s="75" t="str">
        <x:v>Source broad position and transfer quote only; detailed role and buyer-specific production not validated.</x:v>
      </x:c>
      <x:c r="P1329" s="75" t="str">
        <x:v>https://www.theguardian.com/football/ng-interactive/2026/sep/01/mens-transfer-window-summer-2026-all-deals-from-europes-top-five-leagues</x:v>
      </x:c>
    </x:row>
    <x:row r="1330" ht="25" customHeight="1">
      <x:c r="A1330" s="69" t="str">
        <x:v>summer-S26-0890</x:v>
      </x:c>
      <x:c r="B1330" s="69" t="str">
        <x:v>Berat Djimsiti</x:v>
      </x:c>
      <x:c r="C1330" s="69" t="str">
        <x:v>Al-Diriyah</x:v>
      </x:c>
      <x:c r="D1330" s="69" t="str">
        <x:v>Atalanta</x:v>
      </x:c>
      <x:c r="E1330" s="76" t="d">
        <x:v>2026-08-10T00:00:00.000Z</x:v>
      </x:c>
      <x:c r="F1330" s="69" t="str">
        <x:v>summer</x:v>
      </x:c>
      <x:c r="G1330" s="69" t="str">
        <x:v>Defender — source label</x:v>
      </x:c>
      <x:c r="H1330" s="78" t="n">
        <x:v>2600000</x:v>
      </x:c>
      <x:c r="I1330" s="69" t="str">
        <x:v>GBP</x:v>
      </x:c>
      <x:c r="J1330" s="80"/>
      <x:c r="K1330" s="82"/>
      <x:c r="L1330" s="69" t="str">
        <x:v>Evidence needed</x:v>
      </x:c>
      <x:c r="M1330" s="69" t="str">
        <x:v>Buyer-specific role, production, availability, signing age and total fee evidence are needed before assigning a deal-value score.</x:v>
      </x:c>
      <x:c r="N1330" s="69" t="str">
        <x:v>Not assessed</x:v>
      </x:c>
      <x:c r="O1330" s="69" t="str">
        <x:v>Source broad position and transfer quote only; detailed role and buyer-specific production not validated.</x:v>
      </x:c>
      <x:c r="P1330" s="69" t="str">
        <x:v>https://www.theguardian.com/football/ng-interactive/2026/sep/01/mens-transfer-window-summer-2026-all-deals-from-europes-top-five-leagues</x:v>
      </x:c>
    </x:row>
    <x:row r="1331" ht="25" customHeight="1">
      <x:c r="A1331" s="75" t="str">
        <x:v>summer-S26-0892</x:v>
      </x:c>
      <x:c r="B1331" s="75" t="str">
        <x:v>Carlos Domínguez</x:v>
      </x:c>
      <x:c r="C1331" s="75" t="str">
        <x:v>Real Oviedo</x:v>
      </x:c>
      <x:c r="D1331" s="75" t="str">
        <x:v>Celta Vigo</x:v>
      </x:c>
      <x:c r="E1331" s="77" t="d">
        <x:v>2026-08-11T00:00:00.000Z</x:v>
      </x:c>
      <x:c r="F1331" s="75" t="str">
        <x:v>summer</x:v>
      </x:c>
      <x:c r="G1331" s="75" t="str">
        <x:v>Defender — source label</x:v>
      </x:c>
      <x:c r="H1331" s="79"/>
      <x:c r="I1331" s="75" t="str">
        <x:v>GBP</x:v>
      </x:c>
      <x:c r="J1331" s="81"/>
      <x:c r="K1331" s="83"/>
      <x:c r="L1331" s="75" t="str">
        <x:v>Evidence needed</x:v>
      </x:c>
      <x:c r="M1331" s="75" t="str">
        <x:v>Buyer-specific role, production, availability, signing age and total fee evidence are needed before assigning a deal-value score. Loan/swap costs must be treated separately.</x:v>
      </x:c>
      <x:c r="N1331" s="75" t="str">
        <x:v>Not assessed</x:v>
      </x:c>
      <x:c r="O1331" s="75" t="str">
        <x:v>Source broad position and transfer quote only; detailed role and buyer-specific production not validated.</x:v>
      </x:c>
      <x:c r="P1331" s="75" t="str">
        <x:v>https://www.theguardian.com/football/ng-interactive/2026/sep/01/mens-transfer-window-summer-2026-all-deals-from-europes-top-five-leagues</x:v>
      </x:c>
    </x:row>
    <x:row r="1332" ht="25" customHeight="1">
      <x:c r="A1332" s="69" t="str">
        <x:v>summer-S26-0894</x:v>
      </x:c>
      <x:c r="B1332" s="69" t="str">
        <x:v>Ishé Samuels-Smith</x:v>
      </x:c>
      <x:c r="C1332" s="69" t="str">
        <x:v>Notts County</x:v>
      </x:c>
      <x:c r="D1332" s="69" t="str">
        <x:v>Chelsea</x:v>
      </x:c>
      <x:c r="E1332" s="76" t="d">
        <x:v>2026-08-11T00:00:00.000Z</x:v>
      </x:c>
      <x:c r="F1332" s="69" t="str">
        <x:v>summer</x:v>
      </x:c>
      <x:c r="G1332" s="69" t="str">
        <x:v>Defender — source label</x:v>
      </x:c>
      <x:c r="H1332" s="78"/>
      <x:c r="I1332" s="69" t="str">
        <x:v>GBP</x:v>
      </x:c>
      <x:c r="J1332" s="80"/>
      <x:c r="K1332" s="82"/>
      <x:c r="L1332" s="69" t="str">
        <x:v>Evidence needed</x:v>
      </x:c>
      <x:c r="M1332" s="69" t="str">
        <x:v>Buyer-specific role, production, availability, signing age and total fee evidence are needed before assigning a deal-value score. Loan/swap costs must be treated separately.</x:v>
      </x:c>
      <x:c r="N1332" s="69" t="str">
        <x:v>Not assessed</x:v>
      </x:c>
      <x:c r="O1332" s="69" t="str">
        <x:v>Source broad position and transfer quote only; detailed role and buyer-specific production not validated.</x:v>
      </x:c>
      <x:c r="P1332" s="69" t="str">
        <x:v>https://www.theguardian.com/football/ng-interactive/2026/sep/01/mens-transfer-window-summer-2026-all-deals-from-europes-top-five-leagues</x:v>
      </x:c>
    </x:row>
    <x:row r="1333" ht="25" customHeight="1">
      <x:c r="A1333" s="75" t="str">
        <x:v>summer-S26-0895</x:v>
      </x:c>
      <x:c r="B1333" s="75" t="str">
        <x:v>Roman Dixon</x:v>
      </x:c>
      <x:c r="C1333" s="75" t="str">
        <x:v>Walsall</x:v>
      </x:c>
      <x:c r="D1333" s="75" t="str">
        <x:v>Everton</x:v>
      </x:c>
      <x:c r="E1333" s="77" t="d">
        <x:v>2026-08-11T00:00:00.000Z</x:v>
      </x:c>
      <x:c r="F1333" s="75" t="str">
        <x:v>summer</x:v>
      </x:c>
      <x:c r="G1333" s="75" t="str">
        <x:v>Defender — source label</x:v>
      </x:c>
      <x:c r="H1333" s="79"/>
      <x:c r="I1333" s="75" t="str">
        <x:v>GBP</x:v>
      </x:c>
      <x:c r="J1333" s="81"/>
      <x:c r="K1333" s="83"/>
      <x:c r="L1333" s="75" t="str">
        <x:v>Evidence needed</x:v>
      </x:c>
      <x:c r="M1333" s="75" t="str">
        <x:v>Buyer-specific role, production, availability, signing age and total fee evidence are needed before assigning a deal-value score. A zero base fee does not represent wages or signing costs.</x:v>
      </x:c>
      <x:c r="N1333" s="75" t="str">
        <x:v>Not assessed</x:v>
      </x:c>
      <x:c r="O1333" s="75" t="str">
        <x:v>Source broad position and transfer quote only; detailed role and buyer-specific production not validated.</x:v>
      </x:c>
      <x:c r="P1333" s="75" t="str">
        <x:v>https://www.theguardian.com/football/ng-interactive/2026/sep/01/mens-transfer-window-summer-2026-all-deals-from-europes-top-five-leagues</x:v>
      </x:c>
    </x:row>
    <x:row r="1334" ht="25" customHeight="1">
      <x:c r="A1334" s="69" t="str">
        <x:v>summer-S26-0896</x:v>
      </x:c>
      <x:c r="B1334" s="69" t="str">
        <x:v>Facundo Medina</x:v>
      </x:c>
      <x:c r="C1334" s="69" t="str">
        <x:v>Bayer Leverkusen</x:v>
      </x:c>
      <x:c r="D1334" s="69" t="str">
        <x:v>Marseille</x:v>
      </x:c>
      <x:c r="E1334" s="76" t="d">
        <x:v>2026-08-11T00:00:00.000Z</x:v>
      </x:c>
      <x:c r="F1334" s="69" t="str">
        <x:v>summer</x:v>
      </x:c>
      <x:c r="G1334" s="69" t="str">
        <x:v>Defender — source label</x:v>
      </x:c>
      <x:c r="H1334" s="78" t="n">
        <x:v>19700000</x:v>
      </x:c>
      <x:c r="I1334" s="69" t="str">
        <x:v>GBP</x:v>
      </x:c>
      <x:c r="J1334" s="80"/>
      <x:c r="K1334" s="82"/>
      <x:c r="L1334" s="69" t="str">
        <x:v>Evidence needed</x:v>
      </x:c>
      <x:c r="M1334" s="69" t="str">
        <x:v>Buyer-specific role, production, availability, signing age and total fee evidence are needed before assigning a deal-value score.</x:v>
      </x:c>
      <x:c r="N1334" s="69" t="str">
        <x:v>Not assessed</x:v>
      </x:c>
      <x:c r="O1334" s="69" t="str">
        <x:v>Source broad position and transfer quote only; detailed role and buyer-specific production not validated.</x:v>
      </x:c>
      <x:c r="P1334" s="69" t="str">
        <x:v>https://www.theguardian.com/football/ng-interactive/2026/sep/01/mens-transfer-window-summer-2026-all-deals-from-europes-top-five-leagues</x:v>
      </x:c>
    </x:row>
    <x:row r="1335" ht="25" customHeight="1">
      <x:c r="A1335" s="75" t="str">
        <x:v>summer-S26-0899</x:v>
      </x:c>
      <x:c r="B1335" s="75" t="str">
        <x:v>Gerónimo Rulli</x:v>
      </x:c>
      <x:c r="C1335" s="75" t="str">
        <x:v>Manchester City</x:v>
      </x:c>
      <x:c r="D1335" s="75" t="str">
        <x:v>Marseille</x:v>
      </x:c>
      <x:c r="E1335" s="77" t="d">
        <x:v>2026-08-12T00:00:00.000Z</x:v>
      </x:c>
      <x:c r="F1335" s="75" t="str">
        <x:v>summer</x:v>
      </x:c>
      <x:c r="G1335" s="75" t="str">
        <x:v>Goalkeeper — source label</x:v>
      </x:c>
      <x:c r="H1335" s="79" t="n">
        <x:v>1700000</x:v>
      </x:c>
      <x:c r="I1335" s="75" t="str">
        <x:v>GBP</x:v>
      </x:c>
      <x:c r="J1335" s="81"/>
      <x:c r="K1335" s="83"/>
      <x:c r="L1335" s="75" t="str">
        <x:v>Evidence needed</x:v>
      </x:c>
      <x:c r="M1335" s="75" t="str">
        <x:v>Buyer-specific shot-stopping, distribution, aerial command, sweeping, signing age and total fee evidence are needed before scoring.</x:v>
      </x:c>
      <x:c r="N1335" s="75" t="str">
        <x:v>Not assessed</x:v>
      </x:c>
      <x:c r="O1335" s="75" t="str">
        <x:v>Source broad position and transfer quote only; detailed role and buyer-specific production not validated.</x:v>
      </x:c>
      <x:c r="P1335" s="75" t="str">
        <x:v>https://www.theguardian.com/football/ng-interactive/2026/sep/01/mens-transfer-window-summer-2026-all-deals-from-europes-top-five-leagues</x:v>
      </x:c>
    </x:row>
    <x:row r="1336" ht="25" customHeight="1">
      <x:c r="A1336" s="69" t="str">
        <x:v>summer-S26-0900</x:v>
      </x:c>
      <x:c r="B1336" s="69" t="str">
        <x:v>Pep Chavarría</x:v>
      </x:c>
      <x:c r="C1336" s="69" t="str">
        <x:v>Chelsea</x:v>
      </x:c>
      <x:c r="D1336" s="69" t="str">
        <x:v>Rayo Vallecano</x:v>
      </x:c>
      <x:c r="E1336" s="76" t="d">
        <x:v>2026-08-12T00:00:00.000Z</x:v>
      </x:c>
      <x:c r="F1336" s="69" t="str">
        <x:v>summer</x:v>
      </x:c>
      <x:c r="G1336" s="69" t="str">
        <x:v>Defender — source label</x:v>
      </x:c>
      <x:c r="H1336" s="78" t="n">
        <x:v>16300000</x:v>
      </x:c>
      <x:c r="I1336" s="69" t="str">
        <x:v>GBP</x:v>
      </x:c>
      <x:c r="J1336" s="80"/>
      <x:c r="K1336" s="82"/>
      <x:c r="L1336" s="69" t="str">
        <x:v>Evidence needed</x:v>
      </x:c>
      <x:c r="M1336" s="69" t="str">
        <x:v>Buyer-specific role, production, availability, signing age and total fee evidence are needed before assigning a deal-value score.</x:v>
      </x:c>
      <x:c r="N1336" s="69" t="str">
        <x:v>Not assessed</x:v>
      </x:c>
      <x:c r="O1336" s="69" t="str">
        <x:v>Source broad position and transfer quote only; detailed role and buyer-specific production not validated.</x:v>
      </x:c>
      <x:c r="P1336" s="69" t="str">
        <x:v>https://www.theguardian.com/football/ng-interactive/2026/sep/01/mens-transfer-window-summer-2026-all-deals-from-europes-top-five-leagues</x:v>
      </x:c>
    </x:row>
    <x:row r="1337" ht="25" customHeight="1">
      <x:c r="A1337" s="75" t="str">
        <x:v>summer-S26-0901</x:v>
      </x:c>
      <x:c r="B1337" s="75" t="str">
        <x:v>Gautier Lloris</x:v>
      </x:c>
      <x:c r="C1337" s="75" t="str">
        <x:v>Brest</x:v>
      </x:c>
      <x:c r="D1337" s="75" t="str">
        <x:v>Le Havre</x:v>
      </x:c>
      <x:c r="E1337" s="77" t="d">
        <x:v>2026-08-12T00:00:00.000Z</x:v>
      </x:c>
      <x:c r="F1337" s="75" t="str">
        <x:v>summer</x:v>
      </x:c>
      <x:c r="G1337" s="75" t="str">
        <x:v>Defender — source label</x:v>
      </x:c>
      <x:c r="H1337" s="79"/>
      <x:c r="I1337" s="75" t="str">
        <x:v>GBP</x:v>
      </x:c>
      <x:c r="J1337" s="81"/>
      <x:c r="K1337" s="83"/>
      <x:c r="L1337" s="75" t="str">
        <x:v>Evidence needed</x:v>
      </x:c>
      <x:c r="M1337" s="75" t="str">
        <x:v>Buyer-specific role, production, availability, signing age and total fee evidence are needed before assigning a deal-value score. A zero base fee does not represent wages or signing costs.</x:v>
      </x:c>
      <x:c r="N1337" s="75" t="str">
        <x:v>Not assessed</x:v>
      </x:c>
      <x:c r="O1337" s="75" t="str">
        <x:v>Source broad position and transfer quote only; detailed role and buyer-specific production not validated.</x:v>
      </x:c>
      <x:c r="P1337" s="75" t="str">
        <x:v>https://www.theguardian.com/football/ng-interactive/2026/sep/01/mens-transfer-window-summer-2026-all-deals-from-europes-top-five-leagues</x:v>
      </x:c>
    </x:row>
    <x:row r="1338" ht="25" customHeight="1">
      <x:c r="A1338" s="69" t="str">
        <x:v>summer-S26-0903</x:v>
      </x:c>
      <x:c r="B1338" s="69" t="str">
        <x:v>Diego Rico</x:v>
      </x:c>
      <x:c r="C1338" s="69" t="str">
        <x:v>Osasuna</x:v>
      </x:c>
      <x:c r="D1338" s="69" t="str">
        <x:v>Getafe</x:v>
      </x:c>
      <x:c r="E1338" s="76" t="d">
        <x:v>2026-08-12T00:00:00.000Z</x:v>
      </x:c>
      <x:c r="F1338" s="69" t="str">
        <x:v>summer</x:v>
      </x:c>
      <x:c r="G1338" s="69" t="str">
        <x:v>Defender — source label</x:v>
      </x:c>
      <x:c r="H1338" s="78"/>
      <x:c r="I1338" s="69" t="str">
        <x:v>GBP</x:v>
      </x:c>
      <x:c r="J1338" s="80"/>
      <x:c r="K1338" s="82"/>
      <x:c r="L1338" s="69" t="str">
        <x:v>Evidence needed</x:v>
      </x:c>
      <x:c r="M1338" s="69" t="str">
        <x:v>Buyer-specific role, production, availability, signing age and total fee evidence are needed before assigning a deal-value score. A zero base fee does not represent wages or signing costs.</x:v>
      </x:c>
      <x:c r="N1338" s="69" t="str">
        <x:v>Not assessed</x:v>
      </x:c>
      <x:c r="O1338" s="69" t="str">
        <x:v>Source broad position and transfer quote only; detailed role and buyer-specific production not validated.</x:v>
      </x:c>
      <x:c r="P1338" s="69" t="str">
        <x:v>https://www.theguardian.com/football/ng-interactive/2026/sep/01/mens-transfer-window-summer-2026-all-deals-from-europes-top-five-leagues</x:v>
      </x:c>
    </x:row>
    <x:row r="1339" ht="25" customHeight="1">
      <x:c r="A1339" s="75" t="str">
        <x:v>summer-S26-0904</x:v>
      </x:c>
      <x:c r="B1339" s="75" t="str">
        <x:v>Gustavo Hamer</x:v>
      </x:c>
      <x:c r="C1339" s="75" t="str">
        <x:v>Coventry City</x:v>
      </x:c>
      <x:c r="D1339" s="75" t="str">
        <x:v>Sheffield United</x:v>
      </x:c>
      <x:c r="E1339" s="77" t="d">
        <x:v>2026-08-12T00:00:00.000Z</x:v>
      </x:c>
      <x:c r="F1339" s="75" t="str">
        <x:v>summer</x:v>
      </x:c>
      <x:c r="G1339" s="75" t="str">
        <x:v>Midfielder — source label</x:v>
      </x:c>
      <x:c r="H1339" s="79" t="n">
        <x:v>6000000</x:v>
      </x:c>
      <x:c r="I1339" s="75" t="str">
        <x:v>GBP</x:v>
      </x:c>
      <x:c r="J1339" s="81"/>
      <x:c r="K1339" s="83"/>
      <x:c r="L1339" s="75" t="str">
        <x:v>Evidence needed</x:v>
      </x:c>
      <x:c r="M1339" s="75" t="str">
        <x:v>Buyer-specific role, production, availability, signing age and total fee evidence are needed before assigning a deal-value score.</x:v>
      </x:c>
      <x:c r="N1339" s="75" t="str">
        <x:v>Not assessed</x:v>
      </x:c>
      <x:c r="O1339" s="75" t="str">
        <x:v>Source broad position and transfer quote only; detailed role and buyer-specific production not validated.</x:v>
      </x:c>
      <x:c r="P1339" s="75" t="str">
        <x:v>https://www.theguardian.com/football/ng-interactive/2026/sep/01/mens-transfer-window-summer-2026-all-deals-from-europes-top-five-leagues</x:v>
      </x:c>
    </x:row>
    <x:row r="1340" ht="25" customHeight="1">
      <x:c r="A1340" s="69" t="str">
        <x:v>summer-S26-0905</x:v>
      </x:c>
      <x:c r="B1340" s="69" t="str">
        <x:v>Nahuel Molina</x:v>
      </x:c>
      <x:c r="C1340" s="69" t="str">
        <x:v>Roma</x:v>
      </x:c>
      <x:c r="D1340" s="69" t="str">
        <x:v>Atlético Madrid</x:v>
      </x:c>
      <x:c r="E1340" s="76" t="d">
        <x:v>2026-08-12T00:00:00.000Z</x:v>
      </x:c>
      <x:c r="F1340" s="69" t="str">
        <x:v>summer</x:v>
      </x:c>
      <x:c r="G1340" s="69" t="str">
        <x:v>Defender — source label</x:v>
      </x:c>
      <x:c r="H1340" s="78" t="n">
        <x:v>11100000</x:v>
      </x:c>
      <x:c r="I1340" s="69" t="str">
        <x:v>GBP</x:v>
      </x:c>
      <x:c r="J1340" s="80"/>
      <x:c r="K1340" s="82"/>
      <x:c r="L1340" s="69" t="str">
        <x:v>Evidence needed</x:v>
      </x:c>
      <x:c r="M1340" s="69" t="str">
        <x:v>Buyer-specific role, production, availability, signing age and total fee evidence are needed before assigning a deal-value score.</x:v>
      </x:c>
      <x:c r="N1340" s="69" t="str">
        <x:v>Not assessed</x:v>
      </x:c>
      <x:c r="O1340" s="69" t="str">
        <x:v>Source broad position and transfer quote only; detailed role and buyer-specific production not validated.</x:v>
      </x:c>
      <x:c r="P1340" s="69" t="str">
        <x:v>https://www.theguardian.com/football/ng-interactive/2026/sep/01/mens-transfer-window-summer-2026-all-deals-from-europes-top-five-leagues</x:v>
      </x:c>
    </x:row>
    <x:row r="1341" ht="25" customHeight="1">
      <x:c r="A1341" s="75" t="str">
        <x:v>summer-S26-0906</x:v>
      </x:c>
      <x:c r="B1341" s="75" t="str">
        <x:v>Stefan Posch</x:v>
      </x:c>
      <x:c r="C1341" s="75" t="str">
        <x:v>Mainz 05</x:v>
      </x:c>
      <x:c r="D1341" s="75" t="str">
        <x:v>Como 1907</x:v>
      </x:c>
      <x:c r="E1341" s="77" t="d">
        <x:v>2026-08-12T00:00:00.000Z</x:v>
      </x:c>
      <x:c r="F1341" s="75" t="str">
        <x:v>summer</x:v>
      </x:c>
      <x:c r="G1341" s="75" t="str">
        <x:v>Defender — source label</x:v>
      </x:c>
      <x:c r="H1341" s="79" t="n">
        <x:v>3400000</x:v>
      </x:c>
      <x:c r="I1341" s="75" t="str">
        <x:v>GBP</x:v>
      </x:c>
      <x:c r="J1341" s="81"/>
      <x:c r="K1341" s="83"/>
      <x:c r="L1341" s="75" t="str">
        <x:v>Evidence needed</x:v>
      </x:c>
      <x:c r="M1341" s="75" t="str">
        <x:v>Buyer-specific role, production, availability, signing age and total fee evidence are needed before assigning a deal-value score.</x:v>
      </x:c>
      <x:c r="N1341" s="75" t="str">
        <x:v>Not assessed</x:v>
      </x:c>
      <x:c r="O1341" s="75" t="str">
        <x:v>Source broad position and transfer quote only; detailed role and buyer-specific production not validated.</x:v>
      </x:c>
      <x:c r="P1341" s="75" t="str">
        <x:v>https://www.theguardian.com/football/ng-interactive/2026/sep/01/mens-transfer-window-summer-2026-all-deals-from-europes-top-five-leagues</x:v>
      </x:c>
    </x:row>
    <x:row r="1342" ht="25" customHeight="1">
      <x:c r="A1342" s="69" t="str">
        <x:v>summer-S26-0907</x:v>
      </x:c>
      <x:c r="B1342" s="69" t="str">
        <x:v>Lucas Herrington</x:v>
      </x:c>
      <x:c r="C1342" s="69" t="str">
        <x:v>Hull City</x:v>
      </x:c>
      <x:c r="D1342" s="69" t="str">
        <x:v>Colorado Rapids</x:v>
      </x:c>
      <x:c r="E1342" s="76" t="d">
        <x:v>2026-08-12T00:00:00.000Z</x:v>
      </x:c>
      <x:c r="F1342" s="69" t="str">
        <x:v>summer</x:v>
      </x:c>
      <x:c r="G1342" s="69" t="str">
        <x:v>Defender — source label</x:v>
      </x:c>
      <x:c r="H1342" s="78" t="n">
        <x:v>17100000</x:v>
      </x:c>
      <x:c r="I1342" s="69" t="str">
        <x:v>GBP</x:v>
      </x:c>
      <x:c r="J1342" s="80"/>
      <x:c r="K1342" s="82"/>
      <x:c r="L1342" s="69" t="str">
        <x:v>Evidence needed</x:v>
      </x:c>
      <x:c r="M1342" s="69" t="str">
        <x:v>Buyer-specific role, production, availability, signing age and total fee evidence are needed before assigning a deal-value score.</x:v>
      </x:c>
      <x:c r="N1342" s="69" t="str">
        <x:v>Not assessed</x:v>
      </x:c>
      <x:c r="O1342" s="69" t="str">
        <x:v>Source broad position and transfer quote only; detailed role and buyer-specific production not validated.</x:v>
      </x:c>
      <x:c r="P1342" s="69" t="str">
        <x:v>https://www.theguardian.com/football/ng-interactive/2026/sep/01/mens-transfer-window-summer-2026-all-deals-from-europes-top-five-leagues</x:v>
      </x:c>
    </x:row>
    <x:row r="1343" ht="25" customHeight="1">
      <x:c r="A1343" s="75" t="str">
        <x:v>summer-S26-0909</x:v>
      </x:c>
      <x:c r="B1343" s="75" t="str">
        <x:v>Nobel Mendy</x:v>
      </x:c>
      <x:c r="C1343" s="75" t="str">
        <x:v>Hull City</x:v>
      </x:c>
      <x:c r="D1343" s="75" t="str">
        <x:v>Rayo Vallecano</x:v>
      </x:c>
      <x:c r="E1343" s="77" t="d">
        <x:v>2026-08-12T00:00:00.000Z</x:v>
      </x:c>
      <x:c r="F1343" s="75" t="str">
        <x:v>summer</x:v>
      </x:c>
      <x:c r="G1343" s="75" t="str">
        <x:v>Defender — source label</x:v>
      </x:c>
      <x:c r="H1343" s="79" t="n">
        <x:v>20000000</x:v>
      </x:c>
      <x:c r="I1343" s="75" t="str">
        <x:v>GBP</x:v>
      </x:c>
      <x:c r="J1343" s="81"/>
      <x:c r="K1343" s="83"/>
      <x:c r="L1343" s="75" t="str">
        <x:v>Evidence needed</x:v>
      </x:c>
      <x:c r="M1343" s="75" t="str">
        <x:v>Buyer-specific role, production, availability, signing age and total fee evidence are needed before assigning a deal-value score.</x:v>
      </x:c>
      <x:c r="N1343" s="75" t="str">
        <x:v>Not assessed</x:v>
      </x:c>
      <x:c r="O1343" s="75" t="str">
        <x:v>Source broad position and transfer quote only; detailed role and buyer-specific production not validated.</x:v>
      </x:c>
      <x:c r="P1343" s="75" t="str">
        <x:v>https://www.theguardian.com/football/ng-interactive/2026/sep/01/mens-transfer-window-summer-2026-all-deals-from-europes-top-five-leagues</x:v>
      </x:c>
    </x:row>
    <x:row r="1344" ht="25" customHeight="1">
      <x:c r="A1344" s="69" t="str">
        <x:v>summer-S26-0911</x:v>
      </x:c>
      <x:c r="B1344" s="69" t="str">
        <x:v>Anthony Patterson</x:v>
      </x:c>
      <x:c r="C1344" s="69" t="str">
        <x:v>Wrexham</x:v>
      </x:c>
      <x:c r="D1344" s="69" t="str">
        <x:v>Sunderland</x:v>
      </x:c>
      <x:c r="E1344" s="76" t="d">
        <x:v>2026-08-11T00:00:00.000Z</x:v>
      </x:c>
      <x:c r="F1344" s="69" t="str">
        <x:v>summer</x:v>
      </x:c>
      <x:c r="G1344" s="69" t="str">
        <x:v>Goalkeeper — source label</x:v>
      </x:c>
      <x:c r="H1344" s="78" t="n">
        <x:v>8000000</x:v>
      </x:c>
      <x:c r="I1344" s="69" t="str">
        <x:v>GBP</x:v>
      </x:c>
      <x:c r="J1344" s="80"/>
      <x:c r="K1344" s="82"/>
      <x:c r="L1344" s="69" t="str">
        <x:v>Evidence needed</x:v>
      </x:c>
      <x:c r="M1344" s="69" t="str">
        <x:v>Buyer-specific shot-stopping, distribution, aerial command, sweeping, signing age and total fee evidence are needed before scoring.</x:v>
      </x:c>
      <x:c r="N1344" s="69" t="str">
        <x:v>Not assessed</x:v>
      </x:c>
      <x:c r="O1344" s="69" t="str">
        <x:v>Source broad position and transfer quote only; detailed role and buyer-specific production not validated.</x:v>
      </x:c>
      <x:c r="P1344" s="69" t="str">
        <x:v>https://www.theguardian.com/football/ng-interactive/2026/sep/01/mens-transfer-window-summer-2026-all-deals-from-europes-top-five-leagues</x:v>
      </x:c>
    </x:row>
    <x:row r="1345" ht="25" customHeight="1">
      <x:c r="A1345" s="75" t="str">
        <x:v>summer-S26-0912</x:v>
      </x:c>
      <x:c r="B1345" s="75" t="str">
        <x:v>Leo Hjelde</x:v>
      </x:c>
      <x:c r="C1345" s="75" t="str">
        <x:v>Mechelen</x:v>
      </x:c>
      <x:c r="D1345" s="75" t="str">
        <x:v>Sunderland</x:v>
      </x:c>
      <x:c r="E1345" s="77" t="d">
        <x:v>2026-08-11T00:00:00.000Z</x:v>
      </x:c>
      <x:c r="F1345" s="75" t="str">
        <x:v>summer</x:v>
      </x:c>
      <x:c r="G1345" s="75" t="str">
        <x:v>Defender — source label</x:v>
      </x:c>
      <x:c r="H1345" s="79"/>
      <x:c r="I1345" s="75" t="str">
        <x:v>GBP</x:v>
      </x:c>
      <x:c r="J1345" s="81"/>
      <x:c r="K1345" s="83"/>
      <x:c r="L1345" s="75" t="str">
        <x:v>Evidence needed</x:v>
      </x:c>
      <x:c r="M1345" s="75" t="str">
        <x:v>Buyer-specific role, production, availability, signing age and total fee evidence are needed before assigning a deal-value score.</x:v>
      </x:c>
      <x:c r="N1345" s="75" t="str">
        <x:v>Not assessed</x:v>
      </x:c>
      <x:c r="O1345" s="75" t="str">
        <x:v>Source broad position and transfer quote only; detailed role and buyer-specific production not validated.</x:v>
      </x:c>
      <x:c r="P1345" s="75" t="str">
        <x:v>https://www.theguardian.com/football/ng-interactive/2026/sep/01/mens-transfer-window-summer-2026-all-deals-from-europes-top-five-leagues</x:v>
      </x:c>
    </x:row>
    <x:row r="1346" ht="25" customHeight="1">
      <x:c r="A1346" s="69" t="str">
        <x:v>summer-S26-0914</x:v>
      </x:c>
      <x:c r="B1346" s="69" t="str">
        <x:v>Kauã Prates</x:v>
      </x:c>
      <x:c r="C1346" s="69" t="str">
        <x:v>Borussia Dortmund</x:v>
      </x:c>
      <x:c r="D1346" s="69" t="str">
        <x:v>Cruzeiro</x:v>
      </x:c>
      <x:c r="E1346" s="76" t="d">
        <x:v>2026-08-12T00:00:00.000Z</x:v>
      </x:c>
      <x:c r="F1346" s="69" t="str">
        <x:v>summer</x:v>
      </x:c>
      <x:c r="G1346" s="69" t="str">
        <x:v>Defender — source label</x:v>
      </x:c>
      <x:c r="H1346" s="78" t="n">
        <x:v>6000000</x:v>
      </x:c>
      <x:c r="I1346" s="69" t="str">
        <x:v>GBP</x:v>
      </x:c>
      <x:c r="J1346" s="80"/>
      <x:c r="K1346" s="82"/>
      <x:c r="L1346" s="69" t="str">
        <x:v>Evidence needed</x:v>
      </x:c>
      <x:c r="M1346" s="69" t="str">
        <x:v>Buyer-specific role, production, availability, signing age and total fee evidence are needed before assigning a deal-value score.</x:v>
      </x:c>
      <x:c r="N1346" s="69" t="str">
        <x:v>Not assessed</x:v>
      </x:c>
      <x:c r="O1346" s="69" t="str">
        <x:v>Source broad position and transfer quote only; detailed role and buyer-specific production not validated.</x:v>
      </x:c>
      <x:c r="P1346" s="69" t="str">
        <x:v>https://www.theguardian.com/football/ng-interactive/2026/sep/01/mens-transfer-window-summer-2026-all-deals-from-europes-top-five-leagues</x:v>
      </x:c>
    </x:row>
    <x:row r="1347" ht="25" customHeight="1">
      <x:c r="A1347" s="75" t="str">
        <x:v>summer-S26-0918</x:v>
      </x:c>
      <x:c r="B1347" s="75" t="str">
        <x:v>Justin Kumi</x:v>
      </x:c>
      <x:c r="C1347" s="75" t="str">
        <x:v>Juve Stabia</x:v>
      </x:c>
      <x:c r="D1347" s="75" t="str">
        <x:v>Sassuolo</x:v>
      </x:c>
      <x:c r="E1347" s="77" t="d">
        <x:v>2026-08-11T00:00:00.000Z</x:v>
      </x:c>
      <x:c r="F1347" s="75" t="str">
        <x:v>summer</x:v>
      </x:c>
      <x:c r="G1347" s="75" t="str">
        <x:v>Midfielder — source label</x:v>
      </x:c>
      <x:c r="H1347" s="79"/>
      <x:c r="I1347" s="75" t="str">
        <x:v>GBP</x:v>
      </x:c>
      <x:c r="J1347" s="81"/>
      <x:c r="K1347" s="83"/>
      <x:c r="L1347" s="75" t="str">
        <x:v>Evidence needed</x:v>
      </x:c>
      <x:c r="M1347" s="75" t="str">
        <x:v>Buyer-specific role, production, availability, signing age and total fee evidence are needed before assigning a deal-value score. Loan/swap costs must be treated separately.</x:v>
      </x:c>
      <x:c r="N1347" s="75" t="str">
        <x:v>Not assessed</x:v>
      </x:c>
      <x:c r="O1347" s="75" t="str">
        <x:v>Source broad position and transfer quote only; detailed role and buyer-specific production not validated.</x:v>
      </x:c>
      <x:c r="P1347" s="75" t="str">
        <x:v>https://www.theguardian.com/football/ng-interactive/2026/sep/01/mens-transfer-window-summer-2026-all-deals-from-europes-top-five-leagues</x:v>
      </x:c>
    </x:row>
    <x:row r="1348" ht="25" customHeight="1">
      <x:c r="A1348" s="69" t="str">
        <x:v>summer-S26-0921</x:v>
      </x:c>
      <x:c r="B1348" s="69" t="str">
        <x:v>Dennis Cirkin</x:v>
      </x:c>
      <x:c r="C1348" s="69" t="str">
        <x:v>QPR</x:v>
      </x:c>
      <x:c r="D1348" s="69" t="str">
        <x:v>Sunderland</x:v>
      </x:c>
      <x:c r="E1348" s="76" t="d">
        <x:v>2026-08-12T00:00:00.000Z</x:v>
      </x:c>
      <x:c r="F1348" s="69" t="str">
        <x:v>summer</x:v>
      </x:c>
      <x:c r="G1348" s="69" t="str">
        <x:v>Defender — source label</x:v>
      </x:c>
      <x:c r="H1348" s="78"/>
      <x:c r="I1348" s="69" t="str">
        <x:v>GBP</x:v>
      </x:c>
      <x:c r="J1348" s="80"/>
      <x:c r="K1348" s="82"/>
      <x:c r="L1348" s="69" t="str">
        <x:v>Evidence needed</x:v>
      </x:c>
      <x:c r="M1348" s="69" t="str">
        <x:v>Buyer-specific role, production, availability, signing age and total fee evidence are needed before assigning a deal-value score. A zero base fee does not represent wages or signing costs.</x:v>
      </x:c>
      <x:c r="N1348" s="69" t="str">
        <x:v>Not assessed</x:v>
      </x:c>
      <x:c r="O1348" s="69" t="str">
        <x:v>Source broad position and transfer quote only; detailed role and buyer-specific production not validated.</x:v>
      </x:c>
      <x:c r="P1348" s="69" t="str">
        <x:v>https://www.theguardian.com/football/ng-interactive/2026/sep/01/mens-transfer-window-summer-2026-all-deals-from-europes-top-five-leagues</x:v>
      </x:c>
    </x:row>
    <x:row r="1349" ht="25" customHeight="1">
      <x:c r="A1349" s="75" t="str">
        <x:v>summer-S26-0923</x:v>
      </x:c>
      <x:c r="B1349" s="75" t="str">
        <x:v>Romano Schmid</x:v>
      </x:c>
      <x:c r="C1349" s="75" t="str">
        <x:v>Frosinone</x:v>
      </x:c>
      <x:c r="D1349" s="75" t="str">
        <x:v>Werder Bremen</x:v>
      </x:c>
      <x:c r="E1349" s="77" t="d">
        <x:v>2026-08-12T00:00:00.000Z</x:v>
      </x:c>
      <x:c r="F1349" s="75" t="str">
        <x:v>summer</x:v>
      </x:c>
      <x:c r="G1349" s="75" t="str">
        <x:v>Midfielder — source label</x:v>
      </x:c>
      <x:c r="H1349" s="79" t="n">
        <x:v>7300000</x:v>
      </x:c>
      <x:c r="I1349" s="75" t="str">
        <x:v>GBP</x:v>
      </x:c>
      <x:c r="J1349" s="81"/>
      <x:c r="K1349" s="83"/>
      <x:c r="L1349" s="75" t="str">
        <x:v>Evidence needed</x:v>
      </x:c>
      <x:c r="M1349" s="75" t="str">
        <x:v>Buyer-specific role, production, availability, signing age and total fee evidence are needed before assigning a deal-value score.</x:v>
      </x:c>
      <x:c r="N1349" s="75" t="str">
        <x:v>Not assessed</x:v>
      </x:c>
      <x:c r="O1349" s="75" t="str">
        <x:v>Source broad position and transfer quote only; detailed role and buyer-specific production not validated.</x:v>
      </x:c>
      <x:c r="P1349" s="75" t="str">
        <x:v>https://www.theguardian.com/football/ng-interactive/2026/sep/01/mens-transfer-window-summer-2026-all-deals-from-europes-top-five-leagues</x:v>
      </x:c>
    </x:row>
    <x:row r="1350" ht="25" customHeight="1">
      <x:c r="A1350" s="69" t="str">
        <x:v>summer-S26-0926</x:v>
      </x:c>
      <x:c r="B1350" s="69" t="str">
        <x:v>Othniël Raterink</x:v>
      </x:c>
      <x:c r="C1350" s="69" t="str">
        <x:v>ADO Den Haag</x:v>
      </x:c>
      <x:c r="D1350" s="69" t="str">
        <x:v>Cagliari</x:v>
      </x:c>
      <x:c r="E1350" s="76" t="d">
        <x:v>2026-08-12T00:00:00.000Z</x:v>
      </x:c>
      <x:c r="F1350" s="69" t="str">
        <x:v>summer</x:v>
      </x:c>
      <x:c r="G1350" s="69" t="str">
        <x:v>Defender — source label</x:v>
      </x:c>
      <x:c r="H1350" s="78"/>
      <x:c r="I1350" s="69" t="str">
        <x:v>GBP</x:v>
      </x:c>
      <x:c r="J1350" s="80"/>
      <x:c r="K1350" s="82"/>
      <x:c r="L1350" s="69" t="str">
        <x:v>Evidence needed</x:v>
      </x:c>
      <x:c r="M1350" s="69" t="str">
        <x:v>Buyer-specific role, production, availability, signing age and total fee evidence are needed before assigning a deal-value score. Loan/swap costs must be treated separately.</x:v>
      </x:c>
      <x:c r="N1350" s="69" t="str">
        <x:v>Not assessed</x:v>
      </x:c>
      <x:c r="O1350" s="69" t="str">
        <x:v>Source broad position and transfer quote only; detailed role and buyer-specific production not validated.</x:v>
      </x:c>
      <x:c r="P1350" s="69" t="str">
        <x:v>https://www.theguardian.com/football/ng-interactive/2026/sep/01/mens-transfer-window-summer-2026-all-deals-from-europes-top-five-leagues</x:v>
      </x:c>
    </x:row>
    <x:row r="1351" ht="25" customHeight="1">
      <x:c r="A1351" s="75" t="str">
        <x:v>summer-S26-0930</x:v>
      </x:c>
      <x:c r="B1351" s="75" t="str">
        <x:v>Marco Romano</x:v>
      </x:c>
      <x:c r="C1351" s="75" t="str">
        <x:v>Novara</x:v>
      </x:c>
      <x:c r="D1351" s="75" t="str">
        <x:v>Genoa</x:v>
      </x:c>
      <x:c r="E1351" s="77" t="d">
        <x:v>2026-08-12T00:00:00.000Z</x:v>
      </x:c>
      <x:c r="F1351" s="75" t="str">
        <x:v>summer</x:v>
      </x:c>
      <x:c r="G1351" s="75" t="str">
        <x:v>Midfielder — source label</x:v>
      </x:c>
      <x:c r="H1351" s="79"/>
      <x:c r="I1351" s="75" t="str">
        <x:v>GBP</x:v>
      </x:c>
      <x:c r="J1351" s="81"/>
      <x:c r="K1351" s="83"/>
      <x:c r="L1351" s="75" t="str">
        <x:v>Evidence needed</x:v>
      </x:c>
      <x:c r="M1351" s="75" t="str">
        <x:v>Buyer-specific role, production, availability, signing age and total fee evidence are needed before assigning a deal-value score. Loan/swap costs must be treated separately.</x:v>
      </x:c>
      <x:c r="N1351" s="75" t="str">
        <x:v>Not assessed</x:v>
      </x:c>
      <x:c r="O1351" s="75" t="str">
        <x:v>Source broad position and transfer quote only; detailed role and buyer-specific production not validated.</x:v>
      </x:c>
      <x:c r="P1351" s="75" t="str">
        <x:v>https://www.theguardian.com/football/ng-interactive/2026/sep/01/mens-transfer-window-summer-2026-all-deals-from-europes-top-five-leagues</x:v>
      </x:c>
    </x:row>
    <x:row r="1352" ht="25" customHeight="1">
      <x:c r="A1352" s="69" t="str">
        <x:v>summer-S26-0932</x:v>
      </x:c>
      <x:c r="B1352" s="69" t="str">
        <x:v>Mika Baur</x:v>
      </x:c>
      <x:c r="C1352" s="69" t="str">
        <x:v>Celtic</x:v>
      </x:c>
      <x:c r="D1352" s="69" t="str">
        <x:v>Paderborn</x:v>
      </x:c>
      <x:c r="E1352" s="76" t="d">
        <x:v>2026-08-13T00:00:00.000Z</x:v>
      </x:c>
      <x:c r="F1352" s="69" t="str">
        <x:v>summer</x:v>
      </x:c>
      <x:c r="G1352" s="69" t="str">
        <x:v>Midfielder — source label</x:v>
      </x:c>
      <x:c r="H1352" s="78" t="n">
        <x:v>6800000</x:v>
      </x:c>
      <x:c r="I1352" s="69" t="str">
        <x:v>GBP</x:v>
      </x:c>
      <x:c r="J1352" s="80"/>
      <x:c r="K1352" s="82"/>
      <x:c r="L1352" s="69" t="str">
        <x:v>Evidence needed</x:v>
      </x:c>
      <x:c r="M1352" s="69" t="str">
        <x:v>Buyer-specific role, production, availability, signing age and total fee evidence are needed before assigning a deal-value score.</x:v>
      </x:c>
      <x:c r="N1352" s="69" t="str">
        <x:v>Not assessed</x:v>
      </x:c>
      <x:c r="O1352" s="69" t="str">
        <x:v>Source broad position and transfer quote only; detailed role and buyer-specific production not validated.</x:v>
      </x:c>
      <x:c r="P1352" s="69" t="str">
        <x:v>https://www.theguardian.com/football/ng-interactive/2026/sep/01/mens-transfer-window-summer-2026-all-deals-from-europes-top-five-leagues</x:v>
      </x:c>
    </x:row>
    <x:row r="1353" ht="25" customHeight="1">
      <x:c r="A1353" s="75" t="str">
        <x:v>summer-S26-0936</x:v>
      </x:c>
      <x:c r="B1353" s="75" t="str">
        <x:v>Thomas Kristensen</x:v>
      </x:c>
      <x:c r="C1353" s="75" t="str">
        <x:v>Atalanta</x:v>
      </x:c>
      <x:c r="D1353" s="75" t="str">
        <x:v>Udinese</x:v>
      </x:c>
      <x:c r="E1353" s="77" t="d">
        <x:v>2026-08-13T00:00:00.000Z</x:v>
      </x:c>
      <x:c r="F1353" s="75" t="str">
        <x:v>summer</x:v>
      </x:c>
      <x:c r="G1353" s="75" t="str">
        <x:v>Defender — source label</x:v>
      </x:c>
      <x:c r="H1353" s="79"/>
      <x:c r="I1353" s="75" t="str">
        <x:v>GBP</x:v>
      </x:c>
      <x:c r="J1353" s="81"/>
      <x:c r="K1353" s="83"/>
      <x:c r="L1353" s="75" t="str">
        <x:v>Evidence needed</x:v>
      </x:c>
      <x:c r="M1353" s="75" t="str">
        <x:v>Buyer-specific role, production, availability, signing age and total fee evidence are needed before assigning a deal-value score. Loan/swap costs must be treated separately.</x:v>
      </x:c>
      <x:c r="N1353" s="75" t="str">
        <x:v>Not assessed</x:v>
      </x:c>
      <x:c r="O1353" s="75" t="str">
        <x:v>Source broad position and transfer quote only; detailed role and buyer-specific production not validated.</x:v>
      </x:c>
      <x:c r="P1353" s="75" t="str">
        <x:v>https://www.theguardian.com/football/ng-interactive/2026/sep/01/mens-transfer-window-summer-2026-all-deals-from-europes-top-five-leagues</x:v>
      </x:c>
    </x:row>
    <x:row r="1354" ht="25" customHeight="1">
      <x:c r="A1354" s="69" t="str">
        <x:v>summer-S26-0938</x:v>
      </x:c>
      <x:c r="B1354" s="69" t="str">
        <x:v>Johan Mojica</x:v>
      </x:c>
      <x:c r="C1354" s="69" t="str">
        <x:v>Getafe</x:v>
      </x:c>
      <x:c r="D1354" s="69" t="str">
        <x:v>Mallorca</x:v>
      </x:c>
      <x:c r="E1354" s="76" t="d">
        <x:v>2026-08-13T00:00:00.000Z</x:v>
      </x:c>
      <x:c r="F1354" s="69" t="str">
        <x:v>summer</x:v>
      </x:c>
      <x:c r="G1354" s="69" t="str">
        <x:v>Defender — source label</x:v>
      </x:c>
      <x:c r="H1354" s="78" t="n">
        <x:v>400000</x:v>
      </x:c>
      <x:c r="I1354" s="69" t="str">
        <x:v>GBP</x:v>
      </x:c>
      <x:c r="J1354" s="80"/>
      <x:c r="K1354" s="82"/>
      <x:c r="L1354" s="69" t="str">
        <x:v>Evidence needed</x:v>
      </x:c>
      <x:c r="M1354" s="69" t="str">
        <x:v>Buyer-specific role, production, availability, signing age and total fee evidence are needed before assigning a deal-value score.</x:v>
      </x:c>
      <x:c r="N1354" s="69" t="str">
        <x:v>Not assessed</x:v>
      </x:c>
      <x:c r="O1354" s="69" t="str">
        <x:v>Source broad position and transfer quote only; detailed role and buyer-specific production not validated.</x:v>
      </x:c>
      <x:c r="P1354" s="69" t="str">
        <x:v>https://www.theguardian.com/football/ng-interactive/2026/sep/01/mens-transfer-window-summer-2026-all-deals-from-europes-top-five-leagues</x:v>
      </x:c>
    </x:row>
    <x:row r="1355" ht="25" customHeight="1">
      <x:c r="A1355" s="75" t="str">
        <x:v>summer-S26-0940</x:v>
      </x:c>
      <x:c r="B1355" s="75" t="str">
        <x:v>Egil Selvik</x:v>
      </x:c>
      <x:c r="C1355" s="75" t="str">
        <x:v>Brest</x:v>
      </x:c>
      <x:c r="D1355" s="75" t="str">
        <x:v>Watford</x:v>
      </x:c>
      <x:c r="E1355" s="77" t="d">
        <x:v>2026-08-13T00:00:00.000Z</x:v>
      </x:c>
      <x:c r="F1355" s="75" t="str">
        <x:v>summer</x:v>
      </x:c>
      <x:c r="G1355" s="75" t="str">
        <x:v>Goalkeeper — source label</x:v>
      </x:c>
      <x:c r="H1355" s="79"/>
      <x:c r="I1355" s="75" t="str">
        <x:v>GBP</x:v>
      </x:c>
      <x:c r="J1355" s="81"/>
      <x:c r="K1355" s="83"/>
      <x:c r="L1355" s="75" t="str">
        <x:v>Evidence needed</x:v>
      </x:c>
      <x:c r="M1355" s="75" t="str">
        <x:v>Buyer-specific shot-stopping, distribution, aerial command, sweeping, signing age and total fee evidence are needed before scoring. Loan/swap costs must be treated separately.</x:v>
      </x:c>
      <x:c r="N1355" s="75" t="str">
        <x:v>Not assessed</x:v>
      </x:c>
      <x:c r="O1355" s="75" t="str">
        <x:v>Source broad position and transfer quote only; detailed role and buyer-specific production not validated.</x:v>
      </x:c>
      <x:c r="P1355" s="75" t="str">
        <x:v>https://www.theguardian.com/football/ng-interactive/2026/sep/01/mens-transfer-window-summer-2026-all-deals-from-europes-top-five-leagues</x:v>
      </x:c>
    </x:row>
    <x:row r="1356" ht="25" customHeight="1">
      <x:c r="A1356" s="69" t="str">
        <x:v>summer-S26-0941</x:v>
      </x:c>
      <x:c r="B1356" s="69" t="str">
        <x:v>Matías Pérez</x:v>
      </x:c>
      <x:c r="C1356" s="69" t="str">
        <x:v>La Serena</x:v>
      </x:c>
      <x:c r="D1356" s="69" t="str">
        <x:v>Lecce</x:v>
      </x:c>
      <x:c r="E1356" s="76" t="d">
        <x:v>2026-08-13T00:00:00.000Z</x:v>
      </x:c>
      <x:c r="F1356" s="69" t="str">
        <x:v>summer</x:v>
      </x:c>
      <x:c r="G1356" s="69" t="str">
        <x:v>Defender — source label</x:v>
      </x:c>
      <x:c r="H1356" s="78"/>
      <x:c r="I1356" s="69" t="str">
        <x:v>GBP</x:v>
      </x:c>
      <x:c r="J1356" s="80"/>
      <x:c r="K1356" s="82"/>
      <x:c r="L1356" s="69" t="str">
        <x:v>Evidence needed</x:v>
      </x:c>
      <x:c r="M1356" s="69" t="str">
        <x:v>Buyer-specific role, production, availability, signing age and total fee evidence are needed before assigning a deal-value score. Loan/swap costs must be treated separately.</x:v>
      </x:c>
      <x:c r="N1356" s="69" t="str">
        <x:v>Not assessed</x:v>
      </x:c>
      <x:c r="O1356" s="69" t="str">
        <x:v>Source broad position and transfer quote only; detailed role and buyer-specific production not validated.</x:v>
      </x:c>
      <x:c r="P1356" s="69" t="str">
        <x:v>https://www.theguardian.com/football/ng-interactive/2026/sep/01/mens-transfer-window-summer-2026-all-deals-from-europes-top-five-leagues</x:v>
      </x:c>
    </x:row>
    <x:row r="1357" ht="25" customHeight="1">
      <x:c r="A1357" s="75" t="str">
        <x:v>summer-S26-0944</x:v>
      </x:c>
      <x:c r="B1357" s="75" t="str">
        <x:v>Harry Howell</x:v>
      </x:c>
      <x:c r="C1357" s="75" t="str">
        <x:v>Leicester City</x:v>
      </x:c>
      <x:c r="D1357" s="75" t="str">
        <x:v>Brighton</x:v>
      </x:c>
      <x:c r="E1357" s="77" t="d">
        <x:v>2026-08-13T00:00:00.000Z</x:v>
      </x:c>
      <x:c r="F1357" s="75" t="str">
        <x:v>summer</x:v>
      </x:c>
      <x:c r="G1357" s="75" t="str">
        <x:v>Midfielder — source label</x:v>
      </x:c>
      <x:c r="H1357" s="79"/>
      <x:c r="I1357" s="75" t="str">
        <x:v>GBP</x:v>
      </x:c>
      <x:c r="J1357" s="81"/>
      <x:c r="K1357" s="83"/>
      <x:c r="L1357" s="75" t="str">
        <x:v>Evidence needed</x:v>
      </x:c>
      <x:c r="M1357" s="75" t="str">
        <x:v>Buyer-specific role, production, availability, signing age and total fee evidence are needed before assigning a deal-value score. Loan/swap costs must be treated separately.</x:v>
      </x:c>
      <x:c r="N1357" s="75" t="str">
        <x:v>Not assessed</x:v>
      </x:c>
      <x:c r="O1357" s="75" t="str">
        <x:v>Source broad position and transfer quote only; detailed role and buyer-specific production not validated.</x:v>
      </x:c>
      <x:c r="P1357" s="75" t="str">
        <x:v>https://www.theguardian.com/football/ng-interactive/2026/sep/01/mens-transfer-window-summer-2026-all-deals-from-europes-top-five-leagues</x:v>
      </x:c>
    </x:row>
    <x:row r="1358" ht="25" customHeight="1">
      <x:c r="A1358" s="69" t="str">
        <x:v>summer-S26-0947</x:v>
      </x:c>
      <x:c r="B1358" s="69" t="str">
        <x:v>Aleksa Terzic</x:v>
      </x:c>
      <x:c r="C1358" s="69" t="str">
        <x:v>Frosinone</x:v>
      </x:c>
      <x:c r="D1358" s="69" t="str">
        <x:v>Red Bull Salzburg</x:v>
      </x:c>
      <x:c r="E1358" s="76" t="d">
        <x:v>2026-08-14T00:00:00.000Z</x:v>
      </x:c>
      <x:c r="F1358" s="69" t="str">
        <x:v>summer</x:v>
      </x:c>
      <x:c r="G1358" s="69" t="str">
        <x:v>Defender — source label</x:v>
      </x:c>
      <x:c r="H1358" s="78" t="n">
        <x:v>2100000</x:v>
      </x:c>
      <x:c r="I1358" s="69" t="str">
        <x:v>GBP</x:v>
      </x:c>
      <x:c r="J1358" s="80"/>
      <x:c r="K1358" s="82"/>
      <x:c r="L1358" s="69" t="str">
        <x:v>Evidence needed</x:v>
      </x:c>
      <x:c r="M1358" s="69" t="str">
        <x:v>Buyer-specific role, production, availability, signing age and total fee evidence are needed before assigning a deal-value score.</x:v>
      </x:c>
      <x:c r="N1358" s="69" t="str">
        <x:v>Not assessed</x:v>
      </x:c>
      <x:c r="O1358" s="69" t="str">
        <x:v>Source broad position and transfer quote only; detailed role and buyer-specific production not validated.</x:v>
      </x:c>
      <x:c r="P1358" s="69" t="str">
        <x:v>https://www.theguardian.com/football/ng-interactive/2026/sep/01/mens-transfer-window-summer-2026-all-deals-from-europes-top-five-leagues</x:v>
      </x:c>
    </x:row>
    <x:row r="1359" ht="25" customHeight="1">
      <x:c r="A1359" s="75" t="str">
        <x:v>summer-S26-0948</x:v>
      </x:c>
      <x:c r="B1359" s="75" t="str">
        <x:v>Almugera Kabar</x:v>
      </x:c>
      <x:c r="C1359" s="75" t="str">
        <x:v>NEC Nijmegen</x:v>
      </x:c>
      <x:c r="D1359" s="75" t="str">
        <x:v>Borussia Dortmund</x:v>
      </x:c>
      <x:c r="E1359" s="77" t="d">
        <x:v>2026-08-14T00:00:00.000Z</x:v>
      </x:c>
      <x:c r="F1359" s="75" t="str">
        <x:v>summer</x:v>
      </x:c>
      <x:c r="G1359" s="75" t="str">
        <x:v>Defender — source label</x:v>
      </x:c>
      <x:c r="H1359" s="79"/>
      <x:c r="I1359" s="75" t="str">
        <x:v>GBP</x:v>
      </x:c>
      <x:c r="J1359" s="81"/>
      <x:c r="K1359" s="83"/>
      <x:c r="L1359" s="75" t="str">
        <x:v>Evidence needed</x:v>
      </x:c>
      <x:c r="M1359" s="75" t="str">
        <x:v>Buyer-specific role, production, availability, signing age and total fee evidence are needed before assigning a deal-value score. Loan/swap costs must be treated separately.</x:v>
      </x:c>
      <x:c r="N1359" s="75" t="str">
        <x:v>Not assessed</x:v>
      </x:c>
      <x:c r="O1359" s="75" t="str">
        <x:v>Source broad position and transfer quote only; detailed role and buyer-specific production not validated.</x:v>
      </x:c>
      <x:c r="P1359" s="75" t="str">
        <x:v>https://www.theguardian.com/football/ng-interactive/2026/sep/01/mens-transfer-window-summer-2026-all-deals-from-europes-top-five-leagues</x:v>
      </x:c>
    </x:row>
    <x:row r="1360" ht="25" customHeight="1">
      <x:c r="A1360" s="69" t="str">
        <x:v>summer-S26-0949</x:v>
      </x:c>
      <x:c r="B1360" s="69" t="str">
        <x:v>Andréa Le Borgne</x:v>
      </x:c>
      <x:c r="C1360" s="69" t="str">
        <x:v>Verona</x:v>
      </x:c>
      <x:c r="D1360" s="69" t="str">
        <x:v>Como 1907</x:v>
      </x:c>
      <x:c r="E1360" s="76" t="d">
        <x:v>2026-08-14T00:00:00.000Z</x:v>
      </x:c>
      <x:c r="F1360" s="69" t="str">
        <x:v>summer</x:v>
      </x:c>
      <x:c r="G1360" s="69" t="str">
        <x:v>Midfielder — source label</x:v>
      </x:c>
      <x:c r="H1360" s="78"/>
      <x:c r="I1360" s="69" t="str">
        <x:v>GBP</x:v>
      </x:c>
      <x:c r="J1360" s="80"/>
      <x:c r="K1360" s="82"/>
      <x:c r="L1360" s="69" t="str">
        <x:v>Evidence needed</x:v>
      </x:c>
      <x:c r="M1360" s="69" t="str">
        <x:v>Buyer-specific role, production, availability, signing age and total fee evidence are needed before assigning a deal-value score. Loan/swap costs must be treated separately.</x:v>
      </x:c>
      <x:c r="N1360" s="69" t="str">
        <x:v>Not assessed</x:v>
      </x:c>
      <x:c r="O1360" s="69" t="str">
        <x:v>Source broad position and transfer quote only; detailed role and buyer-specific production not validated.</x:v>
      </x:c>
      <x:c r="P1360" s="69" t="str">
        <x:v>https://www.theguardian.com/football/ng-interactive/2026/sep/01/mens-transfer-window-summer-2026-all-deals-from-europes-top-five-leagues</x:v>
      </x:c>
    </x:row>
    <x:row r="1361" ht="25" customHeight="1">
      <x:c r="A1361" s="75" t="str">
        <x:v>summer-S26-0954</x:v>
      </x:c>
      <x:c r="B1361" s="75" t="str">
        <x:v>Giorgio Altare</x:v>
      </x:c>
      <x:c r="C1361" s="75" t="str">
        <x:v>Pescara</x:v>
      </x:c>
      <x:c r="D1361" s="75" t="str">
        <x:v>Venezia</x:v>
      </x:c>
      <x:c r="E1361" s="77" t="d">
        <x:v>2026-08-14T00:00:00.000Z</x:v>
      </x:c>
      <x:c r="F1361" s="75" t="str">
        <x:v>summer</x:v>
      </x:c>
      <x:c r="G1361" s="75" t="str">
        <x:v>Defender — source label</x:v>
      </x:c>
      <x:c r="H1361" s="79"/>
      <x:c r="I1361" s="75" t="str">
        <x:v>GBP</x:v>
      </x:c>
      <x:c r="J1361" s="81"/>
      <x:c r="K1361" s="83"/>
      <x:c r="L1361" s="75" t="str">
        <x:v>Evidence needed</x:v>
      </x:c>
      <x:c r="M1361" s="75" t="str">
        <x:v>Buyer-specific role, production, availability, signing age and total fee evidence are needed before assigning a deal-value score.</x:v>
      </x:c>
      <x:c r="N1361" s="75" t="str">
        <x:v>Not assessed</x:v>
      </x:c>
      <x:c r="O1361" s="75" t="str">
        <x:v>Source broad position and transfer quote only; detailed role and buyer-specific production not validated.</x:v>
      </x:c>
      <x:c r="P1361" s="75" t="str">
        <x:v>https://www.theguardian.com/football/ng-interactive/2026/sep/01/mens-transfer-window-summer-2026-all-deals-from-europes-top-five-leagues</x:v>
      </x:c>
    </x:row>
    <x:row r="1362" ht="25" customHeight="1">
      <x:c r="A1362" s="69" t="str">
        <x:v>summer-S26-0958</x:v>
      </x:c>
      <x:c r="B1362" s="69" t="str">
        <x:v>Lakyle Samuel</x:v>
      </x:c>
      <x:c r="C1362" s="69" t="str">
        <x:v>Exeter City</x:v>
      </x:c>
      <x:c r="D1362" s="69" t="str">
        <x:v>Manchester City</x:v>
      </x:c>
      <x:c r="E1362" s="76" t="d">
        <x:v>2026-08-14T00:00:00.000Z</x:v>
      </x:c>
      <x:c r="F1362" s="69" t="str">
        <x:v>summer</x:v>
      </x:c>
      <x:c r="G1362" s="69" t="str">
        <x:v>Defender — source label</x:v>
      </x:c>
      <x:c r="H1362" s="78"/>
      <x:c r="I1362" s="69" t="str">
        <x:v>GBP</x:v>
      </x:c>
      <x:c r="J1362" s="80"/>
      <x:c r="K1362" s="82"/>
      <x:c r="L1362" s="69" t="str">
        <x:v>Evidence needed</x:v>
      </x:c>
      <x:c r="M1362" s="69" t="str">
        <x:v>Buyer-specific role, production, availability, signing age and total fee evidence are needed before assigning a deal-value score. Loan/swap costs must be treated separately.</x:v>
      </x:c>
      <x:c r="N1362" s="69" t="str">
        <x:v>Not assessed</x:v>
      </x:c>
      <x:c r="O1362" s="69" t="str">
        <x:v>Source broad position and transfer quote only; detailed role and buyer-specific production not validated.</x:v>
      </x:c>
      <x:c r="P1362" s="69" t="str">
        <x:v>https://www.theguardian.com/football/ng-interactive/2026/sep/01/mens-transfer-window-summer-2026-all-deals-from-europes-top-five-leagues</x:v>
      </x:c>
    </x:row>
    <x:row r="1363" ht="25" customHeight="1">
      <x:c r="A1363" s="75" t="str">
        <x:v>summer-S26-0959</x:v>
      </x:c>
      <x:c r="B1363" s="75" t="str">
        <x:v>Finley Burns</x:v>
      </x:c>
      <x:c r="C1363" s="75" t="str">
        <x:v>Wigan Athletic</x:v>
      </x:c>
      <x:c r="D1363" s="75" t="str">
        <x:v>Manchester City</x:v>
      </x:c>
      <x:c r="E1363" s="77" t="d">
        <x:v>2026-08-14T00:00:00.000Z</x:v>
      </x:c>
      <x:c r="F1363" s="75" t="str">
        <x:v>summer</x:v>
      </x:c>
      <x:c r="G1363" s="75" t="str">
        <x:v>Defender — source label</x:v>
      </x:c>
      <x:c r="H1363" s="79"/>
      <x:c r="I1363" s="75" t="str">
        <x:v>GBP</x:v>
      </x:c>
      <x:c r="J1363" s="81"/>
      <x:c r="K1363" s="83"/>
      <x:c r="L1363" s="75" t="str">
        <x:v>Evidence needed</x:v>
      </x:c>
      <x:c r="M1363" s="75" t="str">
        <x:v>Buyer-specific role, production, availability, signing age and total fee evidence are needed before assigning a deal-value score.</x:v>
      </x:c>
      <x:c r="N1363" s="75" t="str">
        <x:v>Not assessed</x:v>
      </x:c>
      <x:c r="O1363" s="75" t="str">
        <x:v>Source broad position and transfer quote only; detailed role and buyer-specific production not validated.</x:v>
      </x:c>
      <x:c r="P1363" s="75" t="str">
        <x:v>https://www.theguardian.com/football/ng-interactive/2026/sep/01/mens-transfer-window-summer-2026-all-deals-from-europes-top-five-leagues</x:v>
      </x:c>
    </x:row>
    <x:row r="1364" ht="25" customHeight="1">
      <x:c r="A1364" s="69" t="str">
        <x:v>summer-S26-0960</x:v>
      </x:c>
      <x:c r="B1364" s="69" t="str">
        <x:v>Max Alleyne</x:v>
      </x:c>
      <x:c r="C1364" s="69" t="str">
        <x:v>Burnley</x:v>
      </x:c>
      <x:c r="D1364" s="69" t="str">
        <x:v>Manchester City</x:v>
      </x:c>
      <x:c r="E1364" s="76" t="d">
        <x:v>2026-08-14T00:00:00.000Z</x:v>
      </x:c>
      <x:c r="F1364" s="69" t="str">
        <x:v>summer</x:v>
      </x:c>
      <x:c r="G1364" s="69" t="str">
        <x:v>Defender — source label</x:v>
      </x:c>
      <x:c r="H1364" s="78"/>
      <x:c r="I1364" s="69" t="str">
        <x:v>GBP</x:v>
      </x:c>
      <x:c r="J1364" s="80"/>
      <x:c r="K1364" s="82"/>
      <x:c r="L1364" s="69" t="str">
        <x:v>Evidence needed</x:v>
      </x:c>
      <x:c r="M1364" s="69" t="str">
        <x:v>Buyer-specific role, production, availability, signing age and total fee evidence are needed before assigning a deal-value score. Loan/swap costs must be treated separately.</x:v>
      </x:c>
      <x:c r="N1364" s="69" t="str">
        <x:v>Not assessed</x:v>
      </x:c>
      <x:c r="O1364" s="69" t="str">
        <x:v>Source broad position and transfer quote only; detailed role and buyer-specific production not validated.</x:v>
      </x:c>
      <x:c r="P1364" s="69" t="str">
        <x:v>https://www.theguardian.com/football/ng-interactive/2026/sep/01/mens-transfer-window-summer-2026-all-deals-from-europes-top-five-leagues</x:v>
      </x:c>
    </x:row>
    <x:row r="1365" ht="25" customHeight="1">
      <x:c r="A1365" s="75" t="str">
        <x:v>summer-S26-0963</x:v>
      </x:c>
      <x:c r="B1365" s="75" t="str">
        <x:v>Harry Clarke</x:v>
      </x:c>
      <x:c r="C1365" s="75" t="str">
        <x:v>Preston</x:v>
      </x:c>
      <x:c r="D1365" s="75" t="str">
        <x:v>Ipswich Town</x:v>
      </x:c>
      <x:c r="E1365" s="77" t="d">
        <x:v>2026-08-14T00:00:00.000Z</x:v>
      </x:c>
      <x:c r="F1365" s="75" t="str">
        <x:v>summer</x:v>
      </x:c>
      <x:c r="G1365" s="75" t="str">
        <x:v>Defender — source label</x:v>
      </x:c>
      <x:c r="H1365" s="79" t="n">
        <x:v>3500000</x:v>
      </x:c>
      <x:c r="I1365" s="75" t="str">
        <x:v>GBP</x:v>
      </x:c>
      <x:c r="J1365" s="81"/>
      <x:c r="K1365" s="83"/>
      <x:c r="L1365" s="75" t="str">
        <x:v>Evidence needed</x:v>
      </x:c>
      <x:c r="M1365" s="75" t="str">
        <x:v>Buyer-specific role, production, availability, signing age and total fee evidence are needed before assigning a deal-value score.</x:v>
      </x:c>
      <x:c r="N1365" s="75" t="str">
        <x:v>Not assessed</x:v>
      </x:c>
      <x:c r="O1365" s="75" t="str">
        <x:v>Source broad position and transfer quote only; detailed role and buyer-specific production not validated.</x:v>
      </x:c>
      <x:c r="P1365" s="75" t="str">
        <x:v>https://www.theguardian.com/football/ng-interactive/2026/sep/01/mens-transfer-window-summer-2026-all-deals-from-europes-top-five-leagues</x:v>
      </x:c>
    </x:row>
    <x:row r="1366" ht="25" customHeight="1">
      <x:c r="A1366" s="69" t="str">
        <x:v>summer-S26-0966</x:v>
      </x:c>
      <x:c r="B1366" s="69" t="str">
        <x:v>Ludovit Reis</x:v>
      </x:c>
      <x:c r="C1366" s="69" t="str">
        <x:v>Werder Bremen</x:v>
      </x:c>
      <x:c r="D1366" s="69" t="str">
        <x:v>Club Brugge</x:v>
      </x:c>
      <x:c r="E1366" s="76" t="d">
        <x:v>2026-08-14T00:00:00.000Z</x:v>
      </x:c>
      <x:c r="F1366" s="69" t="str">
        <x:v>summer</x:v>
      </x:c>
      <x:c r="G1366" s="69" t="str">
        <x:v>Midfielder — source label</x:v>
      </x:c>
      <x:c r="H1366" s="78"/>
      <x:c r="I1366" s="69" t="str">
        <x:v>GBP</x:v>
      </x:c>
      <x:c r="J1366" s="80"/>
      <x:c r="K1366" s="82"/>
      <x:c r="L1366" s="69" t="str">
        <x:v>Evidence needed</x:v>
      </x:c>
      <x:c r="M1366" s="69" t="str">
        <x:v>Buyer-specific role, production, availability, signing age and total fee evidence are needed before assigning a deal-value score. A zero base fee does not represent wages or signing costs.</x:v>
      </x:c>
      <x:c r="N1366" s="69" t="str">
        <x:v>Not assessed</x:v>
      </x:c>
      <x:c r="O1366" s="69" t="str">
        <x:v>Source broad position and transfer quote only; detailed role and buyer-specific production not validated.</x:v>
      </x:c>
      <x:c r="P1366" s="69" t="str">
        <x:v>https://www.theguardian.com/football/ng-interactive/2026/sep/01/mens-transfer-window-summer-2026-all-deals-from-europes-top-five-leagues</x:v>
      </x:c>
    </x:row>
    <x:row r="1367" ht="25" customHeight="1">
      <x:c r="A1367" s="75" t="str">
        <x:v>summer-S26-0967</x:v>
      </x:c>
      <x:c r="B1367" s="75" t="str">
        <x:v>Marius Courcoul</x:v>
      </x:c>
      <x:c r="C1367" s="75" t="str">
        <x:v>La Louvière</x:v>
      </x:c>
      <x:c r="D1367" s="75" t="str">
        <x:v>Angers</x:v>
      </x:c>
      <x:c r="E1367" s="77" t="d">
        <x:v>2026-08-14T00:00:00.000Z</x:v>
      </x:c>
      <x:c r="F1367" s="75" t="str">
        <x:v>summer</x:v>
      </x:c>
      <x:c r="G1367" s="75" t="str">
        <x:v>Midfielder — source label</x:v>
      </x:c>
      <x:c r="H1367" s="79"/>
      <x:c r="I1367" s="75" t="str">
        <x:v>GBP</x:v>
      </x:c>
      <x:c r="J1367" s="81"/>
      <x:c r="K1367" s="83"/>
      <x:c r="L1367" s="75" t="str">
        <x:v>Evidence needed</x:v>
      </x:c>
      <x:c r="M1367" s="75" t="str">
        <x:v>Buyer-specific role, production, availability, signing age and total fee evidence are needed before assigning a deal-value score. Loan/swap costs must be treated separately.</x:v>
      </x:c>
      <x:c r="N1367" s="75" t="str">
        <x:v>Not assessed</x:v>
      </x:c>
      <x:c r="O1367" s="75" t="str">
        <x:v>Source broad position and transfer quote only; detailed role and buyer-specific production not validated.</x:v>
      </x:c>
      <x:c r="P1367" s="75" t="str">
        <x:v>https://www.theguardian.com/football/ng-interactive/2026/sep/01/mens-transfer-window-summer-2026-all-deals-from-europes-top-five-leagues</x:v>
      </x:c>
    </x:row>
    <x:row r="1368" ht="25" customHeight="1">
      <x:c r="A1368" s="69" t="str">
        <x:v>summer-S26-0968</x:v>
      </x:c>
      <x:c r="B1368" s="69" t="str">
        <x:v>Vanja Drkusic</x:v>
      </x:c>
      <x:c r="C1368" s="69" t="str">
        <x:v>Espanyol</x:v>
      </x:c>
      <x:c r="D1368" s="69" t="str">
        <x:v>Zenit</x:v>
      </x:c>
      <x:c r="E1368" s="76" t="d">
        <x:v>2026-08-14T00:00:00.000Z</x:v>
      </x:c>
      <x:c r="F1368" s="69" t="str">
        <x:v>summer</x:v>
      </x:c>
      <x:c r="G1368" s="69" t="str">
        <x:v>Defender — source label</x:v>
      </x:c>
      <x:c r="H1368" s="78"/>
      <x:c r="I1368" s="69" t="str">
        <x:v>GBP</x:v>
      </x:c>
      <x:c r="J1368" s="80"/>
      <x:c r="K1368" s="82"/>
      <x:c r="L1368" s="69" t="str">
        <x:v>Evidence needed</x:v>
      </x:c>
      <x:c r="M1368" s="69" t="str">
        <x:v>Buyer-specific role, production, availability, signing age and total fee evidence are needed before assigning a deal-value score. Loan/swap costs must be treated separately.</x:v>
      </x:c>
      <x:c r="N1368" s="69" t="str">
        <x:v>Not assessed</x:v>
      </x:c>
      <x:c r="O1368" s="69" t="str">
        <x:v>Source broad position and transfer quote only; detailed role and buyer-specific production not validated.</x:v>
      </x:c>
      <x:c r="P1368" s="69" t="str">
        <x:v>https://www.theguardian.com/football/ng-interactive/2026/sep/01/mens-transfer-window-summer-2026-all-deals-from-europes-top-five-leagues</x:v>
      </x:c>
    </x:row>
    <x:row r="1369" ht="25" customHeight="1">
      <x:c r="A1369" s="75" t="str">
        <x:v>summer-S26-0969</x:v>
      </x:c>
      <x:c r="B1369" s="75" t="str">
        <x:v>Umut Tohumcu</x:v>
      </x:c>
      <x:c r="C1369" s="75" t="str">
        <x:v>Red Bull Salzburg</x:v>
      </x:c>
      <x:c r="D1369" s="75" t="str">
        <x:v>Hoffenheim</x:v>
      </x:c>
      <x:c r="E1369" s="77" t="d">
        <x:v>2026-08-14T00:00:00.000Z</x:v>
      </x:c>
      <x:c r="F1369" s="75" t="str">
        <x:v>summer</x:v>
      </x:c>
      <x:c r="G1369" s="75" t="str">
        <x:v>Midfielder — source label</x:v>
      </x:c>
      <x:c r="H1369" s="79"/>
      <x:c r="I1369" s="75" t="str">
        <x:v>GBP</x:v>
      </x:c>
      <x:c r="J1369" s="81"/>
      <x:c r="K1369" s="83"/>
      <x:c r="L1369" s="75" t="str">
        <x:v>Evidence needed</x:v>
      </x:c>
      <x:c r="M1369" s="75" t="str">
        <x:v>Buyer-specific role, production, availability, signing age and total fee evidence are needed before assigning a deal-value score. Loan/swap costs must be treated separately.</x:v>
      </x:c>
      <x:c r="N1369" s="75" t="str">
        <x:v>Not assessed</x:v>
      </x:c>
      <x:c r="O1369" s="75" t="str">
        <x:v>Source broad position and transfer quote only; detailed role and buyer-specific production not validated.</x:v>
      </x:c>
      <x:c r="P1369" s="75" t="str">
        <x:v>https://www.theguardian.com/football/ng-interactive/2026/sep/01/mens-transfer-window-summer-2026-all-deals-from-europes-top-five-leagues</x:v>
      </x:c>
    </x:row>
    <x:row r="1370" ht="25" customHeight="1">
      <x:c r="A1370" s="69" t="str">
        <x:v>summer-S26-0970</x:v>
      </x:c>
      <x:c r="B1370" s="69" t="str">
        <x:v>Cristian Romero</x:v>
      </x:c>
      <x:c r="C1370" s="69" t="str">
        <x:v>Atlético Madrid</x:v>
      </x:c>
      <x:c r="D1370" s="69" t="str">
        <x:v>Tottenham Hotspur</x:v>
      </x:c>
      <x:c r="E1370" s="76" t="d">
        <x:v>2026-08-15T00:00:00.000Z</x:v>
      </x:c>
      <x:c r="F1370" s="69" t="str">
        <x:v>summer</x:v>
      </x:c>
      <x:c r="G1370" s="69" t="str">
        <x:v>Defender — source label</x:v>
      </x:c>
      <x:c r="H1370" s="78" t="n">
        <x:v>34100000</x:v>
      </x:c>
      <x:c r="I1370" s="69" t="str">
        <x:v>GBP</x:v>
      </x:c>
      <x:c r="J1370" s="80"/>
      <x:c r="K1370" s="82"/>
      <x:c r="L1370" s="69" t="str">
        <x:v>Evidence needed</x:v>
      </x:c>
      <x:c r="M1370" s="69" t="str">
        <x:v>Buyer-specific role, production, availability, signing age and total fee evidence are needed before assigning a deal-value score.</x:v>
      </x:c>
      <x:c r="N1370" s="69" t="str">
        <x:v>Not assessed</x:v>
      </x:c>
      <x:c r="O1370" s="69" t="str">
        <x:v>Source broad position and transfer quote only; detailed role and buyer-specific production not validated.</x:v>
      </x:c>
      <x:c r="P1370" s="69" t="str">
        <x:v>https://www.theguardian.com/football/ng-interactive/2026/sep/01/mens-transfer-window-summer-2026-all-deals-from-europes-top-five-leagues</x:v>
      </x:c>
    </x:row>
    <x:row r="1371" ht="25" customHeight="1">
      <x:c r="A1371" s="75" t="str">
        <x:v>summer-S26-0972</x:v>
      </x:c>
      <x:c r="B1371" s="75" t="str">
        <x:v>Ashley Phillips</x:v>
      </x:c>
      <x:c r="C1371" s="75" t="str">
        <x:v>Middlesbrough</x:v>
      </x:c>
      <x:c r="D1371" s="75" t="str">
        <x:v>Tottenham Hotspur</x:v>
      </x:c>
      <x:c r="E1371" s="77" t="d">
        <x:v>2026-08-15T00:00:00.000Z</x:v>
      </x:c>
      <x:c r="F1371" s="75" t="str">
        <x:v>summer</x:v>
      </x:c>
      <x:c r="G1371" s="75" t="str">
        <x:v>Defender — source label</x:v>
      </x:c>
      <x:c r="H1371" s="79" t="n">
        <x:v>7000000</x:v>
      </x:c>
      <x:c r="I1371" s="75" t="str">
        <x:v>GBP</x:v>
      </x:c>
      <x:c r="J1371" s="81"/>
      <x:c r="K1371" s="83"/>
      <x:c r="L1371" s="75" t="str">
        <x:v>Evidence needed</x:v>
      </x:c>
      <x:c r="M1371" s="75" t="str">
        <x:v>Buyer-specific role, production, availability, signing age and total fee evidence are needed before assigning a deal-value score.</x:v>
      </x:c>
      <x:c r="N1371" s="75" t="str">
        <x:v>Not assessed</x:v>
      </x:c>
      <x:c r="O1371" s="75" t="str">
        <x:v>Source broad position and transfer quote only; detailed role and buyer-specific production not validated.</x:v>
      </x:c>
      <x:c r="P1371" s="75" t="str">
        <x:v>https://www.theguardian.com/football/ng-interactive/2026/sep/01/mens-transfer-window-summer-2026-all-deals-from-europes-top-five-leagues</x:v>
      </x:c>
    </x:row>
    <x:row r="1372" ht="25" customHeight="1">
      <x:c r="A1372" s="69" t="str">
        <x:v>summer-S26-0973</x:v>
      </x:c>
      <x:c r="B1372" s="69" t="str">
        <x:v>Steven Benda</x:v>
      </x:c>
      <x:c r="C1372" s="69" t="str">
        <x:v>Nottingham Forest</x:v>
      </x:c>
      <x:c r="D1372" s="69" t="str">
        <x:v>Fulham</x:v>
      </x:c>
      <x:c r="E1372" s="76" t="d">
        <x:v>2026-08-15T00:00:00.000Z</x:v>
      </x:c>
      <x:c r="F1372" s="69" t="str">
        <x:v>summer</x:v>
      </x:c>
      <x:c r="G1372" s="69" t="str">
        <x:v>Goalkeeper — source label</x:v>
      </x:c>
      <x:c r="H1372" s="78"/>
      <x:c r="I1372" s="69" t="str">
        <x:v>GBP</x:v>
      </x:c>
      <x:c r="J1372" s="80"/>
      <x:c r="K1372" s="82"/>
      <x:c r="L1372" s="69" t="str">
        <x:v>Evidence needed</x:v>
      </x:c>
      <x:c r="M1372" s="69" t="str">
        <x:v>Buyer-specific shot-stopping, distribution, aerial command, sweeping, signing age and total fee evidence are needed before scoring. A zero base fee does not represent wages or signing costs.</x:v>
      </x:c>
      <x:c r="N1372" s="69" t="str">
        <x:v>Not assessed</x:v>
      </x:c>
      <x:c r="O1372" s="69" t="str">
        <x:v>Source broad position and transfer quote only; detailed role and buyer-specific production not validated.</x:v>
      </x:c>
      <x:c r="P1372" s="69" t="str">
        <x:v>https://www.theguardian.com/football/ng-interactive/2026/sep/01/mens-transfer-window-summer-2026-all-deals-from-europes-top-five-leagues</x:v>
      </x:c>
    </x:row>
    <x:row r="1373" ht="25" customHeight="1">
      <x:c r="A1373" s="75" t="str">
        <x:v>summer-S26-0976</x:v>
      </x:c>
      <x:c r="B1373" s="75" t="str">
        <x:v>Lucas Gourna-Douath</x:v>
      </x:c>
      <x:c r="C1373" s="75" t="str">
        <x:v>Hull City</x:v>
      </x:c>
      <x:c r="D1373" s="75" t="str">
        <x:v>Red Bull Salzburg</x:v>
      </x:c>
      <x:c r="E1373" s="77" t="d">
        <x:v>2026-08-15T00:00:00.000Z</x:v>
      </x:c>
      <x:c r="F1373" s="75" t="str">
        <x:v>summer</x:v>
      </x:c>
      <x:c r="G1373" s="75" t="str">
        <x:v>Midfielder — source label</x:v>
      </x:c>
      <x:c r="H1373" s="79" t="n">
        <x:v>3400000</x:v>
      </x:c>
      <x:c r="I1373" s="75" t="str">
        <x:v>GBP</x:v>
      </x:c>
      <x:c r="J1373" s="81"/>
      <x:c r="K1373" s="83"/>
      <x:c r="L1373" s="75" t="str">
        <x:v>Evidence needed</x:v>
      </x:c>
      <x:c r="M1373" s="75" t="str">
        <x:v>Buyer-specific role, production, availability, signing age and total fee evidence are needed before assigning a deal-value score.</x:v>
      </x:c>
      <x:c r="N1373" s="75" t="str">
        <x:v>Not assessed</x:v>
      </x:c>
      <x:c r="O1373" s="75" t="str">
        <x:v>Source broad position and transfer quote only; detailed role and buyer-specific production not validated.</x:v>
      </x:c>
      <x:c r="P1373" s="75" t="str">
        <x:v>https://www.theguardian.com/football/ng-interactive/2026/sep/01/mens-transfer-window-summer-2026-all-deals-from-europes-top-five-leagues</x:v>
      </x:c>
    </x:row>
    <x:row r="1374" ht="25" customHeight="1">
      <x:c r="A1374" s="69" t="str">
        <x:v>summer-S26-0979</x:v>
      </x:c>
      <x:c r="B1374" s="69" t="str">
        <x:v>Davide Frattesi</x:v>
      </x:c>
      <x:c r="C1374" s="69" t="str">
        <x:v>Lazio</x:v>
      </x:c>
      <x:c r="D1374" s="69" t="str">
        <x:v>Inter</x:v>
      </x:c>
      <x:c r="E1374" s="76" t="d">
        <x:v>2026-08-14T00:00:00.000Z</x:v>
      </x:c>
      <x:c r="F1374" s="69" t="str">
        <x:v>summer</x:v>
      </x:c>
      <x:c r="G1374" s="69" t="str">
        <x:v>Midfielder — source label</x:v>
      </x:c>
      <x:c r="H1374" s="78"/>
      <x:c r="I1374" s="69" t="str">
        <x:v>GBP</x:v>
      </x:c>
      <x:c r="J1374" s="80"/>
      <x:c r="K1374" s="82"/>
      <x:c r="L1374" s="69" t="str">
        <x:v>Evidence needed</x:v>
      </x:c>
      <x:c r="M1374" s="69" t="str">
        <x:v>Buyer-specific role, production, availability, signing age and total fee evidence are needed before assigning a deal-value score. Loan/swap costs must be treated separately.</x:v>
      </x:c>
      <x:c r="N1374" s="69" t="str">
        <x:v>Not assessed</x:v>
      </x:c>
      <x:c r="O1374" s="69" t="str">
        <x:v>Source broad position and transfer quote only; detailed role and buyer-specific production not validated.</x:v>
      </x:c>
      <x:c r="P1374" s="69" t="str">
        <x:v>https://www.theguardian.com/football/ng-interactive/2026/sep/01/mens-transfer-window-summer-2026-all-deals-from-europes-top-five-leagues</x:v>
      </x:c>
    </x:row>
    <x:row r="1375" ht="25" customHeight="1">
      <x:c r="A1375" s="75" t="str">
        <x:v>summer-S26-0981</x:v>
      </x:c>
      <x:c r="B1375" s="75" t="str">
        <x:v>Rafael Obrador</x:v>
      </x:c>
      <x:c r="C1375" s="75" t="str">
        <x:v>Sassuolo</x:v>
      </x:c>
      <x:c r="D1375" s="75" t="str">
        <x:v>Benfica</x:v>
      </x:c>
      <x:c r="E1375" s="77" t="d">
        <x:v>2026-08-14T00:00:00.000Z</x:v>
      </x:c>
      <x:c r="F1375" s="75" t="str">
        <x:v>summer</x:v>
      </x:c>
      <x:c r="G1375" s="75" t="str">
        <x:v>Defender — source label</x:v>
      </x:c>
      <x:c r="H1375" s="79"/>
      <x:c r="I1375" s="75" t="str">
        <x:v>GBP</x:v>
      </x:c>
      <x:c r="J1375" s="81"/>
      <x:c r="K1375" s="83"/>
      <x:c r="L1375" s="75" t="str">
        <x:v>Evidence needed</x:v>
      </x:c>
      <x:c r="M1375" s="75" t="str">
        <x:v>Buyer-specific role, production, availability, signing age and total fee evidence are needed before assigning a deal-value score. Loan/swap costs must be treated separately.</x:v>
      </x:c>
      <x:c r="N1375" s="75" t="str">
        <x:v>Not assessed</x:v>
      </x:c>
      <x:c r="O1375" s="75" t="str">
        <x:v>Source broad position and transfer quote only; detailed role and buyer-specific production not validated.</x:v>
      </x:c>
      <x:c r="P1375" s="75" t="str">
        <x:v>https://www.theguardian.com/football/ng-interactive/2026/sep/01/mens-transfer-window-summer-2026-all-deals-from-europes-top-five-leagues</x:v>
      </x:c>
    </x:row>
    <x:row r="1376" ht="25" customHeight="1">
      <x:c r="A1376" s="69" t="str">
        <x:v>summer-S26-0983</x:v>
      </x:c>
      <x:c r="B1376" s="69" t="str">
        <x:v>Djed Spence</x:v>
      </x:c>
      <x:c r="C1376" s="69" t="str">
        <x:v>Inter</x:v>
      </x:c>
      <x:c r="D1376" s="69" t="str">
        <x:v>Tottenham Hotspur</x:v>
      </x:c>
      <x:c r="E1376" s="76" t="d">
        <x:v>2026-08-15T00:00:00.000Z</x:v>
      </x:c>
      <x:c r="F1376" s="69" t="str">
        <x:v>summer</x:v>
      </x:c>
      <x:c r="G1376" s="69" t="str">
        <x:v>Defender — source label</x:v>
      </x:c>
      <x:c r="H1376" s="78" t="n">
        <x:v>25600000</x:v>
      </x:c>
      <x:c r="I1376" s="69" t="str">
        <x:v>GBP</x:v>
      </x:c>
      <x:c r="J1376" s="80"/>
      <x:c r="K1376" s="82"/>
      <x:c r="L1376" s="69" t="str">
        <x:v>Evidence needed</x:v>
      </x:c>
      <x:c r="M1376" s="69" t="str">
        <x:v>Buyer-specific role, production, availability, signing age and total fee evidence are needed before assigning a deal-value score.</x:v>
      </x:c>
      <x:c r="N1376" s="69" t="str">
        <x:v>Not assessed</x:v>
      </x:c>
      <x:c r="O1376" s="69" t="str">
        <x:v>Source broad position and transfer quote only; detailed role and buyer-specific production not validated.</x:v>
      </x:c>
      <x:c r="P1376" s="69" t="str">
        <x:v>https://www.theguardian.com/football/ng-interactive/2026/sep/01/mens-transfer-window-summer-2026-all-deals-from-europes-top-five-leagues</x:v>
      </x:c>
    </x:row>
    <x:row r="1377" ht="25" customHeight="1">
      <x:c r="A1377" s="75" t="str">
        <x:v>summer-S26-0985</x:v>
      </x:c>
      <x:c r="B1377" s="75" t="str">
        <x:v>Laurin Ulrich</x:v>
      </x:c>
      <x:c r="C1377" s="75" t="str">
        <x:v>Paderborn</x:v>
      </x:c>
      <x:c r="D1377" s="75" t="str">
        <x:v>Stuttgart</x:v>
      </x:c>
      <x:c r="E1377" s="77" t="d">
        <x:v>2026-08-16T00:00:00.000Z</x:v>
      </x:c>
      <x:c r="F1377" s="75" t="str">
        <x:v>summer</x:v>
      </x:c>
      <x:c r="G1377" s="75" t="str">
        <x:v>Midfielder — source label</x:v>
      </x:c>
      <x:c r="H1377" s="79"/>
      <x:c r="I1377" s="75" t="str">
        <x:v>GBP</x:v>
      </x:c>
      <x:c r="J1377" s="81"/>
      <x:c r="K1377" s="83"/>
      <x:c r="L1377" s="75" t="str">
        <x:v>Evidence needed</x:v>
      </x:c>
      <x:c r="M1377" s="75" t="str">
        <x:v>Buyer-specific role, production, availability, signing age and total fee evidence are needed before assigning a deal-value score. Loan/swap costs must be treated separately.</x:v>
      </x:c>
      <x:c r="N1377" s="75" t="str">
        <x:v>Not assessed</x:v>
      </x:c>
      <x:c r="O1377" s="75" t="str">
        <x:v>Source broad position and transfer quote only; detailed role and buyer-specific production not validated.</x:v>
      </x:c>
      <x:c r="P1377" s="75" t="str">
        <x:v>https://www.theguardian.com/football/ng-interactive/2026/sep/01/mens-transfer-window-summer-2026-all-deals-from-europes-top-five-leagues</x:v>
      </x:c>
    </x:row>
    <x:row r="1378" ht="25" customHeight="1">
      <x:c r="A1378" s="69" t="str">
        <x:v>summer-S26-0986</x:v>
      </x:c>
      <x:c r="B1378" s="69" t="str">
        <x:v>Calum Scanlon</x:v>
      </x:c>
      <x:c r="C1378" s="69" t="str">
        <x:v>Cardiff City</x:v>
      </x:c>
      <x:c r="D1378" s="69" t="str">
        <x:v>Liverpool</x:v>
      </x:c>
      <x:c r="E1378" s="76" t="d">
        <x:v>2026-08-15T00:00:00.000Z</x:v>
      </x:c>
      <x:c r="F1378" s="69" t="str">
        <x:v>summer</x:v>
      </x:c>
      <x:c r="G1378" s="69" t="str">
        <x:v>Defender — source label</x:v>
      </x:c>
      <x:c r="H1378" s="78"/>
      <x:c r="I1378" s="69" t="str">
        <x:v>GBP</x:v>
      </x:c>
      <x:c r="J1378" s="80"/>
      <x:c r="K1378" s="82"/>
      <x:c r="L1378" s="69" t="str">
        <x:v>Evidence needed</x:v>
      </x:c>
      <x:c r="M1378" s="69" t="str">
        <x:v>Buyer-specific role, production, availability, signing age and total fee evidence are needed before assigning a deal-value score. Loan/swap costs must be treated separately.</x:v>
      </x:c>
      <x:c r="N1378" s="69" t="str">
        <x:v>Not assessed</x:v>
      </x:c>
      <x:c r="O1378" s="69" t="str">
        <x:v>Source broad position and transfer quote only; detailed role and buyer-specific production not validated.</x:v>
      </x:c>
      <x:c r="P1378" s="69" t="str">
        <x:v>https://www.theguardian.com/football/ng-interactive/2026/sep/01/mens-transfer-window-summer-2026-all-deals-from-europes-top-five-leagues</x:v>
      </x:c>
    </x:row>
    <x:row r="1379" ht="25" customHeight="1">
      <x:c r="A1379" s="75" t="str">
        <x:v>summer-S26-0987</x:v>
      </x:c>
      <x:c r="B1379" s="75" t="str">
        <x:v>Abdoul Ouattara</x:v>
      </x:c>
      <x:c r="C1379" s="75" t="str">
        <x:v>Ipswich Town</x:v>
      </x:c>
      <x:c r="D1379" s="75" t="str">
        <x:v>Strasbourg</x:v>
      </x:c>
      <x:c r="E1379" s="77" t="d">
        <x:v>2026-08-17T00:00:00.000Z</x:v>
      </x:c>
      <x:c r="F1379" s="75" t="str">
        <x:v>summer</x:v>
      </x:c>
      <x:c r="G1379" s="75" t="str">
        <x:v>Midfielder — source label</x:v>
      </x:c>
      <x:c r="H1379" s="79" t="n">
        <x:v>17000000</x:v>
      </x:c>
      <x:c r="I1379" s="75" t="str">
        <x:v>GBP</x:v>
      </x:c>
      <x:c r="J1379" s="81"/>
      <x:c r="K1379" s="83"/>
      <x:c r="L1379" s="75" t="str">
        <x:v>Evidence needed</x:v>
      </x:c>
      <x:c r="M1379" s="75" t="str">
        <x:v>Buyer-specific role, production, availability, signing age and total fee evidence are needed before assigning a deal-value score.</x:v>
      </x:c>
      <x:c r="N1379" s="75" t="str">
        <x:v>Not assessed</x:v>
      </x:c>
      <x:c r="O1379" s="75" t="str">
        <x:v>Source broad position and transfer quote only; detailed role and buyer-specific production not validated.</x:v>
      </x:c>
      <x:c r="P1379" s="75" t="str">
        <x:v>https://www.theguardian.com/football/ng-interactive/2026/sep/01/mens-transfer-window-summer-2026-all-deals-from-europes-top-five-leagues</x:v>
      </x:c>
    </x:row>
    <x:row r="1380" ht="25" customHeight="1">
      <x:c r="A1380" s="69" t="str">
        <x:v>summer-S26-0988</x:v>
      </x:c>
      <x:c r="B1380" s="69" t="str">
        <x:v>Anthony Munda</x:v>
      </x:c>
      <x:c r="C1380" s="69" t="str">
        <x:v>Swindon Town</x:v>
      </x:c>
      <x:c r="D1380" s="69" t="str">
        <x:v>Newcastle United</x:v>
      </x:c>
      <x:c r="E1380" s="76" t="d">
        <x:v>2026-08-17T00:00:00.000Z</x:v>
      </x:c>
      <x:c r="F1380" s="69" t="str">
        <x:v>summer</x:v>
      </x:c>
      <x:c r="G1380" s="69" t="str">
        <x:v>Midfielder — source label</x:v>
      </x:c>
      <x:c r="H1380" s="78"/>
      <x:c r="I1380" s="69" t="str">
        <x:v>GBP</x:v>
      </x:c>
      <x:c r="J1380" s="80"/>
      <x:c r="K1380" s="82"/>
      <x:c r="L1380" s="69" t="str">
        <x:v>Evidence needed</x:v>
      </x:c>
      <x:c r="M1380" s="69" t="str">
        <x:v>Buyer-specific role, production, availability, signing age and total fee evidence are needed before assigning a deal-value score. Loan/swap costs must be treated separately.</x:v>
      </x:c>
      <x:c r="N1380" s="69" t="str">
        <x:v>Not assessed</x:v>
      </x:c>
      <x:c r="O1380" s="69" t="str">
        <x:v>Source broad position and transfer quote only; detailed role and buyer-specific production not validated.</x:v>
      </x:c>
      <x:c r="P1380" s="69" t="str">
        <x:v>https://www.theguardian.com/football/ng-interactive/2026/sep/01/mens-transfer-window-summer-2026-all-deals-from-europes-top-five-leagues</x:v>
      </x:c>
    </x:row>
    <x:row r="1381" ht="25" customHeight="1">
      <x:c r="A1381" s="75" t="str">
        <x:v>summer-S26-0992</x:v>
      </x:c>
      <x:c r="B1381" s="75" t="str">
        <x:v>Giannis Konstantelias</x:v>
      </x:c>
      <x:c r="C1381" s="75" t="str">
        <x:v>Borussia Dortmund</x:v>
      </x:c>
      <x:c r="D1381" s="75" t="str">
        <x:v>PAOK</x:v>
      </x:c>
      <x:c r="E1381" s="77" t="d">
        <x:v>2026-08-17T00:00:00.000Z</x:v>
      </x:c>
      <x:c r="F1381" s="75" t="str">
        <x:v>summer</x:v>
      </x:c>
      <x:c r="G1381" s="75" t="str">
        <x:v>Midfielder — source label</x:v>
      </x:c>
      <x:c r="H1381" s="79" t="n">
        <x:v>22200000</x:v>
      </x:c>
      <x:c r="I1381" s="75" t="str">
        <x:v>GBP</x:v>
      </x:c>
      <x:c r="J1381" s="81"/>
      <x:c r="K1381" s="83"/>
      <x:c r="L1381" s="75" t="str">
        <x:v>Evidence needed</x:v>
      </x:c>
      <x:c r="M1381" s="75" t="str">
        <x:v>Buyer-specific role, production, availability, signing age and total fee evidence are needed before assigning a deal-value score.</x:v>
      </x:c>
      <x:c r="N1381" s="75" t="str">
        <x:v>Not assessed</x:v>
      </x:c>
      <x:c r="O1381" s="75" t="str">
        <x:v>Source broad position and transfer quote only; detailed role and buyer-specific production not validated.</x:v>
      </x:c>
      <x:c r="P1381" s="75" t="str">
        <x:v>https://www.theguardian.com/football/ng-interactive/2026/sep/01/mens-transfer-window-summer-2026-all-deals-from-europes-top-five-leagues</x:v>
      </x:c>
    </x:row>
    <x:row r="1382" ht="25" customHeight="1">
      <x:c r="A1382" s="69" t="str">
        <x:v>summer-S26-0993</x:v>
      </x:c>
      <x:c r="B1382" s="69" t="str">
        <x:v>Jhon Lucumí</x:v>
      </x:c>
      <x:c r="C1382" s="69" t="str">
        <x:v>Juventus</x:v>
      </x:c>
      <x:c r="D1382" s="69" t="str">
        <x:v>Bologna</x:v>
      </x:c>
      <x:c r="E1382" s="76" t="d">
        <x:v>2026-08-17T00:00:00.000Z</x:v>
      </x:c>
      <x:c r="F1382" s="69" t="str">
        <x:v>summer</x:v>
      </x:c>
      <x:c r="G1382" s="69" t="str">
        <x:v>Defender — source label</x:v>
      </x:c>
      <x:c r="H1382" s="78" t="n">
        <x:v>17200000</x:v>
      </x:c>
      <x:c r="I1382" s="69" t="str">
        <x:v>GBP</x:v>
      </x:c>
      <x:c r="J1382" s="80"/>
      <x:c r="K1382" s="82"/>
      <x:c r="L1382" s="69" t="str">
        <x:v>Evidence needed</x:v>
      </x:c>
      <x:c r="M1382" s="69" t="str">
        <x:v>Buyer-specific role, production, availability, signing age and total fee evidence are needed before assigning a deal-value score.</x:v>
      </x:c>
      <x:c r="N1382" s="69" t="str">
        <x:v>Not assessed</x:v>
      </x:c>
      <x:c r="O1382" s="69" t="str">
        <x:v>Source broad position and transfer quote only; detailed role and buyer-specific production not validated.</x:v>
      </x:c>
      <x:c r="P1382" s="69" t="str">
        <x:v>https://www.theguardian.com/football/ng-interactive/2026/sep/01/mens-transfer-window-summer-2026-all-deals-from-europes-top-five-leagues</x:v>
      </x:c>
    </x:row>
    <x:row r="1383" ht="25" customHeight="1">
      <x:c r="A1383" s="75" t="str">
        <x:v>summer-S26-0996</x:v>
      </x:c>
      <x:c r="B1383" s="75" t="str">
        <x:v>Diant Ramaj</x:v>
      </x:c>
      <x:c r="C1383" s="75" t="str">
        <x:v>FC Copenhagen</x:v>
      </x:c>
      <x:c r="D1383" s="75" t="str">
        <x:v>Borussia Dortmund</x:v>
      </x:c>
      <x:c r="E1383" s="77" t="d">
        <x:v>2026-08-17T00:00:00.000Z</x:v>
      </x:c>
      <x:c r="F1383" s="75" t="str">
        <x:v>summer</x:v>
      </x:c>
      <x:c r="G1383" s="75" t="str">
        <x:v>Goalkeeper — source label</x:v>
      </x:c>
      <x:c r="H1383" s="79"/>
      <x:c r="I1383" s="75" t="str">
        <x:v>GBP</x:v>
      </x:c>
      <x:c r="J1383" s="81"/>
      <x:c r="K1383" s="83"/>
      <x:c r="L1383" s="75" t="str">
        <x:v>Evidence needed</x:v>
      </x:c>
      <x:c r="M1383" s="75" t="str">
        <x:v>Buyer-specific shot-stopping, distribution, aerial command, sweeping, signing age and total fee evidence are needed before scoring. Loan/swap costs must be treated separately.</x:v>
      </x:c>
      <x:c r="N1383" s="75" t="str">
        <x:v>Not assessed</x:v>
      </x:c>
      <x:c r="O1383" s="75" t="str">
        <x:v>Source broad position and transfer quote only; detailed role and buyer-specific production not validated.</x:v>
      </x:c>
      <x:c r="P1383" s="75" t="str">
        <x:v>https://www.theguardian.com/football/ng-interactive/2026/sep/01/mens-transfer-window-summer-2026-all-deals-from-europes-top-five-leagues</x:v>
      </x:c>
    </x:row>
    <x:row r="1384" ht="25" customHeight="1">
      <x:c r="A1384" s="69" t="str">
        <x:v>summer-S26-0999</x:v>
      </x:c>
      <x:c r="B1384" s="69" t="str">
        <x:v>Jofre Torrents</x:v>
      </x:c>
      <x:c r="C1384" s="69" t="str">
        <x:v>Ajax</x:v>
      </x:c>
      <x:c r="D1384" s="69" t="str">
        <x:v>Barcelona</x:v>
      </x:c>
      <x:c r="E1384" s="76" t="d">
        <x:v>2026-08-17T00:00:00.000Z</x:v>
      </x:c>
      <x:c r="F1384" s="69" t="str">
        <x:v>summer</x:v>
      </x:c>
      <x:c r="G1384" s="69" t="str">
        <x:v>Defender — source label</x:v>
      </x:c>
      <x:c r="H1384" s="78" t="n">
        <x:v>4300000</x:v>
      </x:c>
      <x:c r="I1384" s="69" t="str">
        <x:v>GBP</x:v>
      </x:c>
      <x:c r="J1384" s="80"/>
      <x:c r="K1384" s="82"/>
      <x:c r="L1384" s="69" t="str">
        <x:v>Evidence needed</x:v>
      </x:c>
      <x:c r="M1384" s="69" t="str">
        <x:v>Buyer-specific role, production, availability, signing age and total fee evidence are needed before assigning a deal-value score.</x:v>
      </x:c>
      <x:c r="N1384" s="69" t="str">
        <x:v>Not assessed</x:v>
      </x:c>
      <x:c r="O1384" s="69" t="str">
        <x:v>Source broad position and transfer quote only; detailed role and buyer-specific production not validated.</x:v>
      </x:c>
      <x:c r="P1384" s="69" t="str">
        <x:v>https://www.theguardian.com/football/ng-interactive/2026/sep/01/mens-transfer-window-summer-2026-all-deals-from-europes-top-five-leagues</x:v>
      </x:c>
    </x:row>
    <x:row r="1385" ht="25" customHeight="1">
      <x:c r="A1385" s="75" t="str">
        <x:v>summer-S26-1003</x:v>
      </x:c>
      <x:c r="B1385" s="75" t="str">
        <x:v>Javi López</x:v>
      </x:c>
      <x:c r="C1385" s="75" t="str">
        <x:v>Feyenoord</x:v>
      </x:c>
      <x:c r="D1385" s="75" t="str">
        <x:v>Real Sociedad</x:v>
      </x:c>
      <x:c r="E1385" s="77" t="d">
        <x:v>2026-08-17T00:00:00.000Z</x:v>
      </x:c>
      <x:c r="F1385" s="75" t="str">
        <x:v>summer</x:v>
      </x:c>
      <x:c r="G1385" s="75" t="str">
        <x:v>Defender — source label</x:v>
      </x:c>
      <x:c r="H1385" s="79"/>
      <x:c r="I1385" s="75" t="str">
        <x:v>GBP</x:v>
      </x:c>
      <x:c r="J1385" s="81"/>
      <x:c r="K1385" s="83"/>
      <x:c r="L1385" s="75" t="str">
        <x:v>Evidence needed</x:v>
      </x:c>
      <x:c r="M1385" s="75" t="str">
        <x:v>Buyer-specific role, production, availability, signing age and total fee evidence are needed before assigning a deal-value score. Loan/swap costs must be treated separately.</x:v>
      </x:c>
      <x:c r="N1385" s="75" t="str">
        <x:v>Not assessed</x:v>
      </x:c>
      <x:c r="O1385" s="75" t="str">
        <x:v>Source broad position and transfer quote only; detailed role and buyer-specific production not validated.</x:v>
      </x:c>
      <x:c r="P1385" s="75" t="str">
        <x:v>https://www.theguardian.com/football/ng-interactive/2026/sep/01/mens-transfer-window-summer-2026-all-deals-from-europes-top-five-leagues</x:v>
      </x:c>
    </x:row>
    <x:row r="1386" ht="25" customHeight="1">
      <x:c r="A1386" s="69" t="str">
        <x:v>summer-S26-1004</x:v>
      </x:c>
      <x:c r="B1386" s="69" t="str">
        <x:v>Ousmane Traoré</x:v>
      </x:c>
      <x:c r="C1386" s="69" t="str">
        <x:v>Dunkerque</x:v>
      </x:c>
      <x:c r="D1386" s="69" t="str">
        <x:v>Lille</x:v>
      </x:c>
      <x:c r="E1386" s="76" t="d">
        <x:v>2026-08-17T00:00:00.000Z</x:v>
      </x:c>
      <x:c r="F1386" s="69" t="str">
        <x:v>summer</x:v>
      </x:c>
      <x:c r="G1386" s="69" t="str">
        <x:v>Defender — source label</x:v>
      </x:c>
      <x:c r="H1386" s="78"/>
      <x:c r="I1386" s="69" t="str">
        <x:v>GBP</x:v>
      </x:c>
      <x:c r="J1386" s="80"/>
      <x:c r="K1386" s="82"/>
      <x:c r="L1386" s="69" t="str">
        <x:v>Evidence needed</x:v>
      </x:c>
      <x:c r="M1386" s="69" t="str">
        <x:v>Buyer-specific role, production, availability, signing age and total fee evidence are needed before assigning a deal-value score. Loan/swap costs must be treated separately.</x:v>
      </x:c>
      <x:c r="N1386" s="69" t="str">
        <x:v>Not assessed</x:v>
      </x:c>
      <x:c r="O1386" s="69" t="str">
        <x:v>Source broad position and transfer quote only; detailed role and buyer-specific production not validated.</x:v>
      </x:c>
      <x:c r="P1386" s="69" t="str">
        <x:v>https://www.theguardian.com/football/ng-interactive/2026/sep/01/mens-transfer-window-summer-2026-all-deals-from-europes-top-five-leagues</x:v>
      </x:c>
    </x:row>
    <x:row r="1387" ht="25" customHeight="1">
      <x:c r="A1387" s="75" t="str">
        <x:v>summer-S26-1005</x:v>
      </x:c>
      <x:c r="B1387" s="75" t="str">
        <x:v>Amar Dedic</x:v>
      </x:c>
      <x:c r="C1387" s="75" t="str">
        <x:v>Newcastle United</x:v>
      </x:c>
      <x:c r="D1387" s="75" t="str">
        <x:v>Benfica</x:v>
      </x:c>
      <x:c r="E1387" s="77" t="d">
        <x:v>2026-08-18T00:00:00.000Z</x:v>
      </x:c>
      <x:c r="F1387" s="75" t="str">
        <x:v>summer</x:v>
      </x:c>
      <x:c r="G1387" s="75" t="str">
        <x:v>Defender — source label</x:v>
      </x:c>
      <x:c r="H1387" s="79" t="n">
        <x:v>29500000</x:v>
      </x:c>
      <x:c r="I1387" s="75" t="str">
        <x:v>GBP</x:v>
      </x:c>
      <x:c r="J1387" s="81"/>
      <x:c r="K1387" s="83"/>
      <x:c r="L1387" s="75" t="str">
        <x:v>Evidence needed</x:v>
      </x:c>
      <x:c r="M1387" s="75" t="str">
        <x:v>Buyer-specific role, production, availability, signing age and total fee evidence are needed before assigning a deal-value score.</x:v>
      </x:c>
      <x:c r="N1387" s="75" t="str">
        <x:v>Not assessed</x:v>
      </x:c>
      <x:c r="O1387" s="75" t="str">
        <x:v>Source broad position and transfer quote only; detailed role and buyer-specific production not validated.</x:v>
      </x:c>
      <x:c r="P1387" s="75" t="str">
        <x:v>https://www.theguardian.com/football/ng-interactive/2026/sep/01/mens-transfer-window-summer-2026-all-deals-from-europes-top-five-leagues</x:v>
      </x:c>
    </x:row>
    <x:row r="1388" ht="25" customHeight="1">
      <x:c r="A1388" s="69" t="str">
        <x:v>summer-S26-1006</x:v>
      </x:c>
      <x:c r="B1388" s="69" t="str">
        <x:v>Guglielmo Vicario</x:v>
      </x:c>
      <x:c r="C1388" s="69" t="str">
        <x:v>Juventus</x:v>
      </x:c>
      <x:c r="D1388" s="69" t="str">
        <x:v>Tottenham Hotspur</x:v>
      </x:c>
      <x:c r="E1388" s="76" t="d">
        <x:v>2026-08-18T00:00:00.000Z</x:v>
      </x:c>
      <x:c r="F1388" s="69" t="str">
        <x:v>summer</x:v>
      </x:c>
      <x:c r="G1388" s="69" t="str">
        <x:v>Goalkeeper — source label</x:v>
      </x:c>
      <x:c r="H1388" s="78"/>
      <x:c r="I1388" s="69" t="str">
        <x:v>GBP</x:v>
      </x:c>
      <x:c r="J1388" s="80"/>
      <x:c r="K1388" s="82"/>
      <x:c r="L1388" s="69" t="str">
        <x:v>Evidence needed</x:v>
      </x:c>
      <x:c r="M1388" s="69" t="str">
        <x:v>Buyer-specific shot-stopping, distribution, aerial command, sweeping, signing age and total fee evidence are needed before scoring. Loan/swap costs must be treated separately.</x:v>
      </x:c>
      <x:c r="N1388" s="69" t="str">
        <x:v>Not assessed</x:v>
      </x:c>
      <x:c r="O1388" s="69" t="str">
        <x:v>Source broad position and transfer quote only; detailed role and buyer-specific production not validated.</x:v>
      </x:c>
      <x:c r="P1388" s="69" t="str">
        <x:v>https://www.theguardian.com/football/ng-interactive/2026/sep/01/mens-transfer-window-summer-2026-all-deals-from-europes-top-five-leagues</x:v>
      </x:c>
    </x:row>
    <x:row r="1389" ht="25" customHeight="1">
      <x:c r="A1389" s="75" t="str">
        <x:v>summer-S26-1007</x:v>
      </x:c>
      <x:c r="B1389" s="75" t="str">
        <x:v>Djibril Sidibé</x:v>
      </x:c>
      <x:c r="C1389" s="75" t="str">
        <x:v>Le Mans</x:v>
      </x:c>
      <x:c r="D1389" s="75" t="str">
        <x:v>Toulouse</x:v>
      </x:c>
      <x:c r="E1389" s="77" t="d">
        <x:v>2026-08-18T00:00:00.000Z</x:v>
      </x:c>
      <x:c r="F1389" s="75" t="str">
        <x:v>summer</x:v>
      </x:c>
      <x:c r="G1389" s="75" t="str">
        <x:v>Defender — source label</x:v>
      </x:c>
      <x:c r="H1389" s="79"/>
      <x:c r="I1389" s="75" t="str">
        <x:v>GBP</x:v>
      </x:c>
      <x:c r="J1389" s="81"/>
      <x:c r="K1389" s="83"/>
      <x:c r="L1389" s="75" t="str">
        <x:v>Evidence needed</x:v>
      </x:c>
      <x:c r="M1389" s="75" t="str">
        <x:v>Buyer-specific role, production, availability, signing age and total fee evidence are needed before assigning a deal-value score. A zero base fee does not represent wages or signing costs.</x:v>
      </x:c>
      <x:c r="N1389" s="75" t="str">
        <x:v>Not assessed</x:v>
      </x:c>
      <x:c r="O1389" s="75" t="str">
        <x:v>Source broad position and transfer quote only; detailed role and buyer-specific production not validated.</x:v>
      </x:c>
      <x:c r="P1389" s="75" t="str">
        <x:v>https://www.theguardian.com/football/ng-interactive/2026/sep/01/mens-transfer-window-summer-2026-all-deals-from-europes-top-five-leagues</x:v>
      </x:c>
    </x:row>
    <x:row r="1390" ht="25" customHeight="1">
      <x:c r="A1390" s="69" t="str">
        <x:v>summer-S26-1008</x:v>
      </x:c>
      <x:c r="B1390" s="69" t="str">
        <x:v>Fabio Rispoli</x:v>
      </x:c>
      <x:c r="C1390" s="69" t="str">
        <x:v>Südtirol</x:v>
      </x:c>
      <x:c r="D1390" s="69" t="str">
        <x:v>Como 1907</x:v>
      </x:c>
      <x:c r="E1390" s="76" t="d">
        <x:v>2026-08-18T00:00:00.000Z</x:v>
      </x:c>
      <x:c r="F1390" s="69" t="str">
        <x:v>summer</x:v>
      </x:c>
      <x:c r="G1390" s="69" t="str">
        <x:v>Midfielder — source label</x:v>
      </x:c>
      <x:c r="H1390" s="78"/>
      <x:c r="I1390" s="69" t="str">
        <x:v>GBP</x:v>
      </x:c>
      <x:c r="J1390" s="80"/>
      <x:c r="K1390" s="82"/>
      <x:c r="L1390" s="69" t="str">
        <x:v>Evidence needed</x:v>
      </x:c>
      <x:c r="M1390" s="69" t="str">
        <x:v>Buyer-specific role, production, availability, signing age and total fee evidence are needed before assigning a deal-value score. Loan/swap costs must be treated separately.</x:v>
      </x:c>
      <x:c r="N1390" s="69" t="str">
        <x:v>Not assessed</x:v>
      </x:c>
      <x:c r="O1390" s="69" t="str">
        <x:v>Source broad position and transfer quote only; detailed role and buyer-specific production not validated.</x:v>
      </x:c>
      <x:c r="P1390" s="69" t="str">
        <x:v>https://www.theguardian.com/football/ng-interactive/2026/sep/01/mens-transfer-window-summer-2026-all-deals-from-europes-top-five-leagues</x:v>
      </x:c>
    </x:row>
    <x:row r="1391" ht="25" customHeight="1">
      <x:c r="A1391" s="75" t="str">
        <x:v>summer-S26-1013</x:v>
      </x:c>
      <x:c r="B1391" s="75" t="str">
        <x:v>Wisdom Acquah</x:v>
      </x:c>
      <x:c r="C1391" s="75" t="str">
        <x:v>Modena</x:v>
      </x:c>
      <x:c r="D1391" s="75" t="str">
        <x:v>Torino</x:v>
      </x:c>
      <x:c r="E1391" s="77" t="d">
        <x:v>2026-08-18T00:00:00.000Z</x:v>
      </x:c>
      <x:c r="F1391" s="75" t="str">
        <x:v>summer</x:v>
      </x:c>
      <x:c r="G1391" s="75" t="str">
        <x:v>Midfielder — source label</x:v>
      </x:c>
      <x:c r="H1391" s="79"/>
      <x:c r="I1391" s="75" t="str">
        <x:v>GBP</x:v>
      </x:c>
      <x:c r="J1391" s="81"/>
      <x:c r="K1391" s="83"/>
      <x:c r="L1391" s="75" t="str">
        <x:v>Evidence needed</x:v>
      </x:c>
      <x:c r="M1391" s="75" t="str">
        <x:v>Buyer-specific role, production, availability, signing age and total fee evidence are needed before assigning a deal-value score. Loan/swap costs must be treated separately.</x:v>
      </x:c>
      <x:c r="N1391" s="75" t="str">
        <x:v>Not assessed</x:v>
      </x:c>
      <x:c r="O1391" s="75" t="str">
        <x:v>Source broad position and transfer quote only; detailed role and buyer-specific production not validated.</x:v>
      </x:c>
      <x:c r="P1391" s="75" t="str">
        <x:v>https://www.theguardian.com/football/ng-interactive/2026/sep/01/mens-transfer-window-summer-2026-all-deals-from-europes-top-five-leagues</x:v>
      </x:c>
    </x:row>
    <x:row r="1392" ht="25" customHeight="1">
      <x:c r="A1392" s="69" t="str">
        <x:v>summer-S26-1015</x:v>
      </x:c>
      <x:c r="B1392" s="69" t="str">
        <x:v>Francho Serrano</x:v>
      </x:c>
      <x:c r="C1392" s="69" t="str">
        <x:v>Getafe</x:v>
      </x:c>
      <x:c r="D1392" s="69" t="str">
        <x:v>Real Zaragoza</x:v>
      </x:c>
      <x:c r="E1392" s="76" t="d">
        <x:v>2026-08-18T00:00:00.000Z</x:v>
      </x:c>
      <x:c r="F1392" s="69" t="str">
        <x:v>summer</x:v>
      </x:c>
      <x:c r="G1392" s="69" t="str">
        <x:v>Midfielder — source label</x:v>
      </x:c>
      <x:c r="H1392" s="78"/>
      <x:c r="I1392" s="69" t="str">
        <x:v>GBP</x:v>
      </x:c>
      <x:c r="J1392" s="80"/>
      <x:c r="K1392" s="82"/>
      <x:c r="L1392" s="69" t="str">
        <x:v>Evidence needed</x:v>
      </x:c>
      <x:c r="M1392" s="69" t="str">
        <x:v>Buyer-specific role, production, availability, signing age and total fee evidence are needed before assigning a deal-value score. A zero base fee does not represent wages or signing costs.</x:v>
      </x:c>
      <x:c r="N1392" s="69" t="str">
        <x:v>Not assessed</x:v>
      </x:c>
      <x:c r="O1392" s="69" t="str">
        <x:v>Source broad position and transfer quote only; detailed role and buyer-specific production not validated.</x:v>
      </x:c>
      <x:c r="P1392" s="69" t="str">
        <x:v>https://www.theguardian.com/football/ng-interactive/2026/sep/01/mens-transfer-window-summer-2026-all-deals-from-europes-top-five-leagues</x:v>
      </x:c>
    </x:row>
    <x:row r="1393" ht="25" customHeight="1">
      <x:c r="A1393" s="75" t="str">
        <x:v>summer-S26-1016</x:v>
      </x:c>
      <x:c r="B1393" s="75" t="str">
        <x:v>Joey Veerman</x:v>
      </x:c>
      <x:c r="C1393" s="75" t="str">
        <x:v>Borussia Dortmund</x:v>
      </x:c>
      <x:c r="D1393" s="75" t="str">
        <x:v>PSV Eindhoven</x:v>
      </x:c>
      <x:c r="E1393" s="77" t="d">
        <x:v>2026-08-18T00:00:00.000Z</x:v>
      </x:c>
      <x:c r="F1393" s="75" t="str">
        <x:v>summer</x:v>
      </x:c>
      <x:c r="G1393" s="75" t="str">
        <x:v>Midfielder — source label</x:v>
      </x:c>
      <x:c r="H1393" s="79" t="n">
        <x:v>18800000</x:v>
      </x:c>
      <x:c r="I1393" s="75" t="str">
        <x:v>GBP</x:v>
      </x:c>
      <x:c r="J1393" s="81"/>
      <x:c r="K1393" s="83"/>
      <x:c r="L1393" s="75" t="str">
        <x:v>Evidence needed</x:v>
      </x:c>
      <x:c r="M1393" s="75" t="str">
        <x:v>Buyer-specific role, production, availability, signing age and total fee evidence are needed before assigning a deal-value score.</x:v>
      </x:c>
      <x:c r="N1393" s="75" t="str">
        <x:v>Not assessed</x:v>
      </x:c>
      <x:c r="O1393" s="75" t="str">
        <x:v>Source broad position and transfer quote only; detailed role and buyer-specific production not validated.</x:v>
      </x:c>
      <x:c r="P1393" s="75" t="str">
        <x:v>https://www.theguardian.com/football/ng-interactive/2026/sep/01/mens-transfer-window-summer-2026-all-deals-from-europes-top-five-leagues</x:v>
      </x:c>
    </x:row>
    <x:row r="1394" ht="25" customHeight="1">
      <x:c r="A1394" s="69" t="str">
        <x:v>summer-S26-1017</x:v>
      </x:c>
      <x:c r="B1394" s="69" t="str">
        <x:v>David Odogu</x:v>
      </x:c>
      <x:c r="C1394" s="69" t="str">
        <x:v>Toulouse</x:v>
      </x:c>
      <x:c r="D1394" s="69" t="str">
        <x:v>Milan</x:v>
      </x:c>
      <x:c r="E1394" s="76" t="d">
        <x:v>2026-08-18T00:00:00.000Z</x:v>
      </x:c>
      <x:c r="F1394" s="69" t="str">
        <x:v>summer</x:v>
      </x:c>
      <x:c r="G1394" s="69" t="str">
        <x:v>Defender — source label</x:v>
      </x:c>
      <x:c r="H1394" s="78"/>
      <x:c r="I1394" s="69" t="str">
        <x:v>GBP</x:v>
      </x:c>
      <x:c r="J1394" s="80"/>
      <x:c r="K1394" s="82"/>
      <x:c r="L1394" s="69" t="str">
        <x:v>Evidence needed</x:v>
      </x:c>
      <x:c r="M1394" s="69" t="str">
        <x:v>Buyer-specific role, production, availability, signing age and total fee evidence are needed before assigning a deal-value score. Loan/swap costs must be treated separately.</x:v>
      </x:c>
      <x:c r="N1394" s="69" t="str">
        <x:v>Not assessed</x:v>
      </x:c>
      <x:c r="O1394" s="69" t="str">
        <x:v>Source broad position and transfer quote only; detailed role and buyer-specific production not validated.</x:v>
      </x:c>
      <x:c r="P1394" s="69" t="str">
        <x:v>https://www.theguardian.com/football/ng-interactive/2026/sep/01/mens-transfer-window-summer-2026-all-deals-from-europes-top-five-leagues</x:v>
      </x:c>
    </x:row>
    <x:row r="1395" ht="25" customHeight="1">
      <x:c r="A1395" s="75" t="str">
        <x:v>summer-S26-1018</x:v>
      </x:c>
      <x:c r="B1395" s="75" t="str">
        <x:v>Chec Bebel Doumbia</x:v>
      </x:c>
      <x:c r="C1395" s="75" t="str">
        <x:v>Rapid Bucharest</x:v>
      </x:c>
      <x:c r="D1395" s="75" t="str">
        <x:v>Genoa</x:v>
      </x:c>
      <x:c r="E1395" s="77" t="d">
        <x:v>2026-08-18T00:00:00.000Z</x:v>
      </x:c>
      <x:c r="F1395" s="75" t="str">
        <x:v>summer</x:v>
      </x:c>
      <x:c r="G1395" s="75" t="str">
        <x:v>Midfielder — source label</x:v>
      </x:c>
      <x:c r="H1395" s="79"/>
      <x:c r="I1395" s="75" t="str">
        <x:v>GBP</x:v>
      </x:c>
      <x:c r="J1395" s="81"/>
      <x:c r="K1395" s="83"/>
      <x:c r="L1395" s="75" t="str">
        <x:v>Evidence needed</x:v>
      </x:c>
      <x:c r="M1395" s="75" t="str">
        <x:v>Buyer-specific role, production, availability, signing age and total fee evidence are needed before assigning a deal-value score. Loan/swap costs must be treated separately.</x:v>
      </x:c>
      <x:c r="N1395" s="75" t="str">
        <x:v>Not assessed</x:v>
      </x:c>
      <x:c r="O1395" s="75" t="str">
        <x:v>Source broad position and transfer quote only; detailed role and buyer-specific production not validated.</x:v>
      </x:c>
      <x:c r="P1395" s="75" t="str">
        <x:v>https://www.theguardian.com/football/ng-interactive/2026/sep/01/mens-transfer-window-summer-2026-all-deals-from-europes-top-five-leagues</x:v>
      </x:c>
    </x:row>
    <x:row r="1396" ht="25" customHeight="1">
      <x:c r="A1396" s="69" t="str">
        <x:v>summer-S26-1020</x:v>
      </x:c>
      <x:c r="B1396" s="69" t="str">
        <x:v>Abdul Mumin</x:v>
      </x:c>
      <x:c r="C1396" s="69" t="str">
        <x:v>Girona</x:v>
      </x:c>
      <x:c r="D1396" s="69" t="str">
        <x:v>Rayo Vallecano</x:v>
      </x:c>
      <x:c r="E1396" s="76" t="d">
        <x:v>2026-08-18T00:00:00.000Z</x:v>
      </x:c>
      <x:c r="F1396" s="69" t="str">
        <x:v>summer</x:v>
      </x:c>
      <x:c r="G1396" s="69" t="str">
        <x:v>Defender — source label</x:v>
      </x:c>
      <x:c r="H1396" s="78"/>
      <x:c r="I1396" s="69" t="str">
        <x:v>GBP</x:v>
      </x:c>
      <x:c r="J1396" s="80"/>
      <x:c r="K1396" s="82"/>
      <x:c r="L1396" s="69" t="str">
        <x:v>Evidence needed</x:v>
      </x:c>
      <x:c r="M1396" s="69" t="str">
        <x:v>Buyer-specific role, production, availability, signing age and total fee evidence are needed before assigning a deal-value score. A zero base fee does not represent wages or signing costs.</x:v>
      </x:c>
      <x:c r="N1396" s="69" t="str">
        <x:v>Not assessed</x:v>
      </x:c>
      <x:c r="O1396" s="69" t="str">
        <x:v>Source broad position and transfer quote only; detailed role and buyer-specific production not validated.</x:v>
      </x:c>
      <x:c r="P1396" s="69" t="str">
        <x:v>https://www.theguardian.com/football/ng-interactive/2026/sep/01/mens-transfer-window-summer-2026-all-deals-from-europes-top-five-leagues</x:v>
      </x:c>
    </x:row>
    <x:row r="1397" ht="25" customHeight="1">
      <x:c r="A1397" s="75" t="str">
        <x:v>summer-S26-1021</x:v>
      </x:c>
      <x:c r="B1397" s="75" t="str">
        <x:v>Nunzio Lella</x:v>
      </x:c>
      <x:c r="C1397" s="75" t="str">
        <x:v>Verona</x:v>
      </x:c>
      <x:c r="D1397" s="75" t="str">
        <x:v>Venezia</x:v>
      </x:c>
      <x:c r="E1397" s="77" t="d">
        <x:v>2026-08-18T00:00:00.000Z</x:v>
      </x:c>
      <x:c r="F1397" s="75" t="str">
        <x:v>summer</x:v>
      </x:c>
      <x:c r="G1397" s="75" t="str">
        <x:v>Midfielder — source label</x:v>
      </x:c>
      <x:c r="H1397" s="79"/>
      <x:c r="I1397" s="75" t="str">
        <x:v>GBP</x:v>
      </x:c>
      <x:c r="J1397" s="81"/>
      <x:c r="K1397" s="83"/>
      <x:c r="L1397" s="75" t="str">
        <x:v>Evidence needed</x:v>
      </x:c>
      <x:c r="M1397" s="75" t="str">
        <x:v>Buyer-specific role, production, availability, signing age and total fee evidence are needed before assigning a deal-value score.</x:v>
      </x:c>
      <x:c r="N1397" s="75" t="str">
        <x:v>Not assessed</x:v>
      </x:c>
      <x:c r="O1397" s="75" t="str">
        <x:v>Source broad position and transfer quote only; detailed role and buyer-specific production not validated.</x:v>
      </x:c>
      <x:c r="P1397" s="75" t="str">
        <x:v>https://www.theguardian.com/football/ng-interactive/2026/sep/01/mens-transfer-window-summer-2026-all-deals-from-europes-top-five-leagues</x:v>
      </x:c>
    </x:row>
    <x:row r="1398" ht="25" customHeight="1">
      <x:c r="A1398" s="69" t="str">
        <x:v>summer-S26-1022</x:v>
      </x:c>
      <x:c r="B1398" s="69" t="str">
        <x:v>Yunus Konak</x:v>
      </x:c>
      <x:c r="C1398" s="69" t="str">
        <x:v>Lincoln City</x:v>
      </x:c>
      <x:c r="D1398" s="69" t="str">
        <x:v>Brentford</x:v>
      </x:c>
      <x:c r="E1398" s="76" t="d">
        <x:v>2026-08-18T00:00:00.000Z</x:v>
      </x:c>
      <x:c r="F1398" s="69" t="str">
        <x:v>summer</x:v>
      </x:c>
      <x:c r="G1398" s="69" t="str">
        <x:v>Midfielder — source label</x:v>
      </x:c>
      <x:c r="H1398" s="78"/>
      <x:c r="I1398" s="69" t="str">
        <x:v>GBP</x:v>
      </x:c>
      <x:c r="J1398" s="80"/>
      <x:c r="K1398" s="82"/>
      <x:c r="L1398" s="69" t="str">
        <x:v>Evidence needed</x:v>
      </x:c>
      <x:c r="M1398" s="69" t="str">
        <x:v>Buyer-specific role, production, availability, signing age and total fee evidence are needed before assigning a deal-value score. Loan/swap costs must be treated separately.</x:v>
      </x:c>
      <x:c r="N1398" s="69" t="str">
        <x:v>Not assessed</x:v>
      </x:c>
      <x:c r="O1398" s="69" t="str">
        <x:v>Source broad position and transfer quote only; detailed role and buyer-specific production not validated.</x:v>
      </x:c>
      <x:c r="P1398" s="69" t="str">
        <x:v>https://www.theguardian.com/football/ng-interactive/2026/sep/01/mens-transfer-window-summer-2026-all-deals-from-europes-top-five-leagues</x:v>
      </x:c>
    </x:row>
    <x:row r="1399" ht="25" customHeight="1">
      <x:c r="A1399" s="75" t="str">
        <x:v>summer-S26-1025</x:v>
      </x:c>
      <x:c r="B1399" s="75" t="str">
        <x:v>Andrés Cuenca</x:v>
      </x:c>
      <x:c r="C1399" s="75" t="str">
        <x:v>Sporting Gijón</x:v>
      </x:c>
      <x:c r="D1399" s="75" t="str">
        <x:v>Como 1907</x:v>
      </x:c>
      <x:c r="E1399" s="77" t="d">
        <x:v>2026-08-18T00:00:00.000Z</x:v>
      </x:c>
      <x:c r="F1399" s="75" t="str">
        <x:v>summer</x:v>
      </x:c>
      <x:c r="G1399" s="75" t="str">
        <x:v>Defender — source label</x:v>
      </x:c>
      <x:c r="H1399" s="79"/>
      <x:c r="I1399" s="75" t="str">
        <x:v>GBP</x:v>
      </x:c>
      <x:c r="J1399" s="81"/>
      <x:c r="K1399" s="83"/>
      <x:c r="L1399" s="75" t="str">
        <x:v>Evidence needed</x:v>
      </x:c>
      <x:c r="M1399" s="75" t="str">
        <x:v>Buyer-specific role, production, availability, signing age and total fee evidence are needed before assigning a deal-value score. Loan/swap costs must be treated separately.</x:v>
      </x:c>
      <x:c r="N1399" s="75" t="str">
        <x:v>Not assessed</x:v>
      </x:c>
      <x:c r="O1399" s="75" t="str">
        <x:v>Source broad position and transfer quote only; detailed role and buyer-specific production not validated.</x:v>
      </x:c>
      <x:c r="P1399" s="75" t="str">
        <x:v>https://www.theguardian.com/football/ng-interactive/2026/sep/01/mens-transfer-window-summer-2026-all-deals-from-europes-top-five-leagues</x:v>
      </x:c>
    </x:row>
    <x:row r="1400" ht="25" customHeight="1">
      <x:c r="A1400" s="69" t="str">
        <x:v>summer-S26-1028</x:v>
      </x:c>
      <x:c r="B1400" s="69" t="str">
        <x:v>Reggie Walsh</x:v>
      </x:c>
      <x:c r="C1400" s="69" t="str">
        <x:v>Wigan Athletic</x:v>
      </x:c>
      <x:c r="D1400" s="69" t="str">
        <x:v>Chelsea</x:v>
      </x:c>
      <x:c r="E1400" s="76" t="d">
        <x:v>2026-08-19T00:00:00.000Z</x:v>
      </x:c>
      <x:c r="F1400" s="69" t="str">
        <x:v>summer</x:v>
      </x:c>
      <x:c r="G1400" s="69" t="str">
        <x:v>Midfielder — source label</x:v>
      </x:c>
      <x:c r="H1400" s="78"/>
      <x:c r="I1400" s="69" t="str">
        <x:v>GBP</x:v>
      </x:c>
      <x:c r="J1400" s="80"/>
      <x:c r="K1400" s="82"/>
      <x:c r="L1400" s="69" t="str">
        <x:v>Evidence needed</x:v>
      </x:c>
      <x:c r="M1400" s="69" t="str">
        <x:v>Buyer-specific role, production, availability, signing age and total fee evidence are needed before assigning a deal-value score. Loan/swap costs must be treated separately.</x:v>
      </x:c>
      <x:c r="N1400" s="69" t="str">
        <x:v>Not assessed</x:v>
      </x:c>
      <x:c r="O1400" s="69" t="str">
        <x:v>Source broad position and transfer quote only; detailed role and buyer-specific production not validated.</x:v>
      </x:c>
      <x:c r="P1400" s="69" t="str">
        <x:v>https://www.theguardian.com/football/ng-interactive/2026/sep/01/mens-transfer-window-summer-2026-all-deals-from-europes-top-five-leagues</x:v>
      </x:c>
    </x:row>
    <x:row r="1401" ht="25" customHeight="1">
      <x:c r="A1401" s="75" t="str">
        <x:v>summer-S26-1029</x:v>
      </x:c>
      <x:c r="B1401" s="75" t="str">
        <x:v>Kosta Nedeljkovic</x:v>
      </x:c>
      <x:c r="C1401" s="75" t="str">
        <x:v>Rangers</x:v>
      </x:c>
      <x:c r="D1401" s="75" t="str">
        <x:v>Aston Villa</x:v>
      </x:c>
      <x:c r="E1401" s="77" t="d">
        <x:v>2026-08-19T00:00:00.000Z</x:v>
      </x:c>
      <x:c r="F1401" s="75" t="str">
        <x:v>summer</x:v>
      </x:c>
      <x:c r="G1401" s="75" t="str">
        <x:v>Defender — source label</x:v>
      </x:c>
      <x:c r="H1401" s="79"/>
      <x:c r="I1401" s="75" t="str">
        <x:v>GBP</x:v>
      </x:c>
      <x:c r="J1401" s="81"/>
      <x:c r="K1401" s="83"/>
      <x:c r="L1401" s="75" t="str">
        <x:v>Evidence needed</x:v>
      </x:c>
      <x:c r="M1401" s="75" t="str">
        <x:v>Buyer-specific role, production, availability, signing age and total fee evidence are needed before assigning a deal-value score. Loan/swap costs must be treated separately.</x:v>
      </x:c>
      <x:c r="N1401" s="75" t="str">
        <x:v>Not assessed</x:v>
      </x:c>
      <x:c r="O1401" s="75" t="str">
        <x:v>Source broad position and transfer quote only; detailed role and buyer-specific production not validated.</x:v>
      </x:c>
      <x:c r="P1401" s="75" t="str">
        <x:v>https://www.theguardian.com/football/ng-interactive/2026/sep/01/mens-transfer-window-summer-2026-all-deals-from-europes-top-five-leagues</x:v>
      </x:c>
    </x:row>
    <x:row r="1402" ht="25" customHeight="1">
      <x:c r="A1402" s="69" t="str">
        <x:v>summer-S26-1030</x:v>
      </x:c>
      <x:c r="B1402" s="69" t="str">
        <x:v>Harvey Araujo</x:v>
      </x:c>
      <x:c r="C1402" s="69" t="str">
        <x:v>Burton Albion</x:v>
      </x:c>
      <x:c r="D1402" s="69" t="str">
        <x:v>Fulham</x:v>
      </x:c>
      <x:c r="E1402" s="76" t="d">
        <x:v>2026-08-19T00:00:00.000Z</x:v>
      </x:c>
      <x:c r="F1402" s="69" t="str">
        <x:v>summer</x:v>
      </x:c>
      <x:c r="G1402" s="69" t="str">
        <x:v>Defender — source label</x:v>
      </x:c>
      <x:c r="H1402" s="78"/>
      <x:c r="I1402" s="69" t="str">
        <x:v>GBP</x:v>
      </x:c>
      <x:c r="J1402" s="80"/>
      <x:c r="K1402" s="82"/>
      <x:c r="L1402" s="69" t="str">
        <x:v>Evidence needed</x:v>
      </x:c>
      <x:c r="M1402" s="69" t="str">
        <x:v>Buyer-specific role, production, availability, signing age and total fee evidence are needed before assigning a deal-value score. Loan/swap costs must be treated separately.</x:v>
      </x:c>
      <x:c r="N1402" s="69" t="str">
        <x:v>Not assessed</x:v>
      </x:c>
      <x:c r="O1402" s="69" t="str">
        <x:v>Source broad position and transfer quote only; detailed role and buyer-specific production not validated.</x:v>
      </x:c>
      <x:c r="P1402" s="69" t="str">
        <x:v>https://www.theguardian.com/football/ng-interactive/2026/sep/01/mens-transfer-window-summer-2026-all-deals-from-europes-top-five-leagues</x:v>
      </x:c>
    </x:row>
    <x:row r="1403" ht="25" customHeight="1">
      <x:c r="A1403" s="75" t="str">
        <x:v>summer-S26-1031</x:v>
      </x:c>
      <x:c r="B1403" s="75" t="str">
        <x:v>Zion Suzuki</x:v>
      </x:c>
      <x:c r="C1403" s="75" t="str">
        <x:v>Aston Villa</x:v>
      </x:c>
      <x:c r="D1403" s="75" t="str">
        <x:v>Parma</x:v>
      </x:c>
      <x:c r="E1403" s="77" t="d">
        <x:v>2026-08-19T00:00:00.000Z</x:v>
      </x:c>
      <x:c r="F1403" s="75" t="str">
        <x:v>summer</x:v>
      </x:c>
      <x:c r="G1403" s="75" t="str">
        <x:v>Goalkeeper — source label</x:v>
      </x:c>
      <x:c r="H1403" s="79" t="n">
        <x:v>30000000</x:v>
      </x:c>
      <x:c r="I1403" s="75" t="str">
        <x:v>GBP</x:v>
      </x:c>
      <x:c r="J1403" s="81"/>
      <x:c r="K1403" s="83"/>
      <x:c r="L1403" s="75" t="str">
        <x:v>Evidence needed</x:v>
      </x:c>
      <x:c r="M1403" s="75" t="str">
        <x:v>Buyer-specific shot-stopping, distribution, aerial command, sweeping, signing age and total fee evidence are needed before scoring.</x:v>
      </x:c>
      <x:c r="N1403" s="75" t="str">
        <x:v>Not assessed</x:v>
      </x:c>
      <x:c r="O1403" s="75" t="str">
        <x:v>Source broad position and transfer quote only; detailed role and buyer-specific production not validated.</x:v>
      </x:c>
      <x:c r="P1403" s="75" t="str">
        <x:v>https://www.theguardian.com/football/ng-interactive/2026/sep/01/mens-transfer-window-summer-2026-all-deals-from-europes-top-five-leagues</x:v>
      </x:c>
    </x:row>
    <x:row r="1404" ht="25" customHeight="1">
      <x:c r="A1404" s="69" t="str">
        <x:v>summer-S26-1032</x:v>
      </x:c>
      <x:c r="B1404" s="69" t="str">
        <x:v>Matteo Ruggeri</x:v>
      </x:c>
      <x:c r="C1404" s="69" t="str">
        <x:v>Aston Villa</x:v>
      </x:c>
      <x:c r="D1404" s="69" t="str">
        <x:v>Atlético Madrid</x:v>
      </x:c>
      <x:c r="E1404" s="76" t="d">
        <x:v>2026-08-19T00:00:00.000Z</x:v>
      </x:c>
      <x:c r="F1404" s="69" t="str">
        <x:v>summer</x:v>
      </x:c>
      <x:c r="G1404" s="69" t="str">
        <x:v>Defender — source label</x:v>
      </x:c>
      <x:c r="H1404" s="78" t="n">
        <x:v>21420000</x:v>
      </x:c>
      <x:c r="I1404" s="69" t="str">
        <x:v>GBP</x:v>
      </x:c>
      <x:c r="J1404" s="80"/>
      <x:c r="K1404" s="82"/>
      <x:c r="L1404" s="69" t="str">
        <x:v>Evidence needed</x:v>
      </x:c>
      <x:c r="M1404" s="69" t="str">
        <x:v>Buyer-specific role, production, availability, signing age and total fee evidence are needed before assigning a deal-value score.</x:v>
      </x:c>
      <x:c r="N1404" s="69" t="str">
        <x:v>Not assessed</x:v>
      </x:c>
      <x:c r="O1404" s="69" t="str">
        <x:v>Source broad position and transfer quote only; detailed role and buyer-specific production not validated.</x:v>
      </x:c>
      <x:c r="P1404" s="69" t="str">
        <x:v>https://www.theguardian.com/football/ng-interactive/2026/sep/01/mens-transfer-window-summer-2026-all-deals-from-europes-top-five-leagues</x:v>
      </x:c>
    </x:row>
    <x:row r="1405" ht="25" customHeight="1">
      <x:c r="A1405" s="75" t="str">
        <x:v>summer-S26-1033</x:v>
      </x:c>
      <x:c r="B1405" s="75" t="str">
        <x:v>Sebastiaan Bornauw</x:v>
      </x:c>
      <x:c r="C1405" s="75" t="str">
        <x:v>Hamburg</x:v>
      </x:c>
      <x:c r="D1405" s="75" t="str">
        <x:v>Leeds United</x:v>
      </x:c>
      <x:c r="E1405" s="77" t="d">
        <x:v>2026-08-19T00:00:00.000Z</x:v>
      </x:c>
      <x:c r="F1405" s="75" t="str">
        <x:v>summer</x:v>
      </x:c>
      <x:c r="G1405" s="75" t="str">
        <x:v>Defender — source label</x:v>
      </x:c>
      <x:c r="H1405" s="79"/>
      <x:c r="I1405" s="75" t="str">
        <x:v>GBP</x:v>
      </x:c>
      <x:c r="J1405" s="81"/>
      <x:c r="K1405" s="83"/>
      <x:c r="L1405" s="75" t="str">
        <x:v>Evidence needed</x:v>
      </x:c>
      <x:c r="M1405" s="75" t="str">
        <x:v>Buyer-specific role, production, availability, signing age and total fee evidence are needed before assigning a deal-value score. Loan/swap costs must be treated separately.</x:v>
      </x:c>
      <x:c r="N1405" s="75" t="str">
        <x:v>Not assessed</x:v>
      </x:c>
      <x:c r="O1405" s="75" t="str">
        <x:v>Source broad position and transfer quote only; detailed role and buyer-specific production not validated.</x:v>
      </x:c>
      <x:c r="P1405" s="75" t="str">
        <x:v>https://www.theguardian.com/football/ng-interactive/2026/sep/01/mens-transfer-window-summer-2026-all-deals-from-europes-top-five-leagues</x:v>
      </x:c>
    </x:row>
    <x:row r="1406" ht="25" customHeight="1">
      <x:c r="A1406" s="69" t="str">
        <x:v>summer-S26-1034</x:v>
      </x:c>
      <x:c r="B1406" s="69" t="str">
        <x:v>Michael Aebischer</x:v>
      </x:c>
      <x:c r="C1406" s="69" t="str">
        <x:v>Union Berlin</x:v>
      </x:c>
      <x:c r="D1406" s="69" t="str">
        <x:v>Pisa</x:v>
      </x:c>
      <x:c r="E1406" s="76" t="d">
        <x:v>2026-08-19T00:00:00.000Z</x:v>
      </x:c>
      <x:c r="F1406" s="69" t="str">
        <x:v>summer</x:v>
      </x:c>
      <x:c r="G1406" s="69" t="str">
        <x:v>Midfielder — source label</x:v>
      </x:c>
      <x:c r="H1406" s="78" t="n">
        <x:v>3430000</x:v>
      </x:c>
      <x:c r="I1406" s="69" t="str">
        <x:v>GBP</x:v>
      </x:c>
      <x:c r="J1406" s="80"/>
      <x:c r="K1406" s="82"/>
      <x:c r="L1406" s="69" t="str">
        <x:v>Evidence needed</x:v>
      </x:c>
      <x:c r="M1406" s="69" t="str">
        <x:v>Buyer-specific role, production, availability, signing age and total fee evidence are needed before assigning a deal-value score.</x:v>
      </x:c>
      <x:c r="N1406" s="69" t="str">
        <x:v>Not assessed</x:v>
      </x:c>
      <x:c r="O1406" s="69" t="str">
        <x:v>Source broad position and transfer quote only; detailed role and buyer-specific production not validated.</x:v>
      </x:c>
      <x:c r="P1406" s="69" t="str">
        <x:v>https://www.theguardian.com/football/ng-interactive/2026/sep/01/mens-transfer-window-summer-2026-all-deals-from-europes-top-five-leagues</x:v>
      </x:c>
    </x:row>
    <x:row r="1407" ht="25" customHeight="1">
      <x:c r="A1407" s="75" t="str">
        <x:v>summer-S26-1035</x:v>
      </x:c>
      <x:c r="B1407" s="75" t="str">
        <x:v>Rodrigo Mora</x:v>
      </x:c>
      <x:c r="C1407" s="75" t="str">
        <x:v>Roma</x:v>
      </x:c>
      <x:c r="D1407" s="75" t="str">
        <x:v>Porto</x:v>
      </x:c>
      <x:c r="E1407" s="77" t="d">
        <x:v>2026-08-19T00:00:00.000Z</x:v>
      </x:c>
      <x:c r="F1407" s="75" t="str">
        <x:v>summer</x:v>
      </x:c>
      <x:c r="G1407" s="75" t="str">
        <x:v>Midfielder — source label</x:v>
      </x:c>
      <x:c r="H1407" s="79" t="n">
        <x:v>21400000</x:v>
      </x:c>
      <x:c r="I1407" s="75" t="str">
        <x:v>GBP</x:v>
      </x:c>
      <x:c r="J1407" s="81"/>
      <x:c r="K1407" s="83"/>
      <x:c r="L1407" s="75" t="str">
        <x:v>Evidence needed</x:v>
      </x:c>
      <x:c r="M1407" s="75" t="str">
        <x:v>Buyer-specific role, production, availability, signing age and total fee evidence are needed before assigning a deal-value score.</x:v>
      </x:c>
      <x:c r="N1407" s="75" t="str">
        <x:v>Not assessed</x:v>
      </x:c>
      <x:c r="O1407" s="75" t="str">
        <x:v>Source broad position and transfer quote only; detailed role and buyer-specific production not validated.</x:v>
      </x:c>
      <x:c r="P1407" s="75" t="str">
        <x:v>https://www.theguardian.com/football/ng-interactive/2026/sep/01/mens-transfer-window-summer-2026-all-deals-from-europes-top-five-leagues</x:v>
      </x:c>
    </x:row>
    <x:row r="1408" ht="25" customHeight="1">
      <x:c r="A1408" s="69" t="str">
        <x:v>summer-S26-1036</x:v>
      </x:c>
      <x:c r="B1408" s="69" t="str">
        <x:v>Nico Elvedi</x:v>
      </x:c>
      <x:c r="C1408" s="69" t="str">
        <x:v>Leeds United</x:v>
      </x:c>
      <x:c r="D1408" s="69" t="str">
        <x:v>Borussia Mönchengladbach</x:v>
      </x:c>
      <x:c r="E1408" s="76" t="d">
        <x:v>2026-08-19T00:00:00.000Z</x:v>
      </x:c>
      <x:c r="F1408" s="69" t="str">
        <x:v>summer</x:v>
      </x:c>
      <x:c r="G1408" s="69" t="str">
        <x:v>Defender — source label</x:v>
      </x:c>
      <x:c r="H1408" s="78" t="n">
        <x:v>6800000</x:v>
      </x:c>
      <x:c r="I1408" s="69" t="str">
        <x:v>GBP</x:v>
      </x:c>
      <x:c r="J1408" s="80"/>
      <x:c r="K1408" s="82"/>
      <x:c r="L1408" s="69" t="str">
        <x:v>Evidence needed</x:v>
      </x:c>
      <x:c r="M1408" s="69" t="str">
        <x:v>Buyer-specific role, production, availability, signing age and total fee evidence are needed before assigning a deal-value score.</x:v>
      </x:c>
      <x:c r="N1408" s="69" t="str">
        <x:v>Not assessed</x:v>
      </x:c>
      <x:c r="O1408" s="69" t="str">
        <x:v>Source broad position and transfer quote only; detailed role and buyer-specific production not validated.</x:v>
      </x:c>
      <x:c r="P1408" s="69" t="str">
        <x:v>https://www.theguardian.com/football/ng-interactive/2026/sep/01/mens-transfer-window-summer-2026-all-deals-from-europes-top-five-leagues</x:v>
      </x:c>
    </x:row>
    <x:row r="1409" ht="25" customHeight="1">
      <x:c r="A1409" s="75" t="str">
        <x:v>summer-S26-1038</x:v>
      </x:c>
      <x:c r="B1409" s="75" t="str">
        <x:v>Thomas Jørgensen</x:v>
      </x:c>
      <x:c r="C1409" s="75" t="str">
        <x:v>Toulouse</x:v>
      </x:c>
      <x:c r="D1409" s="75" t="str">
        <x:v>Viborg</x:v>
      </x:c>
      <x:c r="E1409" s="77" t="d">
        <x:v>2026-08-19T00:00:00.000Z</x:v>
      </x:c>
      <x:c r="F1409" s="75" t="str">
        <x:v>summer</x:v>
      </x:c>
      <x:c r="G1409" s="75" t="str">
        <x:v>Midfielder — source label</x:v>
      </x:c>
      <x:c r="H1409" s="79" t="n">
        <x:v>6430000</x:v>
      </x:c>
      <x:c r="I1409" s="75" t="str">
        <x:v>GBP</x:v>
      </x:c>
      <x:c r="J1409" s="81"/>
      <x:c r="K1409" s="83"/>
      <x:c r="L1409" s="75" t="str">
        <x:v>Evidence needed</x:v>
      </x:c>
      <x:c r="M1409" s="75" t="str">
        <x:v>Buyer-specific role, production, availability, signing age and total fee evidence are needed before assigning a deal-value score.</x:v>
      </x:c>
      <x:c r="N1409" s="75" t="str">
        <x:v>Not assessed</x:v>
      </x:c>
      <x:c r="O1409" s="75" t="str">
        <x:v>Source broad position and transfer quote only; detailed role and buyer-specific production not validated.</x:v>
      </x:c>
      <x:c r="P1409" s="75" t="str">
        <x:v>https://www.theguardian.com/football/ng-interactive/2026/sep/01/mens-transfer-window-summer-2026-all-deals-from-europes-top-five-leagues</x:v>
      </x:c>
    </x:row>
    <x:row r="1410" ht="25" customHeight="1">
      <x:c r="A1410" s="69" t="str">
        <x:v>summer-S26-1039</x:v>
      </x:c>
      <x:c r="B1410" s="69" t="str">
        <x:v>Lorenzo Montipò</x:v>
      </x:c>
      <x:c r="C1410" s="69" t="str">
        <x:v>Venezia</x:v>
      </x:c>
      <x:c r="D1410" s="69" t="str">
        <x:v>Verona</x:v>
      </x:c>
      <x:c r="E1410" s="76" t="d">
        <x:v>2026-08-19T00:00:00.000Z</x:v>
      </x:c>
      <x:c r="F1410" s="69" t="str">
        <x:v>summer</x:v>
      </x:c>
      <x:c r="G1410" s="69" t="str">
        <x:v>Goalkeeper — source label</x:v>
      </x:c>
      <x:c r="H1410" s="78"/>
      <x:c r="I1410" s="69" t="str">
        <x:v>GBP</x:v>
      </x:c>
      <x:c r="J1410" s="80"/>
      <x:c r="K1410" s="82"/>
      <x:c r="L1410" s="69" t="str">
        <x:v>Evidence needed</x:v>
      </x:c>
      <x:c r="M1410" s="69" t="str">
        <x:v>Buyer-specific shot-stopping, distribution, aerial command, sweeping, signing age and total fee evidence are needed before scoring.</x:v>
      </x:c>
      <x:c r="N1410" s="69" t="str">
        <x:v>Not assessed</x:v>
      </x:c>
      <x:c r="O1410" s="69" t="str">
        <x:v>Source broad position and transfer quote only; detailed role and buyer-specific production not validated.</x:v>
      </x:c>
      <x:c r="P1410" s="69" t="str">
        <x:v>https://www.theguardian.com/football/ng-interactive/2026/sep/01/mens-transfer-window-summer-2026-all-deals-from-europes-top-five-leagues</x:v>
      </x:c>
    </x:row>
    <x:row r="1411" ht="25" customHeight="1">
      <x:c r="A1411" s="75" t="str">
        <x:v>summer-S26-1041</x:v>
      </x:c>
      <x:c r="B1411" s="75" t="str">
        <x:v>Tijjani Reijnders</x:v>
      </x:c>
      <x:c r="C1411" s="75" t="str">
        <x:v>Al-Qadsiah</x:v>
      </x:c>
      <x:c r="D1411" s="75" t="str">
        <x:v>Manchester City</x:v>
      </x:c>
      <x:c r="E1411" s="77" t="d">
        <x:v>2026-08-19T00:00:00.000Z</x:v>
      </x:c>
      <x:c r="F1411" s="75" t="str">
        <x:v>summer</x:v>
      </x:c>
      <x:c r="G1411" s="75" t="str">
        <x:v>Midfielder — source label</x:v>
      </x:c>
      <x:c r="H1411" s="79" t="n">
        <x:v>52000000</x:v>
      </x:c>
      <x:c r="I1411" s="75" t="str">
        <x:v>GBP</x:v>
      </x:c>
      <x:c r="J1411" s="81"/>
      <x:c r="K1411" s="83"/>
      <x:c r="L1411" s="75" t="str">
        <x:v>Evidence needed</x:v>
      </x:c>
      <x:c r="M1411" s="75" t="str">
        <x:v>Buyer-specific role, production, availability, signing age and total fee evidence are needed before assigning a deal-value score.</x:v>
      </x:c>
      <x:c r="N1411" s="75" t="str">
        <x:v>Not assessed</x:v>
      </x:c>
      <x:c r="O1411" s="75" t="str">
        <x:v>Source broad position and transfer quote only; detailed role and buyer-specific production not validated.</x:v>
      </x:c>
      <x:c r="P1411" s="75" t="str">
        <x:v>https://www.theguardian.com/football/ng-interactive/2026/sep/01/mens-transfer-window-summer-2026-all-deals-from-europes-top-five-leagues</x:v>
      </x:c>
    </x:row>
    <x:row r="1412" ht="25" customHeight="1">
      <x:c r="A1412" s="69" t="str">
        <x:v>summer-S26-1042</x:v>
      </x:c>
      <x:c r="B1412" s="69" t="str">
        <x:v>Diego Moreira</x:v>
      </x:c>
      <x:c r="C1412" s="69" t="str">
        <x:v>Milan</x:v>
      </x:c>
      <x:c r="D1412" s="69" t="str">
        <x:v>Strasbourg</x:v>
      </x:c>
      <x:c r="E1412" s="76" t="d">
        <x:v>2026-08-20T00:00:00.000Z</x:v>
      </x:c>
      <x:c r="F1412" s="69" t="str">
        <x:v>summer</x:v>
      </x:c>
      <x:c r="G1412" s="69" t="str">
        <x:v>Midfielder — source label</x:v>
      </x:c>
      <x:c r="H1412" s="78" t="n">
        <x:v>42860000</x:v>
      </x:c>
      <x:c r="I1412" s="69" t="str">
        <x:v>GBP</x:v>
      </x:c>
      <x:c r="J1412" s="80"/>
      <x:c r="K1412" s="82"/>
      <x:c r="L1412" s="69" t="str">
        <x:v>Evidence needed</x:v>
      </x:c>
      <x:c r="M1412" s="69" t="str">
        <x:v>Buyer-specific role, production, availability, signing age and total fee evidence are needed before assigning a deal-value score.</x:v>
      </x:c>
      <x:c r="N1412" s="69" t="str">
        <x:v>Not assessed</x:v>
      </x:c>
      <x:c r="O1412" s="69" t="str">
        <x:v>Source broad position and transfer quote only; detailed role and buyer-specific production not validated.</x:v>
      </x:c>
      <x:c r="P1412" s="69" t="str">
        <x:v>https://www.theguardian.com/football/ng-interactive/2026/sep/01/mens-transfer-window-summer-2026-all-deals-from-europes-top-five-leagues</x:v>
      </x:c>
    </x:row>
    <x:row r="1413" ht="25" customHeight="1">
      <x:c r="A1413" s="75" t="str">
        <x:v>summer-S26-1043</x:v>
      </x:c>
      <x:c r="B1413" s="75" t="str">
        <x:v>Jordan James</x:v>
      </x:c>
      <x:c r="C1413" s="75" t="str">
        <x:v>Wolverhampton Wanderers</x:v>
      </x:c>
      <x:c r="D1413" s="75" t="str">
        <x:v>Rennes</x:v>
      </x:c>
      <x:c r="E1413" s="77" t="d">
        <x:v>2026-08-20T00:00:00.000Z</x:v>
      </x:c>
      <x:c r="F1413" s="75" t="str">
        <x:v>summer</x:v>
      </x:c>
      <x:c r="G1413" s="75" t="str">
        <x:v>Midfielder — source label</x:v>
      </x:c>
      <x:c r="H1413" s="79"/>
      <x:c r="I1413" s="75" t="str">
        <x:v>GBP</x:v>
      </x:c>
      <x:c r="J1413" s="81"/>
      <x:c r="K1413" s="83"/>
      <x:c r="L1413" s="75" t="str">
        <x:v>Evidence needed</x:v>
      </x:c>
      <x:c r="M1413" s="75" t="str">
        <x:v>Buyer-specific role, production, availability, signing age and total fee evidence are needed before assigning a deal-value score. Loan/swap costs must be treated separately.</x:v>
      </x:c>
      <x:c r="N1413" s="75" t="str">
        <x:v>Not assessed</x:v>
      </x:c>
      <x:c r="O1413" s="75" t="str">
        <x:v>Source broad position and transfer quote only; detailed role and buyer-specific production not validated.</x:v>
      </x:c>
      <x:c r="P1413" s="75" t="str">
        <x:v>https://www.theguardian.com/football/ng-interactive/2026/sep/01/mens-transfer-window-summer-2026-all-deals-from-europes-top-five-leagues</x:v>
      </x:c>
    </x:row>
    <x:row r="1414" ht="25" customHeight="1">
      <x:c r="A1414" s="69" t="str">
        <x:v>summer-S26-1045</x:v>
      </x:c>
      <x:c r="B1414" s="69" t="str">
        <x:v>Ko Itakura</x:v>
      </x:c>
      <x:c r="C1414" s="69" t="str">
        <x:v>Borussia Mönchengladbach</x:v>
      </x:c>
      <x:c r="D1414" s="69" t="str">
        <x:v>Ajax</x:v>
      </x:c>
      <x:c r="E1414" s="76" t="d">
        <x:v>2026-08-20T00:00:00.000Z</x:v>
      </x:c>
      <x:c r="F1414" s="69" t="str">
        <x:v>summer</x:v>
      </x:c>
      <x:c r="G1414" s="69" t="str">
        <x:v>Defender — source label</x:v>
      </x:c>
      <x:c r="H1414" s="78" t="n">
        <x:v>3000000</x:v>
      </x:c>
      <x:c r="I1414" s="69" t="str">
        <x:v>GBP</x:v>
      </x:c>
      <x:c r="J1414" s="80"/>
      <x:c r="K1414" s="82"/>
      <x:c r="L1414" s="69" t="str">
        <x:v>Evidence needed</x:v>
      </x:c>
      <x:c r="M1414" s="69" t="str">
        <x:v>Buyer-specific role, production, availability, signing age and total fee evidence are needed before assigning a deal-value score.</x:v>
      </x:c>
      <x:c r="N1414" s="69" t="str">
        <x:v>Not assessed</x:v>
      </x:c>
      <x:c r="O1414" s="69" t="str">
        <x:v>Source broad position and transfer quote only; detailed role and buyer-specific production not validated.</x:v>
      </x:c>
      <x:c r="P1414" s="69" t="str">
        <x:v>https://www.theguardian.com/football/ng-interactive/2026/sep/01/mens-transfer-window-summer-2026-all-deals-from-europes-top-five-leagues</x:v>
      </x:c>
    </x:row>
    <x:row r="1415" ht="25" customHeight="1">
      <x:c r="A1415" s="75" t="str">
        <x:v>summer-S26-1046</x:v>
      </x:c>
      <x:c r="B1415" s="75" t="str">
        <x:v>Jonathan Norbye</x:v>
      </x:c>
      <x:c r="C1415" s="75" t="str">
        <x:v>Haugesund</x:v>
      </x:c>
      <x:c r="D1415" s="75" t="str">
        <x:v>RB Leipzig</x:v>
      </x:c>
      <x:c r="E1415" s="77" t="d">
        <x:v>2026-08-20T00:00:00.000Z</x:v>
      </x:c>
      <x:c r="F1415" s="75" t="str">
        <x:v>summer</x:v>
      </x:c>
      <x:c r="G1415" s="75" t="str">
        <x:v>Defender — source label</x:v>
      </x:c>
      <x:c r="H1415" s="79"/>
      <x:c r="I1415" s="75" t="str">
        <x:v>GBP</x:v>
      </x:c>
      <x:c r="J1415" s="81"/>
      <x:c r="K1415" s="83"/>
      <x:c r="L1415" s="75" t="str">
        <x:v>Evidence needed</x:v>
      </x:c>
      <x:c r="M1415" s="75" t="str">
        <x:v>Buyer-specific role, production, availability, signing age and total fee evidence are needed before assigning a deal-value score.</x:v>
      </x:c>
      <x:c r="N1415" s="75" t="str">
        <x:v>Not assessed</x:v>
      </x:c>
      <x:c r="O1415" s="75" t="str">
        <x:v>Source broad position and transfer quote only; detailed role and buyer-specific production not validated.</x:v>
      </x:c>
      <x:c r="P1415" s="75" t="str">
        <x:v>https://www.theguardian.com/football/ng-interactive/2026/sep/01/mens-transfer-window-summer-2026-all-deals-from-europes-top-five-leagues</x:v>
      </x:c>
    </x:row>
    <x:row r="1416" ht="25" customHeight="1">
      <x:c r="A1416" s="69" t="str">
        <x:v>summer-S26-1047</x:v>
      </x:c>
      <x:c r="B1416" s="69" t="str">
        <x:v>João Cancelo</x:v>
      </x:c>
      <x:c r="C1416" s="69" t="str">
        <x:v>Barcelona</x:v>
      </x:c>
      <x:c r="D1416" s="69" t="str">
        <x:v>Al-Hilal</x:v>
      </x:c>
      <x:c r="E1416" s="76" t="d">
        <x:v>2026-08-20T00:00:00.000Z</x:v>
      </x:c>
      <x:c r="F1416" s="69" t="str">
        <x:v>summer</x:v>
      </x:c>
      <x:c r="G1416" s="69" t="str">
        <x:v>Defender — source label</x:v>
      </x:c>
      <x:c r="H1416" s="78"/>
      <x:c r="I1416" s="69" t="str">
        <x:v>GBP</x:v>
      </x:c>
      <x:c r="J1416" s="80"/>
      <x:c r="K1416" s="82"/>
      <x:c r="L1416" s="69" t="str">
        <x:v>Evidence needed</x:v>
      </x:c>
      <x:c r="M1416" s="69" t="str">
        <x:v>Buyer-specific role, production, availability, signing age and total fee evidence are needed before assigning a deal-value score. A zero base fee does not represent wages or signing costs.</x:v>
      </x:c>
      <x:c r="N1416" s="69" t="str">
        <x:v>Not assessed</x:v>
      </x:c>
      <x:c r="O1416" s="69" t="str">
        <x:v>Source broad position and transfer quote only; detailed role and buyer-specific production not validated.</x:v>
      </x:c>
      <x:c r="P1416" s="69" t="str">
        <x:v>https://www.theguardian.com/football/ng-interactive/2026/sep/01/mens-transfer-window-summer-2026-all-deals-from-europes-top-five-leagues</x:v>
      </x:c>
    </x:row>
    <x:row r="1417" ht="25" customHeight="1">
      <x:c r="A1417" s="75" t="str">
        <x:v>summer-S26-1049</x:v>
      </x:c>
      <x:c r="B1417" s="75" t="str">
        <x:v>Pablo Maffeo</x:v>
      </x:c>
      <x:c r="C1417" s="75" t="str">
        <x:v>Valencia</x:v>
      </x:c>
      <x:c r="D1417" s="75" t="str">
        <x:v>Olympiakos</x:v>
      </x:c>
      <x:c r="E1417" s="77" t="d">
        <x:v>2026-08-20T00:00:00.000Z</x:v>
      </x:c>
      <x:c r="F1417" s="75" t="str">
        <x:v>summer</x:v>
      </x:c>
      <x:c r="G1417" s="75" t="str">
        <x:v>Defender — source label</x:v>
      </x:c>
      <x:c r="H1417" s="79"/>
      <x:c r="I1417" s="75" t="str">
        <x:v>GBP</x:v>
      </x:c>
      <x:c r="J1417" s="81"/>
      <x:c r="K1417" s="83"/>
      <x:c r="L1417" s="75" t="str">
        <x:v>Evidence needed</x:v>
      </x:c>
      <x:c r="M1417" s="75" t="str">
        <x:v>Buyer-specific role, production, availability, signing age and total fee evidence are needed before assigning a deal-value score. Loan/swap costs must be treated separately.</x:v>
      </x:c>
      <x:c r="N1417" s="75" t="str">
        <x:v>Not assessed</x:v>
      </x:c>
      <x:c r="O1417" s="75" t="str">
        <x:v>Source broad position and transfer quote only; detailed role and buyer-specific production not validated.</x:v>
      </x:c>
      <x:c r="P1417" s="75" t="str">
        <x:v>https://www.theguardian.com/football/ng-interactive/2026/sep/01/mens-transfer-window-summer-2026-all-deals-from-europes-top-five-leagues</x:v>
      </x:c>
    </x:row>
    <x:row r="1418" ht="25" customHeight="1">
      <x:c r="A1418" s="69" t="str">
        <x:v>summer-S26-1051</x:v>
      </x:c>
      <x:c r="B1418" s="69" t="str">
        <x:v>Aaron Wan-Bissaka</x:v>
      </x:c>
      <x:c r="C1418" s="69" t="str">
        <x:v>Aston Villa</x:v>
      </x:c>
      <x:c r="D1418" s="69" t="str">
        <x:v>West Ham United</x:v>
      </x:c>
      <x:c r="E1418" s="76" t="d">
        <x:v>2026-08-21T00:00:00.000Z</x:v>
      </x:c>
      <x:c r="F1418" s="69" t="str">
        <x:v>summer</x:v>
      </x:c>
      <x:c r="G1418" s="69" t="str">
        <x:v>Defender — source label</x:v>
      </x:c>
      <x:c r="H1418" s="78"/>
      <x:c r="I1418" s="69" t="str">
        <x:v>GBP</x:v>
      </x:c>
      <x:c r="J1418" s="80"/>
      <x:c r="K1418" s="82"/>
      <x:c r="L1418" s="69" t="str">
        <x:v>Evidence needed</x:v>
      </x:c>
      <x:c r="M1418" s="69" t="str">
        <x:v>Buyer-specific role, production, availability, signing age and total fee evidence are needed before assigning a deal-value score. Loan/swap costs must be treated separately.</x:v>
      </x:c>
      <x:c r="N1418" s="69" t="str">
        <x:v>Not assessed</x:v>
      </x:c>
      <x:c r="O1418" s="69" t="str">
        <x:v>Source broad position and transfer quote only; detailed role and buyer-specific production not validated.</x:v>
      </x:c>
      <x:c r="P1418" s="69" t="str">
        <x:v>https://www.theguardian.com/football/ng-interactive/2026/sep/01/mens-transfer-window-summer-2026-all-deals-from-europes-top-five-leagues</x:v>
      </x:c>
    </x:row>
    <x:row r="1419" ht="25" customHeight="1">
      <x:c r="A1419" s="75" t="str">
        <x:v>summer-S26-1053</x:v>
      </x:c>
      <x:c r="B1419" s="75" t="str">
        <x:v>Dan Bentley</x:v>
      </x:c>
      <x:c r="C1419" s="75" t="str">
        <x:v>Coventry City</x:v>
      </x:c>
      <x:c r="D1419" s="75" t="str">
        <x:v>Wolverhampton Wanderers</x:v>
      </x:c>
      <x:c r="E1419" s="77" t="d">
        <x:v>2026-08-21T00:00:00.000Z</x:v>
      </x:c>
      <x:c r="F1419" s="75" t="str">
        <x:v>summer</x:v>
      </x:c>
      <x:c r="G1419" s="75" t="str">
        <x:v>Goalkeeper — source label</x:v>
      </x:c>
      <x:c r="H1419" s="79"/>
      <x:c r="I1419" s="75" t="str">
        <x:v>GBP</x:v>
      </x:c>
      <x:c r="J1419" s="81"/>
      <x:c r="K1419" s="83"/>
      <x:c r="L1419" s="75" t="str">
        <x:v>Evidence needed</x:v>
      </x:c>
      <x:c r="M1419" s="75" t="str">
        <x:v>Buyer-specific shot-stopping, distribution, aerial command, sweeping, signing age and total fee evidence are needed before scoring.</x:v>
      </x:c>
      <x:c r="N1419" s="75" t="str">
        <x:v>Not assessed</x:v>
      </x:c>
      <x:c r="O1419" s="75" t="str">
        <x:v>Source broad position and transfer quote only; detailed role and buyer-specific production not validated.</x:v>
      </x:c>
      <x:c r="P1419" s="75" t="str">
        <x:v>https://www.theguardian.com/football/ng-interactive/2026/sep/01/mens-transfer-window-summer-2026-all-deals-from-europes-top-five-leagues</x:v>
      </x:c>
    </x:row>
    <x:row r="1420" ht="25" customHeight="1">
      <x:c r="A1420" s="69" t="str">
        <x:v>summer-S26-1054</x:v>
      </x:c>
      <x:c r="B1420" s="69" t="str">
        <x:v>Ben Johnson</x:v>
      </x:c>
      <x:c r="C1420" s="69" t="str">
        <x:v>Stoke City</x:v>
      </x:c>
      <x:c r="D1420" s="69" t="str">
        <x:v>Ipswich Town</x:v>
      </x:c>
      <x:c r="E1420" s="76" t="d">
        <x:v>2026-08-21T00:00:00.000Z</x:v>
      </x:c>
      <x:c r="F1420" s="69" t="str">
        <x:v>summer</x:v>
      </x:c>
      <x:c r="G1420" s="69" t="str">
        <x:v>Defender — source label</x:v>
      </x:c>
      <x:c r="H1420" s="78"/>
      <x:c r="I1420" s="69" t="str">
        <x:v>GBP</x:v>
      </x:c>
      <x:c r="J1420" s="80"/>
      <x:c r="K1420" s="82"/>
      <x:c r="L1420" s="69" t="str">
        <x:v>Evidence needed</x:v>
      </x:c>
      <x:c r="M1420" s="69" t="str">
        <x:v>Buyer-specific role, production, availability, signing age and total fee evidence are needed before assigning a deal-value score. Loan/swap costs must be treated separately.</x:v>
      </x:c>
      <x:c r="N1420" s="69" t="str">
        <x:v>Not assessed</x:v>
      </x:c>
      <x:c r="O1420" s="69" t="str">
        <x:v>Source broad position and transfer quote only; detailed role and buyer-specific production not validated.</x:v>
      </x:c>
      <x:c r="P1420" s="69" t="str">
        <x:v>https://www.theguardian.com/football/ng-interactive/2026/sep/01/mens-transfer-window-summer-2026-all-deals-from-europes-top-five-leagues</x:v>
      </x:c>
    </x:row>
    <x:row r="1421" ht="25" customHeight="1">
      <x:c r="A1421" s="75" t="str">
        <x:v>summer-S26-1057</x:v>
      </x:c>
      <x:c r="B1421" s="75" t="str">
        <x:v>Karim Coulibaly</x:v>
      </x:c>
      <x:c r="C1421" s="75" t="str">
        <x:v>Strasbourg</x:v>
      </x:c>
      <x:c r="D1421" s="75" t="str">
        <x:v>Werder Bremen</x:v>
      </x:c>
      <x:c r="E1421" s="77" t="d">
        <x:v>2026-08-21T00:00:00.000Z</x:v>
      </x:c>
      <x:c r="F1421" s="75" t="str">
        <x:v>summer</x:v>
      </x:c>
      <x:c r="G1421" s="75" t="str">
        <x:v>Defender — source label</x:v>
      </x:c>
      <x:c r="H1421" s="79" t="n">
        <x:v>17100000</x:v>
      </x:c>
      <x:c r="I1421" s="75" t="str">
        <x:v>GBP</x:v>
      </x:c>
      <x:c r="J1421" s="81"/>
      <x:c r="K1421" s="83"/>
      <x:c r="L1421" s="75" t="str">
        <x:v>Evidence needed</x:v>
      </x:c>
      <x:c r="M1421" s="75" t="str">
        <x:v>Buyer-specific role, production, availability, signing age and total fee evidence are needed before assigning a deal-value score.</x:v>
      </x:c>
      <x:c r="N1421" s="75" t="str">
        <x:v>Not assessed</x:v>
      </x:c>
      <x:c r="O1421" s="75" t="str">
        <x:v>Source broad position and transfer quote only; detailed role and buyer-specific production not validated.</x:v>
      </x:c>
      <x:c r="P1421" s="75" t="str">
        <x:v>https://www.theguardian.com/football/ng-interactive/2026/sep/01/mens-transfer-window-summer-2026-all-deals-from-europes-top-five-leagues</x:v>
      </x:c>
    </x:row>
    <x:row r="1422" ht="25" customHeight="1">
      <x:c r="A1422" s="69" t="str">
        <x:v>summer-S26-1059</x:v>
      </x:c>
      <x:c r="B1422" s="69" t="str">
        <x:v>Luke Harris</x:v>
      </x:c>
      <x:c r="C1422" s="69" t="str">
        <x:v>Wigan Athletic</x:v>
      </x:c>
      <x:c r="D1422" s="69" t="str">
        <x:v>Fulham</x:v>
      </x:c>
      <x:c r="E1422" s="76" t="d">
        <x:v>2026-08-21T00:00:00.000Z</x:v>
      </x:c>
      <x:c r="F1422" s="69" t="str">
        <x:v>summer</x:v>
      </x:c>
      <x:c r="G1422" s="69" t="str">
        <x:v>Midfielder — source label</x:v>
      </x:c>
      <x:c r="H1422" s="78"/>
      <x:c r="I1422" s="69" t="str">
        <x:v>GBP</x:v>
      </x:c>
      <x:c r="J1422" s="80"/>
      <x:c r="K1422" s="82"/>
      <x:c r="L1422" s="69" t="str">
        <x:v>Evidence needed</x:v>
      </x:c>
      <x:c r="M1422" s="69" t="str">
        <x:v>Buyer-specific role, production, availability, signing age and total fee evidence are needed before assigning a deal-value score. Loan/swap costs must be treated separately.</x:v>
      </x:c>
      <x:c r="N1422" s="69" t="str">
        <x:v>Not assessed</x:v>
      </x:c>
      <x:c r="O1422" s="69" t="str">
        <x:v>Source broad position and transfer quote only; detailed role and buyer-specific production not validated.</x:v>
      </x:c>
      <x:c r="P1422" s="69" t="str">
        <x:v>https://www.theguardian.com/football/ng-interactive/2026/sep/01/mens-transfer-window-summer-2026-all-deals-from-europes-top-five-leagues</x:v>
      </x:c>
    </x:row>
    <x:row r="1423" ht="25" customHeight="1">
      <x:c r="A1423" s="75" t="str">
        <x:v>summer-S26-1060</x:v>
      </x:c>
      <x:c r="B1423" s="75" t="str">
        <x:v>Elias Jelert</x:v>
      </x:c>
      <x:c r="C1423" s="75" t="str">
        <x:v>Le Havre</x:v>
      </x:c>
      <x:c r="D1423" s="75" t="str">
        <x:v>Galatasaray</x:v>
      </x:c>
      <x:c r="E1423" s="77" t="d">
        <x:v>2026-08-21T00:00:00.000Z</x:v>
      </x:c>
      <x:c r="F1423" s="75" t="str">
        <x:v>summer</x:v>
      </x:c>
      <x:c r="G1423" s="75" t="str">
        <x:v>Defender — source label</x:v>
      </x:c>
      <x:c r="H1423" s="79"/>
      <x:c r="I1423" s="75" t="str">
        <x:v>GBP</x:v>
      </x:c>
      <x:c r="J1423" s="81"/>
      <x:c r="K1423" s="83"/>
      <x:c r="L1423" s="75" t="str">
        <x:v>Evidence needed</x:v>
      </x:c>
      <x:c r="M1423" s="75" t="str">
        <x:v>Buyer-specific role, production, availability, signing age and total fee evidence are needed before assigning a deal-value score. Loan/swap costs must be treated separately.</x:v>
      </x:c>
      <x:c r="N1423" s="75" t="str">
        <x:v>Not assessed</x:v>
      </x:c>
      <x:c r="O1423" s="75" t="str">
        <x:v>Source broad position and transfer quote only; detailed role and buyer-specific production not validated.</x:v>
      </x:c>
      <x:c r="P1423" s="75" t="str">
        <x:v>https://www.theguardian.com/football/ng-interactive/2026/sep/01/mens-transfer-window-summer-2026-all-deals-from-europes-top-five-leagues</x:v>
      </x:c>
    </x:row>
    <x:row r="1424" ht="25" customHeight="1">
      <x:c r="A1424" s="69" t="str">
        <x:v>summer-S26-1061</x:v>
      </x:c>
      <x:c r="B1424" s="69" t="str">
        <x:v>Curtis Jones</x:v>
      </x:c>
      <x:c r="C1424" s="69" t="str">
        <x:v>Inter</x:v>
      </x:c>
      <x:c r="D1424" s="69" t="str">
        <x:v>Liverpool</x:v>
      </x:c>
      <x:c r="E1424" s="76" t="d">
        <x:v>2026-08-21T00:00:00.000Z</x:v>
      </x:c>
      <x:c r="F1424" s="69" t="str">
        <x:v>summer</x:v>
      </x:c>
      <x:c r="G1424" s="69" t="str">
        <x:v>Midfielder — source label</x:v>
      </x:c>
      <x:c r="H1424" s="78" t="n">
        <x:v>25700000</x:v>
      </x:c>
      <x:c r="I1424" s="69" t="str">
        <x:v>GBP</x:v>
      </x:c>
      <x:c r="J1424" s="80"/>
      <x:c r="K1424" s="82"/>
      <x:c r="L1424" s="69" t="str">
        <x:v>Evidence needed</x:v>
      </x:c>
      <x:c r="M1424" s="69" t="str">
        <x:v>Buyer-specific role, production, availability, signing age and total fee evidence are needed before assigning a deal-value score.</x:v>
      </x:c>
      <x:c r="N1424" s="69" t="str">
        <x:v>Not assessed</x:v>
      </x:c>
      <x:c r="O1424" s="69" t="str">
        <x:v>Source broad position and transfer quote only; detailed role and buyer-specific production not validated.</x:v>
      </x:c>
      <x:c r="P1424" s="69" t="str">
        <x:v>https://www.theguardian.com/football/ng-interactive/2026/sep/01/mens-transfer-window-summer-2026-all-deals-from-europes-top-five-leagues</x:v>
      </x:c>
    </x:row>
    <x:row r="1425" ht="25" customHeight="1">
      <x:c r="A1425" s="75" t="str">
        <x:v>summer-S26-1063</x:v>
      </x:c>
      <x:c r="B1425" s="75" t="str">
        <x:v>Dermane Karim</x:v>
      </x:c>
      <x:c r="C1425" s="75" t="str">
        <x:v>Troyes</x:v>
      </x:c>
      <x:c r="D1425" s="75" t="str">
        <x:v>Lommel SK</x:v>
      </x:c>
      <x:c r="E1425" s="77" t="d">
        <x:v>2026-08-21T00:00:00.000Z</x:v>
      </x:c>
      <x:c r="F1425" s="75" t="str">
        <x:v>summer</x:v>
      </x:c>
      <x:c r="G1425" s="75" t="str">
        <x:v>Midfielder — source label</x:v>
      </x:c>
      <x:c r="H1425" s="79"/>
      <x:c r="I1425" s="75" t="str">
        <x:v>GBP</x:v>
      </x:c>
      <x:c r="J1425" s="81"/>
      <x:c r="K1425" s="83"/>
      <x:c r="L1425" s="75" t="str">
        <x:v>Evidence needed</x:v>
      </x:c>
      <x:c r="M1425" s="75" t="str">
        <x:v>Buyer-specific role, production, availability, signing age and total fee evidence are needed before assigning a deal-value score.</x:v>
      </x:c>
      <x:c r="N1425" s="75" t="str">
        <x:v>Not assessed</x:v>
      </x:c>
      <x:c r="O1425" s="75" t="str">
        <x:v>Source broad position and transfer quote only; detailed role and buyer-specific production not validated.</x:v>
      </x:c>
      <x:c r="P1425" s="75" t="str">
        <x:v>https://www.theguardian.com/football/ng-interactive/2026/sep/01/mens-transfer-window-summer-2026-all-deals-from-europes-top-five-leagues</x:v>
      </x:c>
    </x:row>
    <x:row r="1426" ht="25" customHeight="1">
      <x:c r="A1426" s="69" t="str">
        <x:v>summer-S26-1064</x:v>
      </x:c>
      <x:c r="B1426" s="69" t="str">
        <x:v>Dayann Méthalie</x:v>
      </x:c>
      <x:c r="C1426" s="69" t="str">
        <x:v>Sunderland</x:v>
      </x:c>
      <x:c r="D1426" s="69" t="str">
        <x:v>Toulouse</x:v>
      </x:c>
      <x:c r="E1426" s="76" t="d">
        <x:v>2026-08-21T00:00:00.000Z</x:v>
      </x:c>
      <x:c r="F1426" s="69" t="str">
        <x:v>summer</x:v>
      </x:c>
      <x:c r="G1426" s="69" t="str">
        <x:v>Defender — source label</x:v>
      </x:c>
      <x:c r="H1426" s="78" t="n">
        <x:v>24000000</x:v>
      </x:c>
      <x:c r="I1426" s="69" t="str">
        <x:v>GBP</x:v>
      </x:c>
      <x:c r="J1426" s="80"/>
      <x:c r="K1426" s="82"/>
      <x:c r="L1426" s="69" t="str">
        <x:v>Evidence needed</x:v>
      </x:c>
      <x:c r="M1426" s="69" t="str">
        <x:v>Buyer-specific role, production, availability, signing age and total fee evidence are needed before assigning a deal-value score.</x:v>
      </x:c>
      <x:c r="N1426" s="69" t="str">
        <x:v>Not assessed</x:v>
      </x:c>
      <x:c r="O1426" s="69" t="str">
        <x:v>Source broad position and transfer quote only; detailed role and buyer-specific production not validated.</x:v>
      </x:c>
      <x:c r="P1426" s="69" t="str">
        <x:v>https://www.theguardian.com/football/ng-interactive/2026/sep/01/mens-transfer-window-summer-2026-all-deals-from-europes-top-five-leagues</x:v>
      </x:c>
    </x:row>
    <x:row r="1427" ht="25" customHeight="1">
      <x:c r="A1427" s="75" t="str">
        <x:v>summer-S26-1065</x:v>
      </x:c>
      <x:c r="B1427" s="75" t="str">
        <x:v>Alessandro Circati</x:v>
      </x:c>
      <x:c r="C1427" s="75" t="str">
        <x:v>Benfica</x:v>
      </x:c>
      <x:c r="D1427" s="75" t="str">
        <x:v>Parma</x:v>
      </x:c>
      <x:c r="E1427" s="77" t="d">
        <x:v>2026-08-19T00:00:00.000Z</x:v>
      </x:c>
      <x:c r="F1427" s="75" t="str">
        <x:v>summer</x:v>
      </x:c>
      <x:c r="G1427" s="75" t="str">
        <x:v>Defender — source label</x:v>
      </x:c>
      <x:c r="H1427" s="79" t="n">
        <x:v>17100000</x:v>
      </x:c>
      <x:c r="I1427" s="75" t="str">
        <x:v>GBP</x:v>
      </x:c>
      <x:c r="J1427" s="81"/>
      <x:c r="K1427" s="83"/>
      <x:c r="L1427" s="75" t="str">
        <x:v>Evidence needed</x:v>
      </x:c>
      <x:c r="M1427" s="75" t="str">
        <x:v>Buyer-specific role, production, availability, signing age and total fee evidence are needed before assigning a deal-value score.</x:v>
      </x:c>
      <x:c r="N1427" s="75" t="str">
        <x:v>Not assessed</x:v>
      </x:c>
      <x:c r="O1427" s="75" t="str">
        <x:v>Source broad position and transfer quote only; detailed role and buyer-specific production not validated.</x:v>
      </x:c>
      <x:c r="P1427" s="75" t="str">
        <x:v>https://www.theguardian.com/football/ng-interactive/2026/sep/01/mens-transfer-window-summer-2026-all-deals-from-europes-top-five-leagues</x:v>
      </x:c>
    </x:row>
    <x:row r="1428" ht="25" customHeight="1">
      <x:c r="A1428" s="69" t="str">
        <x:v>summer-S26-1066</x:v>
      </x:c>
      <x:c r="B1428" s="69" t="str">
        <x:v>Benoît Badiashile</x:v>
      </x:c>
      <x:c r="C1428" s="69" t="str">
        <x:v>Napoli</x:v>
      </x:c>
      <x:c r="D1428" s="69" t="str">
        <x:v>Chelsea</x:v>
      </x:c>
      <x:c r="E1428" s="76" t="d">
        <x:v>2026-08-22T00:00:00.000Z</x:v>
      </x:c>
      <x:c r="F1428" s="69" t="str">
        <x:v>summer</x:v>
      </x:c>
      <x:c r="G1428" s="69" t="str">
        <x:v>Defender — source label</x:v>
      </x:c>
      <x:c r="H1428" s="78"/>
      <x:c r="I1428" s="69" t="str">
        <x:v>GBP</x:v>
      </x:c>
      <x:c r="J1428" s="80"/>
      <x:c r="K1428" s="82"/>
      <x:c r="L1428" s="69" t="str">
        <x:v>Evidence needed</x:v>
      </x:c>
      <x:c r="M1428" s="69" t="str">
        <x:v>Buyer-specific role, production, availability, signing age and total fee evidence are needed before assigning a deal-value score. Loan/swap costs must be treated separately.</x:v>
      </x:c>
      <x:c r="N1428" s="69" t="str">
        <x:v>Not assessed</x:v>
      </x:c>
      <x:c r="O1428" s="69" t="str">
        <x:v>Source broad position and transfer quote only; detailed role and buyer-specific production not validated.</x:v>
      </x:c>
      <x:c r="P1428" s="69" t="str">
        <x:v>https://www.theguardian.com/football/ng-interactive/2026/sep/01/mens-transfer-window-summer-2026-all-deals-from-europes-top-five-leagues</x:v>
      </x:c>
    </x:row>
    <x:row r="1429" ht="25" customHeight="1">
      <x:c r="A1429" s="75" t="str">
        <x:v>summer-S26-1067</x:v>
      </x:c>
      <x:c r="B1429" s="75" t="str">
        <x:v>Ifeanyi Ndukwe</x:v>
      </x:c>
      <x:c r="C1429" s="75" t="str">
        <x:v>Liverpool</x:v>
      </x:c>
      <x:c r="D1429" s="75" t="str">
        <x:v>Austria Vienna</x:v>
      </x:c>
      <x:c r="E1429" s="77" t="d">
        <x:v>2026-08-17T00:00:00.000Z</x:v>
      </x:c>
      <x:c r="F1429" s="75" t="str">
        <x:v>summer</x:v>
      </x:c>
      <x:c r="G1429" s="75" t="str">
        <x:v>Defender — source label</x:v>
      </x:c>
      <x:c r="H1429" s="79"/>
      <x:c r="I1429" s="75" t="str">
        <x:v>GBP</x:v>
      </x:c>
      <x:c r="J1429" s="81"/>
      <x:c r="K1429" s="83"/>
      <x:c r="L1429" s="75" t="str">
        <x:v>Evidence needed</x:v>
      </x:c>
      <x:c r="M1429" s="75" t="str">
        <x:v>Buyer-specific role, production, availability, signing age and total fee evidence are needed before assigning a deal-value score.</x:v>
      </x:c>
      <x:c r="N1429" s="75" t="str">
        <x:v>Not assessed</x:v>
      </x:c>
      <x:c r="O1429" s="75" t="str">
        <x:v>Source broad position and transfer quote only; detailed role and buyer-specific production not validated.</x:v>
      </x:c>
      <x:c r="P1429" s="75" t="str">
        <x:v>https://www.theguardian.com/football/ng-interactive/2026/sep/01/mens-transfer-window-summer-2026-all-deals-from-europes-top-five-leagues</x:v>
      </x:c>
    </x:row>
    <x:row r="1430" ht="25" customHeight="1">
      <x:c r="A1430" s="69" t="str">
        <x:v>summer-S26-1068</x:v>
      </x:c>
      <x:c r="B1430" s="69" t="str">
        <x:v>Ifeanyi Ndukwe</x:v>
      </x:c>
      <x:c r="C1430" s="69" t="str">
        <x:v>Levante</x:v>
      </x:c>
      <x:c r="D1430" s="69" t="str">
        <x:v>Liverpool</x:v>
      </x:c>
      <x:c r="E1430" s="76" t="d">
        <x:v>2026-08-22T00:00:00.000Z</x:v>
      </x:c>
      <x:c r="F1430" s="69" t="str">
        <x:v>summer</x:v>
      </x:c>
      <x:c r="G1430" s="69" t="str">
        <x:v>Defender — source label</x:v>
      </x:c>
      <x:c r="H1430" s="78"/>
      <x:c r="I1430" s="69" t="str">
        <x:v>GBP</x:v>
      </x:c>
      <x:c r="J1430" s="80"/>
      <x:c r="K1430" s="82"/>
      <x:c r="L1430" s="69" t="str">
        <x:v>Evidence needed</x:v>
      </x:c>
      <x:c r="M1430" s="69" t="str">
        <x:v>Buyer-specific role, production, availability, signing age and total fee evidence are needed before assigning a deal-value score. Loan/swap costs must be treated separately.</x:v>
      </x:c>
      <x:c r="N1430" s="69" t="str">
        <x:v>Not assessed</x:v>
      </x:c>
      <x:c r="O1430" s="69" t="str">
        <x:v>Source broad position and transfer quote only; detailed role and buyer-specific production not validated.</x:v>
      </x:c>
      <x:c r="P1430" s="69" t="str">
        <x:v>https://www.theguardian.com/football/ng-interactive/2026/sep/01/mens-transfer-window-summer-2026-all-deals-from-europes-top-five-leagues</x:v>
      </x:c>
    </x:row>
    <x:row r="1431" ht="25" customHeight="1">
      <x:c r="A1431" s="75" t="str">
        <x:v>summer-S26-1069</x:v>
      </x:c>
      <x:c r="B1431" s="75" t="str">
        <x:v>Josip Sutalo</x:v>
      </x:c>
      <x:c r="C1431" s="75" t="str">
        <x:v>Lazio</x:v>
      </x:c>
      <x:c r="D1431" s="75" t="str">
        <x:v>Ajax</x:v>
      </x:c>
      <x:c r="E1431" s="77" t="d">
        <x:v>2026-08-22T00:00:00.000Z</x:v>
      </x:c>
      <x:c r="F1431" s="75" t="str">
        <x:v>summer</x:v>
      </x:c>
      <x:c r="G1431" s="75" t="str">
        <x:v>Defender — source label</x:v>
      </x:c>
      <x:c r="H1431" s="79"/>
      <x:c r="I1431" s="75" t="str">
        <x:v>GBP</x:v>
      </x:c>
      <x:c r="J1431" s="81"/>
      <x:c r="K1431" s="83"/>
      <x:c r="L1431" s="75" t="str">
        <x:v>Evidence needed</x:v>
      </x:c>
      <x:c r="M1431" s="75" t="str">
        <x:v>Buyer-specific role, production, availability, signing age and total fee evidence are needed before assigning a deal-value score. Loan/swap costs must be treated separately.</x:v>
      </x:c>
      <x:c r="N1431" s="75" t="str">
        <x:v>Not assessed</x:v>
      </x:c>
      <x:c r="O1431" s="75" t="str">
        <x:v>Source broad position and transfer quote only; detailed role and buyer-specific production not validated.</x:v>
      </x:c>
      <x:c r="P1431" s="75" t="str">
        <x:v>https://www.theguardian.com/football/ng-interactive/2026/sep/01/mens-transfer-window-summer-2026-all-deals-from-europes-top-five-leagues</x:v>
      </x:c>
    </x:row>
    <x:row r="1432" ht="25" customHeight="1">
      <x:c r="A1432" s="69" t="str">
        <x:v>summer-S26-1070</x:v>
      </x:c>
      <x:c r="B1432" s="69" t="str">
        <x:v>Eljif Elmas</x:v>
      </x:c>
      <x:c r="C1432" s="69" t="str">
        <x:v>Atalanta</x:v>
      </x:c>
      <x:c r="D1432" s="69" t="str">
        <x:v>RB Leipzig</x:v>
      </x:c>
      <x:c r="E1432" s="76" t="d">
        <x:v>2026-08-22T00:00:00.000Z</x:v>
      </x:c>
      <x:c r="F1432" s="69" t="str">
        <x:v>summer</x:v>
      </x:c>
      <x:c r="G1432" s="69" t="str">
        <x:v>Midfielder — source label</x:v>
      </x:c>
      <x:c r="H1432" s="78"/>
      <x:c r="I1432" s="69" t="str">
        <x:v>GBP</x:v>
      </x:c>
      <x:c r="J1432" s="80"/>
      <x:c r="K1432" s="82"/>
      <x:c r="L1432" s="69" t="str">
        <x:v>Evidence needed</x:v>
      </x:c>
      <x:c r="M1432" s="69" t="str">
        <x:v>Buyer-specific role, production, availability, signing age and total fee evidence are needed before assigning a deal-value score. Loan/swap costs must be treated separately.</x:v>
      </x:c>
      <x:c r="N1432" s="69" t="str">
        <x:v>Not assessed</x:v>
      </x:c>
      <x:c r="O1432" s="69" t="str">
        <x:v>Source broad position and transfer quote only; detailed role and buyer-specific production not validated.</x:v>
      </x:c>
      <x:c r="P1432" s="69" t="str">
        <x:v>https://www.theguardian.com/football/ng-interactive/2026/sep/01/mens-transfer-window-summer-2026-all-deals-from-europes-top-five-leagues</x:v>
      </x:c>
    </x:row>
    <x:row r="1433" ht="25" customHeight="1">
      <x:c r="A1433" s="75" t="str">
        <x:v>summer-S26-1071</x:v>
      </x:c>
      <x:c r="B1433" s="75" t="str">
        <x:v>Mihailo Ristic</x:v>
      </x:c>
      <x:c r="C1433" s="75" t="str">
        <x:v>Red Star Belgrade</x:v>
      </x:c>
      <x:c r="D1433" s="75" t="str">
        <x:v>Celta Vigo</x:v>
      </x:c>
      <x:c r="E1433" s="77" t="d">
        <x:v>2026-08-22T00:00:00.000Z</x:v>
      </x:c>
      <x:c r="F1433" s="75" t="str">
        <x:v>summer</x:v>
      </x:c>
      <x:c r="G1433" s="75" t="str">
        <x:v>Midfielder — source label</x:v>
      </x:c>
      <x:c r="H1433" s="79"/>
      <x:c r="I1433" s="75" t="str">
        <x:v>GBP</x:v>
      </x:c>
      <x:c r="J1433" s="81"/>
      <x:c r="K1433" s="83"/>
      <x:c r="L1433" s="75" t="str">
        <x:v>Evidence needed</x:v>
      </x:c>
      <x:c r="M1433" s="75" t="str">
        <x:v>Buyer-specific role, production, availability, signing age and total fee evidence are needed before assigning a deal-value score. A zero base fee does not represent wages or signing costs.</x:v>
      </x:c>
      <x:c r="N1433" s="75" t="str">
        <x:v>Not assessed</x:v>
      </x:c>
      <x:c r="O1433" s="75" t="str">
        <x:v>Source broad position and transfer quote only; detailed role and buyer-specific production not validated.</x:v>
      </x:c>
      <x:c r="P1433" s="75" t="str">
        <x:v>https://www.theguardian.com/football/ng-interactive/2026/sep/01/mens-transfer-window-summer-2026-all-deals-from-europes-top-five-leagues</x:v>
      </x:c>
    </x:row>
    <x:row r="1434" ht="25" customHeight="1">
      <x:c r="A1434" s="69" t="str">
        <x:v>summer-S26-1072</x:v>
      </x:c>
      <x:c r="B1434" s="69" t="str">
        <x:v>Abdoulaye Camara</x:v>
      </x:c>
      <x:c r="C1434" s="69" t="str">
        <x:v>Ajax</x:v>
      </x:c>
      <x:c r="D1434" s="69" t="str">
        <x:v>Udinese</x:v>
      </x:c>
      <x:c r="E1434" s="76" t="d">
        <x:v>2026-08-22T00:00:00.000Z</x:v>
      </x:c>
      <x:c r="F1434" s="69" t="str">
        <x:v>summer</x:v>
      </x:c>
      <x:c r="G1434" s="69" t="str">
        <x:v>Midfielder — source label</x:v>
      </x:c>
      <x:c r="H1434" s="78"/>
      <x:c r="I1434" s="69" t="str">
        <x:v>GBP</x:v>
      </x:c>
      <x:c r="J1434" s="80"/>
      <x:c r="K1434" s="82"/>
      <x:c r="L1434" s="69" t="str">
        <x:v>Evidence needed</x:v>
      </x:c>
      <x:c r="M1434" s="69" t="str">
        <x:v>Buyer-specific role, production, availability, signing age and total fee evidence are needed before assigning a deal-value score. Loan/swap costs must be treated separately.</x:v>
      </x:c>
      <x:c r="N1434" s="69" t="str">
        <x:v>Not assessed</x:v>
      </x:c>
      <x:c r="O1434" s="69" t="str">
        <x:v>Source broad position and transfer quote only; detailed role and buyer-specific production not validated.</x:v>
      </x:c>
      <x:c r="P1434" s="69" t="str">
        <x:v>https://www.theguardian.com/football/ng-interactive/2026/sep/01/mens-transfer-window-summer-2026-all-deals-from-europes-top-five-leagues</x:v>
      </x:c>
    </x:row>
    <x:row r="1435" ht="25" customHeight="1">
      <x:c r="A1435" s="75" t="str">
        <x:v>summer-S26-1073</x:v>
      </x:c>
      <x:c r="B1435" s="75" t="str">
        <x:v>Miguel Rubio</x:v>
      </x:c>
      <x:c r="C1435" s="75" t="str">
        <x:v>Real Valladolid</x:v>
      </x:c>
      <x:c r="D1435" s="75" t="str">
        <x:v>Espanyol</x:v>
      </x:c>
      <x:c r="E1435" s="77" t="d">
        <x:v>2026-08-22T00:00:00.000Z</x:v>
      </x:c>
      <x:c r="F1435" s="75" t="str">
        <x:v>summer</x:v>
      </x:c>
      <x:c r="G1435" s="75" t="str">
        <x:v>Defender — source label</x:v>
      </x:c>
      <x:c r="H1435" s="79"/>
      <x:c r="I1435" s="75" t="str">
        <x:v>GBP</x:v>
      </x:c>
      <x:c r="J1435" s="81"/>
      <x:c r="K1435" s="83"/>
      <x:c r="L1435" s="75" t="str">
        <x:v>Evidence needed</x:v>
      </x:c>
      <x:c r="M1435" s="75" t="str">
        <x:v>Buyer-specific role, production, availability, signing age and total fee evidence are needed before assigning a deal-value score. A zero base fee does not represent wages or signing costs.</x:v>
      </x:c>
      <x:c r="N1435" s="75" t="str">
        <x:v>Not assessed</x:v>
      </x:c>
      <x:c r="O1435" s="75" t="str">
        <x:v>Source broad position and transfer quote only; detailed role and buyer-specific production not validated.</x:v>
      </x:c>
      <x:c r="P1435" s="75" t="str">
        <x:v>https://www.theguardian.com/football/ng-interactive/2026/sep/01/mens-transfer-window-summer-2026-all-deals-from-europes-top-five-leagues</x:v>
      </x:c>
    </x:row>
    <x:row r="1436" ht="25" customHeight="1">
      <x:c r="A1436" s="69" t="str">
        <x:v>summer-S26-1074</x:v>
      </x:c>
      <x:c r="B1436" s="69" t="str">
        <x:v>Manuel Fernández</x:v>
      </x:c>
      <x:c r="C1436" s="69" t="str">
        <x:v>Cádiz</x:v>
      </x:c>
      <x:c r="D1436" s="69" t="str">
        <x:v>Celta Vigo</x:v>
      </x:c>
      <x:c r="E1436" s="76" t="d">
        <x:v>2026-08-21T00:00:00.000Z</x:v>
      </x:c>
      <x:c r="F1436" s="69" t="str">
        <x:v>summer</x:v>
      </x:c>
      <x:c r="G1436" s="69" t="str">
        <x:v>Defender — source label</x:v>
      </x:c>
      <x:c r="H1436" s="78"/>
      <x:c r="I1436" s="69" t="str">
        <x:v>GBP</x:v>
      </x:c>
      <x:c r="J1436" s="80"/>
      <x:c r="K1436" s="82"/>
      <x:c r="L1436" s="69" t="str">
        <x:v>Evidence needed</x:v>
      </x:c>
      <x:c r="M1436" s="69" t="str">
        <x:v>Buyer-specific role, production, availability, signing age and total fee evidence are needed before assigning a deal-value score. A zero base fee does not represent wages or signing costs.</x:v>
      </x:c>
      <x:c r="N1436" s="69" t="str">
        <x:v>Not assessed</x:v>
      </x:c>
      <x:c r="O1436" s="69" t="str">
        <x:v>Source broad position and transfer quote only; detailed role and buyer-specific production not validated.</x:v>
      </x:c>
      <x:c r="P1436" s="69" t="str">
        <x:v>https://www.theguardian.com/football/ng-interactive/2026/sep/01/mens-transfer-window-summer-2026-all-deals-from-europes-top-five-leagues</x:v>
      </x:c>
    </x:row>
    <x:row r="1437" ht="25" customHeight="1">
      <x:c r="A1437" s="75" t="str">
        <x:v>summer-S26-1075</x:v>
      </x:c>
      <x:c r="B1437" s="75" t="str">
        <x:v>Pablo Martínez</x:v>
      </x:c>
      <x:c r="C1437" s="75" t="str">
        <x:v>Málaga</x:v>
      </x:c>
      <x:c r="D1437" s="75" t="str">
        <x:v>Levante</x:v>
      </x:c>
      <x:c r="E1437" s="77" t="d">
        <x:v>2026-08-21T00:00:00.000Z</x:v>
      </x:c>
      <x:c r="F1437" s="75" t="str">
        <x:v>summer</x:v>
      </x:c>
      <x:c r="G1437" s="75" t="str">
        <x:v>Midfielder — source label</x:v>
      </x:c>
      <x:c r="H1437" s="79"/>
      <x:c r="I1437" s="75" t="str">
        <x:v>GBP</x:v>
      </x:c>
      <x:c r="J1437" s="81"/>
      <x:c r="K1437" s="83"/>
      <x:c r="L1437" s="75" t="str">
        <x:v>Evidence needed</x:v>
      </x:c>
      <x:c r="M1437" s="75" t="str">
        <x:v>Buyer-specific role, production, availability, signing age and total fee evidence are needed before assigning a deal-value score. A zero base fee does not represent wages or signing costs.</x:v>
      </x:c>
      <x:c r="N1437" s="75" t="str">
        <x:v>Not assessed</x:v>
      </x:c>
      <x:c r="O1437" s="75" t="str">
        <x:v>Source broad position and transfer quote only; detailed role and buyer-specific production not validated.</x:v>
      </x:c>
      <x:c r="P1437" s="75" t="str">
        <x:v>https://www.theguardian.com/football/ng-interactive/2026/sep/01/mens-transfer-window-summer-2026-all-deals-from-europes-top-five-leagues</x:v>
      </x:c>
    </x:row>
    <x:row r="1438" ht="25" customHeight="1">
      <x:c r="A1438" s="69" t="str">
        <x:v>summer-S26-1076</x:v>
      </x:c>
      <x:c r="B1438" s="69" t="str">
        <x:v>Fedde Leysen</x:v>
      </x:c>
      <x:c r="C1438" s="69" t="str">
        <x:v>Sassuolo</x:v>
      </x:c>
      <x:c r="D1438" s="69" t="str">
        <x:v>Union St-Gilloise</x:v>
      </x:c>
      <x:c r="E1438" s="76" t="d">
        <x:v>2026-08-21T00:00:00.000Z</x:v>
      </x:c>
      <x:c r="F1438" s="69" t="str">
        <x:v>summer</x:v>
      </x:c>
      <x:c r="G1438" s="69" t="str">
        <x:v>Defender — source label</x:v>
      </x:c>
      <x:c r="H1438" s="78"/>
      <x:c r="I1438" s="69" t="str">
        <x:v>GBP</x:v>
      </x:c>
      <x:c r="J1438" s="80"/>
      <x:c r="K1438" s="82"/>
      <x:c r="L1438" s="69" t="str">
        <x:v>Evidence needed</x:v>
      </x:c>
      <x:c r="M1438" s="69" t="str">
        <x:v>Buyer-specific role, production, availability, signing age and total fee evidence are needed before assigning a deal-value score. Loan/swap costs must be treated separately.</x:v>
      </x:c>
      <x:c r="N1438" s="69" t="str">
        <x:v>Not assessed</x:v>
      </x:c>
      <x:c r="O1438" s="69" t="str">
        <x:v>Source broad position and transfer quote only; detailed role and buyer-specific production not validated.</x:v>
      </x:c>
      <x:c r="P1438" s="69" t="str">
        <x:v>https://www.theguardian.com/football/ng-interactive/2026/sep/01/mens-transfer-window-summer-2026-all-deals-from-europes-top-five-leagues</x:v>
      </x:c>
    </x:row>
    <x:row r="1439" ht="25" customHeight="1">
      <x:c r="A1439" s="75" t="str">
        <x:v>summer-S26-1077</x:v>
      </x:c>
      <x:c r="B1439" s="75" t="str">
        <x:v>Tommy Marqués</x:v>
      </x:c>
      <x:c r="C1439" s="75" t="str">
        <x:v>Braga</x:v>
      </x:c>
      <x:c r="D1439" s="75" t="str">
        <x:v>Barcelona</x:v>
      </x:c>
      <x:c r="E1439" s="77" t="d">
        <x:v>2026-08-20T00:00:00.000Z</x:v>
      </x:c>
      <x:c r="F1439" s="75" t="str">
        <x:v>summer</x:v>
      </x:c>
      <x:c r="G1439" s="75" t="str">
        <x:v>Midfielder — source label</x:v>
      </x:c>
      <x:c r="H1439" s="79"/>
      <x:c r="I1439" s="75" t="str">
        <x:v>GBP</x:v>
      </x:c>
      <x:c r="J1439" s="81"/>
      <x:c r="K1439" s="83"/>
      <x:c r="L1439" s="75" t="str">
        <x:v>Evidence needed</x:v>
      </x:c>
      <x:c r="M1439" s="75" t="str">
        <x:v>Buyer-specific role, production, availability, signing age and total fee evidence are needed before assigning a deal-value score.</x:v>
      </x:c>
      <x:c r="N1439" s="75" t="str">
        <x:v>Not assessed</x:v>
      </x:c>
      <x:c r="O1439" s="75" t="str">
        <x:v>Source broad position and transfer quote only; detailed role and buyer-specific production not validated.</x:v>
      </x:c>
      <x:c r="P1439" s="75" t="str">
        <x:v>https://www.theguardian.com/football/ng-interactive/2026/sep/01/mens-transfer-window-summer-2026-all-deals-from-europes-top-five-leagues</x:v>
      </x:c>
    </x:row>
    <x:row r="1440" ht="25" customHeight="1">
      <x:c r="A1440" s="69" t="str">
        <x:v>summer-S26-1078</x:v>
      </x:c>
      <x:c r="B1440" s="69" t="str">
        <x:v>Lutsharel Geertruida</x:v>
      </x:c>
      <x:c r="C1440" s="69" t="str">
        <x:v>PSV Eindhoven</x:v>
      </x:c>
      <x:c r="D1440" s="69" t="str">
        <x:v>RB Leipzig</x:v>
      </x:c>
      <x:c r="E1440" s="76" t="d">
        <x:v>2026-08-21T00:00:00.000Z</x:v>
      </x:c>
      <x:c r="F1440" s="69" t="str">
        <x:v>summer</x:v>
      </x:c>
      <x:c r="G1440" s="69" t="str">
        <x:v>Defender — source label</x:v>
      </x:c>
      <x:c r="H1440" s="78"/>
      <x:c r="I1440" s="69" t="str">
        <x:v>GBP</x:v>
      </x:c>
      <x:c r="J1440" s="80"/>
      <x:c r="K1440" s="82"/>
      <x:c r="L1440" s="69" t="str">
        <x:v>Evidence needed</x:v>
      </x:c>
      <x:c r="M1440" s="69" t="str">
        <x:v>Buyer-specific role, production, availability, signing age and total fee evidence are needed before assigning a deal-value score. Loan/swap costs must be treated separately.</x:v>
      </x:c>
      <x:c r="N1440" s="69" t="str">
        <x:v>Not assessed</x:v>
      </x:c>
      <x:c r="O1440" s="69" t="str">
        <x:v>Source broad position and transfer quote only; detailed role and buyer-specific production not validated.</x:v>
      </x:c>
      <x:c r="P1440" s="69" t="str">
        <x:v>https://www.theguardian.com/football/ng-interactive/2026/sep/01/mens-transfer-window-summer-2026-all-deals-from-europes-top-five-leagues</x:v>
      </x:c>
    </x:row>
    <x:row r="1441" ht="25" customHeight="1">
      <x:c r="A1441" s="75" t="str">
        <x:v>summer-S26-1079</x:v>
      </x:c>
      <x:c r="B1441" s="75" t="str">
        <x:v>Iván Martín</x:v>
      </x:c>
      <x:c r="C1441" s="75" t="str">
        <x:v>Racing Santander</x:v>
      </x:c>
      <x:c r="D1441" s="75" t="str">
        <x:v>Girona</x:v>
      </x:c>
      <x:c r="E1441" s="77" t="d">
        <x:v>2026-08-20T00:00:00.000Z</x:v>
      </x:c>
      <x:c r="F1441" s="75" t="str">
        <x:v>summer</x:v>
      </x:c>
      <x:c r="G1441" s="75" t="str">
        <x:v>Midfielder — source label</x:v>
      </x:c>
      <x:c r="H1441" s="79" t="n">
        <x:v>2570000</x:v>
      </x:c>
      <x:c r="I1441" s="75" t="str">
        <x:v>GBP</x:v>
      </x:c>
      <x:c r="J1441" s="81"/>
      <x:c r="K1441" s="83"/>
      <x:c r="L1441" s="75" t="str">
        <x:v>Evidence needed</x:v>
      </x:c>
      <x:c r="M1441" s="75" t="str">
        <x:v>Buyer-specific role, production, availability, signing age and total fee evidence are needed before assigning a deal-value score.</x:v>
      </x:c>
      <x:c r="N1441" s="75" t="str">
        <x:v>Not assessed</x:v>
      </x:c>
      <x:c r="O1441" s="75" t="str">
        <x:v>Source broad position and transfer quote only; detailed role and buyer-specific production not validated.</x:v>
      </x:c>
      <x:c r="P1441" s="75" t="str">
        <x:v>https://www.theguardian.com/football/ng-interactive/2026/sep/01/mens-transfer-window-summer-2026-all-deals-from-europes-top-five-leagues</x:v>
      </x:c>
    </x:row>
    <x:row r="1442" ht="25" customHeight="1">
      <x:c r="A1442" s="69" t="str">
        <x:v>summer-S26-1082</x:v>
      </x:c>
      <x:c r="B1442" s="69" t="str">
        <x:v>Josh Stephenson</x:v>
      </x:c>
      <x:c r="C1442" s="69" t="str">
        <x:v>Crewe</x:v>
      </x:c>
      <x:c r="D1442" s="69" t="str">
        <x:v>Brentford</x:v>
      </x:c>
      <x:c r="E1442" s="76" t="d">
        <x:v>2026-08-21T00:00:00.000Z</x:v>
      </x:c>
      <x:c r="F1442" s="69" t="str">
        <x:v>summer</x:v>
      </x:c>
      <x:c r="G1442" s="69" t="str">
        <x:v>Defender — source label</x:v>
      </x:c>
      <x:c r="H1442" s="78"/>
      <x:c r="I1442" s="69" t="str">
        <x:v>GBP</x:v>
      </x:c>
      <x:c r="J1442" s="80"/>
      <x:c r="K1442" s="82"/>
      <x:c r="L1442" s="69" t="str">
        <x:v>Evidence needed</x:v>
      </x:c>
      <x:c r="M1442" s="69" t="str">
        <x:v>Buyer-specific role, production, availability, signing age and total fee evidence are needed before assigning a deal-value score. Loan/swap costs must be treated separately.</x:v>
      </x:c>
      <x:c r="N1442" s="69" t="str">
        <x:v>Not assessed</x:v>
      </x:c>
      <x:c r="O1442" s="69" t="str">
        <x:v>Source broad position and transfer quote only; detailed role and buyer-specific production not validated.</x:v>
      </x:c>
      <x:c r="P1442" s="69" t="str">
        <x:v>https://www.theguardian.com/football/ng-interactive/2026/sep/01/mens-transfer-window-summer-2026-all-deals-from-europes-top-five-leagues</x:v>
      </x:c>
    </x:row>
    <x:row r="1443" ht="25" customHeight="1">
      <x:c r="A1443" s="75" t="str">
        <x:v>summer-S26-1083</x:v>
      </x:c>
      <x:c r="B1443" s="75" t="str">
        <x:v>Omar Richards</x:v>
      </x:c>
      <x:c r="C1443" s="75" t="str">
        <x:v>Aris Saloniki</x:v>
      </x:c>
      <x:c r="D1443" s="75" t="str">
        <x:v>Nottingham Forest</x:v>
      </x:c>
      <x:c r="E1443" s="77" t="d">
        <x:v>2026-08-21T00:00:00.000Z</x:v>
      </x:c>
      <x:c r="F1443" s="75" t="str">
        <x:v>summer</x:v>
      </x:c>
      <x:c r="G1443" s="75" t="str">
        <x:v>Defender — source label</x:v>
      </x:c>
      <x:c r="H1443" s="79"/>
      <x:c r="I1443" s="75" t="str">
        <x:v>GBP</x:v>
      </x:c>
      <x:c r="J1443" s="81"/>
      <x:c r="K1443" s="83"/>
      <x:c r="L1443" s="75" t="str">
        <x:v>Evidence needed</x:v>
      </x:c>
      <x:c r="M1443" s="75" t="str">
        <x:v>Buyer-specific role, production, availability, signing age and total fee evidence are needed before assigning a deal-value score.</x:v>
      </x:c>
      <x:c r="N1443" s="75" t="str">
        <x:v>Not assessed</x:v>
      </x:c>
      <x:c r="O1443" s="75" t="str">
        <x:v>Source broad position and transfer quote only; detailed role and buyer-specific production not validated.</x:v>
      </x:c>
      <x:c r="P1443" s="75" t="str">
        <x:v>https://www.theguardian.com/football/ng-interactive/2026/sep/01/mens-transfer-window-summer-2026-all-deals-from-europes-top-five-leagues</x:v>
      </x:c>
    </x:row>
    <x:row r="1444" ht="25" customHeight="1">
      <x:c r="A1444" s="69" t="str">
        <x:v>summer-S26-1085</x:v>
      </x:c>
      <x:c r="B1444" s="69" t="str">
        <x:v>Giorgi Kochorashvili</x:v>
      </x:c>
      <x:c r="C1444" s="69" t="str">
        <x:v>Sevilla</x:v>
      </x:c>
      <x:c r="D1444" s="69" t="str">
        <x:v>Sporting</x:v>
      </x:c>
      <x:c r="E1444" s="76" t="d">
        <x:v>2026-08-21T00:00:00.000Z</x:v>
      </x:c>
      <x:c r="F1444" s="69" t="str">
        <x:v>summer</x:v>
      </x:c>
      <x:c r="G1444" s="69" t="str">
        <x:v>Midfielder — source label</x:v>
      </x:c>
      <x:c r="H1444" s="78" t="n">
        <x:v>3900000</x:v>
      </x:c>
      <x:c r="I1444" s="69" t="str">
        <x:v>GBP</x:v>
      </x:c>
      <x:c r="J1444" s="80"/>
      <x:c r="K1444" s="82"/>
      <x:c r="L1444" s="69" t="str">
        <x:v>Evidence needed</x:v>
      </x:c>
      <x:c r="M1444" s="69" t="str">
        <x:v>Buyer-specific role, production, availability, signing age and total fee evidence are needed before assigning a deal-value score.</x:v>
      </x:c>
      <x:c r="N1444" s="69" t="str">
        <x:v>Not assessed</x:v>
      </x:c>
      <x:c r="O1444" s="69" t="str">
        <x:v>Source broad position and transfer quote only; detailed role and buyer-specific production not validated.</x:v>
      </x:c>
      <x:c r="P1444" s="69" t="str">
        <x:v>https://www.theguardian.com/football/ng-interactive/2026/sep/01/mens-transfer-window-summer-2026-all-deals-from-europes-top-five-leagues</x:v>
      </x:c>
    </x:row>
    <x:row r="1445" ht="25" customHeight="1">
      <x:c r="A1445" s="75" t="str">
        <x:v>summer-S26-1087</x:v>
      </x:c>
      <x:c r="B1445" s="75" t="str">
        <x:v>Jeyland Mitchell</x:v>
      </x:c>
      <x:c r="C1445" s="75" t="str">
        <x:v>Strasbourg</x:v>
      </x:c>
      <x:c r="D1445" s="75" t="str">
        <x:v>Sturm Graz</x:v>
      </x:c>
      <x:c r="E1445" s="77" t="d">
        <x:v>2026-08-19T00:00:00.000Z</x:v>
      </x:c>
      <x:c r="F1445" s="75" t="str">
        <x:v>summer</x:v>
      </x:c>
      <x:c r="G1445" s="75" t="str">
        <x:v>Defender — source label</x:v>
      </x:c>
      <x:c r="H1445" s="79" t="n">
        <x:v>6900000</x:v>
      </x:c>
      <x:c r="I1445" s="75" t="str">
        <x:v>GBP</x:v>
      </x:c>
      <x:c r="J1445" s="81"/>
      <x:c r="K1445" s="83"/>
      <x:c r="L1445" s="75" t="str">
        <x:v>Evidence needed</x:v>
      </x:c>
      <x:c r="M1445" s="75" t="str">
        <x:v>Buyer-specific role, production, availability, signing age and total fee evidence are needed before assigning a deal-value score.</x:v>
      </x:c>
      <x:c r="N1445" s="75" t="str">
        <x:v>Not assessed</x:v>
      </x:c>
      <x:c r="O1445" s="75" t="str">
        <x:v>Source broad position and transfer quote only; detailed role and buyer-specific production not validated.</x:v>
      </x:c>
      <x:c r="P1445" s="75" t="str">
        <x:v>https://www.theguardian.com/football/ng-interactive/2026/sep/01/mens-transfer-window-summer-2026-all-deals-from-europes-top-five-leagues</x:v>
      </x:c>
    </x:row>
    <x:row r="1446" ht="25" customHeight="1">
      <x:c r="A1446" s="69" t="str">
        <x:v>summer-S26-1088</x:v>
      </x:c>
      <x:c r="B1446" s="69" t="str">
        <x:v>Juanpe Jiménez</x:v>
      </x:c>
      <x:c r="C1446" s="69" t="str">
        <x:v>Gamba Osaka</x:v>
      </x:c>
      <x:c r="D1446" s="69" t="str">
        <x:v>Málaga</x:v>
      </x:c>
      <x:c r="E1446" s="76" t="d">
        <x:v>2026-08-23T00:00:00.000Z</x:v>
      </x:c>
      <x:c r="F1446" s="69" t="str">
        <x:v>summer</x:v>
      </x:c>
      <x:c r="G1446" s="69" t="str">
        <x:v>Midfielder — source label</x:v>
      </x:c>
      <x:c r="H1446" s="78"/>
      <x:c r="I1446" s="69" t="str">
        <x:v>GBP</x:v>
      </x:c>
      <x:c r="J1446" s="80"/>
      <x:c r="K1446" s="82"/>
      <x:c r="L1446" s="69" t="str">
        <x:v>Evidence needed</x:v>
      </x:c>
      <x:c r="M1446" s="69" t="str">
        <x:v>Buyer-specific role, production, availability, signing age and total fee evidence are needed before assigning a deal-value score.</x:v>
      </x:c>
      <x:c r="N1446" s="69" t="str">
        <x:v>Not assessed</x:v>
      </x:c>
      <x:c r="O1446" s="69" t="str">
        <x:v>Source broad position and transfer quote only; detailed role and buyer-specific production not validated.</x:v>
      </x:c>
      <x:c r="P1446" s="69" t="str">
        <x:v>https://www.theguardian.com/football/ng-interactive/2026/sep/01/mens-transfer-window-summer-2026-all-deals-from-europes-top-five-leagues</x:v>
      </x:c>
    </x:row>
    <x:row r="1447" ht="25" customHeight="1">
      <x:c r="A1447" s="75" t="str">
        <x:v>summer-S26-1092</x:v>
      </x:c>
      <x:c r="B1447" s="75" t="str">
        <x:v>Manu Fernández</x:v>
      </x:c>
      <x:c r="C1447" s="75" t="str">
        <x:v>Cádiz</x:v>
      </x:c>
      <x:c r="D1447" s="75" t="str">
        <x:v>Celta Vigo</x:v>
      </x:c>
      <x:c r="E1447" s="77" t="d">
        <x:v>2026-08-21T00:00:00.000Z</x:v>
      </x:c>
      <x:c r="F1447" s="75" t="str">
        <x:v>summer</x:v>
      </x:c>
      <x:c r="G1447" s="75" t="str">
        <x:v>Defender — source label</x:v>
      </x:c>
      <x:c r="H1447" s="79"/>
      <x:c r="I1447" s="75" t="str">
        <x:v>GBP</x:v>
      </x:c>
      <x:c r="J1447" s="81"/>
      <x:c r="K1447" s="83"/>
      <x:c r="L1447" s="75" t="str">
        <x:v>Evidence needed</x:v>
      </x:c>
      <x:c r="M1447" s="75" t="str">
        <x:v>Buyer-specific role, production, availability, signing age and total fee evidence are needed before assigning a deal-value score.</x:v>
      </x:c>
      <x:c r="N1447" s="75" t="str">
        <x:v>Not assessed</x:v>
      </x:c>
      <x:c r="O1447" s="75" t="str">
        <x:v>Source broad position and transfer quote only; detailed role and buyer-specific production not validated.</x:v>
      </x:c>
      <x:c r="P1447" s="75" t="str">
        <x:v>https://www.theguardian.com/football/ng-interactive/2026/sep/01/mens-transfer-window-summer-2026-all-deals-from-europes-top-five-leagues</x:v>
      </x:c>
    </x:row>
    <x:row r="1448" ht="25" customHeight="1">
      <x:c r="A1448" s="69" t="str">
        <x:v>summer-S26-1093</x:v>
      </x:c>
      <x:c r="B1448" s="69" t="str">
        <x:v>Aron Yaakobishvili</x:v>
      </x:c>
      <x:c r="C1448" s="69" t="str">
        <x:v>Almería</x:v>
      </x:c>
      <x:c r="D1448" s="69" t="str">
        <x:v>Barcelona</x:v>
      </x:c>
      <x:c r="E1448" s="76" t="d">
        <x:v>2026-08-20T00:00:00.000Z</x:v>
      </x:c>
      <x:c r="F1448" s="69" t="str">
        <x:v>summer</x:v>
      </x:c>
      <x:c r="G1448" s="69" t="str">
        <x:v>Goalkeeper — source label</x:v>
      </x:c>
      <x:c r="H1448" s="78"/>
      <x:c r="I1448" s="69" t="str">
        <x:v>GBP</x:v>
      </x:c>
      <x:c r="J1448" s="80"/>
      <x:c r="K1448" s="82"/>
      <x:c r="L1448" s="69" t="str">
        <x:v>Evidence needed</x:v>
      </x:c>
      <x:c r="M1448" s="69" t="str">
        <x:v>Buyer-specific shot-stopping, distribution, aerial command, sweeping, signing age and total fee evidence are needed before scoring. Loan/swap costs must be treated separately.</x:v>
      </x:c>
      <x:c r="N1448" s="69" t="str">
        <x:v>Not assessed</x:v>
      </x:c>
      <x:c r="O1448" s="69" t="str">
        <x:v>Source broad position and transfer quote only; detailed role and buyer-specific production not validated.</x:v>
      </x:c>
      <x:c r="P1448" s="69" t="str">
        <x:v>https://www.theguardian.com/football/ng-interactive/2026/sep/01/mens-transfer-window-summer-2026-all-deals-from-europes-top-five-leagues</x:v>
      </x:c>
    </x:row>
    <x:row r="1449" ht="25" customHeight="1">
      <x:c r="A1449" s="75" t="str">
        <x:v>summer-S26-1094</x:v>
      </x:c>
      <x:c r="B1449" s="75" t="str">
        <x:v>Dani Budesca</x:v>
      </x:c>
      <x:c r="C1449" s="75" t="str">
        <x:v>Córdoba</x:v>
      </x:c>
      <x:c r="D1449" s="75" t="str">
        <x:v>Villarreal</x:v>
      </x:c>
      <x:c r="E1449" s="77" t="d">
        <x:v>2026-08-19T00:00:00.000Z</x:v>
      </x:c>
      <x:c r="F1449" s="75" t="str">
        <x:v>summer</x:v>
      </x:c>
      <x:c r="G1449" s="75" t="str">
        <x:v>Defender — source label</x:v>
      </x:c>
      <x:c r="H1449" s="79"/>
      <x:c r="I1449" s="75" t="str">
        <x:v>GBP</x:v>
      </x:c>
      <x:c r="J1449" s="81"/>
      <x:c r="K1449" s="83"/>
      <x:c r="L1449" s="75" t="str">
        <x:v>Evidence needed</x:v>
      </x:c>
      <x:c r="M1449" s="75" t="str">
        <x:v>Buyer-specific role, production, availability, signing age and total fee evidence are needed before assigning a deal-value score. Loan/swap costs must be treated separately.</x:v>
      </x:c>
      <x:c r="N1449" s="75" t="str">
        <x:v>Not assessed</x:v>
      </x:c>
      <x:c r="O1449" s="75" t="str">
        <x:v>Source broad position and transfer quote only; detailed role and buyer-specific production not validated.</x:v>
      </x:c>
      <x:c r="P1449" s="75" t="str">
        <x:v>https://www.theguardian.com/football/ng-interactive/2026/sep/01/mens-transfer-window-summer-2026-all-deals-from-europes-top-five-leagues</x:v>
      </x:c>
    </x:row>
    <x:row r="1450" ht="25" customHeight="1">
      <x:c r="A1450" s="69" t="str">
        <x:v>summer-S26-1095</x:v>
      </x:c>
      <x:c r="B1450" s="69" t="str">
        <x:v>Moussa Diarra</x:v>
      </x:c>
      <x:c r="C1450" s="69" t="str">
        <x:v>Al-Wahda</x:v>
      </x:c>
      <x:c r="D1450" s="69" t="str">
        <x:v>Alavés</x:v>
      </x:c>
      <x:c r="E1450" s="76" t="d">
        <x:v>2026-08-19T00:00:00.000Z</x:v>
      </x:c>
      <x:c r="F1450" s="69" t="str">
        <x:v>summer</x:v>
      </x:c>
      <x:c r="G1450" s="69" t="str">
        <x:v>Defender — source label</x:v>
      </x:c>
      <x:c r="H1450" s="78" t="n">
        <x:v>1000000</x:v>
      </x:c>
      <x:c r="I1450" s="69" t="str">
        <x:v>GBP</x:v>
      </x:c>
      <x:c r="J1450" s="80"/>
      <x:c r="K1450" s="82"/>
      <x:c r="L1450" s="69" t="str">
        <x:v>Evidence needed</x:v>
      </x:c>
      <x:c r="M1450" s="69" t="str">
        <x:v>Buyer-specific role, production, availability, signing age and total fee evidence are needed before assigning a deal-value score.</x:v>
      </x:c>
      <x:c r="N1450" s="69" t="str">
        <x:v>Not assessed</x:v>
      </x:c>
      <x:c r="O1450" s="69" t="str">
        <x:v>Source broad position and transfer quote only; detailed role and buyer-specific production not validated.</x:v>
      </x:c>
      <x:c r="P1450" s="69" t="str">
        <x:v>https://www.theguardian.com/football/ng-interactive/2026/sep/01/mens-transfer-window-summer-2026-all-deals-from-europes-top-five-leagues</x:v>
      </x:c>
    </x:row>
    <x:row r="1451" ht="25" customHeight="1">
      <x:c r="A1451" s="75" t="str">
        <x:v>summer-S26-1097</x:v>
      </x:c>
      <x:c r="B1451" s="75" t="str">
        <x:v>Rockson Yeboah</x:v>
      </x:c>
      <x:c r="C1451" s="75" t="str">
        <x:v>Osasuna</x:v>
      </x:c>
      <x:c r="D1451" s="75" t="str">
        <x:v>IFK Göteborg</x:v>
      </x:c>
      <x:c r="E1451" s="77" t="d">
        <x:v>2026-08-12T00:00:00.000Z</x:v>
      </x:c>
      <x:c r="F1451" s="75" t="str">
        <x:v>summer</x:v>
      </x:c>
      <x:c r="G1451" s="75" t="str">
        <x:v>Defender — source label</x:v>
      </x:c>
      <x:c r="H1451" s="79" t="n">
        <x:v>2600000</x:v>
      </x:c>
      <x:c r="I1451" s="75" t="str">
        <x:v>GBP</x:v>
      </x:c>
      <x:c r="J1451" s="81"/>
      <x:c r="K1451" s="83"/>
      <x:c r="L1451" s="75" t="str">
        <x:v>Evidence needed</x:v>
      </x:c>
      <x:c r="M1451" s="75" t="str">
        <x:v>Buyer-specific role, production, availability, signing age and total fee evidence are needed before assigning a deal-value score.</x:v>
      </x:c>
      <x:c r="N1451" s="75" t="str">
        <x:v>Not assessed</x:v>
      </x:c>
      <x:c r="O1451" s="75" t="str">
        <x:v>Source broad position and transfer quote only; detailed role and buyer-specific production not validated.</x:v>
      </x:c>
      <x:c r="P1451" s="75" t="str">
        <x:v>https://www.theguardian.com/football/ng-interactive/2026/sep/01/mens-transfer-window-summer-2026-all-deals-from-europes-top-five-leagues</x:v>
      </x:c>
    </x:row>
    <x:row r="1452" ht="25" customHeight="1">
      <x:c r="A1452" s="69" t="str">
        <x:v>summer-S26-1098</x:v>
      </x:c>
      <x:c r="B1452" s="69" t="str">
        <x:v>Jacob Devaney</x:v>
      </x:c>
      <x:c r="C1452" s="69" t="str">
        <x:v>Hibernian</x:v>
      </x:c>
      <x:c r="D1452" s="69" t="str">
        <x:v>Manchester United</x:v>
      </x:c>
      <x:c r="E1452" s="76" t="d">
        <x:v>2026-08-23T00:00:00.000Z</x:v>
      </x:c>
      <x:c r="F1452" s="69" t="str">
        <x:v>summer</x:v>
      </x:c>
      <x:c r="G1452" s="69" t="str">
        <x:v>Midfielder — source label</x:v>
      </x:c>
      <x:c r="H1452" s="78"/>
      <x:c r="I1452" s="69" t="str">
        <x:v>GBP</x:v>
      </x:c>
      <x:c r="J1452" s="80"/>
      <x:c r="K1452" s="82"/>
      <x:c r="L1452" s="69" t="str">
        <x:v>Evidence needed</x:v>
      </x:c>
      <x:c r="M1452" s="69" t="str">
        <x:v>Buyer-specific role, production, availability, signing age and total fee evidence are needed before assigning a deal-value score. Loan/swap costs must be treated separately.</x:v>
      </x:c>
      <x:c r="N1452" s="69" t="str">
        <x:v>Not assessed</x:v>
      </x:c>
      <x:c r="O1452" s="69" t="str">
        <x:v>Source broad position and transfer quote only; detailed role and buyer-specific production not validated.</x:v>
      </x:c>
      <x:c r="P1452" s="69" t="str">
        <x:v>https://www.theguardian.com/football/ng-interactive/2026/sep/01/mens-transfer-window-summer-2026-all-deals-from-europes-top-five-leagues</x:v>
      </x:c>
    </x:row>
    <x:row r="1453" ht="25" customHeight="1">
      <x:c r="A1453" s="75" t="str">
        <x:v>summer-S26-1099</x:v>
      </x:c>
      <x:c r="B1453" s="75" t="str">
        <x:v>Mofe Jemide</x:v>
      </x:c>
      <x:c r="C1453" s="75" t="str">
        <x:v>Alverca</x:v>
      </x:c>
      <x:c r="D1453" s="75" t="str">
        <x:v>Crystal Palace</x:v>
      </x:c>
      <x:c r="E1453" s="77" t="d">
        <x:v>2026-08-20T00:00:00.000Z</x:v>
      </x:c>
      <x:c r="F1453" s="75" t="str">
        <x:v>summer</x:v>
      </x:c>
      <x:c r="G1453" s="75" t="str">
        <x:v>Defender — source label</x:v>
      </x:c>
      <x:c r="H1453" s="79"/>
      <x:c r="I1453" s="75" t="str">
        <x:v>GBP</x:v>
      </x:c>
      <x:c r="J1453" s="81"/>
      <x:c r="K1453" s="83"/>
      <x:c r="L1453" s="75" t="str">
        <x:v>Evidence needed</x:v>
      </x:c>
      <x:c r="M1453" s="75" t="str">
        <x:v>Buyer-specific role, production, availability, signing age and total fee evidence are needed before assigning a deal-value score. Loan/swap costs must be treated separately.</x:v>
      </x:c>
      <x:c r="N1453" s="75" t="str">
        <x:v>Not assessed</x:v>
      </x:c>
      <x:c r="O1453" s="75" t="str">
        <x:v>Source broad position and transfer quote only; detailed role and buyer-specific production not validated.</x:v>
      </x:c>
      <x:c r="P1453" s="75" t="str">
        <x:v>https://www.theguardian.com/football/ng-interactive/2026/sep/01/mens-transfer-window-summer-2026-all-deals-from-europes-top-five-leagues</x:v>
      </x:c>
    </x:row>
    <x:row r="1454" ht="25" customHeight="1">
      <x:c r="A1454" s="69" t="str">
        <x:v>summer-S26-1100</x:v>
      </x:c>
      <x:c r="B1454" s="69" t="str">
        <x:v>Darwin Guagua</x:v>
      </x:c>
      <x:c r="C1454" s="69" t="str">
        <x:v>Brentford</x:v>
      </x:c>
      <x:c r="D1454" s="69" t="str">
        <x:v>Independiente del Valle</x:v>
      </x:c>
      <x:c r="E1454" s="76" t="d">
        <x:v>2026-08-15T00:00:00.000Z</x:v>
      </x:c>
      <x:c r="F1454" s="69" t="str">
        <x:v>summer</x:v>
      </x:c>
      <x:c r="G1454" s="69" t="str">
        <x:v>Midfielder — source label</x:v>
      </x:c>
      <x:c r="H1454" s="78"/>
      <x:c r="I1454" s="69" t="str">
        <x:v>GBP</x:v>
      </x:c>
      <x:c r="J1454" s="80"/>
      <x:c r="K1454" s="82"/>
      <x:c r="L1454" s="69" t="str">
        <x:v>Evidence needed</x:v>
      </x:c>
      <x:c r="M1454" s="69" t="str">
        <x:v>Buyer-specific role, production, availability, signing age and total fee evidence are needed before assigning a deal-value score.</x:v>
      </x:c>
      <x:c r="N1454" s="69" t="str">
        <x:v>Not assessed</x:v>
      </x:c>
      <x:c r="O1454" s="69" t="str">
        <x:v>Source broad position and transfer quote only; detailed role and buyer-specific production not validated.</x:v>
      </x:c>
      <x:c r="P1454" s="69" t="str">
        <x:v>https://www.theguardian.com/football/ng-interactive/2026/sep/01/mens-transfer-window-summer-2026-all-deals-from-europes-top-five-leagues</x:v>
      </x:c>
    </x:row>
    <x:row r="1455" ht="25" customHeight="1">
      <x:c r="A1455" s="75" t="str">
        <x:v>summer-S26-1101</x:v>
      </x:c>
      <x:c r="B1455" s="75" t="str">
        <x:v>Cathal McCarthy</x:v>
      </x:c>
      <x:c r="C1455" s="75" t="str">
        <x:v>Kilmarnock</x:v>
      </x:c>
      <x:c r="D1455" s="75" t="str">
        <x:v>Hull City</x:v>
      </x:c>
      <x:c r="E1455" s="77" t="d">
        <x:v>2026-08-18T00:00:00.000Z</x:v>
      </x:c>
      <x:c r="F1455" s="75" t="str">
        <x:v>summer</x:v>
      </x:c>
      <x:c r="G1455" s="75" t="str">
        <x:v>Defender — source label</x:v>
      </x:c>
      <x:c r="H1455" s="79"/>
      <x:c r="I1455" s="75" t="str">
        <x:v>GBP</x:v>
      </x:c>
      <x:c r="J1455" s="81"/>
      <x:c r="K1455" s="83"/>
      <x:c r="L1455" s="75" t="str">
        <x:v>Evidence needed</x:v>
      </x:c>
      <x:c r="M1455" s="75" t="str">
        <x:v>Buyer-specific role, production, availability, signing age and total fee evidence are needed before assigning a deal-value score. Loan/swap costs must be treated separately.</x:v>
      </x:c>
      <x:c r="N1455" s="75" t="str">
        <x:v>Not assessed</x:v>
      </x:c>
      <x:c r="O1455" s="75" t="str">
        <x:v>Source broad position and transfer quote only; detailed role and buyer-specific production not validated.</x:v>
      </x:c>
      <x:c r="P1455" s="75" t="str">
        <x:v>https://www.theguardian.com/football/ng-interactive/2026/sep/01/mens-transfer-window-summer-2026-all-deals-from-europes-top-five-leagues</x:v>
      </x:c>
    </x:row>
    <x:row r="1456" ht="25" customHeight="1">
      <x:c r="A1456" s="69" t="str">
        <x:v>summer-S26-1102</x:v>
      </x:c>
      <x:c r="B1456" s="69" t="str">
        <x:v>Tayo Adaramola</x:v>
      </x:c>
      <x:c r="C1456" s="69" t="str">
        <x:v>Cercle Brugge</x:v>
      </x:c>
      <x:c r="D1456" s="69" t="str">
        <x:v>Crystal Palace</x:v>
      </x:c>
      <x:c r="E1456" s="76" t="d">
        <x:v>2026-08-17T00:00:00.000Z</x:v>
      </x:c>
      <x:c r="F1456" s="69" t="str">
        <x:v>summer</x:v>
      </x:c>
      <x:c r="G1456" s="69" t="str">
        <x:v>Defender — source label</x:v>
      </x:c>
      <x:c r="H1456" s="78"/>
      <x:c r="I1456" s="69" t="str">
        <x:v>GBP</x:v>
      </x:c>
      <x:c r="J1456" s="80"/>
      <x:c r="K1456" s="82"/>
      <x:c r="L1456" s="69" t="str">
        <x:v>Evidence needed</x:v>
      </x:c>
      <x:c r="M1456" s="69" t="str">
        <x:v>Buyer-specific role, production, availability, signing age and total fee evidence are needed before assigning a deal-value score. Loan/swap costs must be treated separately.</x:v>
      </x:c>
      <x:c r="N1456" s="69" t="str">
        <x:v>Not assessed</x:v>
      </x:c>
      <x:c r="O1456" s="69" t="str">
        <x:v>Source broad position and transfer quote only; detailed role and buyer-specific production not validated.</x:v>
      </x:c>
      <x:c r="P1456" s="69" t="str">
        <x:v>https://www.theguardian.com/football/ng-interactive/2026/sep/01/mens-transfer-window-summer-2026-all-deals-from-europes-top-five-leagues</x:v>
      </x:c>
    </x:row>
    <x:row r="1457" ht="25" customHeight="1">
      <x:c r="A1457" s="75" t="str">
        <x:v>summer-S26-1105</x:v>
      </x:c>
      <x:c r="B1457" s="75" t="str">
        <x:v>Alberto Moreno</x:v>
      </x:c>
      <x:c r="C1457" s="75" t="str">
        <x:v>Mallorca</x:v>
      </x:c>
      <x:c r="D1457" s="75" t="str">
        <x:v>Como 1907</x:v>
      </x:c>
      <x:c r="E1457" s="77" t="d">
        <x:v>2026-08-24T00:00:00.000Z</x:v>
      </x:c>
      <x:c r="F1457" s="75" t="str">
        <x:v>summer</x:v>
      </x:c>
      <x:c r="G1457" s="75" t="str">
        <x:v>Defender — source label</x:v>
      </x:c>
      <x:c r="H1457" s="79"/>
      <x:c r="I1457" s="75" t="str">
        <x:v>GBP</x:v>
      </x:c>
      <x:c r="J1457" s="81"/>
      <x:c r="K1457" s="83"/>
      <x:c r="L1457" s="75" t="str">
        <x:v>Evidence needed</x:v>
      </x:c>
      <x:c r="M1457" s="75" t="str">
        <x:v>Buyer-specific role, production, availability, signing age and total fee evidence are needed before assigning a deal-value score. A zero base fee does not represent wages or signing costs.</x:v>
      </x:c>
      <x:c r="N1457" s="75" t="str">
        <x:v>Not assessed</x:v>
      </x:c>
      <x:c r="O1457" s="75" t="str">
        <x:v>Source broad position and transfer quote only; detailed role and buyer-specific production not validated.</x:v>
      </x:c>
      <x:c r="P1457" s="75" t="str">
        <x:v>https://www.theguardian.com/football/ng-interactive/2026/sep/01/mens-transfer-window-summer-2026-all-deals-from-europes-top-five-leagues</x:v>
      </x:c>
    </x:row>
    <x:row r="1458" ht="25" customHeight="1">
      <x:c r="A1458" s="69" t="str">
        <x:v>summer-S26-1106</x:v>
      </x:c>
      <x:c r="B1458" s="69" t="str">
        <x:v>Mads Valentin Pedersen</x:v>
      </x:c>
      <x:c r="C1458" s="69" t="str">
        <x:v>Hertha Berlin</x:v>
      </x:c>
      <x:c r="D1458" s="69" t="str">
        <x:v>Augsburg</x:v>
      </x:c>
      <x:c r="E1458" s="76" t="d">
        <x:v>2026-08-24T00:00:00.000Z</x:v>
      </x:c>
      <x:c r="F1458" s="69" t="str">
        <x:v>summer</x:v>
      </x:c>
      <x:c r="G1458" s="69" t="str">
        <x:v>Defender — source label</x:v>
      </x:c>
      <x:c r="H1458" s="78" t="n">
        <x:v>100000</x:v>
      </x:c>
      <x:c r="I1458" s="69" t="str">
        <x:v>GBP</x:v>
      </x:c>
      <x:c r="J1458" s="80"/>
      <x:c r="K1458" s="82"/>
      <x:c r="L1458" s="69" t="str">
        <x:v>Evidence needed</x:v>
      </x:c>
      <x:c r="M1458" s="69" t="str">
        <x:v>Buyer-specific role, production, availability, signing age and total fee evidence are needed before assigning a deal-value score.</x:v>
      </x:c>
      <x:c r="N1458" s="69" t="str">
        <x:v>Not assessed</x:v>
      </x:c>
      <x:c r="O1458" s="69" t="str">
        <x:v>Source broad position and transfer quote only; detailed role and buyer-specific production not validated.</x:v>
      </x:c>
      <x:c r="P1458" s="69" t="str">
        <x:v>https://www.theguardian.com/football/ng-interactive/2026/sep/01/mens-transfer-window-summer-2026-all-deals-from-europes-top-five-leagues</x:v>
      </x:c>
    </x:row>
    <x:row r="1459" ht="25" customHeight="1">
      <x:c r="A1459" s="75" t="str">
        <x:v>summer-S26-1107</x:v>
      </x:c>
      <x:c r="B1459" s="75" t="str">
        <x:v>Sam Byram</x:v>
      </x:c>
      <x:c r="C1459" s="75" t="str">
        <x:v>Middlesbrough</x:v>
      </x:c>
      <x:c r="D1459" s="75" t="str">
        <x:v>Leeds United</x:v>
      </x:c>
      <x:c r="E1459" s="77" t="d">
        <x:v>2026-08-24T00:00:00.000Z</x:v>
      </x:c>
      <x:c r="F1459" s="75" t="str">
        <x:v>summer</x:v>
      </x:c>
      <x:c r="G1459" s="75" t="str">
        <x:v>Defender — source label</x:v>
      </x:c>
      <x:c r="H1459" s="79"/>
      <x:c r="I1459" s="75" t="str">
        <x:v>GBP</x:v>
      </x:c>
      <x:c r="J1459" s="81"/>
      <x:c r="K1459" s="83"/>
      <x:c r="L1459" s="75" t="str">
        <x:v>Evidence needed</x:v>
      </x:c>
      <x:c r="M1459" s="75" t="str">
        <x:v>Buyer-specific role, production, availability, signing age and total fee evidence are needed before assigning a deal-value score. A zero base fee does not represent wages or signing costs.</x:v>
      </x:c>
      <x:c r="N1459" s="75" t="str">
        <x:v>Not assessed</x:v>
      </x:c>
      <x:c r="O1459" s="75" t="str">
        <x:v>Source broad position and transfer quote only; detailed role and buyer-specific production not validated.</x:v>
      </x:c>
      <x:c r="P1459" s="75" t="str">
        <x:v>https://www.theguardian.com/football/ng-interactive/2026/sep/01/mens-transfer-window-summer-2026-all-deals-from-europes-top-five-leagues</x:v>
      </x:c>
    </x:row>
    <x:row r="1460" ht="25" customHeight="1">
      <x:c r="A1460" s="69" t="str">
        <x:v>summer-S26-1108</x:v>
      </x:c>
      <x:c r="B1460" s="69" t="str">
        <x:v>Kayne van Oevelen</x:v>
      </x:c>
      <x:c r="C1460" s="69" t="str">
        <x:v>Valencia</x:v>
      </x:c>
      <x:c r="D1460" s="69" t="str">
        <x:v>Ipswich Town</x:v>
      </x:c>
      <x:c r="E1460" s="76" t="d">
        <x:v>2026-08-24T00:00:00.000Z</x:v>
      </x:c>
      <x:c r="F1460" s="69" t="str">
        <x:v>summer</x:v>
      </x:c>
      <x:c r="G1460" s="69" t="str">
        <x:v>Goalkeeper — source label</x:v>
      </x:c>
      <x:c r="H1460" s="78"/>
      <x:c r="I1460" s="69" t="str">
        <x:v>GBP</x:v>
      </x:c>
      <x:c r="J1460" s="80"/>
      <x:c r="K1460" s="82"/>
      <x:c r="L1460" s="69" t="str">
        <x:v>Evidence needed</x:v>
      </x:c>
      <x:c r="M1460" s="69" t="str">
        <x:v>Buyer-specific shot-stopping, distribution, aerial command, sweeping, signing age and total fee evidence are needed before scoring. Loan/swap costs must be treated separately.</x:v>
      </x:c>
      <x:c r="N1460" s="69" t="str">
        <x:v>Not assessed</x:v>
      </x:c>
      <x:c r="O1460" s="69" t="str">
        <x:v>Source broad position and transfer quote only; detailed role and buyer-specific production not validated.</x:v>
      </x:c>
      <x:c r="P1460" s="69" t="str">
        <x:v>https://www.theguardian.com/football/ng-interactive/2026/sep/01/mens-transfer-window-summer-2026-all-deals-from-europes-top-five-leagues</x:v>
      </x:c>
    </x:row>
    <x:row r="1461" ht="25" customHeight="1">
      <x:c r="A1461" s="75" t="str">
        <x:v>summer-S26-1111</x:v>
      </x:c>
      <x:c r="B1461" s="75" t="str">
        <x:v>Omari Kellyman</x:v>
      </x:c>
      <x:c r="C1461" s="75" t="str">
        <x:v>Strasbourg</x:v>
      </x:c>
      <x:c r="D1461" s="75" t="str">
        <x:v>Chelsea</x:v>
      </x:c>
      <x:c r="E1461" s="77" t="d">
        <x:v>2026-08-25T00:00:00.000Z</x:v>
      </x:c>
      <x:c r="F1461" s="75" t="str">
        <x:v>summer</x:v>
      </x:c>
      <x:c r="G1461" s="75" t="str">
        <x:v>Midfielder — source label</x:v>
      </x:c>
      <x:c r="H1461" s="79" t="n">
        <x:v>5100000</x:v>
      </x:c>
      <x:c r="I1461" s="75" t="str">
        <x:v>GBP</x:v>
      </x:c>
      <x:c r="J1461" s="81"/>
      <x:c r="K1461" s="83"/>
      <x:c r="L1461" s="75" t="str">
        <x:v>Evidence needed</x:v>
      </x:c>
      <x:c r="M1461" s="75" t="str">
        <x:v>Buyer-specific role, production, availability, signing age and total fee evidence are needed before assigning a deal-value score.</x:v>
      </x:c>
      <x:c r="N1461" s="75" t="str">
        <x:v>Not assessed</x:v>
      </x:c>
      <x:c r="O1461" s="75" t="str">
        <x:v>Source broad position and transfer quote only; detailed role and buyer-specific production not validated.</x:v>
      </x:c>
      <x:c r="P1461" s="75" t="str">
        <x:v>https://www.theguardian.com/football/ng-interactive/2026/sep/01/mens-transfer-window-summer-2026-all-deals-from-europes-top-five-leagues</x:v>
      </x:c>
    </x:row>
    <x:row r="1462" ht="25" customHeight="1">
      <x:c r="A1462" s="69" t="str">
        <x:v>summer-S26-1115</x:v>
      </x:c>
      <x:c r="B1462" s="69" t="str">
        <x:v>Marco Dalla Vecchia</x:v>
      </x:c>
      <x:c r="C1462" s="69" t="str">
        <x:v>Cesena</x:v>
      </x:c>
      <x:c r="D1462" s="69" t="str">
        <x:v>Torino</x:v>
      </x:c>
      <x:c r="E1462" s="76" t="d">
        <x:v>2026-08-25T00:00:00.000Z</x:v>
      </x:c>
      <x:c r="F1462" s="69" t="str">
        <x:v>summer</x:v>
      </x:c>
      <x:c r="G1462" s="69" t="str">
        <x:v>Midfielder — source label</x:v>
      </x:c>
      <x:c r="H1462" s="78"/>
      <x:c r="I1462" s="69" t="str">
        <x:v>GBP</x:v>
      </x:c>
      <x:c r="J1462" s="80"/>
      <x:c r="K1462" s="82"/>
      <x:c r="L1462" s="69" t="str">
        <x:v>Evidence needed</x:v>
      </x:c>
      <x:c r="M1462" s="69" t="str">
        <x:v>Buyer-specific role, production, availability, signing age and total fee evidence are needed before assigning a deal-value score. Loan/swap costs must be treated separately.</x:v>
      </x:c>
      <x:c r="N1462" s="69" t="str">
        <x:v>Not assessed</x:v>
      </x:c>
      <x:c r="O1462" s="69" t="str">
        <x:v>Source broad position and transfer quote only; detailed role and buyer-specific production not validated.</x:v>
      </x:c>
      <x:c r="P1462" s="69" t="str">
        <x:v>https://www.theguardian.com/football/ng-interactive/2026/sep/01/mens-transfer-window-summer-2026-all-deals-from-europes-top-five-leagues</x:v>
      </x:c>
    </x:row>
    <x:row r="1463" ht="25" customHeight="1">
      <x:c r="A1463" s="75" t="str">
        <x:v>summer-S26-1116</x:v>
      </x:c>
      <x:c r="B1463" s="75" t="str">
        <x:v>Michele Di Gregorio</x:v>
      </x:c>
      <x:c r="C1463" s="75" t="str">
        <x:v>Bournemouth</x:v>
      </x:c>
      <x:c r="D1463" s="75" t="str">
        <x:v>Juventus</x:v>
      </x:c>
      <x:c r="E1463" s="77" t="d">
        <x:v>2026-08-25T00:00:00.000Z</x:v>
      </x:c>
      <x:c r="F1463" s="75" t="str">
        <x:v>summer</x:v>
      </x:c>
      <x:c r="G1463" s="75" t="str">
        <x:v>Goalkeeper — source label</x:v>
      </x:c>
      <x:c r="H1463" s="79"/>
      <x:c r="I1463" s="75" t="str">
        <x:v>GBP</x:v>
      </x:c>
      <x:c r="J1463" s="81"/>
      <x:c r="K1463" s="83"/>
      <x:c r="L1463" s="75" t="str">
        <x:v>Evidence needed</x:v>
      </x:c>
      <x:c r="M1463" s="75" t="str">
        <x:v>Buyer-specific shot-stopping, distribution, aerial command, sweeping, signing age and total fee evidence are needed before scoring. Loan/swap costs must be treated separately.</x:v>
      </x:c>
      <x:c r="N1463" s="75" t="str">
        <x:v>Not assessed</x:v>
      </x:c>
      <x:c r="O1463" s="75" t="str">
        <x:v>Source broad position and transfer quote only; detailed role and buyer-specific production not validated.</x:v>
      </x:c>
      <x:c r="P1463" s="75" t="str">
        <x:v>https://www.theguardian.com/football/ng-interactive/2026/sep/01/mens-transfer-window-summer-2026-all-deals-from-europes-top-five-leagues</x:v>
      </x:c>
    </x:row>
    <x:row r="1464" ht="25" customHeight="1">
      <x:c r="A1464" s="69" t="str">
        <x:v>summer-S26-1120</x:v>
      </x:c>
      <x:c r="B1464" s="69" t="str">
        <x:v>Axel Disasi</x:v>
      </x:c>
      <x:c r="C1464" s="69" t="str">
        <x:v>Crystal Palace</x:v>
      </x:c>
      <x:c r="D1464" s="69" t="str">
        <x:v>Chelsea</x:v>
      </x:c>
      <x:c r="E1464" s="76" t="d">
        <x:v>2026-08-26T00:00:00.000Z</x:v>
      </x:c>
      <x:c r="F1464" s="69" t="str">
        <x:v>summer</x:v>
      </x:c>
      <x:c r="G1464" s="69" t="str">
        <x:v>Defender — source label</x:v>
      </x:c>
      <x:c r="H1464" s="78"/>
      <x:c r="I1464" s="69" t="str">
        <x:v>GBP</x:v>
      </x:c>
      <x:c r="J1464" s="80"/>
      <x:c r="K1464" s="82"/>
      <x:c r="L1464" s="69" t="str">
        <x:v>Evidence needed</x:v>
      </x:c>
      <x:c r="M1464" s="69" t="str">
        <x:v>Buyer-specific role, production, availability, signing age and total fee evidence are needed before assigning a deal-value score. Loan/swap costs must be treated separately.</x:v>
      </x:c>
      <x:c r="N1464" s="69" t="str">
        <x:v>Not assessed</x:v>
      </x:c>
      <x:c r="O1464" s="69" t="str">
        <x:v>Source broad position and transfer quote only; detailed role and buyer-specific production not validated.</x:v>
      </x:c>
      <x:c r="P1464" s="69" t="str">
        <x:v>https://www.theguardian.com/football/ng-interactive/2026/sep/01/mens-transfer-window-summer-2026-all-deals-from-europes-top-five-leagues</x:v>
      </x:c>
    </x:row>
    <x:row r="1465" ht="25" customHeight="1">
      <x:c r="A1465" s="75" t="str">
        <x:v>summer-S26-1121</x:v>
      </x:c>
      <x:c r="B1465" s="75" t="str">
        <x:v>Calvin Ramsay</x:v>
      </x:c>
      <x:c r="C1465" s="75" t="str">
        <x:v>St Mirren</x:v>
      </x:c>
      <x:c r="D1465" s="75" t="str">
        <x:v>Liverpool</x:v>
      </x:c>
      <x:c r="E1465" s="77" t="d">
        <x:v>2026-08-25T00:00:00.000Z</x:v>
      </x:c>
      <x:c r="F1465" s="75" t="str">
        <x:v>summer</x:v>
      </x:c>
      <x:c r="G1465" s="75" t="str">
        <x:v>Defender — source label</x:v>
      </x:c>
      <x:c r="H1465" s="79"/>
      <x:c r="I1465" s="75" t="str">
        <x:v>GBP</x:v>
      </x:c>
      <x:c r="J1465" s="81"/>
      <x:c r="K1465" s="83"/>
      <x:c r="L1465" s="75" t="str">
        <x:v>Evidence needed</x:v>
      </x:c>
      <x:c r="M1465" s="75" t="str">
        <x:v>Buyer-specific role, production, availability, signing age and total fee evidence are needed before assigning a deal-value score. Loan/swap costs must be treated separately.</x:v>
      </x:c>
      <x:c r="N1465" s="75" t="str">
        <x:v>Not assessed</x:v>
      </x:c>
      <x:c r="O1465" s="75" t="str">
        <x:v>Source broad position and transfer quote only; detailed role and buyer-specific production not validated.</x:v>
      </x:c>
      <x:c r="P1465" s="75" t="str">
        <x:v>https://www.theguardian.com/football/ng-interactive/2026/sep/01/mens-transfer-window-summer-2026-all-deals-from-europes-top-five-leagues</x:v>
      </x:c>
    </x:row>
    <x:row r="1466" ht="25" customHeight="1">
      <x:c r="A1466" s="69" t="str">
        <x:v>summer-S26-1122</x:v>
      </x:c>
      <x:c r="B1466" s="69" t="str">
        <x:v>Jaouen Hadjam</x:v>
      </x:c>
      <x:c r="C1466" s="69" t="str">
        <x:v>Brighton</x:v>
      </x:c>
      <x:c r="D1466" s="69" t="str">
        <x:v>Young Boys</x:v>
      </x:c>
      <x:c r="E1466" s="76" t="d">
        <x:v>2026-08-25T00:00:00.000Z</x:v>
      </x:c>
      <x:c r="F1466" s="69" t="str">
        <x:v>summer</x:v>
      </x:c>
      <x:c r="G1466" s="69" t="str">
        <x:v>Defender — source label</x:v>
      </x:c>
      <x:c r="H1466" s="78" t="n">
        <x:v>11100000</x:v>
      </x:c>
      <x:c r="I1466" s="69" t="str">
        <x:v>GBP</x:v>
      </x:c>
      <x:c r="J1466" s="80"/>
      <x:c r="K1466" s="82"/>
      <x:c r="L1466" s="69" t="str">
        <x:v>Evidence needed</x:v>
      </x:c>
      <x:c r="M1466" s="69" t="str">
        <x:v>Buyer-specific role, production, availability, signing age and total fee evidence are needed before assigning a deal-value score.</x:v>
      </x:c>
      <x:c r="N1466" s="69" t="str">
        <x:v>Not assessed</x:v>
      </x:c>
      <x:c r="O1466" s="69" t="str">
        <x:v>Source broad position and transfer quote only; detailed role and buyer-specific production not validated.</x:v>
      </x:c>
      <x:c r="P1466" s="69" t="str">
        <x:v>https://www.theguardian.com/football/ng-interactive/2026/sep/01/mens-transfer-window-summer-2026-all-deals-from-europes-top-five-leagues</x:v>
      </x:c>
    </x:row>
    <x:row r="1467" ht="25" customHeight="1">
      <x:c r="A1467" s="75" t="str">
        <x:v>summer-S26-1123</x:v>
      </x:c>
      <x:c r="B1467" s="75" t="str">
        <x:v>Eric da Silva Moreira</x:v>
      </x:c>
      <x:c r="C1467" s="75" t="str">
        <x:v>Excelsior</x:v>
      </x:c>
      <x:c r="D1467" s="75" t="str">
        <x:v>Nottingham Forest</x:v>
      </x:c>
      <x:c r="E1467" s="77" t="d">
        <x:v>2026-08-26T00:00:00.000Z</x:v>
      </x:c>
      <x:c r="F1467" s="75" t="str">
        <x:v>summer</x:v>
      </x:c>
      <x:c r="G1467" s="75" t="str">
        <x:v>Defender — source label</x:v>
      </x:c>
      <x:c r="H1467" s="79"/>
      <x:c r="I1467" s="75" t="str">
        <x:v>GBP</x:v>
      </x:c>
      <x:c r="J1467" s="81"/>
      <x:c r="K1467" s="83"/>
      <x:c r="L1467" s="75" t="str">
        <x:v>Evidence needed</x:v>
      </x:c>
      <x:c r="M1467" s="75" t="str">
        <x:v>Buyer-specific role, production, availability, signing age and total fee evidence are needed before assigning a deal-value score. Loan/swap costs must be treated separately.</x:v>
      </x:c>
      <x:c r="N1467" s="75" t="str">
        <x:v>Not assessed</x:v>
      </x:c>
      <x:c r="O1467" s="75" t="str">
        <x:v>Source broad position and transfer quote only; detailed role and buyer-specific production not validated.</x:v>
      </x:c>
      <x:c r="P1467" s="75" t="str">
        <x:v>https://www.theguardian.com/football/ng-interactive/2026/sep/01/mens-transfer-window-summer-2026-all-deals-from-europes-top-five-leagues</x:v>
      </x:c>
    </x:row>
    <x:row r="1468" ht="25" customHeight="1">
      <x:c r="A1468" s="69" t="str">
        <x:v>summer-S26-1126</x:v>
      </x:c>
      <x:c r="B1468" s="69" t="str">
        <x:v>Ethan Pinnock</x:v>
      </x:c>
      <x:c r="C1468" s="69" t="str">
        <x:v>Coventry City</x:v>
      </x:c>
      <x:c r="D1468" s="69" t="str">
        <x:v>Brentford</x:v>
      </x:c>
      <x:c r="E1468" s="76" t="d">
        <x:v>2026-08-26T00:00:00.000Z</x:v>
      </x:c>
      <x:c r="F1468" s="69" t="str">
        <x:v>summer</x:v>
      </x:c>
      <x:c r="G1468" s="69" t="str">
        <x:v>Defender — source label</x:v>
      </x:c>
      <x:c r="H1468" s="78" t="n">
        <x:v>6000000</x:v>
      </x:c>
      <x:c r="I1468" s="69" t="str">
        <x:v>GBP</x:v>
      </x:c>
      <x:c r="J1468" s="80"/>
      <x:c r="K1468" s="82"/>
      <x:c r="L1468" s="69" t="str">
        <x:v>Evidence needed</x:v>
      </x:c>
      <x:c r="M1468" s="69" t="str">
        <x:v>Buyer-specific role, production, availability, signing age and total fee evidence are needed before assigning a deal-value score.</x:v>
      </x:c>
      <x:c r="N1468" s="69" t="str">
        <x:v>Not assessed</x:v>
      </x:c>
      <x:c r="O1468" s="69" t="str">
        <x:v>Source broad position and transfer quote only; detailed role and buyer-specific production not validated.</x:v>
      </x:c>
      <x:c r="P1468" s="69" t="str">
        <x:v>https://www.theguardian.com/football/ng-interactive/2026/sep/01/mens-transfer-window-summer-2026-all-deals-from-europes-top-five-leagues</x:v>
      </x:c>
    </x:row>
    <x:row r="1469" ht="25" customHeight="1">
      <x:c r="A1469" s="75" t="str">
        <x:v>summer-S26-1127</x:v>
      </x:c>
      <x:c r="B1469" s="75" t="str">
        <x:v>Nathan Saliba</x:v>
      </x:c>
      <x:c r="C1469" s="75" t="str">
        <x:v>Villarreal</x:v>
      </x:c>
      <x:c r="D1469" s="75" t="str">
        <x:v>Anderlecht</x:v>
      </x:c>
      <x:c r="E1469" s="77" t="d">
        <x:v>2026-08-26T00:00:00.000Z</x:v>
      </x:c>
      <x:c r="F1469" s="75" t="str">
        <x:v>summer</x:v>
      </x:c>
      <x:c r="G1469" s="75" t="str">
        <x:v>Midfielder — source label</x:v>
      </x:c>
      <x:c r="H1469" s="79" t="n">
        <x:v>12900000</x:v>
      </x:c>
      <x:c r="I1469" s="75" t="str">
        <x:v>GBP</x:v>
      </x:c>
      <x:c r="J1469" s="81"/>
      <x:c r="K1469" s="83"/>
      <x:c r="L1469" s="75" t="str">
        <x:v>Evidence needed</x:v>
      </x:c>
      <x:c r="M1469" s="75" t="str">
        <x:v>Buyer-specific role, production, availability, signing age and total fee evidence are needed before assigning a deal-value score.</x:v>
      </x:c>
      <x:c r="N1469" s="75" t="str">
        <x:v>Not assessed</x:v>
      </x:c>
      <x:c r="O1469" s="75" t="str">
        <x:v>Source broad position and transfer quote only; detailed role and buyer-specific production not validated.</x:v>
      </x:c>
      <x:c r="P1469" s="75" t="str">
        <x:v>https://www.theguardian.com/football/ng-interactive/2026/sep/01/mens-transfer-window-summer-2026-all-deals-from-europes-top-five-leagues</x:v>
      </x:c>
    </x:row>
    <x:row r="1470" ht="25" customHeight="1">
      <x:c r="A1470" s="69" t="str">
        <x:v>summer-S26-1129</x:v>
      </x:c>
      <x:c r="B1470" s="69" t="str">
        <x:v>Orlando Gill</x:v>
      </x:c>
      <x:c r="C1470" s="69" t="str">
        <x:v>Lille</x:v>
      </x:c>
      <x:c r="D1470" s="69" t="str">
        <x:v>San Lorenzo</x:v>
      </x:c>
      <x:c r="E1470" s="76" t="d">
        <x:v>2026-08-26T00:00:00.000Z</x:v>
      </x:c>
      <x:c r="F1470" s="69" t="str">
        <x:v>summer</x:v>
      </x:c>
      <x:c r="G1470" s="69" t="str">
        <x:v>Goalkeeper — source label</x:v>
      </x:c>
      <x:c r="H1470" s="78" t="n">
        <x:v>3100000</x:v>
      </x:c>
      <x:c r="I1470" s="69" t="str">
        <x:v>GBP</x:v>
      </x:c>
      <x:c r="J1470" s="80"/>
      <x:c r="K1470" s="82"/>
      <x:c r="L1470" s="69" t="str">
        <x:v>Evidence needed</x:v>
      </x:c>
      <x:c r="M1470" s="69" t="str">
        <x:v>Buyer-specific shot-stopping, distribution, aerial command, sweeping, signing age and total fee evidence are needed before scoring.</x:v>
      </x:c>
      <x:c r="N1470" s="69" t="str">
        <x:v>Not assessed</x:v>
      </x:c>
      <x:c r="O1470" s="69" t="str">
        <x:v>Source broad position and transfer quote only; detailed role and buyer-specific production not validated.</x:v>
      </x:c>
      <x:c r="P1470" s="69" t="str">
        <x:v>https://www.theguardian.com/football/ng-interactive/2026/sep/01/mens-transfer-window-summer-2026-all-deals-from-europes-top-five-leagues</x:v>
      </x:c>
    </x:row>
    <x:row r="1471" ht="25" customHeight="1">
      <x:c r="A1471" s="75" t="str">
        <x:v>summer-S26-1130</x:v>
      </x:c>
      <x:c r="B1471" s="75" t="str">
        <x:v>Seko Fofana</x:v>
      </x:c>
      <x:c r="C1471" s="75" t="str">
        <x:v>Porto</x:v>
      </x:c>
      <x:c r="D1471" s="75" t="str">
        <x:v>Rennes</x:v>
      </x:c>
      <x:c r="E1471" s="77" t="d">
        <x:v>2026-08-26T00:00:00.000Z</x:v>
      </x:c>
      <x:c r="F1471" s="75" t="str">
        <x:v>summer</x:v>
      </x:c>
      <x:c r="G1471" s="75" t="str">
        <x:v>Midfielder — source label</x:v>
      </x:c>
      <x:c r="H1471" s="79"/>
      <x:c r="I1471" s="75" t="str">
        <x:v>GBP</x:v>
      </x:c>
      <x:c r="J1471" s="81"/>
      <x:c r="K1471" s="83"/>
      <x:c r="L1471" s="75" t="str">
        <x:v>Evidence needed</x:v>
      </x:c>
      <x:c r="M1471" s="75" t="str">
        <x:v>Buyer-specific role, production, availability, signing age and total fee evidence are needed before assigning a deal-value score. Loan/swap costs must be treated separately.</x:v>
      </x:c>
      <x:c r="N1471" s="75" t="str">
        <x:v>Not assessed</x:v>
      </x:c>
      <x:c r="O1471" s="75" t="str">
        <x:v>Source broad position and transfer quote only; detailed role and buyer-specific production not validated.</x:v>
      </x:c>
      <x:c r="P1471" s="75" t="str">
        <x:v>https://www.theguardian.com/football/ng-interactive/2026/sep/01/mens-transfer-window-summer-2026-all-deals-from-europes-top-five-leagues</x:v>
      </x:c>
    </x:row>
    <x:row r="1472" ht="25" customHeight="1">
      <x:c r="A1472" s="69" t="str">
        <x:v>summer-S26-1132</x:v>
      </x:c>
      <x:c r="B1472" s="69" t="str">
        <x:v>Mario Sauer</x:v>
      </x:c>
      <x:c r="C1472" s="69" t="str">
        <x:v>Kaiserslautern</x:v>
      </x:c>
      <x:c r="D1472" s="69" t="str">
        <x:v>Toulouse</x:v>
      </x:c>
      <x:c r="E1472" s="76" t="d">
        <x:v>2026-08-26T00:00:00.000Z</x:v>
      </x:c>
      <x:c r="F1472" s="69" t="str">
        <x:v>summer</x:v>
      </x:c>
      <x:c r="G1472" s="69" t="str">
        <x:v>Midfielder — source label</x:v>
      </x:c>
      <x:c r="H1472" s="78"/>
      <x:c r="I1472" s="69" t="str">
        <x:v>GBP</x:v>
      </x:c>
      <x:c r="J1472" s="80"/>
      <x:c r="K1472" s="82"/>
      <x:c r="L1472" s="69" t="str">
        <x:v>Evidence needed</x:v>
      </x:c>
      <x:c r="M1472" s="69" t="str">
        <x:v>Buyer-specific role, production, availability, signing age and total fee evidence are needed before assigning a deal-value score. Loan/swap costs must be treated separately.</x:v>
      </x:c>
      <x:c r="N1472" s="69" t="str">
        <x:v>Not assessed</x:v>
      </x:c>
      <x:c r="O1472" s="69" t="str">
        <x:v>Source broad position and transfer quote only; detailed role and buyer-specific production not validated.</x:v>
      </x:c>
      <x:c r="P1472" s="69" t="str">
        <x:v>https://www.theguardian.com/football/ng-interactive/2026/sep/01/mens-transfer-window-summer-2026-all-deals-from-europes-top-five-leagues</x:v>
      </x:c>
    </x:row>
    <x:row r="1473" ht="25" customHeight="1">
      <x:c r="A1473" s="75" t="str">
        <x:v>summer-S26-1134</x:v>
      </x:c>
      <x:c r="B1473" s="75" t="str">
        <x:v>Arnau Martínez</x:v>
      </x:c>
      <x:c r="C1473" s="75" t="str">
        <x:v>Valencia</x:v>
      </x:c>
      <x:c r="D1473" s="75" t="str">
        <x:v>Girona</x:v>
      </x:c>
      <x:c r="E1473" s="77" t="d">
        <x:v>2026-08-26T00:00:00.000Z</x:v>
      </x:c>
      <x:c r="F1473" s="75" t="str">
        <x:v>summer</x:v>
      </x:c>
      <x:c r="G1473" s="75" t="str">
        <x:v>Defender — source label</x:v>
      </x:c>
      <x:c r="H1473" s="79" t="n">
        <x:v>4300000</x:v>
      </x:c>
      <x:c r="I1473" s="75" t="str">
        <x:v>GBP</x:v>
      </x:c>
      <x:c r="J1473" s="81"/>
      <x:c r="K1473" s="83"/>
      <x:c r="L1473" s="75" t="str">
        <x:v>Evidence needed</x:v>
      </x:c>
      <x:c r="M1473" s="75" t="str">
        <x:v>Buyer-specific role, production, availability, signing age and total fee evidence are needed before assigning a deal-value score.</x:v>
      </x:c>
      <x:c r="N1473" s="75" t="str">
        <x:v>Not assessed</x:v>
      </x:c>
      <x:c r="O1473" s="75" t="str">
        <x:v>Source broad position and transfer quote only; detailed role and buyer-specific production not validated.</x:v>
      </x:c>
      <x:c r="P1473" s="75" t="str">
        <x:v>https://www.theguardian.com/football/ng-interactive/2026/sep/01/mens-transfer-window-summer-2026-all-deals-from-europes-top-five-leagues</x:v>
      </x:c>
    </x:row>
    <x:row r="1474" ht="25" customHeight="1">
      <x:c r="A1474" s="69" t="str">
        <x:v>summer-S26-1135</x:v>
      </x:c>
      <x:c r="B1474" s="69" t="str">
        <x:v>Jesús Owono</x:v>
      </x:c>
      <x:c r="C1474" s="69" t="str">
        <x:v>FC Andorra</x:v>
      </x:c>
      <x:c r="D1474" s="69" t="str">
        <x:v>Alavés</x:v>
      </x:c>
      <x:c r="E1474" s="76" t="d">
        <x:v>2026-08-26T00:00:00.000Z</x:v>
      </x:c>
      <x:c r="F1474" s="69" t="str">
        <x:v>summer</x:v>
      </x:c>
      <x:c r="G1474" s="69" t="str">
        <x:v>Goalkeeper — source label</x:v>
      </x:c>
      <x:c r="H1474" s="78"/>
      <x:c r="I1474" s="69" t="str">
        <x:v>GBP</x:v>
      </x:c>
      <x:c r="J1474" s="80"/>
      <x:c r="K1474" s="82"/>
      <x:c r="L1474" s="69" t="str">
        <x:v>Evidence needed</x:v>
      </x:c>
      <x:c r="M1474" s="69" t="str">
        <x:v>Buyer-specific shot-stopping, distribution, aerial command, sweeping, signing age and total fee evidence are needed before scoring.</x:v>
      </x:c>
      <x:c r="N1474" s="69" t="str">
        <x:v>Not assessed</x:v>
      </x:c>
      <x:c r="O1474" s="69" t="str">
        <x:v>Source broad position and transfer quote only; detailed role and buyer-specific production not validated.</x:v>
      </x:c>
      <x:c r="P1474" s="69" t="str">
        <x:v>https://www.theguardian.com/football/ng-interactive/2026/sep/01/mens-transfer-window-summer-2026-all-deals-from-europes-top-five-leagues</x:v>
      </x:c>
    </x:row>
    <x:row r="1475" ht="25" customHeight="1">
      <x:c r="A1475" s="75" t="str">
        <x:v>summer-S26-1136</x:v>
      </x:c>
      <x:c r="B1475" s="75" t="str">
        <x:v>Niccolò Corrado</x:v>
      </x:c>
      <x:c r="C1475" s="75" t="str">
        <x:v>Empoli</x:v>
      </x:c>
      <x:c r="D1475" s="75" t="str">
        <x:v>Frosinone</x:v>
      </x:c>
      <x:c r="E1475" s="77" t="d">
        <x:v>2026-08-26T00:00:00.000Z</x:v>
      </x:c>
      <x:c r="F1475" s="75" t="str">
        <x:v>summer</x:v>
      </x:c>
      <x:c r="G1475" s="75" t="str">
        <x:v>Defender — source label</x:v>
      </x:c>
      <x:c r="H1475" s="79"/>
      <x:c r="I1475" s="75" t="str">
        <x:v>GBP</x:v>
      </x:c>
      <x:c r="J1475" s="81"/>
      <x:c r="K1475" s="83"/>
      <x:c r="L1475" s="75" t="str">
        <x:v>Evidence needed</x:v>
      </x:c>
      <x:c r="M1475" s="75" t="str">
        <x:v>Buyer-specific role, production, availability, signing age and total fee evidence are needed before assigning a deal-value score. Loan/swap costs must be treated separately.</x:v>
      </x:c>
      <x:c r="N1475" s="75" t="str">
        <x:v>Not assessed</x:v>
      </x:c>
      <x:c r="O1475" s="75" t="str">
        <x:v>Source broad position and transfer quote only; detailed role and buyer-specific production not validated.</x:v>
      </x:c>
      <x:c r="P1475" s="75" t="str">
        <x:v>https://www.theguardian.com/football/ng-interactive/2026/sep/01/mens-transfer-window-summer-2026-all-deals-from-europes-top-five-leagues</x:v>
      </x:c>
    </x:row>
    <x:row r="1476" ht="25" customHeight="1">
      <x:c r="A1476" s="69" t="str">
        <x:v>summer-S26-1137</x:v>
      </x:c>
      <x:c r="B1476" s="69" t="str">
        <x:v>Mattia Perin</x:v>
      </x:c>
      <x:c r="C1476" s="69" t="str">
        <x:v>Palermo</x:v>
      </x:c>
      <x:c r="D1476" s="69" t="str">
        <x:v>Juventus</x:v>
      </x:c>
      <x:c r="E1476" s="76" t="d">
        <x:v>2026-08-26T00:00:00.000Z</x:v>
      </x:c>
      <x:c r="F1476" s="69" t="str">
        <x:v>summer</x:v>
      </x:c>
      <x:c r="G1476" s="69" t="str">
        <x:v>Goalkeeper — source label</x:v>
      </x:c>
      <x:c r="H1476" s="78" t="n">
        <x:v>430000</x:v>
      </x:c>
      <x:c r="I1476" s="69" t="str">
        <x:v>GBP</x:v>
      </x:c>
      <x:c r="J1476" s="80"/>
      <x:c r="K1476" s="82"/>
      <x:c r="L1476" s="69" t="str">
        <x:v>Evidence needed</x:v>
      </x:c>
      <x:c r="M1476" s="69" t="str">
        <x:v>Buyer-specific shot-stopping, distribution, aerial command, sweeping, signing age and total fee evidence are needed before scoring.</x:v>
      </x:c>
      <x:c r="N1476" s="69" t="str">
        <x:v>Not assessed</x:v>
      </x:c>
      <x:c r="O1476" s="69" t="str">
        <x:v>Source broad position and transfer quote only; detailed role and buyer-specific production not validated.</x:v>
      </x:c>
      <x:c r="P1476" s="69" t="str">
        <x:v>https://www.theguardian.com/football/ng-interactive/2026/sep/01/mens-transfer-window-summer-2026-all-deals-from-europes-top-five-leagues</x:v>
      </x:c>
    </x:row>
    <x:row r="1477" ht="25" customHeight="1">
      <x:c r="A1477" s="75" t="str">
        <x:v>summer-S26-1139</x:v>
      </x:c>
      <x:c r="B1477" s="75" t="str">
        <x:v>Willy Kambwala</x:v>
      </x:c>
      <x:c r="C1477" s="75" t="str">
        <x:v>Como 1907</x:v>
      </x:c>
      <x:c r="D1477" s="75" t="str">
        <x:v>Villarreal</x:v>
      </x:c>
      <x:c r="E1477" s="77" t="d">
        <x:v>2026-08-26T00:00:00.000Z</x:v>
      </x:c>
      <x:c r="F1477" s="75" t="str">
        <x:v>summer</x:v>
      </x:c>
      <x:c r="G1477" s="75" t="str">
        <x:v>Defender — source label</x:v>
      </x:c>
      <x:c r="H1477" s="79"/>
      <x:c r="I1477" s="75" t="str">
        <x:v>GBP</x:v>
      </x:c>
      <x:c r="J1477" s="81"/>
      <x:c r="K1477" s="83"/>
      <x:c r="L1477" s="75" t="str">
        <x:v>Evidence needed</x:v>
      </x:c>
      <x:c r="M1477" s="75" t="str">
        <x:v>Buyer-specific role, production, availability, signing age and total fee evidence are needed before assigning a deal-value score. Loan/swap costs must be treated separately.</x:v>
      </x:c>
      <x:c r="N1477" s="75" t="str">
        <x:v>Not assessed</x:v>
      </x:c>
      <x:c r="O1477" s="75" t="str">
        <x:v>Source broad position and transfer quote only; detailed role and buyer-specific production not validated.</x:v>
      </x:c>
      <x:c r="P1477" s="75" t="str">
        <x:v>https://www.theguardian.com/football/ng-interactive/2026/sep/01/mens-transfer-window-summer-2026-all-deals-from-europes-top-five-leagues</x:v>
      </x:c>
    </x:row>
    <x:row r="1478" ht="25" customHeight="1">
      <x:c r="A1478" s="69" t="str">
        <x:v>summer-S26-1142</x:v>
      </x:c>
      <x:c r="B1478" s="69" t="str">
        <x:v>John Ruddy</x:v>
      </x:c>
      <x:c r="C1478" s="69" t="str">
        <x:v>Wolverhampton Wanderers</x:v>
      </x:c>
      <x:c r="D1478" s="69" t="str">
        <x:v>Newcastle United</x:v>
      </x:c>
      <x:c r="E1478" s="76" t="d">
        <x:v>2026-08-27T00:00:00.000Z</x:v>
      </x:c>
      <x:c r="F1478" s="69" t="str">
        <x:v>summer</x:v>
      </x:c>
      <x:c r="G1478" s="69" t="str">
        <x:v>Goalkeeper — source label</x:v>
      </x:c>
      <x:c r="H1478" s="78"/>
      <x:c r="I1478" s="69" t="str">
        <x:v>GBP</x:v>
      </x:c>
      <x:c r="J1478" s="80"/>
      <x:c r="K1478" s="82"/>
      <x:c r="L1478" s="69" t="str">
        <x:v>Evidence needed</x:v>
      </x:c>
      <x:c r="M1478" s="69" t="str">
        <x:v>Buyer-specific shot-stopping, distribution, aerial command, sweeping, signing age and total fee evidence are needed before scoring. A zero base fee does not represent wages or signing costs.</x:v>
      </x:c>
      <x:c r="N1478" s="69" t="str">
        <x:v>Not assessed</x:v>
      </x:c>
      <x:c r="O1478" s="69" t="str">
        <x:v>Source broad position and transfer quote only; detailed role and buyer-specific production not validated.</x:v>
      </x:c>
      <x:c r="P1478" s="69" t="str">
        <x:v>https://www.theguardian.com/football/ng-interactive/2026/sep/01/mens-transfer-window-summer-2026-all-deals-from-europes-top-five-leagues</x:v>
      </x:c>
    </x:row>
    <x:row r="1479" ht="25" customHeight="1">
      <x:c r="A1479" s="75" t="str">
        <x:v>summer-S26-1143</x:v>
      </x:c>
      <x:c r="B1479" s="75" t="str">
        <x:v>Jenson Seelt</x:v>
      </x:c>
      <x:c r="C1479" s="75" t="str">
        <x:v>Swansea</x:v>
      </x:c>
      <x:c r="D1479" s="75" t="str">
        <x:v>Sunderland</x:v>
      </x:c>
      <x:c r="E1479" s="77" t="d">
        <x:v>2026-08-27T00:00:00.000Z</x:v>
      </x:c>
      <x:c r="F1479" s="75" t="str">
        <x:v>summer</x:v>
      </x:c>
      <x:c r="G1479" s="75" t="str">
        <x:v>Defender — source label</x:v>
      </x:c>
      <x:c r="H1479" s="79"/>
      <x:c r="I1479" s="75" t="str">
        <x:v>GBP</x:v>
      </x:c>
      <x:c r="J1479" s="81"/>
      <x:c r="K1479" s="83"/>
      <x:c r="L1479" s="75" t="str">
        <x:v>Evidence needed</x:v>
      </x:c>
      <x:c r="M1479" s="75" t="str">
        <x:v>Buyer-specific role, production, availability, signing age and total fee evidence are needed before assigning a deal-value score. Loan/swap costs must be treated separately.</x:v>
      </x:c>
      <x:c r="N1479" s="75" t="str">
        <x:v>Not assessed</x:v>
      </x:c>
      <x:c r="O1479" s="75" t="str">
        <x:v>Source broad position and transfer quote only; detailed role and buyer-specific production not validated.</x:v>
      </x:c>
      <x:c r="P1479" s="75" t="str">
        <x:v>https://www.theguardian.com/football/ng-interactive/2026/sep/01/mens-transfer-window-summer-2026-all-deals-from-europes-top-five-leagues</x:v>
      </x:c>
    </x:row>
    <x:row r="1480" ht="25" customHeight="1">
      <x:c r="A1480" s="69" t="str">
        <x:v>summer-S26-1147</x:v>
      </x:c>
      <x:c r="B1480" s="69" t="str">
        <x:v>Adrià Pedrosa</x:v>
      </x:c>
      <x:c r="C1480" s="69" t="str">
        <x:v>Rayo Vallecano</x:v>
      </x:c>
      <x:c r="D1480" s="69" t="str">
        <x:v>Sevilla</x:v>
      </x:c>
      <x:c r="E1480" s="76" t="d">
        <x:v>2026-08-27T00:00:00.000Z</x:v>
      </x:c>
      <x:c r="F1480" s="69" t="str">
        <x:v>summer</x:v>
      </x:c>
      <x:c r="G1480" s="69" t="str">
        <x:v>Defender — source label</x:v>
      </x:c>
      <x:c r="H1480" s="78"/>
      <x:c r="I1480" s="69" t="str">
        <x:v>GBP</x:v>
      </x:c>
      <x:c r="J1480" s="80"/>
      <x:c r="K1480" s="82"/>
      <x:c r="L1480" s="69" t="str">
        <x:v>Evidence needed</x:v>
      </x:c>
      <x:c r="M1480" s="69" t="str">
        <x:v>Buyer-specific role, production, availability, signing age and total fee evidence are needed before assigning a deal-value score. Loan/swap costs must be treated separately.</x:v>
      </x:c>
      <x:c r="N1480" s="69" t="str">
        <x:v>Not assessed</x:v>
      </x:c>
      <x:c r="O1480" s="69" t="str">
        <x:v>Source broad position and transfer quote only; detailed role and buyer-specific production not validated.</x:v>
      </x:c>
      <x:c r="P1480" s="69" t="str">
        <x:v>https://www.theguardian.com/football/ng-interactive/2026/sep/01/mens-transfer-window-summer-2026-all-deals-from-europes-top-five-leagues</x:v>
      </x:c>
    </x:row>
    <x:row r="1481" ht="25" customHeight="1">
      <x:c r="A1481" s="75" t="str">
        <x:v>summer-S26-1149</x:v>
      </x:c>
      <x:c r="B1481" s="75" t="str">
        <x:v>Keven Schlotterbeck</x:v>
      </x:c>
      <x:c r="C1481" s="75" t="str">
        <x:v>Southampton</x:v>
      </x:c>
      <x:c r="D1481" s="75" t="str">
        <x:v>Augsburg</x:v>
      </x:c>
      <x:c r="E1481" s="77" t="d">
        <x:v>2026-08-27T00:00:00.000Z</x:v>
      </x:c>
      <x:c r="F1481" s="75" t="str">
        <x:v>summer</x:v>
      </x:c>
      <x:c r="G1481" s="75" t="str">
        <x:v>Defender — source label</x:v>
      </x:c>
      <x:c r="H1481" s="79" t="n">
        <x:v>3300000</x:v>
      </x:c>
      <x:c r="I1481" s="75" t="str">
        <x:v>GBP</x:v>
      </x:c>
      <x:c r="J1481" s="81"/>
      <x:c r="K1481" s="83"/>
      <x:c r="L1481" s="75" t="str">
        <x:v>Evidence needed</x:v>
      </x:c>
      <x:c r="M1481" s="75" t="str">
        <x:v>Buyer-specific role, production, availability, signing age and total fee evidence are needed before assigning a deal-value score.</x:v>
      </x:c>
      <x:c r="N1481" s="75" t="str">
        <x:v>Not assessed</x:v>
      </x:c>
      <x:c r="O1481" s="75" t="str">
        <x:v>Source broad position and transfer quote only; detailed role and buyer-specific production not validated.</x:v>
      </x:c>
      <x:c r="P1481" s="75" t="str">
        <x:v>https://www.theguardian.com/football/ng-interactive/2026/sep/01/mens-transfer-window-summer-2026-all-deals-from-europes-top-five-leagues</x:v>
      </x:c>
    </x:row>
    <x:row r="1482" ht="25" customHeight="1">
      <x:c r="A1482" s="69" t="str">
        <x:v>summer-S26-1150</x:v>
      </x:c>
      <x:c r="B1482" s="69" t="str">
        <x:v>Exequiel Palacios</x:v>
      </x:c>
      <x:c r="C1482" s="69" t="str">
        <x:v>Ipswich Town</x:v>
      </x:c>
      <x:c r="D1482" s="69" t="str">
        <x:v>Bayer Leverkusen</x:v>
      </x:c>
      <x:c r="E1482" s="76" t="d">
        <x:v>2026-08-27T00:00:00.000Z</x:v>
      </x:c>
      <x:c r="F1482" s="69" t="str">
        <x:v>summer</x:v>
      </x:c>
      <x:c r="G1482" s="69" t="str">
        <x:v>Midfielder — source label</x:v>
      </x:c>
      <x:c r="H1482" s="78" t="n">
        <x:v>23500000</x:v>
      </x:c>
      <x:c r="I1482" s="69" t="str">
        <x:v>GBP</x:v>
      </x:c>
      <x:c r="J1482" s="80"/>
      <x:c r="K1482" s="82"/>
      <x:c r="L1482" s="69" t="str">
        <x:v>Evidence needed</x:v>
      </x:c>
      <x:c r="M1482" s="69" t="str">
        <x:v>Buyer-specific role, production, availability, signing age and total fee evidence are needed before assigning a deal-value score.</x:v>
      </x:c>
      <x:c r="N1482" s="69" t="str">
        <x:v>Not assessed</x:v>
      </x:c>
      <x:c r="O1482" s="69" t="str">
        <x:v>Source broad position and transfer quote only; detailed role and buyer-specific production not validated.</x:v>
      </x:c>
      <x:c r="P1482" s="69" t="str">
        <x:v>https://www.theguardian.com/football/ng-interactive/2026/sep/01/mens-transfer-window-summer-2026-all-deals-from-europes-top-five-leagues</x:v>
      </x:c>
    </x:row>
    <x:row r="1483" ht="25" customHeight="1">
      <x:c r="A1483" s="75" t="str">
        <x:v>summer-S26-1151</x:v>
      </x:c>
      <x:c r="B1483" s="75" t="str">
        <x:v>Mamadou Sarr</x:v>
      </x:c>
      <x:c r="C1483" s="75" t="str">
        <x:v>Real Sociedad</x:v>
      </x:c>
      <x:c r="D1483" s="75" t="str">
        <x:v>Chelsea</x:v>
      </x:c>
      <x:c r="E1483" s="77" t="d">
        <x:v>2026-08-28T00:00:00.000Z</x:v>
      </x:c>
      <x:c r="F1483" s="75" t="str">
        <x:v>summer</x:v>
      </x:c>
      <x:c r="G1483" s="75" t="str">
        <x:v>Defender — source label</x:v>
      </x:c>
      <x:c r="H1483" s="79"/>
      <x:c r="I1483" s="75" t="str">
        <x:v>GBP</x:v>
      </x:c>
      <x:c r="J1483" s="81"/>
      <x:c r="K1483" s="83"/>
      <x:c r="L1483" s="75" t="str">
        <x:v>Evidence needed</x:v>
      </x:c>
      <x:c r="M1483" s="75" t="str">
        <x:v>Buyer-specific role, production, availability, signing age and total fee evidence are needed before assigning a deal-value score. Loan/swap costs must be treated separately.</x:v>
      </x:c>
      <x:c r="N1483" s="75" t="str">
        <x:v>Not assessed</x:v>
      </x:c>
      <x:c r="O1483" s="75" t="str">
        <x:v>Source broad position and transfer quote only; detailed role and buyer-specific production not validated.</x:v>
      </x:c>
      <x:c r="P1483" s="75" t="str">
        <x:v>https://www.theguardian.com/football/ng-interactive/2026/sep/01/mens-transfer-window-summer-2026-all-deals-from-europes-top-five-leagues</x:v>
      </x:c>
    </x:row>
    <x:row r="1484" ht="25" customHeight="1">
      <x:c r="A1484" s="69" t="str">
        <x:v>summer-S26-1152</x:v>
      </x:c>
      <x:c r="B1484" s="69" t="str">
        <x:v>El Hadji Malick Diouf</x:v>
      </x:c>
      <x:c r="C1484" s="69" t="str">
        <x:v>Brentford</x:v>
      </x:c>
      <x:c r="D1484" s="69" t="str">
        <x:v>West Ham United</x:v>
      </x:c>
      <x:c r="E1484" s="76" t="d">
        <x:v>2026-08-28T00:00:00.000Z</x:v>
      </x:c>
      <x:c r="F1484" s="69" t="str">
        <x:v>summer</x:v>
      </x:c>
      <x:c r="G1484" s="69" t="str">
        <x:v>Defender — source label</x:v>
      </x:c>
      <x:c r="H1484" s="78" t="n">
        <x:v>35000000</x:v>
      </x:c>
      <x:c r="I1484" s="69" t="str">
        <x:v>GBP</x:v>
      </x:c>
      <x:c r="J1484" s="80"/>
      <x:c r="K1484" s="82"/>
      <x:c r="L1484" s="69" t="str">
        <x:v>Evidence needed</x:v>
      </x:c>
      <x:c r="M1484" s="69" t="str">
        <x:v>Buyer-specific role, production, availability, signing age and total fee evidence are needed before assigning a deal-value score.</x:v>
      </x:c>
      <x:c r="N1484" s="69" t="str">
        <x:v>Not assessed</x:v>
      </x:c>
      <x:c r="O1484" s="69" t="str">
        <x:v>Source broad position and transfer quote only; detailed role and buyer-specific production not validated.</x:v>
      </x:c>
      <x:c r="P1484" s="69" t="str">
        <x:v>https://www.theguardian.com/football/ng-interactive/2026/sep/01/mens-transfer-window-summer-2026-all-deals-from-europes-top-five-leagues</x:v>
      </x:c>
    </x:row>
    <x:row r="1485" ht="25" customHeight="1">
      <x:c r="A1485" s="75" t="str">
        <x:v>summer-S26-1153</x:v>
      </x:c>
      <x:c r="B1485" s="75" t="str">
        <x:v>Noah Atubolu</x:v>
      </x:c>
      <x:c r="C1485" s="75" t="str">
        <x:v>Eintracht Frankfurt</x:v>
      </x:c>
      <x:c r="D1485" s="75" t="str">
        <x:v>Freiburg</x:v>
      </x:c>
      <x:c r="E1485" s="77" t="d">
        <x:v>2026-08-28T00:00:00.000Z</x:v>
      </x:c>
      <x:c r="F1485" s="75" t="str">
        <x:v>summer</x:v>
      </x:c>
      <x:c r="G1485" s="75" t="str">
        <x:v>Goalkeeper — source label</x:v>
      </x:c>
      <x:c r="H1485" s="79"/>
      <x:c r="I1485" s="75" t="str">
        <x:v>GBP</x:v>
      </x:c>
      <x:c r="J1485" s="81"/>
      <x:c r="K1485" s="83"/>
      <x:c r="L1485" s="75" t="str">
        <x:v>Evidence needed</x:v>
      </x:c>
      <x:c r="M1485" s="75" t="str">
        <x:v>Buyer-specific shot-stopping, distribution, aerial command, sweeping, signing age and total fee evidence are needed before scoring. Loan/swap costs must be treated separately.</x:v>
      </x:c>
      <x:c r="N1485" s="75" t="str">
        <x:v>Not assessed</x:v>
      </x:c>
      <x:c r="O1485" s="75" t="str">
        <x:v>Source broad position and transfer quote only; detailed role and buyer-specific production not validated.</x:v>
      </x:c>
      <x:c r="P1485" s="75" t="str">
        <x:v>https://www.theguardian.com/football/ng-interactive/2026/sep/01/mens-transfer-window-summer-2026-all-deals-from-europes-top-five-leagues</x:v>
      </x:c>
    </x:row>
    <x:row r="1486" ht="25" customHeight="1">
      <x:c r="A1486" s="69" t="str">
        <x:v>summer-S26-1155</x:v>
      </x:c>
      <x:c r="B1486" s="69" t="str">
        <x:v>Caleb Wiley</x:v>
      </x:c>
      <x:c r="C1486" s="69" t="str">
        <x:v>Preston</x:v>
      </x:c>
      <x:c r="D1486" s="69" t="str">
        <x:v>Chelsea</x:v>
      </x:c>
      <x:c r="E1486" s="76" t="d">
        <x:v>2026-08-28T00:00:00.000Z</x:v>
      </x:c>
      <x:c r="F1486" s="69" t="str">
        <x:v>summer</x:v>
      </x:c>
      <x:c r="G1486" s="69" t="str">
        <x:v>Defender — source label</x:v>
      </x:c>
      <x:c r="H1486" s="78"/>
      <x:c r="I1486" s="69" t="str">
        <x:v>GBP</x:v>
      </x:c>
      <x:c r="J1486" s="80"/>
      <x:c r="K1486" s="82"/>
      <x:c r="L1486" s="69" t="str">
        <x:v>Evidence needed</x:v>
      </x:c>
      <x:c r="M1486" s="69" t="str">
        <x:v>Buyer-specific role, production, availability, signing age and total fee evidence are needed before assigning a deal-value score. Loan/swap costs must be treated separately.</x:v>
      </x:c>
      <x:c r="N1486" s="69" t="str">
        <x:v>Not assessed</x:v>
      </x:c>
      <x:c r="O1486" s="69" t="str">
        <x:v>Source broad position and transfer quote only; detailed role and buyer-specific production not validated.</x:v>
      </x:c>
      <x:c r="P1486" s="69" t="str">
        <x:v>https://www.theguardian.com/football/ng-interactive/2026/sep/01/mens-transfer-window-summer-2026-all-deals-from-europes-top-five-leagues</x:v>
      </x:c>
    </x:row>
    <x:row r="1487" ht="25" customHeight="1">
      <x:c r="A1487" s="75" t="str">
        <x:v>summer-S26-1156</x:v>
      </x:c>
      <x:c r="B1487" s="75" t="str">
        <x:v>Miguel Ángel Brau</x:v>
      </x:c>
      <x:c r="C1487" s="75" t="str">
        <x:v>Académico Viseu</x:v>
      </x:c>
      <x:c r="D1487" s="75" t="str">
        <x:v>Coventry City</x:v>
      </x:c>
      <x:c r="E1487" s="77" t="d">
        <x:v>2026-08-28T00:00:00.000Z</x:v>
      </x:c>
      <x:c r="F1487" s="75" t="str">
        <x:v>summer</x:v>
      </x:c>
      <x:c r="G1487" s="75" t="str">
        <x:v>Defender — source label</x:v>
      </x:c>
      <x:c r="H1487" s="79"/>
      <x:c r="I1487" s="75" t="str">
        <x:v>GBP</x:v>
      </x:c>
      <x:c r="J1487" s="81"/>
      <x:c r="K1487" s="83"/>
      <x:c r="L1487" s="75" t="str">
        <x:v>Evidence needed</x:v>
      </x:c>
      <x:c r="M1487" s="75" t="str">
        <x:v>Buyer-specific role, production, availability, signing age and total fee evidence are needed before assigning a deal-value score. Loan/swap costs must be treated separately.</x:v>
      </x:c>
      <x:c r="N1487" s="75" t="str">
        <x:v>Not assessed</x:v>
      </x:c>
      <x:c r="O1487" s="75" t="str">
        <x:v>Source broad position and transfer quote only; detailed role and buyer-specific production not validated.</x:v>
      </x:c>
      <x:c r="P1487" s="75" t="str">
        <x:v>https://www.theguardian.com/football/ng-interactive/2026/sep/01/mens-transfer-window-summer-2026-all-deals-from-europes-top-five-leagues</x:v>
      </x:c>
    </x:row>
    <x:row r="1488" ht="25" customHeight="1">
      <x:c r="A1488" s="69" t="str">
        <x:v>summer-S26-1158</x:v>
      </x:c>
      <x:c r="B1488" s="69" t="str">
        <x:v>Giovanni Fabbian</x:v>
      </x:c>
      <x:c r="C1488" s="69" t="str">
        <x:v>Parma</x:v>
      </x:c>
      <x:c r="D1488" s="69" t="str">
        <x:v>Fiorentina</x:v>
      </x:c>
      <x:c r="E1488" s="76" t="d">
        <x:v>2026-08-28T00:00:00.000Z</x:v>
      </x:c>
      <x:c r="F1488" s="69" t="str">
        <x:v>summer</x:v>
      </x:c>
      <x:c r="G1488" s="69" t="str">
        <x:v>Midfielder — source label</x:v>
      </x:c>
      <x:c r="H1488" s="78"/>
      <x:c r="I1488" s="69" t="str">
        <x:v>GBP</x:v>
      </x:c>
      <x:c r="J1488" s="80"/>
      <x:c r="K1488" s="82"/>
      <x:c r="L1488" s="69" t="str">
        <x:v>Evidence needed</x:v>
      </x:c>
      <x:c r="M1488" s="69" t="str">
        <x:v>Buyer-specific role, production, availability, signing age and total fee evidence are needed before assigning a deal-value score. Loan/swap costs must be treated separately.</x:v>
      </x:c>
      <x:c r="N1488" s="69" t="str">
        <x:v>Not assessed</x:v>
      </x:c>
      <x:c r="O1488" s="69" t="str">
        <x:v>Source broad position and transfer quote only; detailed role and buyer-specific production not validated.</x:v>
      </x:c>
      <x:c r="P1488" s="69" t="str">
        <x:v>https://www.theguardian.com/football/ng-interactive/2026/sep/01/mens-transfer-window-summer-2026-all-deals-from-europes-top-five-leagues</x:v>
      </x:c>
    </x:row>
    <x:row r="1489" ht="25" customHeight="1">
      <x:c r="A1489" s="75" t="str">
        <x:v>summer-S26-1162</x:v>
      </x:c>
      <x:c r="B1489" s="75" t="str">
        <x:v>Fabio Miretti</x:v>
      </x:c>
      <x:c r="C1489" s="75" t="str">
        <x:v>Besiktas</x:v>
      </x:c>
      <x:c r="D1489" s="75" t="str">
        <x:v>Juventus</x:v>
      </x:c>
      <x:c r="E1489" s="77" t="d">
        <x:v>2026-08-28T00:00:00.000Z</x:v>
      </x:c>
      <x:c r="F1489" s="75" t="str">
        <x:v>summer</x:v>
      </x:c>
      <x:c r="G1489" s="75" t="str">
        <x:v>Midfielder — source label</x:v>
      </x:c>
      <x:c r="H1489" s="79"/>
      <x:c r="I1489" s="75" t="str">
        <x:v>GBP</x:v>
      </x:c>
      <x:c r="J1489" s="81"/>
      <x:c r="K1489" s="83"/>
      <x:c r="L1489" s="75" t="str">
        <x:v>Evidence needed</x:v>
      </x:c>
      <x:c r="M1489" s="75" t="str">
        <x:v>Buyer-specific role, production, availability, signing age and total fee evidence are needed before assigning a deal-value score. Loan/swap costs must be treated separately.</x:v>
      </x:c>
      <x:c r="N1489" s="75" t="str">
        <x:v>Not assessed</x:v>
      </x:c>
      <x:c r="O1489" s="75" t="str">
        <x:v>Source broad position and transfer quote only; detailed role and buyer-specific production not validated.</x:v>
      </x:c>
      <x:c r="P1489" s="75" t="str">
        <x:v>https://www.theguardian.com/football/ng-interactive/2026/sep/01/mens-transfer-window-summer-2026-all-deals-from-europes-top-five-leagues</x:v>
      </x:c>
    </x:row>
    <x:row r="1490" ht="25" customHeight="1">
      <x:c r="A1490" s="69" t="str">
        <x:v>summer-S26-1163</x:v>
      </x:c>
      <x:c r="B1490" s="69" t="str">
        <x:v>Kojo Peprah Oppong</x:v>
      </x:c>
      <x:c r="C1490" s="69" t="str">
        <x:v>Fenerbahce</x:v>
      </x:c>
      <x:c r="D1490" s="69" t="str">
        <x:v>Nice</x:v>
      </x:c>
      <x:c r="E1490" s="76" t="d">
        <x:v>2026-08-28T00:00:00.000Z</x:v>
      </x:c>
      <x:c r="F1490" s="69" t="str">
        <x:v>summer</x:v>
      </x:c>
      <x:c r="G1490" s="69" t="str">
        <x:v>Defender — source label</x:v>
      </x:c>
      <x:c r="H1490" s="78" t="n">
        <x:v>10270000</x:v>
      </x:c>
      <x:c r="I1490" s="69" t="str">
        <x:v>GBP</x:v>
      </x:c>
      <x:c r="J1490" s="80"/>
      <x:c r="K1490" s="82"/>
      <x:c r="L1490" s="69" t="str">
        <x:v>Evidence needed</x:v>
      </x:c>
      <x:c r="M1490" s="69" t="str">
        <x:v>Buyer-specific role, production, availability, signing age and total fee evidence are needed before assigning a deal-value score.</x:v>
      </x:c>
      <x:c r="N1490" s="69" t="str">
        <x:v>Not assessed</x:v>
      </x:c>
      <x:c r="O1490" s="69" t="str">
        <x:v>Source broad position and transfer quote only; detailed role and buyer-specific production not validated.</x:v>
      </x:c>
      <x:c r="P1490" s="69" t="str">
        <x:v>https://www.theguardian.com/football/ng-interactive/2026/sep/01/mens-transfer-window-summer-2026-all-deals-from-europes-top-five-leagues</x:v>
      </x:c>
    </x:row>
    <x:row r="1491" ht="25" customHeight="1">
      <x:c r="A1491" s="75" t="str">
        <x:v>summer-S26-1164</x:v>
      </x:c>
      <x:c r="B1491" s="75" t="str">
        <x:v>Bartosz Mrozek</x:v>
      </x:c>
      <x:c r="C1491" s="75" t="str">
        <x:v>Udinese</x:v>
      </x:c>
      <x:c r="D1491" s="75" t="str">
        <x:v>Lech Poznan</x:v>
      </x:c>
      <x:c r="E1491" s="77" t="d">
        <x:v>2026-08-28T00:00:00.000Z</x:v>
      </x:c>
      <x:c r="F1491" s="75" t="str">
        <x:v>summer</x:v>
      </x:c>
      <x:c r="G1491" s="75" t="str">
        <x:v>Goalkeeper — source label</x:v>
      </x:c>
      <x:c r="H1491" s="79" t="n">
        <x:v>1280000</x:v>
      </x:c>
      <x:c r="I1491" s="75" t="str">
        <x:v>GBP</x:v>
      </x:c>
      <x:c r="J1491" s="81"/>
      <x:c r="K1491" s="83"/>
      <x:c r="L1491" s="75" t="str">
        <x:v>Evidence needed</x:v>
      </x:c>
      <x:c r="M1491" s="75" t="str">
        <x:v>Buyer-specific shot-stopping, distribution, aerial command, sweeping, signing age and total fee evidence are needed before scoring.</x:v>
      </x:c>
      <x:c r="N1491" s="75" t="str">
        <x:v>Not assessed</x:v>
      </x:c>
      <x:c r="O1491" s="75" t="str">
        <x:v>Source broad position and transfer quote only; detailed role and buyer-specific production not validated.</x:v>
      </x:c>
      <x:c r="P1491" s="75" t="str">
        <x:v>https://www.theguardian.com/football/ng-interactive/2026/sep/01/mens-transfer-window-summer-2026-all-deals-from-europes-top-five-leagues</x:v>
      </x:c>
    </x:row>
    <x:row r="1492" ht="25" customHeight="1">
      <x:c r="A1492" s="69" t="str">
        <x:v>summer-S26-1165</x:v>
      </x:c>
      <x:c r="B1492" s="69" t="str">
        <x:v>Gabriele Zappa</x:v>
      </x:c>
      <x:c r="C1492" s="69" t="str">
        <x:v>Verona</x:v>
      </x:c>
      <x:c r="D1492" s="69" t="str">
        <x:v>Cagliari</x:v>
      </x:c>
      <x:c r="E1492" s="76" t="d">
        <x:v>2026-08-28T00:00:00.000Z</x:v>
      </x:c>
      <x:c r="F1492" s="69" t="str">
        <x:v>summer</x:v>
      </x:c>
      <x:c r="G1492" s="69" t="str">
        <x:v>Defender — source label</x:v>
      </x:c>
      <x:c r="H1492" s="78"/>
      <x:c r="I1492" s="69" t="str">
        <x:v>GBP</x:v>
      </x:c>
      <x:c r="J1492" s="80"/>
      <x:c r="K1492" s="82"/>
      <x:c r="L1492" s="69" t="str">
        <x:v>Evidence needed</x:v>
      </x:c>
      <x:c r="M1492" s="69" t="str">
        <x:v>Buyer-specific role, production, availability, signing age and total fee evidence are needed before assigning a deal-value score. Loan/swap costs must be treated separately.</x:v>
      </x:c>
      <x:c r="N1492" s="69" t="str">
        <x:v>Not assessed</x:v>
      </x:c>
      <x:c r="O1492" s="69" t="str">
        <x:v>Source broad position and transfer quote only; detailed role and buyer-specific production not validated.</x:v>
      </x:c>
      <x:c r="P1492" s="69" t="str">
        <x:v>https://www.theguardian.com/football/ng-interactive/2026/sep/01/mens-transfer-window-summer-2026-all-deals-from-europes-top-five-leagues</x:v>
      </x:c>
    </x:row>
    <x:row r="1493" ht="25" customHeight="1">
      <x:c r="A1493" s="75" t="str">
        <x:v>summer-S26-1168</x:v>
      </x:c>
      <x:c r="B1493" s="75" t="str">
        <x:v>Javi Montero</x:v>
      </x:c>
      <x:c r="C1493" s="75" t="str">
        <x:v>Leganés</x:v>
      </x:c>
      <x:c r="D1493" s="75" t="str">
        <x:v>Málaga</x:v>
      </x:c>
      <x:c r="E1493" s="77" t="d">
        <x:v>2026-08-29T00:00:00.000Z</x:v>
      </x:c>
      <x:c r="F1493" s="75" t="str">
        <x:v>summer</x:v>
      </x:c>
      <x:c r="G1493" s="75" t="str">
        <x:v>Defender — source label</x:v>
      </x:c>
      <x:c r="H1493" s="79"/>
      <x:c r="I1493" s="75" t="str">
        <x:v>GBP</x:v>
      </x:c>
      <x:c r="J1493" s="81"/>
      <x:c r="K1493" s="83"/>
      <x:c r="L1493" s="75" t="str">
        <x:v>Evidence needed</x:v>
      </x:c>
      <x:c r="M1493" s="75" t="str">
        <x:v>Buyer-specific role, production, availability, signing age and total fee evidence are needed before assigning a deal-value score. A zero base fee does not represent wages or signing costs.</x:v>
      </x:c>
      <x:c r="N1493" s="75" t="str">
        <x:v>Not assessed</x:v>
      </x:c>
      <x:c r="O1493" s="75" t="str">
        <x:v>Source broad position and transfer quote only; detailed role and buyer-specific production not validated.</x:v>
      </x:c>
      <x:c r="P1493" s="75" t="str">
        <x:v>https://www.theguardian.com/football/ng-interactive/2026/sep/01/mens-transfer-window-summer-2026-all-deals-from-europes-top-five-leagues</x:v>
      </x:c>
    </x:row>
    <x:row r="1494" ht="25" customHeight="1">
      <x:c r="A1494" s="69" t="str">
        <x:v>summer-S26-1170</x:v>
      </x:c>
      <x:c r="B1494" s="69" t="str">
        <x:v>Patrick Nuamah</x:v>
      </x:c>
      <x:c r="C1494" s="69" t="str">
        <x:v>Sabadell</x:v>
      </x:c>
      <x:c r="D1494" s="69" t="str">
        <x:v>Sassuolo</x:v>
      </x:c>
      <x:c r="E1494" s="76" t="d">
        <x:v>2026-08-28T00:00:00.000Z</x:v>
      </x:c>
      <x:c r="F1494" s="69" t="str">
        <x:v>summer</x:v>
      </x:c>
      <x:c r="G1494" s="69" t="str">
        <x:v>Midfielder — source label</x:v>
      </x:c>
      <x:c r="H1494" s="78"/>
      <x:c r="I1494" s="69" t="str">
        <x:v>GBP</x:v>
      </x:c>
      <x:c r="J1494" s="80"/>
      <x:c r="K1494" s="82"/>
      <x:c r="L1494" s="69" t="str">
        <x:v>Evidence needed</x:v>
      </x:c>
      <x:c r="M1494" s="69" t="str">
        <x:v>Buyer-specific role, production, availability, signing age and total fee evidence are needed before assigning a deal-value score. Loan/swap costs must be treated separately.</x:v>
      </x:c>
      <x:c r="N1494" s="69" t="str">
        <x:v>Not assessed</x:v>
      </x:c>
      <x:c r="O1494" s="69" t="str">
        <x:v>Source broad position and transfer quote only; detailed role and buyer-specific production not validated.</x:v>
      </x:c>
      <x:c r="P1494" s="69" t="str">
        <x:v>https://www.theguardian.com/football/ng-interactive/2026/sep/01/mens-transfer-window-summer-2026-all-deals-from-europes-top-five-leagues</x:v>
      </x:c>
    </x:row>
    <x:row r="1495" ht="25" customHeight="1">
      <x:c r="A1495" s="75" t="str">
        <x:v>summer-S26-1171</x:v>
      </x:c>
      <x:c r="B1495" s="75" t="str">
        <x:v>Issa Kaboré</x:v>
      </x:c>
      <x:c r="C1495" s="75" t="str">
        <x:v>Wrexham</x:v>
      </x:c>
      <x:c r="D1495" s="75" t="str">
        <x:v>Manchester City</x:v>
      </x:c>
      <x:c r="E1495" s="77" t="d">
        <x:v>2026-08-26T00:00:00.000Z</x:v>
      </x:c>
      <x:c r="F1495" s="75" t="str">
        <x:v>summer</x:v>
      </x:c>
      <x:c r="G1495" s="75" t="str">
        <x:v>Defender — source label</x:v>
      </x:c>
      <x:c r="H1495" s="79" t="n">
        <x:v>2000000</x:v>
      </x:c>
      <x:c r="I1495" s="75" t="str">
        <x:v>GBP</x:v>
      </x:c>
      <x:c r="J1495" s="81"/>
      <x:c r="K1495" s="83"/>
      <x:c r="L1495" s="75" t="str">
        <x:v>Evidence needed</x:v>
      </x:c>
      <x:c r="M1495" s="75" t="str">
        <x:v>Buyer-specific role, production, availability, signing age and total fee evidence are needed before assigning a deal-value score.</x:v>
      </x:c>
      <x:c r="N1495" s="75" t="str">
        <x:v>Not assessed</x:v>
      </x:c>
      <x:c r="O1495" s="75" t="str">
        <x:v>Source broad position and transfer quote only; detailed role and buyer-specific production not validated.</x:v>
      </x:c>
      <x:c r="P1495" s="75" t="str">
        <x:v>https://www.theguardian.com/football/ng-interactive/2026/sep/01/mens-transfer-window-summer-2026-all-deals-from-europes-top-five-leagues</x:v>
      </x:c>
    </x:row>
    <x:row r="1496" ht="25" customHeight="1">
      <x:c r="A1496" s="69" t="str">
        <x:v>summer-S26-1172</x:v>
      </x:c>
      <x:c r="B1496" s="69" t="str">
        <x:v>Matai Akinmboni</x:v>
      </x:c>
      <x:c r="C1496" s="69" t="str">
        <x:v>Dundee</x:v>
      </x:c>
      <x:c r="D1496" s="69" t="str">
        <x:v>Bournemouth</x:v>
      </x:c>
      <x:c r="E1496" s="76" t="d">
        <x:v>2026-08-27T00:00:00.000Z</x:v>
      </x:c>
      <x:c r="F1496" s="69" t="str">
        <x:v>summer</x:v>
      </x:c>
      <x:c r="G1496" s="69" t="str">
        <x:v>Defender — source label</x:v>
      </x:c>
      <x:c r="H1496" s="78"/>
      <x:c r="I1496" s="69" t="str">
        <x:v>GBP</x:v>
      </x:c>
      <x:c r="J1496" s="80"/>
      <x:c r="K1496" s="82"/>
      <x:c r="L1496" s="69" t="str">
        <x:v>Evidence needed</x:v>
      </x:c>
      <x:c r="M1496" s="69" t="str">
        <x:v>Buyer-specific role, production, availability, signing age and total fee evidence are needed before assigning a deal-value score. Loan/swap costs must be treated separately.</x:v>
      </x:c>
      <x:c r="N1496" s="69" t="str">
        <x:v>Not assessed</x:v>
      </x:c>
      <x:c r="O1496" s="69" t="str">
        <x:v>Source broad position and transfer quote only; detailed role and buyer-specific production not validated.</x:v>
      </x:c>
      <x:c r="P1496" s="69" t="str">
        <x:v>https://www.theguardian.com/football/ng-interactive/2026/sep/01/mens-transfer-window-summer-2026-all-deals-from-europes-top-five-leagues</x:v>
      </x:c>
    </x:row>
    <x:row r="1497" ht="25" customHeight="1">
      <x:c r="A1497" s="75" t="str">
        <x:v>summer-S26-1173</x:v>
      </x:c>
      <x:c r="B1497" s="75" t="str">
        <x:v>Yanis Zouaoui</x:v>
      </x:c>
      <x:c r="C1497" s="75" t="str">
        <x:v>Montpellier</x:v>
      </x:c>
      <x:c r="D1497" s="75" t="str">
        <x:v>Le Havre</x:v>
      </x:c>
      <x:c r="E1497" s="77" t="d">
        <x:v>2026-08-28T00:00:00.000Z</x:v>
      </x:c>
      <x:c r="F1497" s="75" t="str">
        <x:v>summer</x:v>
      </x:c>
      <x:c r="G1497" s="75" t="str">
        <x:v>Defender — source label</x:v>
      </x:c>
      <x:c r="H1497" s="79"/>
      <x:c r="I1497" s="75" t="str">
        <x:v>GBP</x:v>
      </x:c>
      <x:c r="J1497" s="81"/>
      <x:c r="K1497" s="83"/>
      <x:c r="L1497" s="75" t="str">
        <x:v>Evidence needed</x:v>
      </x:c>
      <x:c r="M1497" s="75" t="str">
        <x:v>Buyer-specific role, production, availability, signing age and total fee evidence are needed before assigning a deal-value score.</x:v>
      </x:c>
      <x:c r="N1497" s="75" t="str">
        <x:v>Not assessed</x:v>
      </x:c>
      <x:c r="O1497" s="75" t="str">
        <x:v>Source broad position and transfer quote only; detailed role and buyer-specific production not validated.</x:v>
      </x:c>
      <x:c r="P1497" s="75" t="str">
        <x:v>https://www.theguardian.com/football/ng-interactive/2026/sep/01/mens-transfer-window-summer-2026-all-deals-from-europes-top-five-leagues</x:v>
      </x:c>
    </x:row>
    <x:row r="1498" ht="25" customHeight="1">
      <x:c r="A1498" s="69" t="str">
        <x:v>summer-S26-1174</x:v>
      </x:c>
      <x:c r="B1498" s="69" t="str">
        <x:v>Michael Folorunsho</x:v>
      </x:c>
      <x:c r="C1498" s="69" t="str">
        <x:v>Monza</x:v>
      </x:c>
      <x:c r="D1498" s="69" t="str">
        <x:v>Napoli</x:v>
      </x:c>
      <x:c r="E1498" s="76" t="d">
        <x:v>2026-08-28T00:00:00.000Z</x:v>
      </x:c>
      <x:c r="F1498" s="69" t="str">
        <x:v>summer</x:v>
      </x:c>
      <x:c r="G1498" s="69" t="str">
        <x:v>Midfielder — source label</x:v>
      </x:c>
      <x:c r="H1498" s="78"/>
      <x:c r="I1498" s="69" t="str">
        <x:v>GBP</x:v>
      </x:c>
      <x:c r="J1498" s="80"/>
      <x:c r="K1498" s="82"/>
      <x:c r="L1498" s="69" t="str">
        <x:v>Evidence needed</x:v>
      </x:c>
      <x:c r="M1498" s="69" t="str">
        <x:v>Buyer-specific role, production, availability, signing age and total fee evidence are needed before assigning a deal-value score. Loan/swap costs must be treated separately.</x:v>
      </x:c>
      <x:c r="N1498" s="69" t="str">
        <x:v>Not assessed</x:v>
      </x:c>
      <x:c r="O1498" s="69" t="str">
        <x:v>Source broad position and transfer quote only; detailed role and buyer-specific production not validated.</x:v>
      </x:c>
      <x:c r="P1498" s="69" t="str">
        <x:v>https://www.theguardian.com/football/ng-interactive/2026/sep/01/mens-transfer-window-summer-2026-all-deals-from-europes-top-five-leagues</x:v>
      </x:c>
    </x:row>
    <x:row r="1499" ht="25" customHeight="1">
      <x:c r="A1499" s="75" t="str">
        <x:v>summer-S26-1177</x:v>
      </x:c>
      <x:c r="B1499" s="75" t="str">
        <x:v>Javi Muñoz</x:v>
      </x:c>
      <x:c r="C1499" s="75" t="str">
        <x:v>Almería</x:v>
      </x:c>
      <x:c r="D1499" s="75" t="str">
        <x:v>Getafe</x:v>
      </x:c>
      <x:c r="E1499" s="77" t="d">
        <x:v>2026-08-28T00:00:00.000Z</x:v>
      </x:c>
      <x:c r="F1499" s="75" t="str">
        <x:v>summer</x:v>
      </x:c>
      <x:c r="G1499" s="75" t="str">
        <x:v>Midfielder — source label</x:v>
      </x:c>
      <x:c r="H1499" s="79"/>
      <x:c r="I1499" s="75" t="str">
        <x:v>GBP</x:v>
      </x:c>
      <x:c r="J1499" s="81"/>
      <x:c r="K1499" s="83"/>
      <x:c r="L1499" s="75" t="str">
        <x:v>Evidence needed</x:v>
      </x:c>
      <x:c r="M1499" s="75" t="str">
        <x:v>Buyer-specific role, production, availability, signing age and total fee evidence are needed before assigning a deal-value score. A zero base fee does not represent wages or signing costs.</x:v>
      </x:c>
      <x:c r="N1499" s="75" t="str">
        <x:v>Not assessed</x:v>
      </x:c>
      <x:c r="O1499" s="75" t="str">
        <x:v>Source broad position and transfer quote only; detailed role and buyer-specific production not validated.</x:v>
      </x:c>
      <x:c r="P1499" s="75" t="str">
        <x:v>https://www.theguardian.com/football/ng-interactive/2026/sep/01/mens-transfer-window-summer-2026-all-deals-from-europes-top-five-leagues</x:v>
      </x:c>
    </x:row>
    <x:row r="1500" ht="25" customHeight="1">
      <x:c r="A1500" s="69" t="str">
        <x:v>summer-S26-1178</x:v>
      </x:c>
      <x:c r="B1500" s="69" t="str">
        <x:v>Rachid Kouda</x:v>
      </x:c>
      <x:c r="C1500" s="69" t="str">
        <x:v>Mantova</x:v>
      </x:c>
      <x:c r="D1500" s="69" t="str">
        <x:v>Parma</x:v>
      </x:c>
      <x:c r="E1500" s="76" t="d">
        <x:v>2026-08-27T00:00:00.000Z</x:v>
      </x:c>
      <x:c r="F1500" s="69" t="str">
        <x:v>summer</x:v>
      </x:c>
      <x:c r="G1500" s="69" t="str">
        <x:v>Midfielder — source label</x:v>
      </x:c>
      <x:c r="H1500" s="78"/>
      <x:c r="I1500" s="69" t="str">
        <x:v>GBP</x:v>
      </x:c>
      <x:c r="J1500" s="80"/>
      <x:c r="K1500" s="82"/>
      <x:c r="L1500" s="69" t="str">
        <x:v>Evidence needed</x:v>
      </x:c>
      <x:c r="M1500" s="69" t="str">
        <x:v>Buyer-specific role, production, availability, signing age and total fee evidence are needed before assigning a deal-value score. Loan/swap costs must be treated separately.</x:v>
      </x:c>
      <x:c r="N1500" s="69" t="str">
        <x:v>Not assessed</x:v>
      </x:c>
      <x:c r="O1500" s="69" t="str">
        <x:v>Source broad position and transfer quote only; detailed role and buyer-specific production not validated.</x:v>
      </x:c>
      <x:c r="P1500" s="69" t="str">
        <x:v>https://www.theguardian.com/football/ng-interactive/2026/sep/01/mens-transfer-window-summer-2026-all-deals-from-europes-top-five-leagues</x:v>
      </x:c>
    </x:row>
    <x:row r="1501" ht="25" customHeight="1">
      <x:c r="A1501" s="75" t="str">
        <x:v>summer-S26-1179</x:v>
      </x:c>
      <x:c r="B1501" s="75" t="str">
        <x:v>Dominik Livakovic</x:v>
      </x:c>
      <x:c r="C1501" s="75" t="str">
        <x:v>Barcelona</x:v>
      </x:c>
      <x:c r="D1501" s="75" t="str">
        <x:v>Fenerbahce</x:v>
      </x:c>
      <x:c r="E1501" s="77" t="d">
        <x:v>2026-08-27T00:00:00.000Z</x:v>
      </x:c>
      <x:c r="F1501" s="75" t="str">
        <x:v>summer</x:v>
      </x:c>
      <x:c r="G1501" s="75" t="str">
        <x:v>Goalkeeper — source label</x:v>
      </x:c>
      <x:c r="H1501" s="79" t="n">
        <x:v>1700000</x:v>
      </x:c>
      <x:c r="I1501" s="75" t="str">
        <x:v>GBP</x:v>
      </x:c>
      <x:c r="J1501" s="81"/>
      <x:c r="K1501" s="83"/>
      <x:c r="L1501" s="75" t="str">
        <x:v>Evidence needed</x:v>
      </x:c>
      <x:c r="M1501" s="75" t="str">
        <x:v>Buyer-specific shot-stopping, distribution, aerial command, sweeping, signing age and total fee evidence are needed before scoring.</x:v>
      </x:c>
      <x:c r="N1501" s="75" t="str">
        <x:v>Not assessed</x:v>
      </x:c>
      <x:c r="O1501" s="75" t="str">
        <x:v>Source broad position and transfer quote only; detailed role and buyer-specific production not validated.</x:v>
      </x:c>
      <x:c r="P1501" s="75" t="str">
        <x:v>https://www.theguardian.com/football/ng-interactive/2026/sep/01/mens-transfer-window-summer-2026-all-deals-from-europes-top-five-leagues</x:v>
      </x:c>
    </x:row>
    <x:row r="1502" ht="25" customHeight="1">
      <x:c r="A1502" s="69" t="str">
        <x:v>summer-S26-1180</x:v>
      </x:c>
      <x:c r="B1502" s="69" t="str">
        <x:v>Kai Andrews</x:v>
      </x:c>
      <x:c r="C1502" s="69" t="str">
        <x:v>Oxford United</x:v>
      </x:c>
      <x:c r="D1502" s="69" t="str">
        <x:v>Coventry City</x:v>
      </x:c>
      <x:c r="E1502" s="76" t="d">
        <x:v>2026-08-28T00:00:00.000Z</x:v>
      </x:c>
      <x:c r="F1502" s="69" t="str">
        <x:v>summer</x:v>
      </x:c>
      <x:c r="G1502" s="69" t="str">
        <x:v>Midfielder — source label</x:v>
      </x:c>
      <x:c r="H1502" s="78"/>
      <x:c r="I1502" s="69" t="str">
        <x:v>GBP</x:v>
      </x:c>
      <x:c r="J1502" s="80"/>
      <x:c r="K1502" s="82"/>
      <x:c r="L1502" s="69" t="str">
        <x:v>Evidence needed</x:v>
      </x:c>
      <x:c r="M1502" s="69" t="str">
        <x:v>Buyer-specific role, production, availability, signing age and total fee evidence are needed before assigning a deal-value score. Loan/swap costs must be treated separately.</x:v>
      </x:c>
      <x:c r="N1502" s="69" t="str">
        <x:v>Not assessed</x:v>
      </x:c>
      <x:c r="O1502" s="69" t="str">
        <x:v>Source broad position and transfer quote only; detailed role and buyer-specific production not validated.</x:v>
      </x:c>
      <x:c r="P1502" s="69" t="str">
        <x:v>https://www.theguardian.com/football/ng-interactive/2026/sep/01/mens-transfer-window-summer-2026-all-deals-from-europes-top-five-leagues</x:v>
      </x:c>
    </x:row>
    <x:row r="1503" ht="25" customHeight="1">
      <x:c r="A1503" s="75" t="str">
        <x:v>summer-S26-1185</x:v>
      </x:c>
      <x:c r="B1503" s="75" t="str">
        <x:v>Felix Uduokhai</x:v>
      </x:c>
      <x:c r="C1503" s="75" t="str">
        <x:v>Union Berlin</x:v>
      </x:c>
      <x:c r="D1503" s="75" t="str">
        <x:v>Besiktas</x:v>
      </x:c>
      <x:c r="E1503" s="77" t="d">
        <x:v>2026-08-27T00:00:00.000Z</x:v>
      </x:c>
      <x:c r="F1503" s="75" t="str">
        <x:v>summer</x:v>
      </x:c>
      <x:c r="G1503" s="75" t="str">
        <x:v>Defender — source label</x:v>
      </x:c>
      <x:c r="H1503" s="79" t="n">
        <x:v>1300000</x:v>
      </x:c>
      <x:c r="I1503" s="75" t="str">
        <x:v>GBP</x:v>
      </x:c>
      <x:c r="J1503" s="81"/>
      <x:c r="K1503" s="83"/>
      <x:c r="L1503" s="75" t="str">
        <x:v>Evidence needed</x:v>
      </x:c>
      <x:c r="M1503" s="75" t="str">
        <x:v>Buyer-specific role, production, availability, signing age and total fee evidence are needed before assigning a deal-value score.</x:v>
      </x:c>
      <x:c r="N1503" s="75" t="str">
        <x:v>Not assessed</x:v>
      </x:c>
      <x:c r="O1503" s="75" t="str">
        <x:v>Source broad position and transfer quote only; detailed role and buyer-specific production not validated.</x:v>
      </x:c>
      <x:c r="P1503" s="75" t="str">
        <x:v>https://www.theguardian.com/football/ng-interactive/2026/sep/01/mens-transfer-window-summer-2026-all-deals-from-europes-top-five-leagues</x:v>
      </x:c>
    </x:row>
    <x:row r="1504" ht="25" customHeight="1">
      <x:c r="A1504" s="69" t="str">
        <x:v>summer-S26-1186</x:v>
      </x:c>
      <x:c r="B1504" s="69" t="str">
        <x:v>Seol Young-woo</x:v>
      </x:c>
      <x:c r="C1504" s="69" t="str">
        <x:v>Augsburg</x:v>
      </x:c>
      <x:c r="D1504" s="69" t="str">
        <x:v>Red Star Belgrade</x:v>
      </x:c>
      <x:c r="E1504" s="76" t="d">
        <x:v>2026-08-27T00:00:00.000Z</x:v>
      </x:c>
      <x:c r="F1504" s="69" t="str">
        <x:v>summer</x:v>
      </x:c>
      <x:c r="G1504" s="69" t="str">
        <x:v>Defender — source label</x:v>
      </x:c>
      <x:c r="H1504" s="78" t="n">
        <x:v>3200000</x:v>
      </x:c>
      <x:c r="I1504" s="69" t="str">
        <x:v>GBP</x:v>
      </x:c>
      <x:c r="J1504" s="80"/>
      <x:c r="K1504" s="82"/>
      <x:c r="L1504" s="69" t="str">
        <x:v>Evidence needed</x:v>
      </x:c>
      <x:c r="M1504" s="69" t="str">
        <x:v>Buyer-specific role, production, availability, signing age and total fee evidence are needed before assigning a deal-value score.</x:v>
      </x:c>
      <x:c r="N1504" s="69" t="str">
        <x:v>Not assessed</x:v>
      </x:c>
      <x:c r="O1504" s="69" t="str">
        <x:v>Source broad position and transfer quote only; detailed role and buyer-specific production not validated.</x:v>
      </x:c>
      <x:c r="P1504" s="69" t="str">
        <x:v>https://www.theguardian.com/football/ng-interactive/2026/sep/01/mens-transfer-window-summer-2026-all-deals-from-europes-top-five-leagues</x:v>
      </x:c>
    </x:row>
    <x:row r="1505" ht="25" customHeight="1">
      <x:c r="A1505" s="75" t="str">
        <x:v>summer-S26-1188</x:v>
      </x:c>
      <x:c r="B1505" s="75" t="str">
        <x:v>Felipe Chávez</x:v>
      </x:c>
      <x:c r="C1505" s="75" t="str">
        <x:v>Magdeburg</x:v>
      </x:c>
      <x:c r="D1505" s="75" t="str">
        <x:v>Bayern Munich</x:v>
      </x:c>
      <x:c r="E1505" s="77" t="d">
        <x:v>2026-08-27T00:00:00.000Z</x:v>
      </x:c>
      <x:c r="F1505" s="75" t="str">
        <x:v>summer</x:v>
      </x:c>
      <x:c r="G1505" s="75" t="str">
        <x:v>Midfielder — source label</x:v>
      </x:c>
      <x:c r="H1505" s="79"/>
      <x:c r="I1505" s="75" t="str">
        <x:v>GBP</x:v>
      </x:c>
      <x:c r="J1505" s="81"/>
      <x:c r="K1505" s="83"/>
      <x:c r="L1505" s="75" t="str">
        <x:v>Evidence needed</x:v>
      </x:c>
      <x:c r="M1505" s="75" t="str">
        <x:v>Buyer-specific role, production, availability, signing age and total fee evidence are needed before assigning a deal-value score. Loan/swap costs must be treated separately.</x:v>
      </x:c>
      <x:c r="N1505" s="75" t="str">
        <x:v>Not assessed</x:v>
      </x:c>
      <x:c r="O1505" s="75" t="str">
        <x:v>Source broad position and transfer quote only; detailed role and buyer-specific production not validated.</x:v>
      </x:c>
      <x:c r="P1505" s="75" t="str">
        <x:v>https://www.theguardian.com/football/ng-interactive/2026/sep/01/mens-transfer-window-summer-2026-all-deals-from-europes-top-five-leagues</x:v>
      </x:c>
    </x:row>
    <x:row r="1506" ht="25" customHeight="1">
      <x:c r="A1506" s="69" t="str">
        <x:v>summer-S26-1194</x:v>
      </x:c>
      <x:c r="B1506" s="69" t="str">
        <x:v>Semuel Pizzignacco</x:v>
      </x:c>
      <x:c r="C1506" s="69" t="str">
        <x:v>Carrarese</x:v>
      </x:c>
      <x:c r="D1506" s="69" t="str">
        <x:v>Monza</x:v>
      </x:c>
      <x:c r="E1506" s="76" t="d">
        <x:v>2026-08-28T00:00:00.000Z</x:v>
      </x:c>
      <x:c r="F1506" s="69" t="str">
        <x:v>summer</x:v>
      </x:c>
      <x:c r="G1506" s="69" t="str">
        <x:v>Goalkeeper — source label</x:v>
      </x:c>
      <x:c r="H1506" s="78"/>
      <x:c r="I1506" s="69" t="str">
        <x:v>GBP</x:v>
      </x:c>
      <x:c r="J1506" s="80"/>
      <x:c r="K1506" s="82"/>
      <x:c r="L1506" s="69" t="str">
        <x:v>Evidence needed</x:v>
      </x:c>
      <x:c r="M1506" s="69" t="str">
        <x:v>Buyer-specific shot-stopping, distribution, aerial command, sweeping, signing age and total fee evidence are needed before scoring. Loan/swap costs must be treated separately.</x:v>
      </x:c>
      <x:c r="N1506" s="69" t="str">
        <x:v>Not assessed</x:v>
      </x:c>
      <x:c r="O1506" s="69" t="str">
        <x:v>Source broad position and transfer quote only; detailed role and buyer-specific production not validated.</x:v>
      </x:c>
      <x:c r="P1506" s="69" t="str">
        <x:v>https://www.theguardian.com/football/ng-interactive/2026/sep/01/mens-transfer-window-summer-2026-all-deals-from-europes-top-five-leagues</x:v>
      </x:c>
    </x:row>
    <x:row r="1507" ht="25" customHeight="1">
      <x:c r="A1507" s="75" t="str">
        <x:v>summer-S26-1198</x:v>
      </x:c>
      <x:c r="B1507" s="75" t="str">
        <x:v>Ivan Ilic</x:v>
      </x:c>
      <x:c r="C1507" s="75" t="str">
        <x:v>Lecce</x:v>
      </x:c>
      <x:c r="D1507" s="75" t="str">
        <x:v>Torino</x:v>
      </x:c>
      <x:c r="E1507" s="77" t="d">
        <x:v>2026-08-27T00:00:00.000Z</x:v>
      </x:c>
      <x:c r="F1507" s="75" t="str">
        <x:v>summer</x:v>
      </x:c>
      <x:c r="G1507" s="75" t="str">
        <x:v>Midfielder — source label</x:v>
      </x:c>
      <x:c r="H1507" s="79"/>
      <x:c r="I1507" s="75" t="str">
        <x:v>GBP</x:v>
      </x:c>
      <x:c r="J1507" s="81"/>
      <x:c r="K1507" s="83"/>
      <x:c r="L1507" s="75" t="str">
        <x:v>Evidence needed</x:v>
      </x:c>
      <x:c r="M1507" s="75" t="str">
        <x:v>Buyer-specific role, production, availability, signing age and total fee evidence are needed before assigning a deal-value score. Loan/swap costs must be treated separately.</x:v>
      </x:c>
      <x:c r="N1507" s="75" t="str">
        <x:v>Not assessed</x:v>
      </x:c>
      <x:c r="O1507" s="75" t="str">
        <x:v>Source broad position and transfer quote only; detailed role and buyer-specific production not validated.</x:v>
      </x:c>
      <x:c r="P1507" s="75" t="str">
        <x:v>https://www.theguardian.com/football/ng-interactive/2026/sep/01/mens-transfer-window-summer-2026-all-deals-from-europes-top-five-leagues</x:v>
      </x:c>
    </x:row>
    <x:row r="1508" ht="25" customHeight="1">
      <x:c r="A1508" s="69" t="str">
        <x:v>summer-S26-1199</x:v>
      </x:c>
      <x:c r="B1508" s="69" t="str">
        <x:v>Filippo Grosso</x:v>
      </x:c>
      <x:c r="C1508" s="69" t="str">
        <x:v>Crotone</x:v>
      </x:c>
      <x:c r="D1508" s="69" t="str">
        <x:v>Frosinone</x:v>
      </x:c>
      <x:c r="E1508" s="76" t="d">
        <x:v>2026-08-27T00:00:00.000Z</x:v>
      </x:c>
      <x:c r="F1508" s="69" t="str">
        <x:v>summer</x:v>
      </x:c>
      <x:c r="G1508" s="69" t="str">
        <x:v>Midfielder — source label</x:v>
      </x:c>
      <x:c r="H1508" s="78"/>
      <x:c r="I1508" s="69" t="str">
        <x:v>GBP</x:v>
      </x:c>
      <x:c r="J1508" s="80"/>
      <x:c r="K1508" s="82"/>
      <x:c r="L1508" s="69" t="str">
        <x:v>Evidence needed</x:v>
      </x:c>
      <x:c r="M1508" s="69" t="str">
        <x:v>Buyer-specific role, production, availability, signing age and total fee evidence are needed before assigning a deal-value score. Loan/swap costs must be treated separately.</x:v>
      </x:c>
      <x:c r="N1508" s="69" t="str">
        <x:v>Not assessed</x:v>
      </x:c>
      <x:c r="O1508" s="69" t="str">
        <x:v>Source broad position and transfer quote only; detailed role and buyer-specific production not validated.</x:v>
      </x:c>
      <x:c r="P1508" s="69" t="str">
        <x:v>https://www.theguardian.com/football/ng-interactive/2026/sep/01/mens-transfer-window-summer-2026-all-deals-from-europes-top-five-leagues</x:v>
      </x:c>
    </x:row>
    <x:row r="1509" ht="25" customHeight="1">
      <x:c r="A1509" s="75" t="str">
        <x:v>summer-S26-1200</x:v>
      </x:c>
      <x:c r="B1509" s="75" t="str">
        <x:v>Alan Matturro</x:v>
      </x:c>
      <x:c r="C1509" s="75" t="str">
        <x:v>Shakhtar Donetsk</x:v>
      </x:c>
      <x:c r="D1509" s="75" t="str">
        <x:v>Genoa</x:v>
      </x:c>
      <x:c r="E1509" s="77" t="d">
        <x:v>2026-08-26T00:00:00.000Z</x:v>
      </x:c>
      <x:c r="F1509" s="75" t="str">
        <x:v>summer</x:v>
      </x:c>
      <x:c r="G1509" s="75" t="str">
        <x:v>Defender — source label</x:v>
      </x:c>
      <x:c r="H1509" s="79" t="n">
        <x:v>4300000</x:v>
      </x:c>
      <x:c r="I1509" s="75" t="str">
        <x:v>GBP</x:v>
      </x:c>
      <x:c r="J1509" s="81"/>
      <x:c r="K1509" s="83"/>
      <x:c r="L1509" s="75" t="str">
        <x:v>Evidence needed</x:v>
      </x:c>
      <x:c r="M1509" s="75" t="str">
        <x:v>Buyer-specific role, production, availability, signing age and total fee evidence are needed before assigning a deal-value score.</x:v>
      </x:c>
      <x:c r="N1509" s="75" t="str">
        <x:v>Not assessed</x:v>
      </x:c>
      <x:c r="O1509" s="75" t="str">
        <x:v>Source broad position and transfer quote only; detailed role and buyer-specific production not validated.</x:v>
      </x:c>
      <x:c r="P1509" s="75" t="str">
        <x:v>https://www.theguardian.com/football/ng-interactive/2026/sep/01/mens-transfer-window-summer-2026-all-deals-from-europes-top-five-leagues</x:v>
      </x:c>
    </x:row>
    <x:row r="1510" ht="25" customHeight="1">
      <x:c r="A1510" s="69" t="str">
        <x:v>summer-S26-1201</x:v>
      </x:c>
      <x:c r="B1510" s="69" t="str">
        <x:v>Emiliano Martínez</x:v>
      </x:c>
      <x:c r="C1510" s="69" t="str">
        <x:v>Chelsea</x:v>
      </x:c>
      <x:c r="D1510" s="69" t="str">
        <x:v>Aston Villa</x:v>
      </x:c>
      <x:c r="E1510" s="76" t="d">
        <x:v>2026-08-30T00:00:00.000Z</x:v>
      </x:c>
      <x:c r="F1510" s="69" t="str">
        <x:v>summer</x:v>
      </x:c>
      <x:c r="G1510" s="69" t="str">
        <x:v>Goalkeeper — source label</x:v>
      </x:c>
      <x:c r="H1510" s="78" t="n">
        <x:v>7500000</x:v>
      </x:c>
      <x:c r="I1510" s="69" t="str">
        <x:v>GBP</x:v>
      </x:c>
      <x:c r="J1510" s="80"/>
      <x:c r="K1510" s="82"/>
      <x:c r="L1510" s="69" t="str">
        <x:v>Evidence needed</x:v>
      </x:c>
      <x:c r="M1510" s="69" t="str">
        <x:v>Buyer-specific shot-stopping, distribution, aerial command, sweeping, signing age and total fee evidence are needed before scoring.</x:v>
      </x:c>
      <x:c r="N1510" s="69" t="str">
        <x:v>Not assessed</x:v>
      </x:c>
      <x:c r="O1510" s="69" t="str">
        <x:v>Source broad position and transfer quote only; detailed role and buyer-specific production not validated.</x:v>
      </x:c>
      <x:c r="P1510" s="69" t="str">
        <x:v>https://www.theguardian.com/football/ng-interactive/2026/sep/01/mens-transfer-window-summer-2026-all-deals-from-europes-top-five-leagues</x:v>
      </x:c>
    </x:row>
    <x:row r="1511" ht="25" customHeight="1">
      <x:c r="A1511" s="75" t="str">
        <x:v>summer-S26-1203</x:v>
      </x:c>
      <x:c r="B1511" s="75" t="str">
        <x:v>Jamie Donley</x:v>
      </x:c>
      <x:c r="C1511" s="75" t="str">
        <x:v>Luton Town</x:v>
      </x:c>
      <x:c r="D1511" s="75" t="str">
        <x:v>Tottenham Hotspur</x:v>
      </x:c>
      <x:c r="E1511" s="77" t="d">
        <x:v>2026-08-29T00:00:00.000Z</x:v>
      </x:c>
      <x:c r="F1511" s="75" t="str">
        <x:v>summer</x:v>
      </x:c>
      <x:c r="G1511" s="75" t="str">
        <x:v>Midfielder — source label</x:v>
      </x:c>
      <x:c r="H1511" s="79"/>
      <x:c r="I1511" s="75" t="str">
        <x:v>GBP</x:v>
      </x:c>
      <x:c r="J1511" s="81"/>
      <x:c r="K1511" s="83"/>
      <x:c r="L1511" s="75" t="str">
        <x:v>Evidence needed</x:v>
      </x:c>
      <x:c r="M1511" s="75" t="str">
        <x:v>Buyer-specific role, production, availability, signing age and total fee evidence are needed before assigning a deal-value score. Loan/swap costs must be treated separately.</x:v>
      </x:c>
      <x:c r="N1511" s="75" t="str">
        <x:v>Not assessed</x:v>
      </x:c>
      <x:c r="O1511" s="75" t="str">
        <x:v>Source broad position and transfer quote only; detailed role and buyer-specific production not validated.</x:v>
      </x:c>
      <x:c r="P1511" s="75" t="str">
        <x:v>https://www.theguardian.com/football/ng-interactive/2026/sep/01/mens-transfer-window-summer-2026-all-deals-from-europes-top-five-leagues</x:v>
      </x:c>
    </x:row>
    <x:row r="1512" ht="25" customHeight="1">
      <x:c r="A1512" s="69" t="str">
        <x:v>summer-S26-1204</x:v>
      </x:c>
      <x:c r="B1512" s="69" t="str">
        <x:v>William Mikelbrencis</x:v>
      </x:c>
      <x:c r="C1512" s="69" t="str">
        <x:v>Darmstadt</x:v>
      </x:c>
      <x:c r="D1512" s="69" t="str">
        <x:v>Hamburg</x:v>
      </x:c>
      <x:c r="E1512" s="76" t="d">
        <x:v>2026-08-29T00:00:00.000Z</x:v>
      </x:c>
      <x:c r="F1512" s="69" t="str">
        <x:v>summer</x:v>
      </x:c>
      <x:c r="G1512" s="69" t="str">
        <x:v>Defender — source label</x:v>
      </x:c>
      <x:c r="H1512" s="78"/>
      <x:c r="I1512" s="69" t="str">
        <x:v>GBP</x:v>
      </x:c>
      <x:c r="J1512" s="80"/>
      <x:c r="K1512" s="82"/>
      <x:c r="L1512" s="69" t="str">
        <x:v>Evidence needed</x:v>
      </x:c>
      <x:c r="M1512" s="69" t="str">
        <x:v>Buyer-specific role, production, availability, signing age and total fee evidence are needed before assigning a deal-value score. A zero base fee does not represent wages or signing costs.</x:v>
      </x:c>
      <x:c r="N1512" s="69" t="str">
        <x:v>Not assessed</x:v>
      </x:c>
      <x:c r="O1512" s="69" t="str">
        <x:v>Source broad position and transfer quote only; detailed role and buyer-specific production not validated.</x:v>
      </x:c>
      <x:c r="P1512" s="69" t="str">
        <x:v>https://www.theguardian.com/football/ng-interactive/2026/sep/01/mens-transfer-window-summer-2026-all-deals-from-europes-top-five-leagues</x:v>
      </x:c>
    </x:row>
    <x:row r="1513" ht="25" customHeight="1">
      <x:c r="A1513" s="75" t="str">
        <x:v>summer-S26-1205</x:v>
      </x:c>
      <x:c r="B1513" s="75" t="str">
        <x:v>Marcus Pedersen</x:v>
      </x:c>
      <x:c r="C1513" s="75" t="str">
        <x:v>Olympiakos</x:v>
      </x:c>
      <x:c r="D1513" s="75" t="str">
        <x:v>Torino</x:v>
      </x:c>
      <x:c r="E1513" s="77" t="d">
        <x:v>2026-08-29T00:00:00.000Z</x:v>
      </x:c>
      <x:c r="F1513" s="75" t="str">
        <x:v>summer</x:v>
      </x:c>
      <x:c r="G1513" s="75" t="str">
        <x:v>Defender — source label</x:v>
      </x:c>
      <x:c r="H1513" s="79" t="n">
        <x:v>5100000</x:v>
      </x:c>
      <x:c r="I1513" s="75" t="str">
        <x:v>GBP</x:v>
      </x:c>
      <x:c r="J1513" s="81"/>
      <x:c r="K1513" s="83"/>
      <x:c r="L1513" s="75" t="str">
        <x:v>Evidence needed</x:v>
      </x:c>
      <x:c r="M1513" s="75" t="str">
        <x:v>Buyer-specific role, production, availability, signing age and total fee evidence are needed before assigning a deal-value score.</x:v>
      </x:c>
      <x:c r="N1513" s="75" t="str">
        <x:v>Not assessed</x:v>
      </x:c>
      <x:c r="O1513" s="75" t="str">
        <x:v>Source broad position and transfer quote only; detailed role and buyer-specific production not validated.</x:v>
      </x:c>
      <x:c r="P1513" s="75" t="str">
        <x:v>https://www.theguardian.com/football/ng-interactive/2026/sep/01/mens-transfer-window-summer-2026-all-deals-from-europes-top-five-leagues</x:v>
      </x:c>
    </x:row>
    <x:row r="1514" ht="25" customHeight="1">
      <x:c r="A1514" s="69" t="str">
        <x:v>summer-S26-1206</x:v>
      </x:c>
      <x:c r="B1514" s="69" t="str">
        <x:v>Lucas Perri</x:v>
      </x:c>
      <x:c r="C1514" s="69" t="str">
        <x:v>Torino</x:v>
      </x:c>
      <x:c r="D1514" s="69" t="str">
        <x:v>Leeds United</x:v>
      </x:c>
      <x:c r="E1514" s="76" t="d">
        <x:v>2026-08-29T00:00:00.000Z</x:v>
      </x:c>
      <x:c r="F1514" s="69" t="str">
        <x:v>summer</x:v>
      </x:c>
      <x:c r="G1514" s="69" t="str">
        <x:v>Goalkeeper — source label</x:v>
      </x:c>
      <x:c r="H1514" s="78"/>
      <x:c r="I1514" s="69" t="str">
        <x:v>GBP</x:v>
      </x:c>
      <x:c r="J1514" s="80"/>
      <x:c r="K1514" s="82"/>
      <x:c r="L1514" s="69" t="str">
        <x:v>Evidence needed</x:v>
      </x:c>
      <x:c r="M1514" s="69" t="str">
        <x:v>Buyer-specific shot-stopping, distribution, aerial command, sweeping, signing age and total fee evidence are needed before scoring. Loan/swap costs must be treated separately.</x:v>
      </x:c>
      <x:c r="N1514" s="69" t="str">
        <x:v>Not assessed</x:v>
      </x:c>
      <x:c r="O1514" s="69" t="str">
        <x:v>Source broad position and transfer quote only; detailed role and buyer-specific production not validated.</x:v>
      </x:c>
      <x:c r="P1514" s="69" t="str">
        <x:v>https://www.theguardian.com/football/ng-interactive/2026/sep/01/mens-transfer-window-summer-2026-all-deals-from-europes-top-five-leagues</x:v>
      </x:c>
    </x:row>
    <x:row r="1515" ht="25" customHeight="1">
      <x:c r="A1515" s="75" t="str">
        <x:v>summer-S26-1208</x:v>
      </x:c>
      <x:c r="B1515" s="75" t="str">
        <x:v>Arthur Theate</x:v>
      </x:c>
      <x:c r="C1515" s="75" t="str">
        <x:v>Bologna</x:v>
      </x:c>
      <x:c r="D1515" s="75" t="str">
        <x:v>Eintracht Frankfurt</x:v>
      </x:c>
      <x:c r="E1515" s="77" t="d">
        <x:v>2026-08-30T00:00:00.000Z</x:v>
      </x:c>
      <x:c r="F1515" s="75" t="str">
        <x:v>summer</x:v>
      </x:c>
      <x:c r="G1515" s="75" t="str">
        <x:v>Defender — source label</x:v>
      </x:c>
      <x:c r="H1515" s="79"/>
      <x:c r="I1515" s="75" t="str">
        <x:v>GBP</x:v>
      </x:c>
      <x:c r="J1515" s="81"/>
      <x:c r="K1515" s="83"/>
      <x:c r="L1515" s="75" t="str">
        <x:v>Evidence needed</x:v>
      </x:c>
      <x:c r="M1515" s="75" t="str">
        <x:v>Buyer-specific role, production, availability, signing age and total fee evidence are needed before assigning a deal-value score. Loan/swap costs must be treated separately.</x:v>
      </x:c>
      <x:c r="N1515" s="75" t="str">
        <x:v>Not assessed</x:v>
      </x:c>
      <x:c r="O1515" s="75" t="str">
        <x:v>Source broad position and transfer quote only; detailed role and buyer-specific production not validated.</x:v>
      </x:c>
      <x:c r="P1515" s="75" t="str">
        <x:v>https://www.theguardian.com/football/ng-interactive/2026/sep/01/mens-transfer-window-summer-2026-all-deals-from-europes-top-five-leagues</x:v>
      </x:c>
    </x:row>
    <x:row r="1516" ht="25" customHeight="1">
      <x:c r="A1516" s="69" t="str">
        <x:v>summer-S26-1209</x:v>
      </x:c>
      <x:c r="B1516" s="69" t="str">
        <x:v>Leonardo Balerdi</x:v>
      </x:c>
      <x:c r="C1516" s="69" t="str">
        <x:v>Roma</x:v>
      </x:c>
      <x:c r="D1516" s="69" t="str">
        <x:v>Marseille</x:v>
      </x:c>
      <x:c r="E1516" s="76" t="d">
        <x:v>2026-08-30T00:00:00.000Z</x:v>
      </x:c>
      <x:c r="F1516" s="69" t="str">
        <x:v>summer</x:v>
      </x:c>
      <x:c r="G1516" s="69" t="str">
        <x:v>Defender — source label</x:v>
      </x:c>
      <x:c r="H1516" s="78"/>
      <x:c r="I1516" s="69" t="str">
        <x:v>GBP</x:v>
      </x:c>
      <x:c r="J1516" s="80"/>
      <x:c r="K1516" s="82"/>
      <x:c r="L1516" s="69" t="str">
        <x:v>Evidence needed</x:v>
      </x:c>
      <x:c r="M1516" s="69" t="str">
        <x:v>Buyer-specific role, production, availability, signing age and total fee evidence are needed before assigning a deal-value score. Loan/swap costs must be treated separately.</x:v>
      </x:c>
      <x:c r="N1516" s="69" t="str">
        <x:v>Not assessed</x:v>
      </x:c>
      <x:c r="O1516" s="69" t="str">
        <x:v>Source broad position and transfer quote only; detailed role and buyer-specific production not validated.</x:v>
      </x:c>
      <x:c r="P1516" s="69" t="str">
        <x:v>https://www.theguardian.com/football/ng-interactive/2026/sep/01/mens-transfer-window-summer-2026-all-deals-from-europes-top-five-leagues</x:v>
      </x:c>
    </x:row>
    <x:row r="1517" ht="25" customHeight="1">
      <x:c r="A1517" s="75" t="str">
        <x:v>summer-S26-1210</x:v>
      </x:c>
      <x:c r="B1517" s="75" t="str">
        <x:v>Tyler Bindon</x:v>
      </x:c>
      <x:c r="C1517" s="75" t="str">
        <x:v>Charlton Athletic</x:v>
      </x:c>
      <x:c r="D1517" s="75" t="str">
        <x:v>Nottingham Forest</x:v>
      </x:c>
      <x:c r="E1517" s="77" t="d">
        <x:v>2026-08-30T00:00:00.000Z</x:v>
      </x:c>
      <x:c r="F1517" s="75" t="str">
        <x:v>summer</x:v>
      </x:c>
      <x:c r="G1517" s="75" t="str">
        <x:v>Defender — source label</x:v>
      </x:c>
      <x:c r="H1517" s="79"/>
      <x:c r="I1517" s="75" t="str">
        <x:v>GBP</x:v>
      </x:c>
      <x:c r="J1517" s="81"/>
      <x:c r="K1517" s="83"/>
      <x:c r="L1517" s="75" t="str">
        <x:v>Evidence needed</x:v>
      </x:c>
      <x:c r="M1517" s="75" t="str">
        <x:v>Buyer-specific role, production, availability, signing age and total fee evidence are needed before assigning a deal-value score. Loan/swap costs must be treated separately.</x:v>
      </x:c>
      <x:c r="N1517" s="75" t="str">
        <x:v>Not assessed</x:v>
      </x:c>
      <x:c r="O1517" s="75" t="str">
        <x:v>Source broad position and transfer quote only; detailed role and buyer-specific production not validated.</x:v>
      </x:c>
      <x:c r="P1517" s="75" t="str">
        <x:v>https://www.theguardian.com/football/ng-interactive/2026/sep/01/mens-transfer-window-summer-2026-all-deals-from-europes-top-five-leagues</x:v>
      </x:c>
    </x:row>
    <x:row r="1518" ht="25" customHeight="1">
      <x:c r="A1518" s="69" t="str">
        <x:v>summer-S26-1211</x:v>
      </x:c>
      <x:c r="B1518" s="69" t="str">
        <x:v>Nick Bätzner</x:v>
      </x:c>
      <x:c r="C1518" s="69" t="str">
        <x:v>RW Essen</x:v>
      </x:c>
      <x:c r="D1518" s="69" t="str">
        <x:v>Paderborn</x:v>
      </x:c>
      <x:c r="E1518" s="76" t="d">
        <x:v>2026-08-30T00:00:00.000Z</x:v>
      </x:c>
      <x:c r="F1518" s="69" t="str">
        <x:v>summer</x:v>
      </x:c>
      <x:c r="G1518" s="69" t="str">
        <x:v>Midfielder — source label</x:v>
      </x:c>
      <x:c r="H1518" s="78" t="n">
        <x:v>106500</x:v>
      </x:c>
      <x:c r="I1518" s="69" t="str">
        <x:v>GBP</x:v>
      </x:c>
      <x:c r="J1518" s="80"/>
      <x:c r="K1518" s="82"/>
      <x:c r="L1518" s="69" t="str">
        <x:v>Evidence needed</x:v>
      </x:c>
      <x:c r="M1518" s="69" t="str">
        <x:v>Buyer-specific role, production, availability, signing age and total fee evidence are needed before assigning a deal-value score.</x:v>
      </x:c>
      <x:c r="N1518" s="69" t="str">
        <x:v>Not assessed</x:v>
      </x:c>
      <x:c r="O1518" s="69" t="str">
        <x:v>Source broad position and transfer quote only; detailed role and buyer-specific production not validated.</x:v>
      </x:c>
      <x:c r="P1518" s="69" t="str">
        <x:v>https://www.theguardian.com/football/ng-interactive/2026/sep/01/mens-transfer-window-summer-2026-all-deals-from-europes-top-five-leagues</x:v>
      </x:c>
    </x:row>
    <x:row r="1519" ht="25" customHeight="1">
      <x:c r="A1519" s="75" t="str">
        <x:v>summer-S26-1213</x:v>
      </x:c>
      <x:c r="B1519" s="75" t="str">
        <x:v>Ernestas Lysionok</x:v>
      </x:c>
      <x:c r="C1519" s="75" t="str">
        <x:v>Dolomiti</x:v>
      </x:c>
      <x:c r="D1519" s="75" t="str">
        <x:v>Genoa</x:v>
      </x:c>
      <x:c r="E1519" s="77" t="d">
        <x:v>2026-08-30T00:00:00.000Z</x:v>
      </x:c>
      <x:c r="F1519" s="75" t="str">
        <x:v>summer</x:v>
      </x:c>
      <x:c r="G1519" s="75" t="str">
        <x:v>Goalkeeper — source label</x:v>
      </x:c>
      <x:c r="H1519" s="79"/>
      <x:c r="I1519" s="75" t="str">
        <x:v>GBP</x:v>
      </x:c>
      <x:c r="J1519" s="81"/>
      <x:c r="K1519" s="83"/>
      <x:c r="L1519" s="75" t="str">
        <x:v>Evidence needed</x:v>
      </x:c>
      <x:c r="M1519" s="75" t="str">
        <x:v>Buyer-specific shot-stopping, distribution, aerial command, sweeping, signing age and total fee evidence are needed before scoring. Loan/swap costs must be treated separately.</x:v>
      </x:c>
      <x:c r="N1519" s="75" t="str">
        <x:v>Not assessed</x:v>
      </x:c>
      <x:c r="O1519" s="75" t="str">
        <x:v>Source broad position and transfer quote only; detailed role and buyer-specific production not validated.</x:v>
      </x:c>
      <x:c r="P1519" s="75" t="str">
        <x:v>https://www.theguardian.com/football/ng-interactive/2026/sep/01/mens-transfer-window-summer-2026-all-deals-from-europes-top-five-leagues</x:v>
      </x:c>
    </x:row>
    <x:row r="1520" ht="25" customHeight="1">
      <x:c r="A1520" s="69" t="str">
        <x:v>summer-S26-1215</x:v>
      </x:c>
      <x:c r="B1520" s="69" t="str">
        <x:v>Stephen Mfuni</x:v>
      </x:c>
      <x:c r="C1520" s="69" t="str">
        <x:v>Coventry City</x:v>
      </x:c>
      <x:c r="D1520" s="69" t="str">
        <x:v>Manchester City</x:v>
      </x:c>
      <x:c r="E1520" s="76" t="d">
        <x:v>2026-08-30T00:00:00.000Z</x:v>
      </x:c>
      <x:c r="F1520" s="69" t="str">
        <x:v>summer</x:v>
      </x:c>
      <x:c r="G1520" s="69" t="str">
        <x:v>Defender — source label</x:v>
      </x:c>
      <x:c r="H1520" s="78"/>
      <x:c r="I1520" s="69" t="str">
        <x:v>GBP</x:v>
      </x:c>
      <x:c r="J1520" s="80"/>
      <x:c r="K1520" s="82"/>
      <x:c r="L1520" s="69" t="str">
        <x:v>Evidence needed</x:v>
      </x:c>
      <x:c r="M1520" s="69" t="str">
        <x:v>Buyer-specific role, production, availability, signing age and total fee evidence are needed before assigning a deal-value score. Loan/swap costs must be treated separately.</x:v>
      </x:c>
      <x:c r="N1520" s="69" t="str">
        <x:v>Not assessed</x:v>
      </x:c>
      <x:c r="O1520" s="69" t="str">
        <x:v>Source broad position and transfer quote only; detailed role and buyer-specific production not validated.</x:v>
      </x:c>
      <x:c r="P1520" s="69" t="str">
        <x:v>https://www.theguardian.com/football/ng-interactive/2026/sep/01/mens-transfer-window-summer-2026-all-deals-from-europes-top-five-leagues</x:v>
      </x:c>
    </x:row>
    <x:row r="1521" ht="25" customHeight="1">
      <x:c r="A1521" s="75" t="str">
        <x:v>summer-S26-1218</x:v>
      </x:c>
      <x:c r="B1521" s="75" t="str">
        <x:v>Matías Orozco</x:v>
      </x:c>
      <x:c r="C1521" s="75" t="str">
        <x:v>Brighton</x:v>
      </x:c>
      <x:c r="D1521" s="75" t="str">
        <x:v>Deportivo Cali</x:v>
      </x:c>
      <x:c r="E1521" s="77" t="d">
        <x:v>2026-08-30T00:00:00.000Z</x:v>
      </x:c>
      <x:c r="F1521" s="75" t="str">
        <x:v>summer</x:v>
      </x:c>
      <x:c r="G1521" s="75" t="str">
        <x:v>Midfielder — source label</x:v>
      </x:c>
      <x:c r="H1521" s="79" t="n">
        <x:v>3500000</x:v>
      </x:c>
      <x:c r="I1521" s="75" t="str">
        <x:v>GBP</x:v>
      </x:c>
      <x:c r="J1521" s="81"/>
      <x:c r="K1521" s="83"/>
      <x:c r="L1521" s="75" t="str">
        <x:v>Evidence needed</x:v>
      </x:c>
      <x:c r="M1521" s="75" t="str">
        <x:v>Buyer-specific role, production, availability, signing age and total fee evidence are needed before assigning a deal-value score.</x:v>
      </x:c>
      <x:c r="N1521" s="75" t="str">
        <x:v>Not assessed</x:v>
      </x:c>
      <x:c r="O1521" s="75" t="str">
        <x:v>Source broad position and transfer quote only; detailed role and buyer-specific production not validated.</x:v>
      </x:c>
      <x:c r="P1521" s="75" t="str">
        <x:v>https://www.theguardian.com/football/ng-interactive/2026/sep/01/mens-transfer-window-summer-2026-all-deals-from-europes-top-five-leagues</x:v>
      </x:c>
    </x:row>
    <x:row r="1522" ht="25" customHeight="1">
      <x:c r="A1522" s="69" t="str">
        <x:v>summer-S26-1219</x:v>
      </x:c>
      <x:c r="B1522" s="69" t="str">
        <x:v>Ignace Van Der Brempt</x:v>
      </x:c>
      <x:c r="C1522" s="69" t="str">
        <x:v>Sassuolo</x:v>
      </x:c>
      <x:c r="D1522" s="69" t="str">
        <x:v>Como 1907</x:v>
      </x:c>
      <x:c r="E1522" s="76" t="d">
        <x:v>2026-08-30T00:00:00.000Z</x:v>
      </x:c>
      <x:c r="F1522" s="69" t="str">
        <x:v>summer</x:v>
      </x:c>
      <x:c r="G1522" s="69" t="str">
        <x:v>Defender — source label</x:v>
      </x:c>
      <x:c r="H1522" s="78"/>
      <x:c r="I1522" s="69" t="str">
        <x:v>GBP</x:v>
      </x:c>
      <x:c r="J1522" s="80"/>
      <x:c r="K1522" s="82"/>
      <x:c r="L1522" s="69" t="str">
        <x:v>Evidence needed</x:v>
      </x:c>
      <x:c r="M1522" s="69" t="str">
        <x:v>Buyer-specific role, production, availability, signing age and total fee evidence are needed before assigning a deal-value score. Loan/swap costs must be treated separately.</x:v>
      </x:c>
      <x:c r="N1522" s="69" t="str">
        <x:v>Not assessed</x:v>
      </x:c>
      <x:c r="O1522" s="69" t="str">
        <x:v>Source broad position and transfer quote only; detailed role and buyer-specific production not validated.</x:v>
      </x:c>
      <x:c r="P1522" s="69" t="str">
        <x:v>https://www.theguardian.com/football/ng-interactive/2026/sep/01/mens-transfer-window-summer-2026-all-deals-from-europes-top-five-leagues</x:v>
      </x:c>
    </x:row>
    <x:row r="1523" ht="25" customHeight="1">
      <x:c r="A1523" s="75" t="str">
        <x:v>summer-S26-1221</x:v>
      </x:c>
      <x:c r="B1523" s="75" t="str">
        <x:v>Axel Tape</x:v>
      </x:c>
      <x:c r="C1523" s="75" t="str">
        <x:v>Levante</x:v>
      </x:c>
      <x:c r="D1523" s="75" t="str">
        <x:v>Bayer Leverkusen</x:v>
      </x:c>
      <x:c r="E1523" s="77" t="d">
        <x:v>2026-08-30T00:00:00.000Z</x:v>
      </x:c>
      <x:c r="F1523" s="75" t="str">
        <x:v>summer</x:v>
      </x:c>
      <x:c r="G1523" s="75" t="str">
        <x:v>Defender — source label</x:v>
      </x:c>
      <x:c r="H1523" s="79"/>
      <x:c r="I1523" s="75" t="str">
        <x:v>GBP</x:v>
      </x:c>
      <x:c r="J1523" s="81"/>
      <x:c r="K1523" s="83"/>
      <x:c r="L1523" s="75" t="str">
        <x:v>Evidence needed</x:v>
      </x:c>
      <x:c r="M1523" s="75" t="str">
        <x:v>Buyer-specific role, production, availability, signing age and total fee evidence are needed before assigning a deal-value score. Loan/swap costs must be treated separately.</x:v>
      </x:c>
      <x:c r="N1523" s="75" t="str">
        <x:v>Not assessed</x:v>
      </x:c>
      <x:c r="O1523" s="75" t="str">
        <x:v>Source broad position and transfer quote only; detailed role and buyer-specific production not validated.</x:v>
      </x:c>
      <x:c r="P1523" s="75" t="str">
        <x:v>https://www.theguardian.com/football/ng-interactive/2026/sep/01/mens-transfer-window-summer-2026-all-deals-from-europes-top-five-leagues</x:v>
      </x:c>
    </x:row>
    <x:row r="1524" ht="25" customHeight="1">
      <x:c r="A1524" s="69" t="str">
        <x:v>summer-S26-1223</x:v>
      </x:c>
      <x:c r="B1524" s="69" t="str">
        <x:v>Ali Dembélé</x:v>
      </x:c>
      <x:c r="C1524" s="69" t="str">
        <x:v>Lecce</x:v>
      </x:c>
      <x:c r="D1524" s="69" t="str">
        <x:v>Torino</x:v>
      </x:c>
      <x:c r="E1524" s="76" t="d">
        <x:v>2026-08-30T00:00:00.000Z</x:v>
      </x:c>
      <x:c r="F1524" s="69" t="str">
        <x:v>summer</x:v>
      </x:c>
      <x:c r="G1524" s="69" t="str">
        <x:v>Defender — source label</x:v>
      </x:c>
      <x:c r="H1524" s="78"/>
      <x:c r="I1524" s="69" t="str">
        <x:v>GBP</x:v>
      </x:c>
      <x:c r="J1524" s="80"/>
      <x:c r="K1524" s="82"/>
      <x:c r="L1524" s="69" t="str">
        <x:v>Evidence needed</x:v>
      </x:c>
      <x:c r="M1524" s="69" t="str">
        <x:v>Buyer-specific role, production, availability, signing age and total fee evidence are needed before assigning a deal-value score. Loan/swap costs must be treated separately.</x:v>
      </x:c>
      <x:c r="N1524" s="69" t="str">
        <x:v>Not assessed</x:v>
      </x:c>
      <x:c r="O1524" s="69" t="str">
        <x:v>Source broad position and transfer quote only; detailed role and buyer-specific production not validated.</x:v>
      </x:c>
      <x:c r="P1524" s="69" t="str">
        <x:v>https://www.theguardian.com/football/ng-interactive/2026/sep/01/mens-transfer-window-summer-2026-all-deals-from-europes-top-five-leagues</x:v>
      </x:c>
    </x:row>
    <x:row r="1525" ht="25" customHeight="1">
      <x:c r="A1525" s="75" t="str">
        <x:v>summer-S26-1225</x:v>
      </x:c>
      <x:c r="B1525" s="75" t="str">
        <x:v>Sergio Martínez</x:v>
      </x:c>
      <x:c r="C1525" s="75" t="str">
        <x:v>Real Madrid</x:v>
      </x:c>
      <x:c r="D1525" s="75" t="str">
        <x:v>Racing Santander</x:v>
      </x:c>
      <x:c r="E1525" s="77" t="d">
        <x:v>2026-08-31T00:00:00.000Z</x:v>
      </x:c>
      <x:c r="F1525" s="75" t="str">
        <x:v>summer</x:v>
      </x:c>
      <x:c r="G1525" s="75" t="str">
        <x:v>Midfielder — source label</x:v>
      </x:c>
      <x:c r="H1525" s="79" t="n">
        <x:v>2600000</x:v>
      </x:c>
      <x:c r="I1525" s="75" t="str">
        <x:v>GBP</x:v>
      </x:c>
      <x:c r="J1525" s="81"/>
      <x:c r="K1525" s="83"/>
      <x:c r="L1525" s="75" t="str">
        <x:v>Evidence needed</x:v>
      </x:c>
      <x:c r="M1525" s="75" t="str">
        <x:v>Buyer-specific role, production, availability, signing age and total fee evidence are needed before assigning a deal-value score.</x:v>
      </x:c>
      <x:c r="N1525" s="75" t="str">
        <x:v>Not assessed</x:v>
      </x:c>
      <x:c r="O1525" s="75" t="str">
        <x:v>Source broad position and transfer quote only; detailed role and buyer-specific production not validated.</x:v>
      </x:c>
      <x:c r="P1525" s="75" t="str">
        <x:v>https://www.theguardian.com/football/ng-interactive/2026/sep/01/mens-transfer-window-summer-2026-all-deals-from-europes-top-five-leagues</x:v>
      </x:c>
    </x:row>
    <x:row r="1526" ht="25" customHeight="1">
      <x:c r="A1526" s="69" t="str">
        <x:v>summer-S26-1226</x:v>
      </x:c>
      <x:c r="B1526" s="69" t="str">
        <x:v>Yanis Massolin</x:v>
      </x:c>
      <x:c r="C1526" s="69" t="str">
        <x:v>Cagliari</x:v>
      </x:c>
      <x:c r="D1526" s="69" t="str">
        <x:v>Inter</x:v>
      </x:c>
      <x:c r="E1526" s="76" t="d">
        <x:v>2026-08-30T00:00:00.000Z</x:v>
      </x:c>
      <x:c r="F1526" s="69" t="str">
        <x:v>summer</x:v>
      </x:c>
      <x:c r="G1526" s="69" t="str">
        <x:v>Midfielder — source label</x:v>
      </x:c>
      <x:c r="H1526" s="78"/>
      <x:c r="I1526" s="69" t="str">
        <x:v>GBP</x:v>
      </x:c>
      <x:c r="J1526" s="80"/>
      <x:c r="K1526" s="82"/>
      <x:c r="L1526" s="69" t="str">
        <x:v>Evidence needed</x:v>
      </x:c>
      <x:c r="M1526" s="69" t="str">
        <x:v>Buyer-specific role, production, availability, signing age and total fee evidence are needed before assigning a deal-value score. Loan/swap costs must be treated separately.</x:v>
      </x:c>
      <x:c r="N1526" s="69" t="str">
        <x:v>Not assessed</x:v>
      </x:c>
      <x:c r="O1526" s="69" t="str">
        <x:v>Source broad position and transfer quote only; detailed role and buyer-specific production not validated.</x:v>
      </x:c>
      <x:c r="P1526" s="69" t="str">
        <x:v>https://www.theguardian.com/football/ng-interactive/2026/sep/01/mens-transfer-window-summer-2026-all-deals-from-europes-top-five-leagues</x:v>
      </x:c>
    </x:row>
    <x:row r="1527" ht="25" customHeight="1">
      <x:c r="A1527" s="75" t="str">
        <x:v>summer-S26-1227</x:v>
      </x:c>
      <x:c r="B1527" s="75" t="str">
        <x:v>Jayce Fitzgerald</x:v>
      </x:c>
      <x:c r="C1527" s="75" t="str">
        <x:v>Rotherham</x:v>
      </x:c>
      <x:c r="D1527" s="75" t="str">
        <x:v>Manchester United</x:v>
      </x:c>
      <x:c r="E1527" s="77" t="d">
        <x:v>2026-08-31T00:00:00.000Z</x:v>
      </x:c>
      <x:c r="F1527" s="75" t="str">
        <x:v>summer</x:v>
      </x:c>
      <x:c r="G1527" s="75" t="str">
        <x:v>Midfielder — source label</x:v>
      </x:c>
      <x:c r="H1527" s="79"/>
      <x:c r="I1527" s="75" t="str">
        <x:v>GBP</x:v>
      </x:c>
      <x:c r="J1527" s="81"/>
      <x:c r="K1527" s="83"/>
      <x:c r="L1527" s="75" t="str">
        <x:v>Evidence needed</x:v>
      </x:c>
      <x:c r="M1527" s="75" t="str">
        <x:v>Buyer-specific role, production, availability, signing age and total fee evidence are needed before assigning a deal-value score. Loan/swap costs must be treated separately.</x:v>
      </x:c>
      <x:c r="N1527" s="75" t="str">
        <x:v>Not assessed</x:v>
      </x:c>
      <x:c r="O1527" s="75" t="str">
        <x:v>Source broad position and transfer quote only; detailed role and buyer-specific production not validated.</x:v>
      </x:c>
      <x:c r="P1527" s="75" t="str">
        <x:v>https://www.theguardian.com/football/ng-interactive/2026/sep/01/mens-transfer-window-summer-2026-all-deals-from-europes-top-five-leagues</x:v>
      </x:c>
    </x:row>
    <x:row r="1528" ht="25" customHeight="1">
      <x:c r="A1528" s="69" t="str">
        <x:v>summer-S26-1228</x:v>
      </x:c>
      <x:c r="B1528" s="69" t="str">
        <x:v>Daniel Muñoz</x:v>
      </x:c>
      <x:c r="C1528" s="69" t="str">
        <x:v>Nottingham Forest</x:v>
      </x:c>
      <x:c r="D1528" s="69" t="str">
        <x:v>Crystal Palace</x:v>
      </x:c>
      <x:c r="E1528" s="76" t="d">
        <x:v>2026-08-31T00:00:00.000Z</x:v>
      </x:c>
      <x:c r="F1528" s="69" t="str">
        <x:v>summer</x:v>
      </x:c>
      <x:c r="G1528" s="69" t="str">
        <x:v>Defender — source label</x:v>
      </x:c>
      <x:c r="H1528" s="78" t="n">
        <x:v>22000000</x:v>
      </x:c>
      <x:c r="I1528" s="69" t="str">
        <x:v>GBP</x:v>
      </x:c>
      <x:c r="J1528" s="80"/>
      <x:c r="K1528" s="82"/>
      <x:c r="L1528" s="69" t="str">
        <x:v>Evidence needed</x:v>
      </x:c>
      <x:c r="M1528" s="69" t="str">
        <x:v>Buyer-specific role, production, availability, signing age and total fee evidence are needed before assigning a deal-value score.</x:v>
      </x:c>
      <x:c r="N1528" s="69" t="str">
        <x:v>Not assessed</x:v>
      </x:c>
      <x:c r="O1528" s="69" t="str">
        <x:v>Source broad position and transfer quote only; detailed role and buyer-specific production not validated.</x:v>
      </x:c>
      <x:c r="P1528" s="69" t="str">
        <x:v>https://www.theguardian.com/football/ng-interactive/2026/sep/01/mens-transfer-window-summer-2026-all-deals-from-europes-top-five-leagues</x:v>
      </x:c>
    </x:row>
    <x:row r="1529" ht="25" customHeight="1">
      <x:c r="A1529" s="75" t="str">
        <x:v>summer-S26-1231</x:v>
      </x:c>
      <x:c r="B1529" s="75" t="str">
        <x:v>Filippo Missori</x:v>
      </x:c>
      <x:c r="C1529" s="75" t="str">
        <x:v>Avellino</x:v>
      </x:c>
      <x:c r="D1529" s="75" t="str">
        <x:v>Sassuolo</x:v>
      </x:c>
      <x:c r="E1529" s="77" t="d">
        <x:v>2026-08-31T00:00:00.000Z</x:v>
      </x:c>
      <x:c r="F1529" s="75" t="str">
        <x:v>summer</x:v>
      </x:c>
      <x:c r="G1529" s="75" t="str">
        <x:v>Defender — source label</x:v>
      </x:c>
      <x:c r="H1529" s="79"/>
      <x:c r="I1529" s="75" t="str">
        <x:v>GBP</x:v>
      </x:c>
      <x:c r="J1529" s="81"/>
      <x:c r="K1529" s="83"/>
      <x:c r="L1529" s="75" t="str">
        <x:v>Evidence needed</x:v>
      </x:c>
      <x:c r="M1529" s="75" t="str">
        <x:v>Buyer-specific role, production, availability, signing age and total fee evidence are needed before assigning a deal-value score. Loan/swap costs must be treated separately.</x:v>
      </x:c>
      <x:c r="N1529" s="75" t="str">
        <x:v>Not assessed</x:v>
      </x:c>
      <x:c r="O1529" s="75" t="str">
        <x:v>Source broad position and transfer quote only; detailed role and buyer-specific production not validated.</x:v>
      </x:c>
      <x:c r="P1529" s="75" t="str">
        <x:v>https://www.theguardian.com/football/ng-interactive/2026/sep/01/mens-transfer-window-summer-2026-all-deals-from-europes-top-five-leagues</x:v>
      </x:c>
    </x:row>
    <x:row r="1530" ht="25" customHeight="1">
      <x:c r="A1530" s="69" t="str">
        <x:v>summer-S26-1233</x:v>
      </x:c>
      <x:c r="B1530" s="69" t="str">
        <x:v>Lino Sousa</x:v>
      </x:c>
      <x:c r="C1530" s="69" t="str">
        <x:v>Shrewsbury Town</x:v>
      </x:c>
      <x:c r="D1530" s="69" t="str">
        <x:v>Aston Villa</x:v>
      </x:c>
      <x:c r="E1530" s="76" t="d">
        <x:v>2026-08-31T00:00:00.000Z</x:v>
      </x:c>
      <x:c r="F1530" s="69" t="str">
        <x:v>summer</x:v>
      </x:c>
      <x:c r="G1530" s="69" t="str">
        <x:v>Defender — source label</x:v>
      </x:c>
      <x:c r="H1530" s="78"/>
      <x:c r="I1530" s="69" t="str">
        <x:v>GBP</x:v>
      </x:c>
      <x:c r="J1530" s="80"/>
      <x:c r="K1530" s="82"/>
      <x:c r="L1530" s="69" t="str">
        <x:v>Evidence needed</x:v>
      </x:c>
      <x:c r="M1530" s="69" t="str">
        <x:v>Buyer-specific role, production, availability, signing age and total fee evidence are needed before assigning a deal-value score. Loan/swap costs must be treated separately.</x:v>
      </x:c>
      <x:c r="N1530" s="69" t="str">
        <x:v>Not assessed</x:v>
      </x:c>
      <x:c r="O1530" s="69" t="str">
        <x:v>Source broad position and transfer quote only; detailed role and buyer-specific production not validated.</x:v>
      </x:c>
      <x:c r="P1530" s="69" t="str">
        <x:v>https://www.theguardian.com/football/ng-interactive/2026/sep/01/mens-transfer-window-summer-2026-all-deals-from-europes-top-five-leagues</x:v>
      </x:c>
    </x:row>
    <x:row r="1531" ht="25" customHeight="1">
      <x:c r="A1531" s="75" t="str">
        <x:v>summer-S26-1234</x:v>
      </x:c>
      <x:c r="B1531" s="75" t="str">
        <x:v>Josh Feeney</x:v>
      </x:c>
      <x:c r="C1531" s="75" t="str">
        <x:v>Peterborough</x:v>
      </x:c>
      <x:c r="D1531" s="75" t="str">
        <x:v>Aston Villa</x:v>
      </x:c>
      <x:c r="E1531" s="77" t="d">
        <x:v>2026-08-31T00:00:00.000Z</x:v>
      </x:c>
      <x:c r="F1531" s="75" t="str">
        <x:v>summer</x:v>
      </x:c>
      <x:c r="G1531" s="75" t="str">
        <x:v>Defender — source label</x:v>
      </x:c>
      <x:c r="H1531" s="79"/>
      <x:c r="I1531" s="75" t="str">
        <x:v>GBP</x:v>
      </x:c>
      <x:c r="J1531" s="81"/>
      <x:c r="K1531" s="83"/>
      <x:c r="L1531" s="75" t="str">
        <x:v>Evidence needed</x:v>
      </x:c>
      <x:c r="M1531" s="75" t="str">
        <x:v>Buyer-specific role, production, availability, signing age and total fee evidence are needed before assigning a deal-value score. Loan/swap costs must be treated separately.</x:v>
      </x:c>
      <x:c r="N1531" s="75" t="str">
        <x:v>Not assessed</x:v>
      </x:c>
      <x:c r="O1531" s="75" t="str">
        <x:v>Source broad position and transfer quote only; detailed role and buyer-specific production not validated.</x:v>
      </x:c>
      <x:c r="P1531" s="75" t="str">
        <x:v>https://www.theguardian.com/football/ng-interactive/2026/sep/01/mens-transfer-window-summer-2026-all-deals-from-europes-top-five-leagues</x:v>
      </x:c>
    </x:row>
    <x:row r="1532" ht="25" customHeight="1">
      <x:c r="A1532" s="69" t="str">
        <x:v>summer-S26-1238</x:v>
      </x:c>
      <x:c r="B1532" s="69" t="str">
        <x:v>Adam Aznou</x:v>
      </x:c>
      <x:c r="C1532" s="69" t="str">
        <x:v>Málaga</x:v>
      </x:c>
      <x:c r="D1532" s="69" t="str">
        <x:v>Everton</x:v>
      </x:c>
      <x:c r="E1532" s="76" t="d">
        <x:v>2026-08-31T00:00:00.000Z</x:v>
      </x:c>
      <x:c r="F1532" s="69" t="str">
        <x:v>summer</x:v>
      </x:c>
      <x:c r="G1532" s="69" t="str">
        <x:v>Defender — source label</x:v>
      </x:c>
      <x:c r="H1532" s="78"/>
      <x:c r="I1532" s="69" t="str">
        <x:v>GBP</x:v>
      </x:c>
      <x:c r="J1532" s="80"/>
      <x:c r="K1532" s="82"/>
      <x:c r="L1532" s="69" t="str">
        <x:v>Evidence needed</x:v>
      </x:c>
      <x:c r="M1532" s="69" t="str">
        <x:v>Buyer-specific role, production, availability, signing age and total fee evidence are needed before assigning a deal-value score. Loan/swap costs must be treated separately.</x:v>
      </x:c>
      <x:c r="N1532" s="69" t="str">
        <x:v>Not assessed</x:v>
      </x:c>
      <x:c r="O1532" s="69" t="str">
        <x:v>Source broad position and transfer quote only; detailed role and buyer-specific production not validated.</x:v>
      </x:c>
      <x:c r="P1532" s="69" t="str">
        <x:v>https://www.theguardian.com/football/ng-interactive/2026/sep/01/mens-transfer-window-summer-2026-all-deals-from-europes-top-five-leagues</x:v>
      </x:c>
    </x:row>
    <x:row r="1533" ht="25" customHeight="1">
      <x:c r="A1533" s="75" t="str">
        <x:v>summer-S26-1243</x:v>
      </x:c>
      <x:c r="B1533" s="75" t="str">
        <x:v>Pasquale Mazzocchi</x:v>
      </x:c>
      <x:c r="C1533" s="75" t="str">
        <x:v>Venezia</x:v>
      </x:c>
      <x:c r="D1533" s="75" t="str">
        <x:v>Napoli</x:v>
      </x:c>
      <x:c r="E1533" s="77" t="d">
        <x:v>2026-08-31T00:00:00.000Z</x:v>
      </x:c>
      <x:c r="F1533" s="75" t="str">
        <x:v>summer</x:v>
      </x:c>
      <x:c r="G1533" s="75" t="str">
        <x:v>Defender — source label</x:v>
      </x:c>
      <x:c r="H1533" s="79"/>
      <x:c r="I1533" s="75" t="str">
        <x:v>GBP</x:v>
      </x:c>
      <x:c r="J1533" s="81"/>
      <x:c r="K1533" s="83"/>
      <x:c r="L1533" s="75" t="str">
        <x:v>Evidence needed</x:v>
      </x:c>
      <x:c r="M1533" s="75" t="str">
        <x:v>Buyer-specific role, production, availability, signing age and total fee evidence are needed before assigning a deal-value score. Loan/swap costs must be treated separately.</x:v>
      </x:c>
      <x:c r="N1533" s="75" t="str">
        <x:v>Not assessed</x:v>
      </x:c>
      <x:c r="O1533" s="75" t="str">
        <x:v>Source broad position and transfer quote only; detailed role and buyer-specific production not validated.</x:v>
      </x:c>
      <x:c r="P1533" s="75" t="str">
        <x:v>https://www.theguardian.com/football/ng-interactive/2026/sep/01/mens-transfer-window-summer-2026-all-deals-from-europes-top-five-leagues</x:v>
      </x:c>
    </x:row>
    <x:row r="1534" ht="25" customHeight="1">
      <x:c r="A1534" s="69" t="str">
        <x:v>summer-S26-1245</x:v>
      </x:c>
      <x:c r="B1534" s="69" t="str">
        <x:v>Duje Caleta-Car</x:v>
      </x:c>
      <x:c r="C1534" s="69" t="str">
        <x:v>Sassuolo</x:v>
      </x:c>
      <x:c r="D1534" s="69" t="str">
        <x:v>Lyon</x:v>
      </x:c>
      <x:c r="E1534" s="76" t="d">
        <x:v>2026-09-01T00:00:00.000Z</x:v>
      </x:c>
      <x:c r="F1534" s="69" t="str">
        <x:v>summer</x:v>
      </x:c>
      <x:c r="G1534" s="69" t="str">
        <x:v>Defender — source label</x:v>
      </x:c>
      <x:c r="H1534" s="78"/>
      <x:c r="I1534" s="69" t="str">
        <x:v>GBP</x:v>
      </x:c>
      <x:c r="J1534" s="80"/>
      <x:c r="K1534" s="82"/>
      <x:c r="L1534" s="69" t="str">
        <x:v>Evidence needed</x:v>
      </x:c>
      <x:c r="M1534" s="69" t="str">
        <x:v>Buyer-specific role, production, availability, signing age and total fee evidence are needed before assigning a deal-value score. A zero base fee does not represent wages or signing costs.</x:v>
      </x:c>
      <x:c r="N1534" s="69" t="str">
        <x:v>Not assessed</x:v>
      </x:c>
      <x:c r="O1534" s="69" t="str">
        <x:v>Source broad position and transfer quote only; detailed role and buyer-specific production not validated.</x:v>
      </x:c>
      <x:c r="P1534" s="69" t="str">
        <x:v>https://www.theguardian.com/football/ng-interactive/2026/sep/01/mens-transfer-window-summer-2026-all-deals-from-europes-top-five-leagues</x:v>
      </x:c>
    </x:row>
    <x:row r="1535" ht="25" customHeight="1">
      <x:c r="A1535" s="75" t="str">
        <x:v>summer-S26-1246</x:v>
      </x:c>
      <x:c r="B1535" s="75" t="str">
        <x:v>Zakaria El Ouahdi</x:v>
      </x:c>
      <x:c r="C1535" s="75" t="str">
        <x:v>Hamburg</x:v>
      </x:c>
      <x:c r="D1535" s="75" t="str">
        <x:v>Genk</x:v>
      </x:c>
      <x:c r="E1535" s="77" t="d">
        <x:v>2026-09-01T00:00:00.000Z</x:v>
      </x:c>
      <x:c r="F1535" s="75" t="str">
        <x:v>summer</x:v>
      </x:c>
      <x:c r="G1535" s="75" t="str">
        <x:v>Defender — source label</x:v>
      </x:c>
      <x:c r="H1535" s="79" t="n">
        <x:v>6850000</x:v>
      </x:c>
      <x:c r="I1535" s="75" t="str">
        <x:v>GBP</x:v>
      </x:c>
      <x:c r="J1535" s="81"/>
      <x:c r="K1535" s="83"/>
      <x:c r="L1535" s="75" t="str">
        <x:v>Evidence needed</x:v>
      </x:c>
      <x:c r="M1535" s="75" t="str">
        <x:v>Buyer-specific role, production, availability, signing age and total fee evidence are needed before assigning a deal-value score.</x:v>
      </x:c>
      <x:c r="N1535" s="75" t="str">
        <x:v>Not assessed</x:v>
      </x:c>
      <x:c r="O1535" s="75" t="str">
        <x:v>Source broad position and transfer quote only; detailed role and buyer-specific production not validated.</x:v>
      </x:c>
      <x:c r="P1535" s="75" t="str">
        <x:v>https://www.theguardian.com/football/ng-interactive/2026/sep/01/mens-transfer-window-summer-2026-all-deals-from-europes-top-five-leagues</x:v>
      </x:c>
    </x:row>
    <x:row r="1536" ht="25" customHeight="1">
      <x:c r="A1536" s="69" t="str">
        <x:v>summer-S26-1247</x:v>
      </x:c>
      <x:c r="B1536" s="69" t="str">
        <x:v>Aarón Martín</x:v>
      </x:c>
      <x:c r="C1536" s="69" t="str">
        <x:v>Racing Santander</x:v>
      </x:c>
      <x:c r="D1536" s="69" t="str">
        <x:v>Genoa</x:v>
      </x:c>
      <x:c r="E1536" s="76" t="d">
        <x:v>2026-09-01T00:00:00.000Z</x:v>
      </x:c>
      <x:c r="F1536" s="69" t="str">
        <x:v>summer</x:v>
      </x:c>
      <x:c r="G1536" s="69" t="str">
        <x:v>Defender — source label</x:v>
      </x:c>
      <x:c r="H1536" s="78" t="n">
        <x:v>1700000</x:v>
      </x:c>
      <x:c r="I1536" s="69" t="str">
        <x:v>GBP</x:v>
      </x:c>
      <x:c r="J1536" s="80"/>
      <x:c r="K1536" s="82"/>
      <x:c r="L1536" s="69" t="str">
        <x:v>Evidence needed</x:v>
      </x:c>
      <x:c r="M1536" s="69" t="str">
        <x:v>Buyer-specific role, production, availability, signing age and total fee evidence are needed before assigning a deal-value score.</x:v>
      </x:c>
      <x:c r="N1536" s="69" t="str">
        <x:v>Not assessed</x:v>
      </x:c>
      <x:c r="O1536" s="69" t="str">
        <x:v>Source broad position and transfer quote only; detailed role and buyer-specific production not validated.</x:v>
      </x:c>
      <x:c r="P1536" s="69" t="str">
        <x:v>https://www.theguardian.com/football/ng-interactive/2026/sep/01/mens-transfer-window-summer-2026-all-deals-from-europes-top-five-leagues</x:v>
      </x:c>
    </x:row>
    <x:row r="1537" ht="25" customHeight="1">
      <x:c r="A1537" s="75" t="str">
        <x:v>summer-S26-1249</x:v>
      </x:c>
      <x:c r="B1537" s="75" t="str">
        <x:v>Souza</x:v>
      </x:c>
      <x:c r="C1537" s="75" t="str">
        <x:v>Porto</x:v>
      </x:c>
      <x:c r="D1537" s="75" t="str">
        <x:v>Tottenham Hotspur</x:v>
      </x:c>
      <x:c r="E1537" s="77" t="d">
        <x:v>2026-08-31T00:00:00.000Z</x:v>
      </x:c>
      <x:c r="F1537" s="75" t="str">
        <x:v>summer</x:v>
      </x:c>
      <x:c r="G1537" s="75" t="str">
        <x:v>Defender — source label</x:v>
      </x:c>
      <x:c r="H1537" s="79"/>
      <x:c r="I1537" s="75" t="str">
        <x:v>GBP</x:v>
      </x:c>
      <x:c r="J1537" s="81"/>
      <x:c r="K1537" s="83"/>
      <x:c r="L1537" s="75" t="str">
        <x:v>Evidence needed</x:v>
      </x:c>
      <x:c r="M1537" s="75" t="str">
        <x:v>Buyer-specific role, production, availability, signing age and total fee evidence are needed before assigning a deal-value score. Loan/swap costs must be treated separately.</x:v>
      </x:c>
      <x:c r="N1537" s="75" t="str">
        <x:v>Not assessed</x:v>
      </x:c>
      <x:c r="O1537" s="75" t="str">
        <x:v>Source broad position and transfer quote only; detailed role and buyer-specific production not validated.</x:v>
      </x:c>
      <x:c r="P1537" s="75" t="str">
        <x:v>https://www.theguardian.com/football/ng-interactive/2026/sep/01/mens-transfer-window-summer-2026-all-deals-from-europes-top-five-leagues</x:v>
      </x:c>
    </x:row>
    <x:row r="1538" ht="25" customHeight="1">
      <x:c r="A1538" s="69" t="str">
        <x:v>summer-S26-1250</x:v>
      </x:c>
      <x:c r="B1538" s="69" t="str">
        <x:v>Nicolas Galazzi</x:v>
      </x:c>
      <x:c r="C1538" s="69" t="str">
        <x:v>Padova</x:v>
      </x:c>
      <x:c r="D1538" s="69" t="str">
        <x:v>Monza</x:v>
      </x:c>
      <x:c r="E1538" s="76" t="d">
        <x:v>2026-09-01T00:00:00.000Z</x:v>
      </x:c>
      <x:c r="F1538" s="69" t="str">
        <x:v>summer</x:v>
      </x:c>
      <x:c r="G1538" s="69" t="str">
        <x:v>Midfielder — source label</x:v>
      </x:c>
      <x:c r="H1538" s="78"/>
      <x:c r="I1538" s="69" t="str">
        <x:v>GBP</x:v>
      </x:c>
      <x:c r="J1538" s="80"/>
      <x:c r="K1538" s="82"/>
      <x:c r="L1538" s="69" t="str">
        <x:v>Evidence needed</x:v>
      </x:c>
      <x:c r="M1538" s="69" t="str">
        <x:v>Buyer-specific role, production, availability, signing age and total fee evidence are needed before assigning a deal-value score. Loan/swap costs must be treated separately.</x:v>
      </x:c>
      <x:c r="N1538" s="69" t="str">
        <x:v>Not assessed</x:v>
      </x:c>
      <x:c r="O1538" s="69" t="str">
        <x:v>Source broad position and transfer quote only; detailed role and buyer-specific production not validated.</x:v>
      </x:c>
      <x:c r="P1538" s="69" t="str">
        <x:v>https://www.theguardian.com/football/ng-interactive/2026/sep/01/mens-transfer-window-summer-2026-all-deals-from-europes-top-five-leagues</x:v>
      </x:c>
    </x:row>
    <x:row r="1539" ht="25" customHeight="1">
      <x:c r="A1539" s="75" t="str">
        <x:v>summer-S26-1251</x:v>
      </x:c>
      <x:c r="B1539" s="75" t="str">
        <x:v>John Chetauya</x:v>
      </x:c>
      <x:c r="C1539" s="75" t="str">
        <x:v>Mallorca</x:v>
      </x:c>
      <x:c r="D1539" s="75" t="str">
        <x:v>Elche</x:v>
      </x:c>
      <x:c r="E1539" s="77" t="d">
        <x:v>2026-08-31T00:00:00.000Z</x:v>
      </x:c>
      <x:c r="F1539" s="75" t="str">
        <x:v>summer</x:v>
      </x:c>
      <x:c r="G1539" s="75" t="str">
        <x:v>Defender — source label</x:v>
      </x:c>
      <x:c r="H1539" s="79"/>
      <x:c r="I1539" s="75" t="str">
        <x:v>GBP</x:v>
      </x:c>
      <x:c r="J1539" s="81"/>
      <x:c r="K1539" s="83"/>
      <x:c r="L1539" s="75" t="str">
        <x:v>Evidence needed</x:v>
      </x:c>
      <x:c r="M1539" s="75" t="str">
        <x:v>Buyer-specific role, production, availability, signing age and total fee evidence are needed before assigning a deal-value score. Loan/swap costs must be treated separately.</x:v>
      </x:c>
      <x:c r="N1539" s="75" t="str">
        <x:v>Not assessed</x:v>
      </x:c>
      <x:c r="O1539" s="75" t="str">
        <x:v>Source broad position and transfer quote only; detailed role and buyer-specific production not validated.</x:v>
      </x:c>
      <x:c r="P1539" s="75" t="str">
        <x:v>https://www.theguardian.com/football/ng-interactive/2026/sep/01/mens-transfer-window-summer-2026-all-deals-from-europes-top-five-leagues</x:v>
      </x:c>
    </x:row>
    <x:row r="1540" ht="25" customHeight="1">
      <x:c r="A1540" s="69" t="str">
        <x:v>summer-S26-1253</x:v>
      </x:c>
      <x:c r="B1540" s="69" t="str">
        <x:v>Mathis Amougou</x:v>
      </x:c>
      <x:c r="C1540" s="69" t="str">
        <x:v>Toulouse</x:v>
      </x:c>
      <x:c r="D1540" s="69" t="str">
        <x:v>Strasbourg</x:v>
      </x:c>
      <x:c r="E1540" s="76" t="d">
        <x:v>2026-09-01T00:00:00.000Z</x:v>
      </x:c>
      <x:c r="F1540" s="69" t="str">
        <x:v>summer</x:v>
      </x:c>
      <x:c r="G1540" s="69" t="str">
        <x:v>Midfielder — source label</x:v>
      </x:c>
      <x:c r="H1540" s="78"/>
      <x:c r="I1540" s="69" t="str">
        <x:v>GBP</x:v>
      </x:c>
      <x:c r="J1540" s="80"/>
      <x:c r="K1540" s="82"/>
      <x:c r="L1540" s="69" t="str">
        <x:v>Evidence needed</x:v>
      </x:c>
      <x:c r="M1540" s="69" t="str">
        <x:v>Buyer-specific role, production, availability, signing age and total fee evidence are needed before assigning a deal-value score. Loan/swap costs must be treated separately.</x:v>
      </x:c>
      <x:c r="N1540" s="69" t="str">
        <x:v>Not assessed</x:v>
      </x:c>
      <x:c r="O1540" s="69" t="str">
        <x:v>Source broad position and transfer quote only; detailed role and buyer-specific production not validated.</x:v>
      </x:c>
      <x:c r="P1540" s="69" t="str">
        <x:v>https://www.theguardian.com/football/ng-interactive/2026/sep/01/mens-transfer-window-summer-2026-all-deals-from-europes-top-five-leagues</x:v>
      </x:c>
    </x:row>
    <x:row r="1541" ht="25" customHeight="1">
      <x:c r="A1541" s="75" t="str">
        <x:v>summer-S26-1255</x:v>
      </x:c>
      <x:c r="B1541" s="75" t="str">
        <x:v>Fábio Vieira</x:v>
      </x:c>
      <x:c r="C1541" s="75" t="str">
        <x:v>Hamburg</x:v>
      </x:c>
      <x:c r="D1541" s="75" t="str">
        <x:v>Arsenal</x:v>
      </x:c>
      <x:c r="E1541" s="77" t="d">
        <x:v>2026-09-01T00:00:00.000Z</x:v>
      </x:c>
      <x:c r="F1541" s="75" t="str">
        <x:v>summer</x:v>
      </x:c>
      <x:c r="G1541" s="75" t="str">
        <x:v>Midfielder — source label</x:v>
      </x:c>
      <x:c r="H1541" s="79" t="n">
        <x:v>7700000</x:v>
      </x:c>
      <x:c r="I1541" s="75" t="str">
        <x:v>GBP</x:v>
      </x:c>
      <x:c r="J1541" s="81"/>
      <x:c r="K1541" s="83"/>
      <x:c r="L1541" s="75" t="str">
        <x:v>Evidence needed</x:v>
      </x:c>
      <x:c r="M1541" s="75" t="str">
        <x:v>Buyer-specific role, production, availability, signing age and total fee evidence are needed before assigning a deal-value score.</x:v>
      </x:c>
      <x:c r="N1541" s="75" t="str">
        <x:v>Not assessed</x:v>
      </x:c>
      <x:c r="O1541" s="75" t="str">
        <x:v>Source broad position and transfer quote only; detailed role and buyer-specific production not validated.</x:v>
      </x:c>
      <x:c r="P1541" s="75" t="str">
        <x:v>https://www.theguardian.com/football/ng-interactive/2026/sep/01/mens-transfer-window-summer-2026-all-deals-from-europes-top-five-leagues</x:v>
      </x:c>
    </x:row>
    <x:row r="1542" ht="25" customHeight="1">
      <x:c r="A1542" s="69" t="str">
        <x:v>summer-S26-1256</x:v>
      </x:c>
      <x:c r="B1542" s="69" t="str">
        <x:v>Kota Takai</x:v>
      </x:c>
      <x:c r="C1542" s="69" t="str">
        <x:v>Sint-Truiden</x:v>
      </x:c>
      <x:c r="D1542" s="69" t="str">
        <x:v>Tottenham Hotspur</x:v>
      </x:c>
      <x:c r="E1542" s="76" t="d">
        <x:v>2026-09-01T00:00:00.000Z</x:v>
      </x:c>
      <x:c r="F1542" s="69" t="str">
        <x:v>summer</x:v>
      </x:c>
      <x:c r="G1542" s="69" t="str">
        <x:v>Defender — source label</x:v>
      </x:c>
      <x:c r="H1542" s="78"/>
      <x:c r="I1542" s="69" t="str">
        <x:v>GBP</x:v>
      </x:c>
      <x:c r="J1542" s="80"/>
      <x:c r="K1542" s="82"/>
      <x:c r="L1542" s="69" t="str">
        <x:v>Evidence needed</x:v>
      </x:c>
      <x:c r="M1542" s="69" t="str">
        <x:v>Buyer-specific role, production, availability, signing age and total fee evidence are needed before assigning a deal-value score. Loan/swap costs must be treated separately.</x:v>
      </x:c>
      <x:c r="N1542" s="69" t="str">
        <x:v>Not assessed</x:v>
      </x:c>
      <x:c r="O1542" s="69" t="str">
        <x:v>Source broad position and transfer quote only; detailed role and buyer-specific production not validated.</x:v>
      </x:c>
      <x:c r="P1542" s="69" t="str">
        <x:v>https://www.theguardian.com/football/ng-interactive/2026/sep/01/mens-transfer-window-summer-2026-all-deals-from-europes-top-five-leagues</x:v>
      </x:c>
    </x:row>
    <x:row r="1543" ht="25" customHeight="1">
      <x:c r="A1543" s="75" t="str">
        <x:v>summer-S26-1257</x:v>
      </x:c>
      <x:c r="B1543" s="75" t="str">
        <x:v>Kastriot Imeri</x:v>
      </x:c>
      <x:c r="C1543" s="75" t="str">
        <x:v>Union Berlin</x:v>
      </x:c>
      <x:c r="D1543" s="75" t="str">
        <x:v>Young Boys</x:v>
      </x:c>
      <x:c r="E1543" s="77" t="d">
        <x:v>2026-09-01T00:00:00.000Z</x:v>
      </x:c>
      <x:c r="F1543" s="75" t="str">
        <x:v>summer</x:v>
      </x:c>
      <x:c r="G1543" s="75" t="str">
        <x:v>Midfielder — source label</x:v>
      </x:c>
      <x:c r="H1543" s="79" t="n">
        <x:v>2140000</x:v>
      </x:c>
      <x:c r="I1543" s="75" t="str">
        <x:v>GBP</x:v>
      </x:c>
      <x:c r="J1543" s="81"/>
      <x:c r="K1543" s="83"/>
      <x:c r="L1543" s="75" t="str">
        <x:v>Evidence needed</x:v>
      </x:c>
      <x:c r="M1543" s="75" t="str">
        <x:v>Buyer-specific role, production, availability, signing age and total fee evidence are needed before assigning a deal-value score.</x:v>
      </x:c>
      <x:c r="N1543" s="75" t="str">
        <x:v>Not assessed</x:v>
      </x:c>
      <x:c r="O1543" s="75" t="str">
        <x:v>Source broad position and transfer quote only; detailed role and buyer-specific production not validated.</x:v>
      </x:c>
      <x:c r="P1543" s="75" t="str">
        <x:v>https://www.theguardian.com/football/ng-interactive/2026/sep/01/mens-transfer-window-summer-2026-all-deals-from-europes-top-five-leagues</x:v>
      </x:c>
    </x:row>
    <x:row r="1544" ht="25" customHeight="1">
      <x:c r="A1544" s="69" t="str">
        <x:v>summer-S26-1258</x:v>
      </x:c>
      <x:c r="B1544" s="69" t="str">
        <x:v>Taylor Harwood-Bellis</x:v>
      </x:c>
      <x:c r="C1544" s="69" t="str">
        <x:v>Aston Villa</x:v>
      </x:c>
      <x:c r="D1544" s="69" t="str">
        <x:v>Southampton</x:v>
      </x:c>
      <x:c r="E1544" s="76" t="d">
        <x:v>2026-09-01T00:00:00.000Z</x:v>
      </x:c>
      <x:c r="F1544" s="69" t="str">
        <x:v>summer</x:v>
      </x:c>
      <x:c r="G1544" s="69" t="str">
        <x:v>Defender — source label</x:v>
      </x:c>
      <x:c r="H1544" s="78" t="n">
        <x:v>25000000</x:v>
      </x:c>
      <x:c r="I1544" s="69" t="str">
        <x:v>GBP</x:v>
      </x:c>
      <x:c r="J1544" s="80"/>
      <x:c r="K1544" s="82"/>
      <x:c r="L1544" s="69" t="str">
        <x:v>Evidence needed</x:v>
      </x:c>
      <x:c r="M1544" s="69" t="str">
        <x:v>Buyer-specific role, production, availability, signing age and total fee evidence are needed before assigning a deal-value score.</x:v>
      </x:c>
      <x:c r="N1544" s="69" t="str">
        <x:v>Not assessed</x:v>
      </x:c>
      <x:c r="O1544" s="69" t="str">
        <x:v>Source broad position and transfer quote only; detailed role and buyer-specific production not validated.</x:v>
      </x:c>
      <x:c r="P1544" s="69" t="str">
        <x:v>https://www.theguardian.com/football/ng-interactive/2026/sep/01/mens-transfer-window-summer-2026-all-deals-from-europes-top-five-leagues</x:v>
      </x:c>
    </x:row>
    <x:row r="1545" ht="25" customHeight="1">
      <x:c r="A1545" s="75" t="str">
        <x:v>summer-S26-1260</x:v>
      </x:c>
      <x:c r="B1545" s="75" t="str">
        <x:v>Maurits Kjaergaard</x:v>
      </x:c>
      <x:c r="C1545" s="75" t="str">
        <x:v>Lille</x:v>
      </x:c>
      <x:c r="D1545" s="75" t="str">
        <x:v>Red Bull Salzburg</x:v>
      </x:c>
      <x:c r="E1545" s="77" t="d">
        <x:v>2026-09-01T00:00:00.000Z</x:v>
      </x:c>
      <x:c r="F1545" s="75" t="str">
        <x:v>summer</x:v>
      </x:c>
      <x:c r="G1545" s="75" t="str">
        <x:v>Midfielder — source label</x:v>
      </x:c>
      <x:c r="H1545" s="79" t="n">
        <x:v>6850000</x:v>
      </x:c>
      <x:c r="I1545" s="75" t="str">
        <x:v>GBP</x:v>
      </x:c>
      <x:c r="J1545" s="81"/>
      <x:c r="K1545" s="83"/>
      <x:c r="L1545" s="75" t="str">
        <x:v>Evidence needed</x:v>
      </x:c>
      <x:c r="M1545" s="75" t="str">
        <x:v>Buyer-specific role, production, availability, signing age and total fee evidence are needed before assigning a deal-value score.</x:v>
      </x:c>
      <x:c r="N1545" s="75" t="str">
        <x:v>Not assessed</x:v>
      </x:c>
      <x:c r="O1545" s="75" t="str">
        <x:v>Source broad position and transfer quote only; detailed role and buyer-specific production not validated.</x:v>
      </x:c>
      <x:c r="P1545" s="75" t="str">
        <x:v>https://www.theguardian.com/football/ng-interactive/2026/sep/01/mens-transfer-window-summer-2026-all-deals-from-europes-top-five-leagues</x:v>
      </x:c>
    </x:row>
    <x:row r="1546" ht="25" customHeight="1">
      <x:c r="A1546" s="69" t="str">
        <x:v>summer-S26-1264</x:v>
      </x:c>
      <x:c r="B1546" s="69" t="str">
        <x:v>Dylan Leonard</x:v>
      </x:c>
      <x:c r="C1546" s="69" t="str">
        <x:v>Alemannia Aachen</x:v>
      </x:c>
      <x:c r="D1546" s="69" t="str">
        <x:v>Schalke 04</x:v>
      </x:c>
      <x:c r="E1546" s="76" t="d">
        <x:v>2026-09-01T00:00:00.000Z</x:v>
      </x:c>
      <x:c r="F1546" s="69" t="str">
        <x:v>summer</x:v>
      </x:c>
      <x:c r="G1546" s="69" t="str">
        <x:v>Defender — source label</x:v>
      </x:c>
      <x:c r="H1546" s="78"/>
      <x:c r="I1546" s="69" t="str">
        <x:v>GBP</x:v>
      </x:c>
      <x:c r="J1546" s="80"/>
      <x:c r="K1546" s="82"/>
      <x:c r="L1546" s="69" t="str">
        <x:v>Evidence needed</x:v>
      </x:c>
      <x:c r="M1546" s="69" t="str">
        <x:v>Buyer-specific role, production, availability, signing age and total fee evidence are needed before assigning a deal-value score. Loan/swap costs must be treated separately.</x:v>
      </x:c>
      <x:c r="N1546" s="69" t="str">
        <x:v>Not assessed</x:v>
      </x:c>
      <x:c r="O1546" s="69" t="str">
        <x:v>Source broad position and transfer quote only; detailed role and buyer-specific production not validated.</x:v>
      </x:c>
      <x:c r="P1546" s="69" t="str">
        <x:v>https://www.theguardian.com/football/ng-interactive/2026/sep/01/mens-transfer-window-summer-2026-all-deals-from-europes-top-five-leagues</x:v>
      </x:c>
    </x:row>
    <x:row r="1547" ht="25" customHeight="1">
      <x:c r="A1547" s="75" t="str">
        <x:v>summer-S26-1265</x:v>
      </x:c>
      <x:c r="B1547" s="75" t="str">
        <x:v>Mahamadou Diawara</x:v>
      </x:c>
      <x:c r="C1547" s="75" t="str">
        <x:v>Red Star</x:v>
      </x:c>
      <x:c r="D1547" s="75" t="str">
        <x:v>Lyon</x:v>
      </x:c>
      <x:c r="E1547" s="77" t="d">
        <x:v>2026-09-01T00:00:00.000Z</x:v>
      </x:c>
      <x:c r="F1547" s="75" t="str">
        <x:v>summer</x:v>
      </x:c>
      <x:c r="G1547" s="75" t="str">
        <x:v>Midfielder — source label</x:v>
      </x:c>
      <x:c r="H1547" s="79"/>
      <x:c r="I1547" s="75" t="str">
        <x:v>GBP</x:v>
      </x:c>
      <x:c r="J1547" s="81"/>
      <x:c r="K1547" s="83"/>
      <x:c r="L1547" s="75" t="str">
        <x:v>Evidence needed</x:v>
      </x:c>
      <x:c r="M1547" s="75" t="str">
        <x:v>Buyer-specific role, production, availability, signing age and total fee evidence are needed before assigning a deal-value score. Loan/swap costs must be treated separately.</x:v>
      </x:c>
      <x:c r="N1547" s="75" t="str">
        <x:v>Not assessed</x:v>
      </x:c>
      <x:c r="O1547" s="75" t="str">
        <x:v>Source broad position and transfer quote only; detailed role and buyer-specific production not validated.</x:v>
      </x:c>
      <x:c r="P1547" s="75" t="str">
        <x:v>https://www.theguardian.com/football/ng-interactive/2026/sep/01/mens-transfer-window-summer-2026-all-deals-from-europes-top-five-leagues</x:v>
      </x:c>
    </x:row>
    <x:row r="1548" ht="25" customHeight="1">
      <x:c r="A1548" s="69" t="str">
        <x:v>summer-S26-1266</x:v>
      </x:c>
      <x:c r="B1548" s="69" t="str">
        <x:v>Honest Ahanor</x:v>
      </x:c>
      <x:c r="C1548" s="69" t="str">
        <x:v>Crystal Palace</x:v>
      </x:c>
      <x:c r="D1548" s="69" t="str">
        <x:v>Atalanta</x:v>
      </x:c>
      <x:c r="E1548" s="76" t="d">
        <x:v>2026-09-01T00:00:00.000Z</x:v>
      </x:c>
      <x:c r="F1548" s="69" t="str">
        <x:v>summer</x:v>
      </x:c>
      <x:c r="G1548" s="69" t="str">
        <x:v>Defender — source label</x:v>
      </x:c>
      <x:c r="H1548" s="78"/>
      <x:c r="I1548" s="69" t="str">
        <x:v>GBP</x:v>
      </x:c>
      <x:c r="J1548" s="80"/>
      <x:c r="K1548" s="82"/>
      <x:c r="L1548" s="69" t="str">
        <x:v>Evidence needed</x:v>
      </x:c>
      <x:c r="M1548" s="69" t="str">
        <x:v>Buyer-specific role, production, availability, signing age and total fee evidence are needed before assigning a deal-value score. Loan/swap costs must be treated separately.</x:v>
      </x:c>
      <x:c r="N1548" s="69" t="str">
        <x:v>Not assessed</x:v>
      </x:c>
      <x:c r="O1548" s="69" t="str">
        <x:v>Source broad position and transfer quote only; detailed role and buyer-specific production not validated.</x:v>
      </x:c>
      <x:c r="P1548" s="69" t="str">
        <x:v>https://www.theguardian.com/football/ng-interactive/2026/sep/01/mens-transfer-window-summer-2026-all-deals-from-europes-top-five-leagues</x:v>
      </x:c>
    </x:row>
    <x:row r="1549" ht="25" customHeight="1">
      <x:c r="A1549" s="75" t="str">
        <x:v>summer-S26-1268</x:v>
      </x:c>
      <x:c r="B1549" s="75" t="str">
        <x:v>Cameron Humphreys</x:v>
      </x:c>
      <x:c r="C1549" s="75" t="str">
        <x:v>Huddersfield</x:v>
      </x:c>
      <x:c r="D1549" s="75" t="str">
        <x:v>Ipswich Town</x:v>
      </x:c>
      <x:c r="E1549" s="77" t="d">
        <x:v>2026-09-01T00:00:00.000Z</x:v>
      </x:c>
      <x:c r="F1549" s="75" t="str">
        <x:v>summer</x:v>
      </x:c>
      <x:c r="G1549" s="75" t="str">
        <x:v>Midfielder — source label</x:v>
      </x:c>
      <x:c r="H1549" s="79"/>
      <x:c r="I1549" s="75" t="str">
        <x:v>GBP</x:v>
      </x:c>
      <x:c r="J1549" s="81"/>
      <x:c r="K1549" s="83"/>
      <x:c r="L1549" s="75" t="str">
        <x:v>Evidence needed</x:v>
      </x:c>
      <x:c r="M1549" s="75" t="str">
        <x:v>Buyer-specific role, production, availability, signing age and total fee evidence are needed before assigning a deal-value score. Loan/swap costs must be treated separately.</x:v>
      </x:c>
      <x:c r="N1549" s="75" t="str">
        <x:v>Not assessed</x:v>
      </x:c>
      <x:c r="O1549" s="75" t="str">
        <x:v>Source broad position and transfer quote only; detailed role and buyer-specific production not validated.</x:v>
      </x:c>
      <x:c r="P1549" s="75" t="str">
        <x:v>https://www.theguardian.com/football/ng-interactive/2026/sep/01/mens-transfer-window-summer-2026-all-deals-from-europes-top-five-leagues</x:v>
      </x:c>
    </x:row>
    <x:row r="1550" ht="25" customHeight="1">
      <x:c r="A1550" s="69" t="str">
        <x:v>summer-S26-1269</x:v>
      </x:c>
      <x:c r="B1550" s="69" t="str">
        <x:v>Botond Balogh</x:v>
      </x:c>
      <x:c r="C1550" s="69" t="str">
        <x:v>Westerlo</x:v>
      </x:c>
      <x:c r="D1550" s="69" t="str">
        <x:v>Parma</x:v>
      </x:c>
      <x:c r="E1550" s="76" t="d">
        <x:v>2026-09-01T00:00:00.000Z</x:v>
      </x:c>
      <x:c r="F1550" s="69" t="str">
        <x:v>summer</x:v>
      </x:c>
      <x:c r="G1550" s="69" t="str">
        <x:v>Defender — source label</x:v>
      </x:c>
      <x:c r="H1550" s="78" t="n">
        <x:v>428000</x:v>
      </x:c>
      <x:c r="I1550" s="69" t="str">
        <x:v>GBP</x:v>
      </x:c>
      <x:c r="J1550" s="80"/>
      <x:c r="K1550" s="82"/>
      <x:c r="L1550" s="69" t="str">
        <x:v>Evidence needed</x:v>
      </x:c>
      <x:c r="M1550" s="69" t="str">
        <x:v>Buyer-specific role, production, availability, signing age and total fee evidence are needed before assigning a deal-value score.</x:v>
      </x:c>
      <x:c r="N1550" s="69" t="str">
        <x:v>Not assessed</x:v>
      </x:c>
      <x:c r="O1550" s="69" t="str">
        <x:v>Source broad position and transfer quote only; detailed role and buyer-specific production not validated.</x:v>
      </x:c>
      <x:c r="P1550" s="69" t="str">
        <x:v>https://www.theguardian.com/football/ng-interactive/2026/sep/01/mens-transfer-window-summer-2026-all-deals-from-europes-top-five-leagues</x:v>
      </x:c>
    </x:row>
    <x:row r="1551" ht="25" customHeight="1">
      <x:c r="A1551" s="75" t="str">
        <x:v>summer-S26-1272</x:v>
      </x:c>
      <x:c r="B1551" s="75" t="str">
        <x:v>Moussa N'Diaye</x:v>
      </x:c>
      <x:c r="C1551" s="75" t="str">
        <x:v>Werder Bremen</x:v>
      </x:c>
      <x:c r="D1551" s="75" t="str">
        <x:v>Anderlecht</x:v>
      </x:c>
      <x:c r="E1551" s="77" t="d">
        <x:v>2026-09-01T00:00:00.000Z</x:v>
      </x:c>
      <x:c r="F1551" s="75" t="str">
        <x:v>summer</x:v>
      </x:c>
      <x:c r="G1551" s="75" t="str">
        <x:v>Defender — source label</x:v>
      </x:c>
      <x:c r="H1551" s="79"/>
      <x:c r="I1551" s="75" t="str">
        <x:v>GBP</x:v>
      </x:c>
      <x:c r="J1551" s="81"/>
      <x:c r="K1551" s="83"/>
      <x:c r="L1551" s="75" t="str">
        <x:v>Evidence needed</x:v>
      </x:c>
      <x:c r="M1551" s="75" t="str">
        <x:v>Buyer-specific role, production, availability, signing age and total fee evidence are needed before assigning a deal-value score. Loan/swap costs must be treated separately.</x:v>
      </x:c>
      <x:c r="N1551" s="75" t="str">
        <x:v>Not assessed</x:v>
      </x:c>
      <x:c r="O1551" s="75" t="str">
        <x:v>Source broad position and transfer quote only; detailed role and buyer-specific production not validated.</x:v>
      </x:c>
      <x:c r="P1551" s="75" t="str">
        <x:v>https://www.theguardian.com/football/ng-interactive/2026/sep/01/mens-transfer-window-summer-2026-all-deals-from-europes-top-five-leagues</x:v>
      </x:c>
    </x:row>
    <x:row r="1552" ht="25" customHeight="1">
      <x:c r="A1552" s="69" t="str">
        <x:v>summer-S26-1273</x:v>
      </x:c>
      <x:c r="B1552" s="69" t="str">
        <x:v>Juan Berrocal</x:v>
      </x:c>
      <x:c r="C1552" s="69" t="str">
        <x:v>Málaga</x:v>
      </x:c>
      <x:c r="D1552" s="69" t="str">
        <x:v>Getafe</x:v>
      </x:c>
      <x:c r="E1552" s="76" t="d">
        <x:v>2026-09-01T00:00:00.000Z</x:v>
      </x:c>
      <x:c r="F1552" s="69" t="str">
        <x:v>summer</x:v>
      </x:c>
      <x:c r="G1552" s="69" t="str">
        <x:v>Defender — source label</x:v>
      </x:c>
      <x:c r="H1552" s="78"/>
      <x:c r="I1552" s="69" t="str">
        <x:v>GBP</x:v>
      </x:c>
      <x:c r="J1552" s="80"/>
      <x:c r="K1552" s="82"/>
      <x:c r="L1552" s="69" t="str">
        <x:v>Evidence needed</x:v>
      </x:c>
      <x:c r="M1552" s="69" t="str">
        <x:v>Buyer-specific role, production, availability, signing age and total fee evidence are needed before assigning a deal-value score. A zero base fee does not represent wages or signing costs.</x:v>
      </x:c>
      <x:c r="N1552" s="69" t="str">
        <x:v>Not assessed</x:v>
      </x:c>
      <x:c r="O1552" s="69" t="str">
        <x:v>Source broad position and transfer quote only; detailed role and buyer-specific production not validated.</x:v>
      </x:c>
      <x:c r="P1552" s="69" t="str">
        <x:v>https://www.theguardian.com/football/ng-interactive/2026/sep/01/mens-transfer-window-summer-2026-all-deals-from-europes-top-five-leagues</x:v>
      </x:c>
    </x:row>
    <x:row r="1553" ht="25" customHeight="1">
      <x:c r="A1553" s="75" t="str">
        <x:v>summer-S26-1275</x:v>
      </x:c>
      <x:c r="B1553" s="75" t="str">
        <x:v>Edoardo Iannoni</x:v>
      </x:c>
      <x:c r="C1553" s="75" t="str">
        <x:v>Verona</x:v>
      </x:c>
      <x:c r="D1553" s="75" t="str">
        <x:v>Sassuolo</x:v>
      </x:c>
      <x:c r="E1553" s="77" t="d">
        <x:v>2026-09-01T00:00:00.000Z</x:v>
      </x:c>
      <x:c r="F1553" s="75" t="str">
        <x:v>summer</x:v>
      </x:c>
      <x:c r="G1553" s="75" t="str">
        <x:v>Midfielder — source label</x:v>
      </x:c>
      <x:c r="H1553" s="79"/>
      <x:c r="I1553" s="75" t="str">
        <x:v>GBP</x:v>
      </x:c>
      <x:c r="J1553" s="81"/>
      <x:c r="K1553" s="83"/>
      <x:c r="L1553" s="75" t="str">
        <x:v>Evidence needed</x:v>
      </x:c>
      <x:c r="M1553" s="75" t="str">
        <x:v>Buyer-specific role, production, availability, signing age and total fee evidence are needed before assigning a deal-value score.</x:v>
      </x:c>
      <x:c r="N1553" s="75" t="str">
        <x:v>Not assessed</x:v>
      </x:c>
      <x:c r="O1553" s="75" t="str">
        <x:v>Source broad position and transfer quote only; detailed role and buyer-specific production not validated.</x:v>
      </x:c>
      <x:c r="P1553" s="75" t="str">
        <x:v>https://www.theguardian.com/football/ng-interactive/2026/sep/01/mens-transfer-window-summer-2026-all-deals-from-europes-top-five-leagues</x:v>
      </x:c>
    </x:row>
    <x:row r="1554" ht="25" customHeight="1">
      <x:c r="A1554" s="69" t="str">
        <x:v>summer-S26-1276</x:v>
      </x:c>
      <x:c r="B1554" s="69" t="str">
        <x:v>Branimir Mlacic</x:v>
      </x:c>
      <x:c r="C1554" s="69" t="str">
        <x:v>Watford</x:v>
      </x:c>
      <x:c r="D1554" s="69" t="str">
        <x:v>Udinese</x:v>
      </x:c>
      <x:c r="E1554" s="76" t="d">
        <x:v>2026-09-01T00:00:00.000Z</x:v>
      </x:c>
      <x:c r="F1554" s="69" t="str">
        <x:v>summer</x:v>
      </x:c>
      <x:c r="G1554" s="69" t="str">
        <x:v>Defender — source label</x:v>
      </x:c>
      <x:c r="H1554" s="78"/>
      <x:c r="I1554" s="69" t="str">
        <x:v>GBP</x:v>
      </x:c>
      <x:c r="J1554" s="80"/>
      <x:c r="K1554" s="82"/>
      <x:c r="L1554" s="69" t="str">
        <x:v>Evidence needed</x:v>
      </x:c>
      <x:c r="M1554" s="69" t="str">
        <x:v>Buyer-specific role, production, availability, signing age and total fee evidence are needed before assigning a deal-value score. Loan/swap costs must be treated separately.</x:v>
      </x:c>
      <x:c r="N1554" s="69" t="str">
        <x:v>Not assessed</x:v>
      </x:c>
      <x:c r="O1554" s="69" t="str">
        <x:v>Source broad position and transfer quote only; detailed role and buyer-specific production not validated.</x:v>
      </x:c>
      <x:c r="P1554" s="69" t="str">
        <x:v>https://www.theguardian.com/football/ng-interactive/2026/sep/01/mens-transfer-window-summer-2026-all-deals-from-europes-top-five-leagues</x:v>
      </x:c>
    </x:row>
    <x:row r="1555" ht="25" customHeight="1">
      <x:c r="A1555" s="75" t="str">
        <x:v>summer-S26-1277</x:v>
      </x:c>
      <x:c r="B1555" s="75" t="str">
        <x:v>Filippo Delli Carri</x:v>
      </x:c>
      <x:c r="C1555" s="75" t="str">
        <x:v>Sampdoria</x:v>
      </x:c>
      <x:c r="D1555" s="75" t="str">
        <x:v>Monza</x:v>
      </x:c>
      <x:c r="E1555" s="77" t="d">
        <x:v>2026-09-01T00:00:00.000Z</x:v>
      </x:c>
      <x:c r="F1555" s="75" t="str">
        <x:v>summer</x:v>
      </x:c>
      <x:c r="G1555" s="75" t="str">
        <x:v>Defender — source label</x:v>
      </x:c>
      <x:c r="H1555" s="79"/>
      <x:c r="I1555" s="75" t="str">
        <x:v>GBP</x:v>
      </x:c>
      <x:c r="J1555" s="81"/>
      <x:c r="K1555" s="83"/>
      <x:c r="L1555" s="75" t="str">
        <x:v>Evidence needed</x:v>
      </x:c>
      <x:c r="M1555" s="75" t="str">
        <x:v>Buyer-specific role, production, availability, signing age and total fee evidence are needed before assigning a deal-value score. Loan/swap costs must be treated separately.</x:v>
      </x:c>
      <x:c r="N1555" s="75" t="str">
        <x:v>Not assessed</x:v>
      </x:c>
      <x:c r="O1555" s="75" t="str">
        <x:v>Source broad position and transfer quote only; detailed role and buyer-specific production not validated.</x:v>
      </x:c>
      <x:c r="P1555" s="75" t="str">
        <x:v>https://www.theguardian.com/football/ng-interactive/2026/sep/01/mens-transfer-window-summer-2026-all-deals-from-europes-top-five-leagues</x:v>
      </x:c>
    </x:row>
    <x:row r="1556" ht="25" customHeight="1">
      <x:c r="A1556" s="69" t="str">
        <x:v>summer-S26-1279</x:v>
      </x:c>
      <x:c r="B1556" s="69" t="str">
        <x:v>Joe Whitworth</x:v>
      </x:c>
      <x:c r="C1556" s="69" t="str">
        <x:v>Wigan Athletic</x:v>
      </x:c>
      <x:c r="D1556" s="69" t="str">
        <x:v>Crystal Palace</x:v>
      </x:c>
      <x:c r="E1556" s="76" t="d">
        <x:v>2026-09-01T00:00:00.000Z</x:v>
      </x:c>
      <x:c r="F1556" s="69" t="str">
        <x:v>summer</x:v>
      </x:c>
      <x:c r="G1556" s="69" t="str">
        <x:v>Goalkeeper — source label</x:v>
      </x:c>
      <x:c r="H1556" s="78"/>
      <x:c r="I1556" s="69" t="str">
        <x:v>GBP</x:v>
      </x:c>
      <x:c r="J1556" s="80"/>
      <x:c r="K1556" s="82"/>
      <x:c r="L1556" s="69" t="str">
        <x:v>Evidence needed</x:v>
      </x:c>
      <x:c r="M1556" s="69" t="str">
        <x:v>Buyer-specific shot-stopping, distribution, aerial command, sweeping, signing age and total fee evidence are needed before scoring. A zero base fee does not represent wages or signing costs.</x:v>
      </x:c>
      <x:c r="N1556" s="69" t="str">
        <x:v>Not assessed</x:v>
      </x:c>
      <x:c r="O1556" s="69" t="str">
        <x:v>Source broad position and transfer quote only; detailed role and buyer-specific production not validated.</x:v>
      </x:c>
      <x:c r="P1556" s="69" t="str">
        <x:v>https://www.theguardian.com/football/ng-interactive/2026/sep/01/mens-transfer-window-summer-2026-all-deals-from-europes-top-five-leagues</x:v>
      </x:c>
    </x:row>
    <x:row r="1557" ht="25" customHeight="1">
      <x:c r="A1557" s="75" t="str">
        <x:v>summer-S26-1281</x:v>
      </x:c>
      <x:c r="B1557" s="75" t="str">
        <x:v>Rui Modesto</x:v>
      </x:c>
      <x:c r="C1557" s="75" t="str">
        <x:v>Vancouver Whitecaps</x:v>
      </x:c>
      <x:c r="D1557" s="75" t="str">
        <x:v>Udinese</x:v>
      </x:c>
      <x:c r="E1557" s="77" t="d">
        <x:v>2026-09-01T00:00:00.000Z</x:v>
      </x:c>
      <x:c r="F1557" s="75" t="str">
        <x:v>summer</x:v>
      </x:c>
      <x:c r="G1557" s="75" t="str">
        <x:v>Defender — source label</x:v>
      </x:c>
      <x:c r="H1557" s="79"/>
      <x:c r="I1557" s="75" t="str">
        <x:v>GBP</x:v>
      </x:c>
      <x:c r="J1557" s="81"/>
      <x:c r="K1557" s="83"/>
      <x:c r="L1557" s="75" t="str">
        <x:v>Evidence needed</x:v>
      </x:c>
      <x:c r="M1557" s="75" t="str">
        <x:v>Buyer-specific role, production, availability, signing age and total fee evidence are needed before assigning a deal-value score.</x:v>
      </x:c>
      <x:c r="N1557" s="75" t="str">
        <x:v>Not assessed</x:v>
      </x:c>
      <x:c r="O1557" s="75" t="str">
        <x:v>Source broad position and transfer quote only; detailed role and buyer-specific production not validated.</x:v>
      </x:c>
      <x:c r="P1557" s="75" t="str">
        <x:v>https://www.theguardian.com/football/ng-interactive/2026/sep/01/mens-transfer-window-summer-2026-all-deals-from-europes-top-five-leagues</x:v>
      </x:c>
    </x:row>
    <x:row r="1558" ht="25" customHeight="1">
      <x:c r="A1558" s="69" t="str">
        <x:v>summer-S26-1285</x:v>
      </x:c>
      <x:c r="B1558" s="69" t="str">
        <x:v>Paolo Vismara</x:v>
      </x:c>
      <x:c r="C1558" s="69" t="str">
        <x:v>Juve Stabia</x:v>
      </x:c>
      <x:c r="D1558" s="69" t="str">
        <x:v>Atalanta</x:v>
      </x:c>
      <x:c r="E1558" s="76" t="d">
        <x:v>2026-09-01T00:00:00.000Z</x:v>
      </x:c>
      <x:c r="F1558" s="69" t="str">
        <x:v>summer</x:v>
      </x:c>
      <x:c r="G1558" s="69" t="str">
        <x:v>Goalkeeper — source label</x:v>
      </x:c>
      <x:c r="H1558" s="78"/>
      <x:c r="I1558" s="69" t="str">
        <x:v>GBP</x:v>
      </x:c>
      <x:c r="J1558" s="80"/>
      <x:c r="K1558" s="82"/>
      <x:c r="L1558" s="69" t="str">
        <x:v>Evidence needed</x:v>
      </x:c>
      <x:c r="M1558" s="69" t="str">
        <x:v>Buyer-specific shot-stopping, distribution, aerial command, sweeping, signing age and total fee evidence are needed before scoring.</x:v>
      </x:c>
      <x:c r="N1558" s="69" t="str">
        <x:v>Not assessed</x:v>
      </x:c>
      <x:c r="O1558" s="69" t="str">
        <x:v>Source broad position and transfer quote only; detailed role and buyer-specific production not validated.</x:v>
      </x:c>
      <x:c r="P1558" s="69" t="str">
        <x:v>https://www.theguardian.com/football/ng-interactive/2026/sep/01/mens-transfer-window-summer-2026-all-deals-from-europes-top-five-leagues</x:v>
      </x:c>
    </x:row>
    <x:row r="1559" ht="25" customHeight="1">
      <x:c r="A1559" s="75" t="str">
        <x:v>summer-S26-1286</x:v>
      </x:c>
      <x:c r="B1559" s="75" t="str">
        <x:v>Mattia Mannini</x:v>
      </x:c>
      <x:c r="C1559" s="75" t="str">
        <x:v>Benevento</x:v>
      </x:c>
      <x:c r="D1559" s="75" t="str">
        <x:v>Roma</x:v>
      </x:c>
      <x:c r="E1559" s="77" t="d">
        <x:v>2026-09-01T00:00:00.000Z</x:v>
      </x:c>
      <x:c r="F1559" s="75" t="str">
        <x:v>summer</x:v>
      </x:c>
      <x:c r="G1559" s="75" t="str">
        <x:v>Defender — source label</x:v>
      </x:c>
      <x:c r="H1559" s="79"/>
      <x:c r="I1559" s="75" t="str">
        <x:v>GBP</x:v>
      </x:c>
      <x:c r="J1559" s="81"/>
      <x:c r="K1559" s="83"/>
      <x:c r="L1559" s="75" t="str">
        <x:v>Evidence needed</x:v>
      </x:c>
      <x:c r="M1559" s="75" t="str">
        <x:v>Buyer-specific role, production, availability, signing age and total fee evidence are needed before assigning a deal-value score. Loan/swap costs must be treated separately.</x:v>
      </x:c>
      <x:c r="N1559" s="75" t="str">
        <x:v>Not assessed</x:v>
      </x:c>
      <x:c r="O1559" s="75" t="str">
        <x:v>Source broad position and transfer quote only; detailed role and buyer-specific production not validated.</x:v>
      </x:c>
      <x:c r="P1559" s="75" t="str">
        <x:v>https://www.theguardian.com/football/ng-interactive/2026/sep/01/mens-transfer-window-summer-2026-all-deals-from-europes-top-five-leagues</x:v>
      </x:c>
    </x:row>
    <x:row r="1560" ht="25" customHeight="1">
      <x:c r="A1560" s="69" t="str">
        <x:v>summer-S26-1287</x:v>
      </x:c>
      <x:c r="B1560" s="69" t="str">
        <x:v>Pape Matar Sarr</x:v>
      </x:c>
      <x:c r="C1560" s="69" t="str">
        <x:v>Juventus</x:v>
      </x:c>
      <x:c r="D1560" s="69" t="str">
        <x:v>Tottenham Hotspur</x:v>
      </x:c>
      <x:c r="E1560" s="76" t="d">
        <x:v>2026-09-01T00:00:00.000Z</x:v>
      </x:c>
      <x:c r="F1560" s="69" t="str">
        <x:v>summer</x:v>
      </x:c>
      <x:c r="G1560" s="69" t="str">
        <x:v>Midfielder — source label</x:v>
      </x:c>
      <x:c r="H1560" s="78"/>
      <x:c r="I1560" s="69" t="str">
        <x:v>GBP</x:v>
      </x:c>
      <x:c r="J1560" s="80"/>
      <x:c r="K1560" s="82"/>
      <x:c r="L1560" s="69" t="str">
        <x:v>Evidence needed</x:v>
      </x:c>
      <x:c r="M1560" s="69" t="str">
        <x:v>Buyer-specific role, production, availability, signing age and total fee evidence are needed before assigning a deal-value score. Loan/swap costs must be treated separately.</x:v>
      </x:c>
      <x:c r="N1560" s="69" t="str">
        <x:v>Not assessed</x:v>
      </x:c>
      <x:c r="O1560" s="69" t="str">
        <x:v>Source broad position and transfer quote only; detailed role and buyer-specific production not validated.</x:v>
      </x:c>
      <x:c r="P1560" s="69" t="str">
        <x:v>https://www.theguardian.com/football/ng-interactive/2026/sep/01/mens-transfer-window-summer-2026-all-deals-from-europes-top-five-leagues</x:v>
      </x:c>
    </x:row>
    <x:row r="1561" ht="25" customHeight="1">
      <x:c r="A1561" s="75" t="str">
        <x:v>summer-S26-1290</x:v>
      </x:c>
      <x:c r="B1561" s="75" t="str">
        <x:v>Jeanuël Belocian</x:v>
      </x:c>
      <x:c r="C1561" s="75" t="str">
        <x:v>Racing Santander</x:v>
      </x:c>
      <x:c r="D1561" s="75" t="str">
        <x:v>Bayer Leverkusen</x:v>
      </x:c>
      <x:c r="E1561" s="77" t="d">
        <x:v>2026-09-01T00:00:00.000Z</x:v>
      </x:c>
      <x:c r="F1561" s="75" t="str">
        <x:v>summer</x:v>
      </x:c>
      <x:c r="G1561" s="75" t="str">
        <x:v>Defender — source label</x:v>
      </x:c>
      <x:c r="H1561" s="79"/>
      <x:c r="I1561" s="75" t="str">
        <x:v>GBP</x:v>
      </x:c>
      <x:c r="J1561" s="81"/>
      <x:c r="K1561" s="83"/>
      <x:c r="L1561" s="75" t="str">
        <x:v>Evidence needed</x:v>
      </x:c>
      <x:c r="M1561" s="75" t="str">
        <x:v>Buyer-specific role, production, availability, signing age and total fee evidence are needed before assigning a deal-value score. Loan/swap costs must be treated separately.</x:v>
      </x:c>
      <x:c r="N1561" s="75" t="str">
        <x:v>Not assessed</x:v>
      </x:c>
      <x:c r="O1561" s="75" t="str">
        <x:v>Source broad position and transfer quote only; detailed role and buyer-specific production not validated.</x:v>
      </x:c>
      <x:c r="P1561" s="75" t="str">
        <x:v>https://www.theguardian.com/football/ng-interactive/2026/sep/01/mens-transfer-window-summer-2026-all-deals-from-europes-top-five-leagues</x:v>
      </x:c>
    </x:row>
    <x:row r="1562" ht="25" customHeight="1">
      <x:c r="A1562" s="69" t="str">
        <x:v>summer-S26-1291</x:v>
      </x:c>
      <x:c r="B1562" s="69" t="str">
        <x:v>Jean-Clair Todibo</x:v>
      </x:c>
      <x:c r="C1562" s="69" t="str">
        <x:v>Lens</x:v>
      </x:c>
      <x:c r="D1562" s="69" t="str">
        <x:v>West Ham United</x:v>
      </x:c>
      <x:c r="E1562" s="76" t="d">
        <x:v>2026-09-01T00:00:00.000Z</x:v>
      </x:c>
      <x:c r="F1562" s="69" t="str">
        <x:v>summer</x:v>
      </x:c>
      <x:c r="G1562" s="69" t="str">
        <x:v>Defender — source label</x:v>
      </x:c>
      <x:c r="H1562" s="78"/>
      <x:c r="I1562" s="69" t="str">
        <x:v>GBP</x:v>
      </x:c>
      <x:c r="J1562" s="80"/>
      <x:c r="K1562" s="82"/>
      <x:c r="L1562" s="69" t="str">
        <x:v>Evidence needed</x:v>
      </x:c>
      <x:c r="M1562" s="69" t="str">
        <x:v>Buyer-specific role, production, availability, signing age and total fee evidence are needed before assigning a deal-value score. Loan/swap costs must be treated separately.</x:v>
      </x:c>
      <x:c r="N1562" s="69" t="str">
        <x:v>Not assessed</x:v>
      </x:c>
      <x:c r="O1562" s="69" t="str">
        <x:v>Source broad position and transfer quote only; detailed role and buyer-specific production not validated.</x:v>
      </x:c>
      <x:c r="P1562" s="69" t="str">
        <x:v>https://www.theguardian.com/football/ng-interactive/2026/sep/01/mens-transfer-window-summer-2026-all-deals-from-europes-top-five-leagues</x:v>
      </x:c>
    </x:row>
    <x:row r="1563" ht="25" customHeight="1">
      <x:c r="A1563" s="75" t="str">
        <x:v>summer-S26-1293</x:v>
      </x:c>
      <x:c r="B1563" s="75" t="str">
        <x:v>Harvey Elliott</x:v>
      </x:c>
      <x:c r="C1563" s="75" t="str">
        <x:v>Valencia</x:v>
      </x:c>
      <x:c r="D1563" s="75" t="str">
        <x:v>Liverpool</x:v>
      </x:c>
      <x:c r="E1563" s="77" t="d">
        <x:v>2026-09-01T00:00:00.000Z</x:v>
      </x:c>
      <x:c r="F1563" s="75" t="str">
        <x:v>summer</x:v>
      </x:c>
      <x:c r="G1563" s="75" t="str">
        <x:v>Midfielder — source label</x:v>
      </x:c>
      <x:c r="H1563" s="79"/>
      <x:c r="I1563" s="75" t="str">
        <x:v>GBP</x:v>
      </x:c>
      <x:c r="J1563" s="81"/>
      <x:c r="K1563" s="83"/>
      <x:c r="L1563" s="75" t="str">
        <x:v>Evidence needed</x:v>
      </x:c>
      <x:c r="M1563" s="75" t="str">
        <x:v>Buyer-specific role, production, availability, signing age and total fee evidence are needed before assigning a deal-value score. Loan/swap costs must be treated separately.</x:v>
      </x:c>
      <x:c r="N1563" s="75" t="str">
        <x:v>Not assessed</x:v>
      </x:c>
      <x:c r="O1563" s="75" t="str">
        <x:v>Source broad position and transfer quote only; detailed role and buyer-specific production not validated.</x:v>
      </x:c>
      <x:c r="P1563" s="75" t="str">
        <x:v>https://www.theguardian.com/football/ng-interactive/2026/sep/01/mens-transfer-window-summer-2026-all-deals-from-europes-top-five-leagues</x:v>
      </x:c>
    </x:row>
    <x:row r="1564" ht="25" customHeight="1">
      <x:c r="A1564" s="69" t="str">
        <x:v>summer-S26-1294</x:v>
      </x:c>
      <x:c r="B1564" s="69" t="str">
        <x:v>Joyeux Masanka Bungi</x:v>
      </x:c>
      <x:c r="C1564" s="69" t="str">
        <x:v>Stuttgart</x:v>
      </x:c>
      <x:c r="D1564" s="69" t="str">
        <x:v>RB Leipzig</x:v>
      </x:c>
      <x:c r="E1564" s="76" t="d">
        <x:v>2026-09-01T00:00:00.000Z</x:v>
      </x:c>
      <x:c r="F1564" s="69" t="str">
        <x:v>summer</x:v>
      </x:c>
      <x:c r="G1564" s="69" t="str">
        <x:v>Defender — source label</x:v>
      </x:c>
      <x:c r="H1564" s="78"/>
      <x:c r="I1564" s="69" t="str">
        <x:v>GBP</x:v>
      </x:c>
      <x:c r="J1564" s="80"/>
      <x:c r="K1564" s="82"/>
      <x:c r="L1564" s="69" t="str">
        <x:v>Evidence needed</x:v>
      </x:c>
      <x:c r="M1564" s="69" t="str">
        <x:v>Buyer-specific role, production, availability, signing age and total fee evidence are needed before assigning a deal-value score. Loan/swap costs must be treated separately.</x:v>
      </x:c>
      <x:c r="N1564" s="69" t="str">
        <x:v>Not assessed</x:v>
      </x:c>
      <x:c r="O1564" s="69" t="str">
        <x:v>Source broad position and transfer quote only; detailed role and buyer-specific production not validated.</x:v>
      </x:c>
      <x:c r="P1564" s="69" t="str">
        <x:v>https://www.theguardian.com/football/ng-interactive/2026/sep/01/mens-transfer-window-summer-2026-all-deals-from-europes-top-five-leagues</x:v>
      </x:c>
    </x:row>
    <x:row r="1565" ht="25" customHeight="1">
      <x:c r="A1565" s="75" t="str">
        <x:v>summer-S26-1296</x:v>
      </x:c>
      <x:c r="B1565" s="75" t="str">
        <x:v>Oliver Sørensen</x:v>
      </x:c>
      <x:c r="C1565" s="75" t="str">
        <x:v>Celtic</x:v>
      </x:c>
      <x:c r="D1565" s="75" t="str">
        <x:v>Parma</x:v>
      </x:c>
      <x:c r="E1565" s="77" t="d">
        <x:v>2026-09-01T00:00:00.000Z</x:v>
      </x:c>
      <x:c r="F1565" s="75" t="str">
        <x:v>summer</x:v>
      </x:c>
      <x:c r="G1565" s="75" t="str">
        <x:v>Midfielder — source label</x:v>
      </x:c>
      <x:c r="H1565" s="79"/>
      <x:c r="I1565" s="75" t="str">
        <x:v>GBP</x:v>
      </x:c>
      <x:c r="J1565" s="81"/>
      <x:c r="K1565" s="83"/>
      <x:c r="L1565" s="75" t="str">
        <x:v>Evidence needed</x:v>
      </x:c>
      <x:c r="M1565" s="75" t="str">
        <x:v>Buyer-specific role, production, availability, signing age and total fee evidence are needed before assigning a deal-value score. Loan/swap costs must be treated separately.</x:v>
      </x:c>
      <x:c r="N1565" s="75" t="str">
        <x:v>Not assessed</x:v>
      </x:c>
      <x:c r="O1565" s="75" t="str">
        <x:v>Source broad position and transfer quote only; detailed role and buyer-specific production not validated.</x:v>
      </x:c>
      <x:c r="P1565" s="75" t="str">
        <x:v>https://www.theguardian.com/football/ng-interactive/2026/sep/01/mens-transfer-window-summer-2026-all-deals-from-europes-top-five-leagues</x:v>
      </x:c>
    </x:row>
    <x:row r="1566" ht="25" customHeight="1">
      <x:c r="A1566" s="69" t="str">
        <x:v>summer-S26-1297</x:v>
      </x:c>
      <x:c r="B1566" s="69" t="str">
        <x:v>Arthur</x:v>
      </x:c>
      <x:c r="C1566" s="69" t="str">
        <x:v>Werder Bremen</x:v>
      </x:c>
      <x:c r="D1566" s="69" t="str">
        <x:v>Bayer Leverkusen</x:v>
      </x:c>
      <x:c r="E1566" s="76" t="d">
        <x:v>2026-09-01T00:00:00.000Z</x:v>
      </x:c>
      <x:c r="F1566" s="69" t="str">
        <x:v>summer</x:v>
      </x:c>
      <x:c r="G1566" s="69" t="str">
        <x:v>Defender — source label</x:v>
      </x:c>
      <x:c r="H1566" s="78"/>
      <x:c r="I1566" s="69" t="str">
        <x:v>GBP</x:v>
      </x:c>
      <x:c r="J1566" s="80"/>
      <x:c r="K1566" s="82"/>
      <x:c r="L1566" s="69" t="str">
        <x:v>Evidence needed</x:v>
      </x:c>
      <x:c r="M1566" s="69" t="str">
        <x:v>Buyer-specific role, production, availability, signing age and total fee evidence are needed before assigning a deal-value score. Loan/swap costs must be treated separately.</x:v>
      </x:c>
      <x:c r="N1566" s="69" t="str">
        <x:v>Not assessed</x:v>
      </x:c>
      <x:c r="O1566" s="69" t="str">
        <x:v>Source broad position and transfer quote only; detailed role and buyer-specific production not validated.</x:v>
      </x:c>
      <x:c r="P1566" s="69" t="str">
        <x:v>https://www.theguardian.com/football/ng-interactive/2026/sep/01/mens-transfer-window-summer-2026-all-deals-from-europes-top-five-leagues</x:v>
      </x:c>
    </x:row>
    <x:row r="1567" ht="25" customHeight="1">
      <x:c r="A1567" s="75" t="str">
        <x:v>summer-S26-1301</x:v>
      </x:c>
      <x:c r="B1567" s="75" t="str">
        <x:v>Freddie Simmonds</x:v>
      </x:c>
      <x:c r="C1567" s="75" t="str">
        <x:v>Wimbledon</x:v>
      </x:c>
      <x:c r="D1567" s="75" t="str">
        <x:v>Brighton</x:v>
      </x:c>
      <x:c r="E1567" s="77" t="d">
        <x:v>2026-09-01T00:00:00.000Z</x:v>
      </x:c>
      <x:c r="F1567" s="75" t="str">
        <x:v>summer</x:v>
      </x:c>
      <x:c r="G1567" s="75" t="str">
        <x:v>Defender — source label</x:v>
      </x:c>
      <x:c r="H1567" s="79"/>
      <x:c r="I1567" s="75" t="str">
        <x:v>GBP</x:v>
      </x:c>
      <x:c r="J1567" s="81"/>
      <x:c r="K1567" s="83"/>
      <x:c r="L1567" s="75" t="str">
        <x:v>Evidence needed</x:v>
      </x:c>
      <x:c r="M1567" s="75" t="str">
        <x:v>Buyer-specific role, production, availability, signing age and total fee evidence are needed before assigning a deal-value score. Loan/swap costs must be treated separately.</x:v>
      </x:c>
      <x:c r="N1567" s="75" t="str">
        <x:v>Not assessed</x:v>
      </x:c>
      <x:c r="O1567" s="75" t="str">
        <x:v>Source broad position and transfer quote only; detailed role and buyer-specific production not validated.</x:v>
      </x:c>
      <x:c r="P1567" s="75" t="str">
        <x:v>https://www.theguardian.com/football/ng-interactive/2026/sep/01/mens-transfer-window-summer-2026-all-deals-from-europes-top-five-leagues</x:v>
      </x:c>
    </x:row>
    <x:row r="1568" ht="25" customHeight="1">
      <x:c r="A1568" s="69" t="str">
        <x:v>summer-S26-1304</x:v>
      </x:c>
      <x:c r="B1568" s="69" t="str">
        <x:v>Jaden Heskey</x:v>
      </x:c>
      <x:c r="C1568" s="69" t="str">
        <x:v>Sheffield Wednesday</x:v>
      </x:c>
      <x:c r="D1568" s="69" t="str">
        <x:v>Manchester City</x:v>
      </x:c>
      <x:c r="E1568" s="76" t="d">
        <x:v>2026-09-01T00:00:00.000Z</x:v>
      </x:c>
      <x:c r="F1568" s="69" t="str">
        <x:v>summer</x:v>
      </x:c>
      <x:c r="G1568" s="69" t="str">
        <x:v>Midfielder — source label</x:v>
      </x:c>
      <x:c r="H1568" s="78"/>
      <x:c r="I1568" s="69" t="str">
        <x:v>GBP</x:v>
      </x:c>
      <x:c r="J1568" s="80"/>
      <x:c r="K1568" s="82"/>
      <x:c r="L1568" s="69" t="str">
        <x:v>Evidence needed</x:v>
      </x:c>
      <x:c r="M1568" s="69" t="str">
        <x:v>Buyer-specific role, production, availability, signing age and total fee evidence are needed before assigning a deal-value score. Loan/swap costs must be treated separately.</x:v>
      </x:c>
      <x:c r="N1568" s="69" t="str">
        <x:v>Not assessed</x:v>
      </x:c>
      <x:c r="O1568" s="69" t="str">
        <x:v>Source broad position and transfer quote only; detailed role and buyer-specific production not validated.</x:v>
      </x:c>
      <x:c r="P1568" s="69" t="str">
        <x:v>https://www.theguardian.com/football/ng-interactive/2026/sep/01/mens-transfer-window-summer-2026-all-deals-from-europes-top-five-leagues</x:v>
      </x:c>
    </x:row>
    <x:row r="1569" ht="25" customHeight="1">
      <x:c r="A1569" s="75" t="str">
        <x:v>summer-S26-1305</x:v>
      </x:c>
      <x:c r="B1569" s="75" t="str">
        <x:v>Sam Chambers</x:v>
      </x:c>
      <x:c r="C1569" s="75" t="str">
        <x:v>Northampton</x:v>
      </x:c>
      <x:c r="D1569" s="75" t="str">
        <x:v>Leeds United</x:v>
      </x:c>
      <x:c r="E1569" s="77" t="d">
        <x:v>2026-09-01T00:00:00.000Z</x:v>
      </x:c>
      <x:c r="F1569" s="75" t="str">
        <x:v>summer</x:v>
      </x:c>
      <x:c r="G1569" s="75" t="str">
        <x:v>Midfielder — source label</x:v>
      </x:c>
      <x:c r="H1569" s="79"/>
      <x:c r="I1569" s="75" t="str">
        <x:v>GBP</x:v>
      </x:c>
      <x:c r="J1569" s="81"/>
      <x:c r="K1569" s="83"/>
      <x:c r="L1569" s="75" t="str">
        <x:v>Evidence needed</x:v>
      </x:c>
      <x:c r="M1569" s="75" t="str">
        <x:v>Buyer-specific role, production, availability, signing age and total fee evidence are needed before assigning a deal-value score. Loan/swap costs must be treated separately.</x:v>
      </x:c>
      <x:c r="N1569" s="75" t="str">
        <x:v>Not assessed</x:v>
      </x:c>
      <x:c r="O1569" s="75" t="str">
        <x:v>Source broad position and transfer quote only; detailed role and buyer-specific production not validated.</x:v>
      </x:c>
      <x:c r="P1569" s="75" t="str">
        <x:v>https://www.theguardian.com/football/ng-interactive/2026/sep/01/mens-transfer-window-summer-2026-all-deals-from-europes-top-five-leagues</x:v>
      </x:c>
    </x:row>
    <x:row r="1570" ht="25" customHeight="1">
      <x:c r="A1570" s="69" t="str">
        <x:v>summer-S26-1306</x:v>
      </x:c>
      <x:c r="B1570" s="69" t="str">
        <x:v>Josh Powell</x:v>
      </x:c>
      <x:c r="C1570" s="69" t="str">
        <x:v>Northampton</x:v>
      </x:c>
      <x:c r="D1570" s="69" t="str">
        <x:v>Nottingham Forest</x:v>
      </x:c>
      <x:c r="E1570" s="76" t="d">
        <x:v>2026-09-01T00:00:00.000Z</x:v>
      </x:c>
      <x:c r="F1570" s="69" t="str">
        <x:v>summer</x:v>
      </x:c>
      <x:c r="G1570" s="69" t="str">
        <x:v>Defender — source label</x:v>
      </x:c>
      <x:c r="H1570" s="78"/>
      <x:c r="I1570" s="69" t="str">
        <x:v>GBP</x:v>
      </x:c>
      <x:c r="J1570" s="80"/>
      <x:c r="K1570" s="82"/>
      <x:c r="L1570" s="69" t="str">
        <x:v>Evidence needed</x:v>
      </x:c>
      <x:c r="M1570" s="69" t="str">
        <x:v>Buyer-specific role, production, availability, signing age and total fee evidence are needed before assigning a deal-value score. Loan/swap costs must be treated separately.</x:v>
      </x:c>
      <x:c r="N1570" s="69" t="str">
        <x:v>Not assessed</x:v>
      </x:c>
      <x:c r="O1570" s="69" t="str">
        <x:v>Source broad position and transfer quote only; detailed role and buyer-specific production not validated.</x:v>
      </x:c>
      <x:c r="P1570" s="69" t="str">
        <x:v>https://www.theguardian.com/football/ng-interactive/2026/sep/01/mens-transfer-window-summer-2026-all-deals-from-europes-top-five-leagues</x:v>
      </x:c>
    </x:row>
    <x:row r="1571" ht="25" customHeight="1">
      <x:c r="A1571" s="75" t="str">
        <x:v>summer-S26-1309</x:v>
      </x:c>
      <x:c r="B1571" s="75" t="str">
        <x:v>Dan Gore</x:v>
      </x:c>
      <x:c r="C1571" s="75" t="str">
        <x:v>Luton Town</x:v>
      </x:c>
      <x:c r="D1571" s="75" t="str">
        <x:v>Manchester United</x:v>
      </x:c>
      <x:c r="E1571" s="77" t="d">
        <x:v>2026-08-31T00:00:00.000Z</x:v>
      </x:c>
      <x:c r="F1571" s="75" t="str">
        <x:v>summer</x:v>
      </x:c>
      <x:c r="G1571" s="75" t="str">
        <x:v>Midfielder — source label</x:v>
      </x:c>
      <x:c r="H1571" s="79"/>
      <x:c r="I1571" s="75" t="str">
        <x:v>GBP</x:v>
      </x:c>
      <x:c r="J1571" s="81"/>
      <x:c r="K1571" s="83"/>
      <x:c r="L1571" s="75" t="str">
        <x:v>Evidence needed</x:v>
      </x:c>
      <x:c r="M1571" s="75" t="str">
        <x:v>Buyer-specific role, production, availability, signing age and total fee evidence are needed before assigning a deal-value score. Loan/swap costs must be treated separately.</x:v>
      </x:c>
      <x:c r="N1571" s="75" t="str">
        <x:v>Not assessed</x:v>
      </x:c>
      <x:c r="O1571" s="75" t="str">
        <x:v>Source broad position and transfer quote only; detailed role and buyer-specific production not validated.</x:v>
      </x:c>
      <x:c r="P1571" s="75" t="str">
        <x:v>https://www.theguardian.com/football/ng-interactive/2026/sep/01/mens-transfer-window-summer-2026-all-deals-from-europes-top-five-leagues</x:v>
      </x:c>
    </x:row>
    <x:row r="1572" ht="25" customHeight="1">
      <x:c r="A1572" s="69" t="str">
        <x:v>summer-S26-1312</x:v>
      </x:c>
      <x:c r="B1572" s="69" t="str">
        <x:v>Diego Carlos</x:v>
      </x:c>
      <x:c r="C1572" s="69" t="str">
        <x:v>Parma</x:v>
      </x:c>
      <x:c r="D1572" s="69" t="str">
        <x:v>Fenerbahce</x:v>
      </x:c>
      <x:c r="E1572" s="76" t="d">
        <x:v>2026-09-01T00:00:00.000Z</x:v>
      </x:c>
      <x:c r="F1572" s="69" t="str">
        <x:v>summer</x:v>
      </x:c>
      <x:c r="G1572" s="69" t="str">
        <x:v>Defender — source label</x:v>
      </x:c>
      <x:c r="H1572" s="78"/>
      <x:c r="I1572" s="69" t="str">
        <x:v>GBP</x:v>
      </x:c>
      <x:c r="J1572" s="80"/>
      <x:c r="K1572" s="82"/>
      <x:c r="L1572" s="69" t="str">
        <x:v>Evidence needed</x:v>
      </x:c>
      <x:c r="M1572" s="69" t="str">
        <x:v>Buyer-specific role, production, availability, signing age and total fee evidence are needed before assigning a deal-value score. Loan/swap costs must be treated separately.</x:v>
      </x:c>
      <x:c r="N1572" s="69" t="str">
        <x:v>Not assessed</x:v>
      </x:c>
      <x:c r="O1572" s="69" t="str">
        <x:v>Source broad position and transfer quote only; detailed role and buyer-specific production not validated.</x:v>
      </x:c>
      <x:c r="P1572" s="69" t="str">
        <x:v>https://www.theguardian.com/football/ng-interactive/2026/sep/01/mens-transfer-window-summer-2026-all-deals-from-europes-top-five-leagues</x:v>
      </x:c>
    </x:row>
    <x:row r="1573" ht="25" customHeight="1">
      <x:c r="A1573" s="75" t="str">
        <x:v>summer-S26-1313</x:v>
      </x:c>
      <x:c r="B1573" s="75" t="str">
        <x:v>Andreas Hanche-Olsen</x:v>
      </x:c>
      <x:c r="C1573" s="75" t="str">
        <x:v>Chicago Fire</x:v>
      </x:c>
      <x:c r="D1573" s="75" t="str">
        <x:v>Mainz 05</x:v>
      </x:c>
      <x:c r="E1573" s="77" t="d">
        <x:v>2026-09-01T00:00:00.000Z</x:v>
      </x:c>
      <x:c r="F1573" s="75" t="str">
        <x:v>summer</x:v>
      </x:c>
      <x:c r="G1573" s="75" t="str">
        <x:v>Defender — source label</x:v>
      </x:c>
      <x:c r="H1573" s="79"/>
      <x:c r="I1573" s="75" t="str">
        <x:v>GBP</x:v>
      </x:c>
      <x:c r="J1573" s="81"/>
      <x:c r="K1573" s="83"/>
      <x:c r="L1573" s="75" t="str">
        <x:v>Evidence needed</x:v>
      </x:c>
      <x:c r="M1573" s="75" t="str">
        <x:v>Buyer-specific role, production, availability, signing age and total fee evidence are needed before assigning a deal-value score.</x:v>
      </x:c>
      <x:c r="N1573" s="75" t="str">
        <x:v>Not assessed</x:v>
      </x:c>
      <x:c r="O1573" s="75" t="str">
        <x:v>Source broad position and transfer quote only; detailed role and buyer-specific production not validated.</x:v>
      </x:c>
      <x:c r="P1573" s="75" t="str">
        <x:v>https://www.theguardian.com/football/ng-interactive/2026/sep/01/mens-transfer-window-summer-2026-all-deals-from-europes-top-five-leagues</x:v>
      </x:c>
    </x:row>
    <x:row r="1574" ht="25" customHeight="1">
      <x:c r="A1574" s="69" t="str">
        <x:v>summer-S26-1315</x:v>
      </x:c>
      <x:c r="B1574" s="69" t="str">
        <x:v>David Møller Wolfe</x:v>
      </x:c>
      <x:c r="C1574" s="69" t="str">
        <x:v>Hamburg</x:v>
      </x:c>
      <x:c r="D1574" s="69" t="str">
        <x:v>Wolverhampton Wanderers</x:v>
      </x:c>
      <x:c r="E1574" s="76" t="d">
        <x:v>2026-09-01T00:00:00.000Z</x:v>
      </x:c>
      <x:c r="F1574" s="69" t="str">
        <x:v>summer</x:v>
      </x:c>
      <x:c r="G1574" s="69" t="str">
        <x:v>Defender — source label</x:v>
      </x:c>
      <x:c r="H1574" s="78"/>
      <x:c r="I1574" s="69" t="str">
        <x:v>GBP</x:v>
      </x:c>
      <x:c r="J1574" s="80"/>
      <x:c r="K1574" s="82"/>
      <x:c r="L1574" s="69" t="str">
        <x:v>Evidence needed</x:v>
      </x:c>
      <x:c r="M1574" s="69" t="str">
        <x:v>Buyer-specific role, production, availability, signing age and total fee evidence are needed before assigning a deal-value score. Loan/swap costs must be treated separately.</x:v>
      </x:c>
      <x:c r="N1574" s="69" t="str">
        <x:v>Not assessed</x:v>
      </x:c>
      <x:c r="O1574" s="69" t="str">
        <x:v>Source broad position and transfer quote only; detailed role and buyer-specific production not validated.</x:v>
      </x:c>
      <x:c r="P1574" s="69" t="str">
        <x:v>https://www.theguardian.com/football/ng-interactive/2026/sep/01/mens-transfer-window-summer-2026-all-deals-from-europes-top-five-leagues</x:v>
      </x:c>
    </x:row>
    <x:row r="1575" ht="25" customHeight="1">
      <x:c r="A1575" s="75" t="str">
        <x:v>summer-S26-1319</x:v>
      </x:c>
      <x:c r="B1575" s="75" t="str">
        <x:v>André Almeida</x:v>
      </x:c>
      <x:c r="C1575" s="75" t="str">
        <x:v>Racing Santander</x:v>
      </x:c>
      <x:c r="D1575" s="75" t="str">
        <x:v>Valencia</x:v>
      </x:c>
      <x:c r="E1575" s="77" t="d">
        <x:v>2026-09-01T00:00:00.000Z</x:v>
      </x:c>
      <x:c r="F1575" s="75" t="str">
        <x:v>summer</x:v>
      </x:c>
      <x:c r="G1575" s="75" t="str">
        <x:v>Midfielder — source label</x:v>
      </x:c>
      <x:c r="H1575" s="79"/>
      <x:c r="I1575" s="75" t="str">
        <x:v>GBP</x:v>
      </x:c>
      <x:c r="J1575" s="81"/>
      <x:c r="K1575" s="83"/>
      <x:c r="L1575" s="75" t="str">
        <x:v>Evidence needed</x:v>
      </x:c>
      <x:c r="M1575" s="75" t="str">
        <x:v>Buyer-specific role, production, availability, signing age and total fee evidence are needed before assigning a deal-value score. Loan/swap costs must be treated separately.</x:v>
      </x:c>
      <x:c r="N1575" s="75" t="str">
        <x:v>Not assessed</x:v>
      </x:c>
      <x:c r="O1575" s="75" t="str">
        <x:v>Source broad position and transfer quote only; detailed role and buyer-specific production not validated.</x:v>
      </x:c>
      <x:c r="P1575" s="75" t="str">
        <x:v>https://www.theguardian.com/football/ng-interactive/2026/sep/01/mens-transfer-window-summer-2026-all-deals-from-europes-top-five-leagues</x:v>
      </x:c>
    </x:row>
    <x:row r="1576" ht="25" customHeight="1">
      <x:c r="A1576" s="69" t="str">
        <x:v>summer-S26-1322</x:v>
      </x:c>
      <x:c r="B1576" s="69" t="str">
        <x:v>Guéla Doué</x:v>
      </x:c>
      <x:c r="C1576" s="69" t="str">
        <x:v>Bayer Leverkusen</x:v>
      </x:c>
      <x:c r="D1576" s="69" t="str">
        <x:v>Strasbourg</x:v>
      </x:c>
      <x:c r="E1576" s="76" t="d">
        <x:v>2026-09-01T00:00:00.000Z</x:v>
      </x:c>
      <x:c r="F1576" s="69" t="str">
        <x:v>summer</x:v>
      </x:c>
      <x:c r="G1576" s="69" t="str">
        <x:v>Defender — source label</x:v>
      </x:c>
      <x:c r="H1576" s="78" t="n">
        <x:v>25700000</x:v>
      </x:c>
      <x:c r="I1576" s="69" t="str">
        <x:v>GBP</x:v>
      </x:c>
      <x:c r="J1576" s="80"/>
      <x:c r="K1576" s="82"/>
      <x:c r="L1576" s="69" t="str">
        <x:v>Evidence needed</x:v>
      </x:c>
      <x:c r="M1576" s="69" t="str">
        <x:v>Buyer-specific role, production, availability, signing age and total fee evidence are needed before assigning a deal-value score.</x:v>
      </x:c>
      <x:c r="N1576" s="69" t="str">
        <x:v>Not assessed</x:v>
      </x:c>
      <x:c r="O1576" s="69" t="str">
        <x:v>Source broad position and transfer quote only; detailed role and buyer-specific production not validated.</x:v>
      </x:c>
      <x:c r="P1576" s="69" t="str">
        <x:v>https://www.theguardian.com/football/ng-interactive/2026/sep/01/mens-transfer-window-summer-2026-all-deals-from-europes-top-five-leagues</x:v>
      </x:c>
    </x:row>
    <x:row r="1577" ht="25" customHeight="1">
      <x:c r="A1577" s="75" t="str">
        <x:v>summer-S26-1325</x:v>
      </x:c>
      <x:c r="B1577" s="75" t="str">
        <x:v>Yukinari Sugawara</x:v>
      </x:c>
      <x:c r="C1577" s="75" t="str">
        <x:v>Cagliari</x:v>
      </x:c>
      <x:c r="D1577" s="75" t="str">
        <x:v>Southampton</x:v>
      </x:c>
      <x:c r="E1577" s="77" t="d">
        <x:v>2026-09-01T00:00:00.000Z</x:v>
      </x:c>
      <x:c r="F1577" s="75" t="str">
        <x:v>summer</x:v>
      </x:c>
      <x:c r="G1577" s="75" t="str">
        <x:v>Defender — source label</x:v>
      </x:c>
      <x:c r="H1577" s="79"/>
      <x:c r="I1577" s="75" t="str">
        <x:v>GBP</x:v>
      </x:c>
      <x:c r="J1577" s="81"/>
      <x:c r="K1577" s="83"/>
      <x:c r="L1577" s="75" t="str">
        <x:v>Evidence needed</x:v>
      </x:c>
      <x:c r="M1577" s="75" t="str">
        <x:v>Buyer-specific role, production, availability, signing age and total fee evidence are needed before assigning a deal-value score. Loan/swap costs must be treated separately.</x:v>
      </x:c>
      <x:c r="N1577" s="75" t="str">
        <x:v>Not assessed</x:v>
      </x:c>
      <x:c r="O1577" s="75" t="str">
        <x:v>Source broad position and transfer quote only; detailed role and buyer-specific production not validated.</x:v>
      </x:c>
      <x:c r="P1577" s="75" t="str">
        <x:v>https://www.theguardian.com/football/ng-interactive/2026/sep/01/mens-transfer-window-summer-2026-all-deals-from-europes-top-five-leagues</x:v>
      </x:c>
    </x:row>
    <x:row r="1578" ht="25" customHeight="1">
      <x:c r="A1578" s="69" t="str">
        <x:v>summer-S26-1326</x:v>
      </x:c>
      <x:c r="B1578" s="69" t="str">
        <x:v>Axel Tuanzebe</x:v>
      </x:c>
      <x:c r="C1578" s="69" t="str">
        <x:v>Auxerre</x:v>
      </x:c>
      <x:c r="D1578" s="69" t="str">
        <x:v>Burnley</x:v>
      </x:c>
      <x:c r="E1578" s="76" t="d">
        <x:v>2026-09-01T00:00:00.000Z</x:v>
      </x:c>
      <x:c r="F1578" s="69" t="str">
        <x:v>summer</x:v>
      </x:c>
      <x:c r="G1578" s="69" t="str">
        <x:v>Defender — source label</x:v>
      </x:c>
      <x:c r="H1578" s="78"/>
      <x:c r="I1578" s="69" t="str">
        <x:v>GBP</x:v>
      </x:c>
      <x:c r="J1578" s="80"/>
      <x:c r="K1578" s="82"/>
      <x:c r="L1578" s="69" t="str">
        <x:v>Evidence needed</x:v>
      </x:c>
      <x:c r="M1578" s="69" t="str">
        <x:v>Buyer-specific role, production, availability, signing age and total fee evidence are needed before assigning a deal-value score. A zero base fee does not represent wages or signing costs.</x:v>
      </x:c>
      <x:c r="N1578" s="69" t="str">
        <x:v>Not assessed</x:v>
      </x:c>
      <x:c r="O1578" s="69" t="str">
        <x:v>Source broad position and transfer quote only; detailed role and buyer-specific production not validated.</x:v>
      </x:c>
      <x:c r="P1578" s="69" t="str">
        <x:v>https://www.theguardian.com/football/ng-interactive/2026/sep/01/mens-transfer-window-summer-2026-all-deals-from-europes-top-five-leagues</x:v>
      </x:c>
    </x:row>
    <x:row r="1579" ht="25" customHeight="1">
      <x:c r="A1579" s="75" t="str">
        <x:v>summer-S26-1327</x:v>
      </x:c>
      <x:c r="B1579" s="75" t="str">
        <x:v>Jesper Lindstrøm</x:v>
      </x:c>
      <x:c r="C1579" s="75" t="str">
        <x:v>Red Bull Salzburg</x:v>
      </x:c>
      <x:c r="D1579" s="75" t="str">
        <x:v>Napoli</x:v>
      </x:c>
      <x:c r="E1579" s="77" t="d">
        <x:v>2026-09-01T00:00:00.000Z</x:v>
      </x:c>
      <x:c r="F1579" s="75" t="str">
        <x:v>summer</x:v>
      </x:c>
      <x:c r="G1579" s="75" t="str">
        <x:v>Midfielder — source label</x:v>
      </x:c>
      <x:c r="H1579" s="79"/>
      <x:c r="I1579" s="75" t="str">
        <x:v>GBP</x:v>
      </x:c>
      <x:c r="J1579" s="81"/>
      <x:c r="K1579" s="83"/>
      <x:c r="L1579" s="75" t="str">
        <x:v>Evidence needed</x:v>
      </x:c>
      <x:c r="M1579" s="75" t="str">
        <x:v>Buyer-specific role, production, availability, signing age and total fee evidence are needed before assigning a deal-value score. Loan/swap costs must be treated separately.</x:v>
      </x:c>
      <x:c r="N1579" s="75" t="str">
        <x:v>Not assessed</x:v>
      </x:c>
      <x:c r="O1579" s="75" t="str">
        <x:v>Source broad position and transfer quote only; detailed role and buyer-specific production not validated.</x:v>
      </x:c>
      <x:c r="P1579" s="75" t="str">
        <x:v>https://www.theguardian.com/football/ng-interactive/2026/sep/01/mens-transfer-window-summer-2026-all-deals-from-europes-top-five-leagues</x:v>
      </x:c>
    </x:row>
    <x:row r="1580" ht="25" customHeight="1">
      <x:c r="A1580" s="69" t="str">
        <x:v>summer-S26-1330</x:v>
      </x:c>
      <x:c r="B1580" s="69" t="str">
        <x:v>Mikel Goti</x:v>
      </x:c>
      <x:c r="C1580" s="69" t="str">
        <x:v>Real Oviedo</x:v>
      </x:c>
      <x:c r="D1580" s="69" t="str">
        <x:v>Real Sociedad</x:v>
      </x:c>
      <x:c r="E1580" s="76" t="d">
        <x:v>2026-09-01T00:00:00.000Z</x:v>
      </x:c>
      <x:c r="F1580" s="69" t="str">
        <x:v>summer</x:v>
      </x:c>
      <x:c r="G1580" s="69" t="str">
        <x:v>Midfielder — source label</x:v>
      </x:c>
      <x:c r="H1580" s="78"/>
      <x:c r="I1580" s="69" t="str">
        <x:v>GBP</x:v>
      </x:c>
      <x:c r="J1580" s="80"/>
      <x:c r="K1580" s="82"/>
      <x:c r="L1580" s="69" t="str">
        <x:v>Evidence needed</x:v>
      </x:c>
      <x:c r="M1580" s="69" t="str">
        <x:v>Buyer-specific role, production, availability, signing age and total fee evidence are needed before assigning a deal-value score. Loan/swap costs must be treated separately.</x:v>
      </x:c>
      <x:c r="N1580" s="69" t="str">
        <x:v>Not assessed</x:v>
      </x:c>
      <x:c r="O1580" s="69" t="str">
        <x:v>Source broad position and transfer quote only; detailed role and buyer-specific production not validated.</x:v>
      </x:c>
      <x:c r="P1580" s="69" t="str">
        <x:v>https://www.theguardian.com/football/ng-interactive/2026/sep/01/mens-transfer-window-summer-2026-all-deals-from-europes-top-five-leagues</x:v>
      </x:c>
    </x:row>
    <x:row r="1581" ht="25" customHeight="1">
      <x:c r="A1581" s="75" t="str">
        <x:v>summer-S26-1331</x:v>
      </x:c>
      <x:c r="B1581" s="75" t="str">
        <x:v>Guille Fernández</x:v>
      </x:c>
      <x:c r="C1581" s="75" t="str">
        <x:v>Mallorca</x:v>
      </x:c>
      <x:c r="D1581" s="75" t="str">
        <x:v>Barcelona</x:v>
      </x:c>
      <x:c r="E1581" s="77" t="d">
        <x:v>2026-09-01T00:00:00.000Z</x:v>
      </x:c>
      <x:c r="F1581" s="75" t="str">
        <x:v>summer</x:v>
      </x:c>
      <x:c r="G1581" s="75" t="str">
        <x:v>Midfielder — source label</x:v>
      </x:c>
      <x:c r="H1581" s="79" t="n">
        <x:v>3400000</x:v>
      </x:c>
      <x:c r="I1581" s="75" t="str">
        <x:v>GBP</x:v>
      </x:c>
      <x:c r="J1581" s="81"/>
      <x:c r="K1581" s="83"/>
      <x:c r="L1581" s="75" t="str">
        <x:v>Evidence needed</x:v>
      </x:c>
      <x:c r="M1581" s="75" t="str">
        <x:v>Buyer-specific role, production, availability, signing age and total fee evidence are needed before assigning a deal-value score.</x:v>
      </x:c>
      <x:c r="N1581" s="75" t="str">
        <x:v>Not assessed</x:v>
      </x:c>
      <x:c r="O1581" s="75" t="str">
        <x:v>Source broad position and transfer quote only; detailed role and buyer-specific production not validated.</x:v>
      </x:c>
      <x:c r="P1581" s="75" t="str">
        <x:v>https://www.theguardian.com/football/ng-interactive/2026/sep/01/mens-transfer-window-summer-2026-all-deals-from-europes-top-five-leagues</x:v>
      </x:c>
    </x:row>
    <x:row r="1582" ht="25" customHeight="1">
      <x:c r="A1582" s="69" t="str">
        <x:v>summer-S26-1334</x:v>
      </x:c>
      <x:c r="B1582" s="69" t="str">
        <x:v>Fodé Doucouré</x:v>
      </x:c>
      <x:c r="C1582" s="69" t="str">
        <x:v>Nantes</x:v>
      </x:c>
      <x:c r="D1582" s="69" t="str">
        <x:v>Le Havre</x:v>
      </x:c>
      <x:c r="E1582" s="76" t="d">
        <x:v>2026-09-01T00:00:00.000Z</x:v>
      </x:c>
      <x:c r="F1582" s="69" t="str">
        <x:v>summer</x:v>
      </x:c>
      <x:c r="G1582" s="69" t="str">
        <x:v>Defender — source label</x:v>
      </x:c>
      <x:c r="H1582" s="78"/>
      <x:c r="I1582" s="69" t="str">
        <x:v>GBP</x:v>
      </x:c>
      <x:c r="J1582" s="80"/>
      <x:c r="K1582" s="82"/>
      <x:c r="L1582" s="69" t="str">
        <x:v>Evidence needed</x:v>
      </x:c>
      <x:c r="M1582" s="69" t="str">
        <x:v>Buyer-specific role, production, availability, signing age and total fee evidence are needed before assigning a deal-value score.</x:v>
      </x:c>
      <x:c r="N1582" s="69" t="str">
        <x:v>Not assessed</x:v>
      </x:c>
      <x:c r="O1582" s="69" t="str">
        <x:v>Source broad position and transfer quote only; detailed role and buyer-specific production not validated.</x:v>
      </x:c>
      <x:c r="P1582" s="69" t="str">
        <x:v>https://www.theguardian.com/football/ng-interactive/2026/sep/01/mens-transfer-window-summer-2026-all-deals-from-europes-top-five-leagues</x:v>
      </x:c>
    </x:row>
    <x:row r="1583" ht="25" customHeight="1">
      <x:c r="A1583" s="75" t="str">
        <x:v>summer-S26-1336</x:v>
      </x:c>
      <x:c r="B1583" s="75" t="str">
        <x:v>Rubén Sánchez</x:v>
      </x:c>
      <x:c r="C1583" s="75" t="str">
        <x:v>Elche</x:v>
      </x:c>
      <x:c r="D1583" s="75" t="str">
        <x:v>Espanyol</x:v>
      </x:c>
      <x:c r="E1583" s="77" t="d">
        <x:v>2026-09-01T00:00:00.000Z</x:v>
      </x:c>
      <x:c r="F1583" s="75" t="str">
        <x:v>summer</x:v>
      </x:c>
      <x:c r="G1583" s="75" t="str">
        <x:v>Defender — source label</x:v>
      </x:c>
      <x:c r="H1583" s="79"/>
      <x:c r="I1583" s="75" t="str">
        <x:v>GBP</x:v>
      </x:c>
      <x:c r="J1583" s="81"/>
      <x:c r="K1583" s="83"/>
      <x:c r="L1583" s="75" t="str">
        <x:v>Evidence needed</x:v>
      </x:c>
      <x:c r="M1583" s="75" t="str">
        <x:v>Buyer-specific role, production, availability, signing age and total fee evidence are needed before assigning a deal-value score.</x:v>
      </x:c>
      <x:c r="N1583" s="75" t="str">
        <x:v>Not assessed</x:v>
      </x:c>
      <x:c r="O1583" s="75" t="str">
        <x:v>Source broad position and transfer quote only; detailed role and buyer-specific production not validated.</x:v>
      </x:c>
      <x:c r="P1583" s="75" t="str">
        <x:v>https://www.theguardian.com/football/ng-interactive/2026/sep/01/mens-transfer-window-summer-2026-all-deals-from-europes-top-five-leagues</x:v>
      </x:c>
    </x:row>
    <x:row r="1584" ht="25" customHeight="1">
      <x:c r="A1584" s="69" t="str">
        <x:v>summer-S26-1337</x:v>
      </x:c>
      <x:c r="B1584" s="69" t="str">
        <x:v>Zach Abbott</x:v>
      </x:c>
      <x:c r="C1584" s="69" t="str">
        <x:v>Southampton</x:v>
      </x:c>
      <x:c r="D1584" s="69" t="str">
        <x:v>Nottingham Forest</x:v>
      </x:c>
      <x:c r="E1584" s="76" t="d">
        <x:v>2026-09-01T00:00:00.000Z</x:v>
      </x:c>
      <x:c r="F1584" s="69" t="str">
        <x:v>summer</x:v>
      </x:c>
      <x:c r="G1584" s="69" t="str">
        <x:v>Defender — source label</x:v>
      </x:c>
      <x:c r="H1584" s="78"/>
      <x:c r="I1584" s="69" t="str">
        <x:v>GBP</x:v>
      </x:c>
      <x:c r="J1584" s="80"/>
      <x:c r="K1584" s="82"/>
      <x:c r="L1584" s="69" t="str">
        <x:v>Evidence needed</x:v>
      </x:c>
      <x:c r="M1584" s="69" t="str">
        <x:v>Buyer-specific role, production, availability, signing age and total fee evidence are needed before assigning a deal-value score. Loan/swap costs must be treated separately.</x:v>
      </x:c>
      <x:c r="N1584" s="69" t="str">
        <x:v>Not assessed</x:v>
      </x:c>
      <x:c r="O1584" s="69" t="str">
        <x:v>Source broad position and transfer quote only; detailed role and buyer-specific production not validated.</x:v>
      </x:c>
      <x:c r="P1584" s="69" t="str">
        <x:v>https://www.theguardian.com/football/ng-interactive/2026/sep/01/mens-transfer-window-summer-2026-all-deals-from-europes-top-five-leagues</x:v>
      </x:c>
    </x:row>
    <x:row r="1585" ht="25" customHeight="1">
      <x:c r="A1585" s="75" t="str">
        <x:v>summer-S26-1338</x:v>
      </x:c>
      <x:c r="B1585" s="75" t="str">
        <x:v>Lucca Brughmans</x:v>
      </x:c>
      <x:c r="C1585" s="75" t="str">
        <x:v>Liverpool</x:v>
      </x:c>
      <x:c r="D1585" s="75" t="str">
        <x:v>Genk</x:v>
      </x:c>
      <x:c r="E1585" s="77" t="d">
        <x:v>2026-09-01T00:00:00.000Z</x:v>
      </x:c>
      <x:c r="F1585" s="75" t="str">
        <x:v>summer</x:v>
      </x:c>
      <x:c r="G1585" s="75" t="str">
        <x:v>Goalkeeper — source label</x:v>
      </x:c>
      <x:c r="H1585" s="79" t="n">
        <x:v>30000000</x:v>
      </x:c>
      <x:c r="I1585" s="75" t="str">
        <x:v>GBP</x:v>
      </x:c>
      <x:c r="J1585" s="81"/>
      <x:c r="K1585" s="83"/>
      <x:c r="L1585" s="75" t="str">
        <x:v>Evidence needed</x:v>
      </x:c>
      <x:c r="M1585" s="75" t="str">
        <x:v>Buyer-specific shot-stopping, distribution, aerial command, sweeping, signing age and total fee evidence are needed before scoring.</x:v>
      </x:c>
      <x:c r="N1585" s="75" t="str">
        <x:v>Not assessed</x:v>
      </x:c>
      <x:c r="O1585" s="75" t="str">
        <x:v>Source broad position and transfer quote only; detailed role and buyer-specific production not validated.</x:v>
      </x:c>
      <x:c r="P1585" s="75" t="str">
        <x:v>https://www.theguardian.com/football/ng-interactive/2026/sep/01/mens-transfer-window-summer-2026-all-deals-from-europes-top-five-leagues</x:v>
      </x:c>
    </x:row>
    <x:row r="1586" ht="25" customHeight="1">
      <x:c r="A1586" s="69" t="str">
        <x:v>summer-S26-1339</x:v>
      </x:c>
      <x:c r="B1586" s="69" t="str">
        <x:v>Ethan Nwaneri</x:v>
      </x:c>
      <x:c r="C1586" s="69" t="str">
        <x:v>Borussia Dortmund</x:v>
      </x:c>
      <x:c r="D1586" s="69" t="str">
        <x:v>Arsenal</x:v>
      </x:c>
      <x:c r="E1586" s="76" t="d">
        <x:v>2026-09-01T00:00:00.000Z</x:v>
      </x:c>
      <x:c r="F1586" s="69" t="str">
        <x:v>summer</x:v>
      </x:c>
      <x:c r="G1586" s="69" t="str">
        <x:v>Midfielder — source label</x:v>
      </x:c>
      <x:c r="H1586" s="78"/>
      <x:c r="I1586" s="69" t="str">
        <x:v>GBP</x:v>
      </x:c>
      <x:c r="J1586" s="80"/>
      <x:c r="K1586" s="82"/>
      <x:c r="L1586" s="69" t="str">
        <x:v>Evidence needed</x:v>
      </x:c>
      <x:c r="M1586" s="69" t="str">
        <x:v>Buyer-specific role, production, availability, signing age and total fee evidence are needed before assigning a deal-value score. Loan/swap costs must be treated separately.</x:v>
      </x:c>
      <x:c r="N1586" s="69" t="str">
        <x:v>Not assessed</x:v>
      </x:c>
      <x:c r="O1586" s="69" t="str">
        <x:v>Source broad position and transfer quote only; detailed role and buyer-specific production not validated.</x:v>
      </x:c>
      <x:c r="P1586" s="69" t="str">
        <x:v>https://www.theguardian.com/football/ng-interactive/2026/sep/01/mens-transfer-window-summer-2026-all-deals-from-europes-top-five-leagues</x:v>
      </x:c>
    </x:row>
    <x:row r="1587" ht="25" customHeight="1">
      <x:c r="A1587" s="75" t="str">
        <x:v>summer-S26-1340</x:v>
      </x:c>
      <x:c r="B1587" s="75" t="str">
        <x:v>Oluwaseun Ogbemudia</x:v>
      </x:c>
      <x:c r="C1587" s="75" t="str">
        <x:v>Waldhof Mannheim</x:v>
      </x:c>
      <x:c r="D1587" s="75" t="str">
        <x:v>Union Berlin</x:v>
      </x:c>
      <x:c r="E1587" s="77" t="d">
        <x:v>2026-09-01T00:00:00.000Z</x:v>
      </x:c>
      <x:c r="F1587" s="75" t="str">
        <x:v>summer</x:v>
      </x:c>
      <x:c r="G1587" s="75" t="str">
        <x:v>Defender — source label</x:v>
      </x:c>
      <x:c r="H1587" s="79"/>
      <x:c r="I1587" s="75" t="str">
        <x:v>GBP</x:v>
      </x:c>
      <x:c r="J1587" s="81"/>
      <x:c r="K1587" s="83"/>
      <x:c r="L1587" s="75" t="str">
        <x:v>Evidence needed</x:v>
      </x:c>
      <x:c r="M1587" s="75" t="str">
        <x:v>Buyer-specific role, production, availability, signing age and total fee evidence are needed before assigning a deal-value score. Loan/swap costs must be treated separately.</x:v>
      </x:c>
      <x:c r="N1587" s="75" t="str">
        <x:v>Not assessed</x:v>
      </x:c>
      <x:c r="O1587" s="75" t="str">
        <x:v>Source broad position and transfer quote only; detailed role and buyer-specific production not validated.</x:v>
      </x:c>
      <x:c r="P1587" s="75" t="str">
        <x:v>https://www.theguardian.com/football/ng-interactive/2026/sep/01/mens-transfer-window-summer-2026-all-deals-from-europes-top-five-leagues</x:v>
      </x:c>
    </x:row>
    <x:row r="1588" ht="25" customHeight="1">
      <x:c r="A1588" s="69" t="str">
        <x:v>summer-S26-1345</x:v>
      </x:c>
      <x:c r="B1588" s="69" t="str">
        <x:v>Robert Sánchez</x:v>
      </x:c>
      <x:c r="C1588" s="69" t="str">
        <x:v>Como 1907</x:v>
      </x:c>
      <x:c r="D1588" s="69" t="str">
        <x:v>Chelsea</x:v>
      </x:c>
      <x:c r="E1588" s="76" t="d">
        <x:v>2026-09-01T00:00:00.000Z</x:v>
      </x:c>
      <x:c r="F1588" s="69" t="str">
        <x:v>summer</x:v>
      </x:c>
      <x:c r="G1588" s="69" t="str">
        <x:v>Goalkeeper — source label</x:v>
      </x:c>
      <x:c r="H1588" s="78"/>
      <x:c r="I1588" s="69" t="str">
        <x:v>GBP</x:v>
      </x:c>
      <x:c r="J1588" s="80"/>
      <x:c r="K1588" s="82"/>
      <x:c r="L1588" s="69" t="str">
        <x:v>Evidence needed</x:v>
      </x:c>
      <x:c r="M1588" s="69" t="str">
        <x:v>Buyer-specific shot-stopping, distribution, aerial command, sweeping, signing age and total fee evidence are needed before scoring. Loan/swap costs must be treated separately.</x:v>
      </x:c>
      <x:c r="N1588" s="69" t="str">
        <x:v>Not assessed</x:v>
      </x:c>
      <x:c r="O1588" s="69" t="str">
        <x:v>Source broad position and transfer quote only; detailed role and buyer-specific production not validated.</x:v>
      </x:c>
      <x:c r="P1588" s="69" t="str">
        <x:v>https://www.theguardian.com/football/ng-interactive/2026/sep/01/mens-transfer-window-summer-2026-all-deals-from-europes-top-five-leagues</x:v>
      </x:c>
    </x:row>
    <x:row r="1589" ht="25" customHeight="1">
      <x:c r="A1589" s="75" t="str">
        <x:v>summer-S26-1346</x:v>
      </x:c>
      <x:c r="B1589" s="75" t="str">
        <x:v>Eiran Cashin</x:v>
      </x:c>
      <x:c r="C1589" s="75" t="str">
        <x:v>Derby County</x:v>
      </x:c>
      <x:c r="D1589" s="75" t="str">
        <x:v>Brighton</x:v>
      </x:c>
      <x:c r="E1589" s="77" t="d">
        <x:v>2026-09-01T00:00:00.000Z</x:v>
      </x:c>
      <x:c r="F1589" s="75" t="str">
        <x:v>summer</x:v>
      </x:c>
      <x:c r="G1589" s="75" t="str">
        <x:v>Defender — source label</x:v>
      </x:c>
      <x:c r="H1589" s="79"/>
      <x:c r="I1589" s="75" t="str">
        <x:v>GBP</x:v>
      </x:c>
      <x:c r="J1589" s="81"/>
      <x:c r="K1589" s="83"/>
      <x:c r="L1589" s="75" t="str">
        <x:v>Evidence needed</x:v>
      </x:c>
      <x:c r="M1589" s="75" t="str">
        <x:v>Buyer-specific role, production, availability, signing age and total fee evidence are needed before assigning a deal-value score. A zero base fee does not represent wages or signing costs.</x:v>
      </x:c>
      <x:c r="N1589" s="75" t="str">
        <x:v>Not assessed</x:v>
      </x:c>
      <x:c r="O1589" s="75" t="str">
        <x:v>Source broad position and transfer quote only; detailed role and buyer-specific production not validated.</x:v>
      </x:c>
      <x:c r="P1589" s="75" t="str">
        <x:v>https://www.theguardian.com/football/ng-interactive/2026/sep/01/mens-transfer-window-summer-2026-all-deals-from-europes-top-five-leagues</x:v>
      </x:c>
    </x:row>
    <x:row r="1590" ht="25" customHeight="1">
      <x:c r="A1590" s="69" t="str">
        <x:v>summer-S26-1349</x:v>
      </x:c>
      <x:c r="B1590" s="69" t="str">
        <x:v>Andoni Gorosabel</x:v>
      </x:c>
      <x:c r="C1590" s="69" t="str">
        <x:v>Espanyol</x:v>
      </x:c>
      <x:c r="D1590" s="69" t="str">
        <x:v>Athletic Club</x:v>
      </x:c>
      <x:c r="E1590" s="76" t="d">
        <x:v>2026-09-01T00:00:00.000Z</x:v>
      </x:c>
      <x:c r="F1590" s="69" t="str">
        <x:v>summer</x:v>
      </x:c>
      <x:c r="G1590" s="69" t="str">
        <x:v>Defender — source label</x:v>
      </x:c>
      <x:c r="H1590" s="78"/>
      <x:c r="I1590" s="69" t="str">
        <x:v>GBP</x:v>
      </x:c>
      <x:c r="J1590" s="80"/>
      <x:c r="K1590" s="82"/>
      <x:c r="L1590" s="69" t="str">
        <x:v>Evidence needed</x:v>
      </x:c>
      <x:c r="M1590" s="69" t="str">
        <x:v>Buyer-specific role, production, availability, signing age and total fee evidence are needed before assigning a deal-value score. Loan/swap costs must be treated separately.</x:v>
      </x:c>
      <x:c r="N1590" s="69" t="str">
        <x:v>Not assessed</x:v>
      </x:c>
      <x:c r="O1590" s="69" t="str">
        <x:v>Source broad position and transfer quote only; detailed role and buyer-specific production not validated.</x:v>
      </x:c>
      <x:c r="P1590" s="69" t="str">
        <x:v>https://www.theguardian.com/football/ng-interactive/2026/sep/01/mens-transfer-window-summer-2026-all-deals-from-europes-top-five-leagues</x:v>
      </x:c>
    </x:row>
    <x:row r="1591" ht="25" customHeight="1">
      <x:c r="A1591" s="75" t="str">
        <x:v>summer-S26-1352</x:v>
      </x:c>
      <x:c r="B1591" s="75" t="str">
        <x:v>Kevin Danso</x:v>
      </x:c>
      <x:c r="C1591" s="75" t="str">
        <x:v>Sunderland</x:v>
      </x:c>
      <x:c r="D1591" s="75" t="str">
        <x:v>Tottenham Hotspur</x:v>
      </x:c>
      <x:c r="E1591" s="77" t="d">
        <x:v>2026-09-01T00:00:00.000Z</x:v>
      </x:c>
      <x:c r="F1591" s="75" t="str">
        <x:v>summer</x:v>
      </x:c>
      <x:c r="G1591" s="75" t="str">
        <x:v>Defender — source label</x:v>
      </x:c>
      <x:c r="H1591" s="79"/>
      <x:c r="I1591" s="75" t="str">
        <x:v>GBP</x:v>
      </x:c>
      <x:c r="J1591" s="81"/>
      <x:c r="K1591" s="83"/>
      <x:c r="L1591" s="75" t="str">
        <x:v>Evidence needed</x:v>
      </x:c>
      <x:c r="M1591" s="75" t="str">
        <x:v>Buyer-specific role, production, availability, signing age and total fee evidence are needed before assigning a deal-value score. Loan/swap costs must be treated separately.</x:v>
      </x:c>
      <x:c r="N1591" s="75" t="str">
        <x:v>Not assessed</x:v>
      </x:c>
      <x:c r="O1591" s="75" t="str">
        <x:v>Source broad position and transfer quote only; detailed role and buyer-specific production not validated.</x:v>
      </x:c>
      <x:c r="P1591" s="75" t="str">
        <x:v>https://www.theguardian.com/football/ng-interactive/2026/sep/01/mens-transfer-window-summer-2026-all-deals-from-europes-top-five-leagues</x:v>
      </x:c>
    </x:row>
    <x:row r="1592" ht="25" customHeight="1">
      <x:c r="A1592" s="69" t="str">
        <x:v>summer-S26-1353</x:v>
      </x:c>
      <x:c r="B1592" s="69" t="str">
        <x:v>Igor Julio</x:v>
      </x:c>
      <x:c r="C1592" s="69" t="str">
        <x:v>Burnley</x:v>
      </x:c>
      <x:c r="D1592" s="69" t="str">
        <x:v>Brighton</x:v>
      </x:c>
      <x:c r="E1592" s="76" t="d">
        <x:v>2026-09-01T00:00:00.000Z</x:v>
      </x:c>
      <x:c r="F1592" s="69" t="str">
        <x:v>summer</x:v>
      </x:c>
      <x:c r="G1592" s="69" t="str">
        <x:v>Defender — source label</x:v>
      </x:c>
      <x:c r="H1592" s="78" t="n">
        <x:v>3000000</x:v>
      </x:c>
      <x:c r="I1592" s="69" t="str">
        <x:v>GBP</x:v>
      </x:c>
      <x:c r="J1592" s="80"/>
      <x:c r="K1592" s="82"/>
      <x:c r="L1592" s="69" t="str">
        <x:v>Evidence needed</x:v>
      </x:c>
      <x:c r="M1592" s="69" t="str">
        <x:v>Buyer-specific role, production, availability, signing age and total fee evidence are needed before assigning a deal-value score.</x:v>
      </x:c>
      <x:c r="N1592" s="69" t="str">
        <x:v>Not assessed</x:v>
      </x:c>
      <x:c r="O1592" s="69" t="str">
        <x:v>Source broad position and transfer quote only; detailed role and buyer-specific production not validated.</x:v>
      </x:c>
      <x:c r="P1592" s="69" t="str">
        <x:v>https://www.theguardian.com/football/ng-interactive/2026/sep/01/mens-transfer-window-summer-2026-all-deals-from-europes-top-five-leagues</x:v>
      </x:c>
    </x:row>
    <x:row r="1593" ht="25" customHeight="1">
      <x:c r="A1593" s="75" t="str">
        <x:v>summer-S26-1355</x:v>
      </x:c>
      <x:c r="B1593" s="75" t="str">
        <x:v>Liam Kitching</x:v>
      </x:c>
      <x:c r="C1593" s="75" t="str">
        <x:v>Sheffield United</x:v>
      </x:c>
      <x:c r="D1593" s="75" t="str">
        <x:v>Coventry City</x:v>
      </x:c>
      <x:c r="E1593" s="77" t="d">
        <x:v>2026-09-01T00:00:00.000Z</x:v>
      </x:c>
      <x:c r="F1593" s="75" t="str">
        <x:v>summer</x:v>
      </x:c>
      <x:c r="G1593" s="75" t="str">
        <x:v>Defender — source label</x:v>
      </x:c>
      <x:c r="H1593" s="79"/>
      <x:c r="I1593" s="75" t="str">
        <x:v>GBP</x:v>
      </x:c>
      <x:c r="J1593" s="81"/>
      <x:c r="K1593" s="83"/>
      <x:c r="L1593" s="75" t="str">
        <x:v>Evidence needed</x:v>
      </x:c>
      <x:c r="M1593" s="75" t="str">
        <x:v>Buyer-specific role, production, availability, signing age and total fee evidence are needed before assigning a deal-value score. Loan/swap costs must be treated separately.</x:v>
      </x:c>
      <x:c r="N1593" s="75" t="str">
        <x:v>Not assessed</x:v>
      </x:c>
      <x:c r="O1593" s="75" t="str">
        <x:v>Source broad position and transfer quote only; detailed role and buyer-specific production not validated.</x:v>
      </x:c>
      <x:c r="P1593" s="75" t="str">
        <x:v>https://www.theguardian.com/football/ng-interactive/2026/sep/01/mens-transfer-window-summer-2026-all-deals-from-europes-top-five-leagues</x:v>
      </x:c>
    </x:row>
    <x:row r="1594" ht="25" customHeight="1">
      <x:c r="A1594" s="69" t="str">
        <x:v>summer-S26-1356</x:v>
      </x:c>
      <x:c r="B1594" s="69" t="str">
        <x:v>Borna Sosa</x:v>
      </x:c>
      <x:c r="C1594" s="69" t="str">
        <x:v>Cologne</x:v>
      </x:c>
      <x:c r="D1594" s="69" t="str">
        <x:v>Crystal Palace</x:v>
      </x:c>
      <x:c r="E1594" s="76" t="d">
        <x:v>2026-09-01T00:00:00.000Z</x:v>
      </x:c>
      <x:c r="F1594" s="69" t="str">
        <x:v>summer</x:v>
      </x:c>
      <x:c r="G1594" s="69" t="str">
        <x:v>Defender — source label</x:v>
      </x:c>
      <x:c r="H1594" s="78"/>
      <x:c r="I1594" s="69" t="str">
        <x:v>GBP</x:v>
      </x:c>
      <x:c r="J1594" s="80"/>
      <x:c r="K1594" s="82"/>
      <x:c r="L1594" s="69" t="str">
        <x:v>Evidence needed</x:v>
      </x:c>
      <x:c r="M1594" s="69" t="str">
        <x:v>Buyer-specific role, production, availability, signing age and total fee evidence are needed before assigning a deal-value score. Loan/swap costs must be treated separately.</x:v>
      </x:c>
      <x:c r="N1594" s="69" t="str">
        <x:v>Not assessed</x:v>
      </x:c>
      <x:c r="O1594" s="69" t="str">
        <x:v>Source broad position and transfer quote only; detailed role and buyer-specific production not validated.</x:v>
      </x:c>
      <x:c r="P1594" s="69" t="str">
        <x:v>https://www.theguardian.com/football/ng-interactive/2026/sep/01/mens-transfer-window-summer-2026-all-deals-from-europes-top-five-leagues</x:v>
      </x:c>
    </x:row>
    <x:row r="1595" ht="25" customHeight="1">
      <x:c r="A1595" s="75" t="str">
        <x:v>summer-S26-1358</x:v>
      </x:c>
      <x:c r="B1595" s="75" t="str">
        <x:v>Roy Revivo</x:v>
      </x:c>
      <x:c r="C1595" s="75" t="str">
        <x:v>Elche</x:v>
      </x:c>
      <x:c r="D1595" s="75" t="str">
        <x:v>Maccabi Tel Aviv</x:v>
      </x:c>
      <x:c r="E1595" s="77" t="d">
        <x:v>2026-09-01T00:00:00.000Z</x:v>
      </x:c>
      <x:c r="F1595" s="75" t="str">
        <x:v>summer</x:v>
      </x:c>
      <x:c r="G1595" s="75" t="str">
        <x:v>Defender — source label</x:v>
      </x:c>
      <x:c r="H1595" s="79" t="n">
        <x:v>2100000</x:v>
      </x:c>
      <x:c r="I1595" s="75" t="str">
        <x:v>GBP</x:v>
      </x:c>
      <x:c r="J1595" s="81"/>
      <x:c r="K1595" s="83"/>
      <x:c r="L1595" s="75" t="str">
        <x:v>Evidence needed</x:v>
      </x:c>
      <x:c r="M1595" s="75" t="str">
        <x:v>Buyer-specific role, production, availability, signing age and total fee evidence are needed before assigning a deal-value score.</x:v>
      </x:c>
      <x:c r="N1595" s="75" t="str">
        <x:v>Not assessed</x:v>
      </x:c>
      <x:c r="O1595" s="75" t="str">
        <x:v>Source broad position and transfer quote only; detailed role and buyer-specific production not validated.</x:v>
      </x:c>
      <x:c r="P1595" s="75" t="str">
        <x:v>https://www.theguardian.com/football/ng-interactive/2026/sep/01/mens-transfer-window-summer-2026-all-deals-from-europes-top-five-leagues</x:v>
      </x:c>
    </x:row>
    <x:row r="1596" ht="25" customHeight="1">
      <x:c r="A1596" s="69" t="str">
        <x:v>summer-S26-1359</x:v>
      </x:c>
      <x:c r="B1596" s="69" t="str">
        <x:v>Morato</x:v>
      </x:c>
      <x:c r="C1596" s="69" t="str">
        <x:v>West Ham United</x:v>
      </x:c>
      <x:c r="D1596" s="69" t="str">
        <x:v>Nottingham Forest</x:v>
      </x:c>
      <x:c r="E1596" s="76" t="d">
        <x:v>2026-09-01T00:00:00.000Z</x:v>
      </x:c>
      <x:c r="F1596" s="69" t="str">
        <x:v>summer</x:v>
      </x:c>
      <x:c r="G1596" s="69" t="str">
        <x:v>Defender — source label</x:v>
      </x:c>
      <x:c r="H1596" s="78"/>
      <x:c r="I1596" s="69" t="str">
        <x:v>GBP</x:v>
      </x:c>
      <x:c r="J1596" s="80"/>
      <x:c r="K1596" s="82"/>
      <x:c r="L1596" s="69" t="str">
        <x:v>Evidence needed</x:v>
      </x:c>
      <x:c r="M1596" s="69" t="str">
        <x:v>Buyer-specific role, production, availability, signing age and total fee evidence are needed before assigning a deal-value score. Loan/swap costs must be treated separately.</x:v>
      </x:c>
      <x:c r="N1596" s="69" t="str">
        <x:v>Not assessed</x:v>
      </x:c>
      <x:c r="O1596" s="69" t="str">
        <x:v>Source broad position and transfer quote only; detailed role and buyer-specific production not validated.</x:v>
      </x:c>
      <x:c r="P1596" s="69" t="str">
        <x:v>https://www.theguardian.com/football/ng-interactive/2026/sep/01/mens-transfer-window-summer-2026-all-deals-from-europes-top-five-leagues</x:v>
      </x:c>
    </x:row>
    <x:row r="1597" ht="25" customHeight="1">
      <x:c r="A1597" s="75" t="str">
        <x:v>summer-S26-1362</x:v>
      </x:c>
      <x:c r="B1597" s="75" t="str">
        <x:v>Elijah Campbell</x:v>
      </x:c>
      <x:c r="C1597" s="75" t="str">
        <x:v>MK Dons</x:v>
      </x:c>
      <x:c r="D1597" s="75" t="str">
        <x:v>Everton</x:v>
      </x:c>
      <x:c r="E1597" s="77" t="d">
        <x:v>2026-09-01T00:00:00.000Z</x:v>
      </x:c>
      <x:c r="F1597" s="75" t="str">
        <x:v>summer</x:v>
      </x:c>
      <x:c r="G1597" s="75" t="str">
        <x:v>Defender — source label</x:v>
      </x:c>
      <x:c r="H1597" s="79"/>
      <x:c r="I1597" s="75" t="str">
        <x:v>GBP</x:v>
      </x:c>
      <x:c r="J1597" s="81"/>
      <x:c r="K1597" s="83"/>
      <x:c r="L1597" s="75" t="str">
        <x:v>Evidence needed</x:v>
      </x:c>
      <x:c r="M1597" s="75" t="str">
        <x:v>Buyer-specific role, production, availability, signing age and total fee evidence are needed before assigning a deal-value score. Loan/swap costs must be treated separately.</x:v>
      </x:c>
      <x:c r="N1597" s="75" t="str">
        <x:v>Not assessed</x:v>
      </x:c>
      <x:c r="O1597" s="75" t="str">
        <x:v>Source broad position and transfer quote only; detailed role and buyer-specific production not validated.</x:v>
      </x:c>
      <x:c r="P1597" s="75" t="str">
        <x:v>https://www.theguardian.com/football/ng-interactive/2026/sep/01/mens-transfer-window-summer-2026-all-deals-from-europes-top-five-leagues</x:v>
      </x:c>
    </x:row>
    <x:row r="1598" ht="25" customHeight="1">
      <x:c r="A1598" s="69" t="str">
        <x:v>summer-S26-1363</x:v>
      </x:c>
      <x:c r="B1598" s="69" t="str">
        <x:v>Brad Burrowes</x:v>
      </x:c>
      <x:c r="C1598" s="69" t="str">
        <x:v>Wigan Athletic</x:v>
      </x:c>
      <x:c r="D1598" s="69" t="str">
        <x:v>Aston Villa</x:v>
      </x:c>
      <x:c r="E1598" s="76" t="d">
        <x:v>2026-09-01T00:00:00.000Z</x:v>
      </x:c>
      <x:c r="F1598" s="69" t="str">
        <x:v>summer</x:v>
      </x:c>
      <x:c r="G1598" s="69" t="str">
        <x:v>Midfielder — source label</x:v>
      </x:c>
      <x:c r="H1598" s="78"/>
      <x:c r="I1598" s="69" t="str">
        <x:v>GBP</x:v>
      </x:c>
      <x:c r="J1598" s="80"/>
      <x:c r="K1598" s="82"/>
      <x:c r="L1598" s="69" t="str">
        <x:v>Evidence needed</x:v>
      </x:c>
      <x:c r="M1598" s="69" t="str">
        <x:v>Buyer-specific role, production, availability, signing age and total fee evidence are needed before assigning a deal-value score. Loan/swap costs must be treated separately.</x:v>
      </x:c>
      <x:c r="N1598" s="69" t="str">
        <x:v>Not assessed</x:v>
      </x:c>
      <x:c r="O1598" s="69" t="str">
        <x:v>Source broad position and transfer quote only; detailed role and buyer-specific production not validated.</x:v>
      </x:c>
      <x:c r="P1598" s="69" t="str">
        <x:v>https://www.theguardian.com/football/ng-interactive/2026/sep/01/mens-transfer-window-summer-2026-all-deals-from-europes-top-five-leagues</x:v>
      </x:c>
    </x:row>
    <x:row r="1599" ht="25" customHeight="1">
      <x:c r="A1599" s="75" t="str">
        <x:v>summer-S26-1366</x:v>
      </x:c>
      <x:c r="B1599" s="75" t="str">
        <x:v>Neil El Aynaoui</x:v>
      </x:c>
      <x:c r="C1599" s="75" t="str">
        <x:v>RB Leipzig</x:v>
      </x:c>
      <x:c r="D1599" s="75" t="str">
        <x:v>Roma</x:v>
      </x:c>
      <x:c r="E1599" s="77" t="d">
        <x:v>2026-09-01T00:00:00.000Z</x:v>
      </x:c>
      <x:c r="F1599" s="75" t="str">
        <x:v>summer</x:v>
      </x:c>
      <x:c r="G1599" s="75" t="str">
        <x:v>Midfielder — source label</x:v>
      </x:c>
      <x:c r="H1599" s="79"/>
      <x:c r="I1599" s="75" t="str">
        <x:v>GBP</x:v>
      </x:c>
      <x:c r="J1599" s="81"/>
      <x:c r="K1599" s="83"/>
      <x:c r="L1599" s="75" t="str">
        <x:v>Evidence needed</x:v>
      </x:c>
      <x:c r="M1599" s="75" t="str">
        <x:v>Buyer-specific role, production, availability, signing age and total fee evidence are needed before assigning a deal-value score. Loan/swap costs must be treated separately.</x:v>
      </x:c>
      <x:c r="N1599" s="75" t="str">
        <x:v>Not assessed</x:v>
      </x:c>
      <x:c r="O1599" s="75" t="str">
        <x:v>Source broad position and transfer quote only; detailed role and buyer-specific production not validated.</x:v>
      </x:c>
      <x:c r="P1599" s="75" t="str">
        <x:v>https://www.theguardian.com/football/ng-interactive/2026/sep/01/mens-transfer-window-summer-2026-all-deals-from-europes-top-five-leagues</x:v>
      </x:c>
    </x:row>
    <x:row r="1600" ht="25" customHeight="1">
      <x:c r="A1600" s="69" t="str">
        <x:v>summer-S26-1367</x:v>
      </x:c>
      <x:c r="B1600" s="69" t="str">
        <x:v>Federico Cassa</x:v>
      </x:c>
      <x:c r="C1600" s="69" t="str">
        <x:v>Bologna</x:v>
      </x:c>
      <x:c r="D1600" s="69" t="str">
        <x:v>Atalanta</x:v>
      </x:c>
      <x:c r="E1600" s="76" t="d">
        <x:v>2026-09-01T00:00:00.000Z</x:v>
      </x:c>
      <x:c r="F1600" s="69" t="str">
        <x:v>summer</x:v>
      </x:c>
      <x:c r="G1600" s="69" t="str">
        <x:v>Midfielder — source label</x:v>
      </x:c>
      <x:c r="H1600" s="78"/>
      <x:c r="I1600" s="69" t="str">
        <x:v>GBP</x:v>
      </x:c>
      <x:c r="J1600" s="80"/>
      <x:c r="K1600" s="82"/>
      <x:c r="L1600" s="69" t="str">
        <x:v>Evidence needed</x:v>
      </x:c>
      <x:c r="M1600" s="69" t="str">
        <x:v>Buyer-specific role, production, availability, signing age and total fee evidence are needed before assigning a deal-value score.</x:v>
      </x:c>
      <x:c r="N1600" s="69" t="str">
        <x:v>Not assessed</x:v>
      </x:c>
      <x:c r="O1600" s="69" t="str">
        <x:v>Source broad position and transfer quote only; detailed role and buyer-specific production not validated.</x:v>
      </x:c>
      <x:c r="P1600" s="69" t="str">
        <x:v>https://www.theguardian.com/football/ng-interactive/2026/sep/01/mens-transfer-window-summer-2026-all-deals-from-europes-top-five-leagues</x:v>
      </x:c>
    </x:row>
    <x:row r="1601" ht="25" customHeight="1">
      <x:c r="A1601" s="75" t="str">
        <x:v>summer-S26-1368</x:v>
      </x:c>
      <x:c r="B1601" s="75" t="str">
        <x:v>George Abbott</x:v>
      </x:c>
      <x:c r="C1601" s="75" t="str">
        <x:v>Mansfield Town</x:v>
      </x:c>
      <x:c r="D1601" s="75" t="str">
        <x:v>Tottenham Hotspur</x:v>
      </x:c>
      <x:c r="E1601" s="77" t="d">
        <x:v>2026-09-01T00:00:00.000Z</x:v>
      </x:c>
      <x:c r="F1601" s="75" t="str">
        <x:v>summer</x:v>
      </x:c>
      <x:c r="G1601" s="75" t="str">
        <x:v>Midfielder — source label</x:v>
      </x:c>
      <x:c r="H1601" s="79"/>
      <x:c r="I1601" s="75" t="str">
        <x:v>GBP</x:v>
      </x:c>
      <x:c r="J1601" s="81"/>
      <x:c r="K1601" s="83"/>
      <x:c r="L1601" s="75" t="str">
        <x:v>Evidence needed</x:v>
      </x:c>
      <x:c r="M1601" s="75" t="str">
        <x:v>Buyer-specific role, production, availability, signing age and total fee evidence are needed before assigning a deal-value score. Loan/swap costs must be treated separately.</x:v>
      </x:c>
      <x:c r="N1601" s="75" t="str">
        <x:v>Not assessed</x:v>
      </x:c>
      <x:c r="O1601" s="75" t="str">
        <x:v>Source broad position and transfer quote only; detailed role and buyer-specific production not validated.</x:v>
      </x:c>
      <x:c r="P1601" s="75" t="str">
        <x:v>https://www.theguardian.com/football/ng-interactive/2026/sep/01/mens-transfer-window-summer-2026-all-deals-from-europes-top-five-leagues</x:v>
      </x:c>
    </x:row>
    <x:row r="1602" ht="25" customHeight="1">
      <x:c r="A1602" s="69" t="str">
        <x:v>summer-S26-1369</x:v>
      </x:c>
      <x:c r="B1602" s="69" t="str">
        <x:v>Sebastián Cáceres</x:v>
      </x:c>
      <x:c r="C1602" s="69" t="str">
        <x:v>Celta Vigo</x:v>
      </x:c>
      <x:c r="D1602" s="69" t="str">
        <x:v>Club América</x:v>
      </x:c>
      <x:c r="E1602" s="76" t="d">
        <x:v>2026-09-01T00:00:00.000Z</x:v>
      </x:c>
      <x:c r="F1602" s="69" t="str">
        <x:v>summer</x:v>
      </x:c>
      <x:c r="G1602" s="69" t="str">
        <x:v>Defender — source label</x:v>
      </x:c>
      <x:c r="H1602" s="78" t="n">
        <x:v>3900000</x:v>
      </x:c>
      <x:c r="I1602" s="69" t="str">
        <x:v>GBP</x:v>
      </x:c>
      <x:c r="J1602" s="80"/>
      <x:c r="K1602" s="82"/>
      <x:c r="L1602" s="69" t="str">
        <x:v>Evidence needed</x:v>
      </x:c>
      <x:c r="M1602" s="69" t="str">
        <x:v>Buyer-specific role, production, availability, signing age and total fee evidence are needed before assigning a deal-value score.</x:v>
      </x:c>
      <x:c r="N1602" s="69" t="str">
        <x:v>Not assessed</x:v>
      </x:c>
      <x:c r="O1602" s="69" t="str">
        <x:v>Source broad position and transfer quote only; detailed role and buyer-specific production not validated.</x:v>
      </x:c>
      <x:c r="P1602" s="69" t="str">
        <x:v>https://www.theguardian.com/football/ng-interactive/2026/sep/01/mens-transfer-window-summer-2026-all-deals-from-europes-top-five-leagues</x:v>
      </x:c>
    </x:row>
    <x:row r="1603" ht="25" customHeight="1">
      <x:c r="A1603" s="75" t="str">
        <x:v>summer-S26-1370</x:v>
      </x:c>
      <x:c r="B1603" s="75" t="str">
        <x:v>Mujaid Sadick</x:v>
      </x:c>
      <x:c r="C1603" s="75" t="str">
        <x:v>Rayo Vallecano</x:v>
      </x:c>
      <x:c r="D1603" s="75" t="str">
        <x:v>Genk</x:v>
      </x:c>
      <x:c r="E1603" s="77" t="d">
        <x:v>2026-09-01T00:00:00.000Z</x:v>
      </x:c>
      <x:c r="F1603" s="75" t="str">
        <x:v>summer</x:v>
      </x:c>
      <x:c r="G1603" s="75" t="str">
        <x:v>Defender — source label</x:v>
      </x:c>
      <x:c r="H1603" s="79"/>
      <x:c r="I1603" s="75" t="str">
        <x:v>GBP</x:v>
      </x:c>
      <x:c r="J1603" s="81"/>
      <x:c r="K1603" s="83"/>
      <x:c r="L1603" s="75" t="str">
        <x:v>Evidence needed</x:v>
      </x:c>
      <x:c r="M1603" s="75" t="str">
        <x:v>Buyer-specific role, production, availability, signing age and total fee evidence are needed before assigning a deal-value score. Loan/swap costs must be treated separately.</x:v>
      </x:c>
      <x:c r="N1603" s="75" t="str">
        <x:v>Not assessed</x:v>
      </x:c>
      <x:c r="O1603" s="75" t="str">
        <x:v>Source broad position and transfer quote only; detailed role and buyer-specific production not validated.</x:v>
      </x:c>
      <x:c r="P1603" s="75" t="str">
        <x:v>https://www.theguardian.com/football/ng-interactive/2026/sep/01/mens-transfer-window-summer-2026-all-deals-from-europes-top-five-leagues</x:v>
      </x:c>
    </x:row>
    <x:row r="1604" ht="25" customHeight="1">
      <x:c r="A1604" s="69" t="str">
        <x:v>summer-S26-1371</x:v>
      </x:c>
      <x:c r="B1604" s="69" t="str">
        <x:v>Tom Wisbereit</x:v>
      </x:c>
      <x:c r="C1604" s="69" t="str">
        <x:v>Augsburg</x:v>
      </x:c>
      <x:c r="D1604" s="69" t="str">
        <x:v>Union Berlin</x:v>
      </x:c>
      <x:c r="E1604" s="76" t="d">
        <x:v>2026-07-14T00:00:00.000Z</x:v>
      </x:c>
      <x:c r="F1604" s="69" t="str">
        <x:v>summer</x:v>
      </x:c>
      <x:c r="G1604" s="69" t="str">
        <x:v>Goalkeeper — source label</x:v>
      </x:c>
      <x:c r="H1604" s="78"/>
      <x:c r="I1604" s="69" t="str">
        <x:v>GBP</x:v>
      </x:c>
      <x:c r="J1604" s="80"/>
      <x:c r="K1604" s="82"/>
      <x:c r="L1604" s="69" t="str">
        <x:v>Evidence needed</x:v>
      </x:c>
      <x:c r="M1604" s="69" t="str">
        <x:v>Buyer-specific shot-stopping, distribution, aerial command, sweeping, signing age and total fee evidence are needed before scoring. A zero base fee does not represent wages or signing costs.</x:v>
      </x:c>
      <x:c r="N1604" s="69" t="str">
        <x:v>Not assessed</x:v>
      </x:c>
      <x:c r="O1604" s="69" t="str">
        <x:v>Source broad position and transfer quote only; detailed role and buyer-specific production not validated.</x:v>
      </x:c>
      <x:c r="P1604" s="69" t="str">
        <x:v>https://www.theguardian.com/football/ng-interactive/2026/sep/01/mens-transfer-window-summer-2026-all-deals-from-europes-top-five-leagues</x:v>
      </x:c>
    </x:row>
    <x:row r="1605" ht="25" customHeight="1">
      <x:c r="A1605" s="75" t="str">
        <x:v>summer-S26-1373</x:v>
      </x:c>
      <x:c r="B1605" s="75" t="str">
        <x:v>Álvaro Cortés</x:v>
      </x:c>
      <x:c r="C1605" s="75" t="str">
        <x:v>Royal Antwerp</x:v>
      </x:c>
      <x:c r="D1605" s="75" t="str">
        <x:v>Barcelona</x:v>
      </x:c>
      <x:c r="E1605" s="77" t="d">
        <x:v>2026-09-01T00:00:00.000Z</x:v>
      </x:c>
      <x:c r="F1605" s="75" t="str">
        <x:v>summer</x:v>
      </x:c>
      <x:c r="G1605" s="75" t="str">
        <x:v>Defender — source label</x:v>
      </x:c>
      <x:c r="H1605" s="79" t="n">
        <x:v>3000000</x:v>
      </x:c>
      <x:c r="I1605" s="75" t="str">
        <x:v>GBP</x:v>
      </x:c>
      <x:c r="J1605" s="81"/>
      <x:c r="K1605" s="83"/>
      <x:c r="L1605" s="75" t="str">
        <x:v>Evidence needed</x:v>
      </x:c>
      <x:c r="M1605" s="75" t="str">
        <x:v>Buyer-specific role, production, availability, signing age and total fee evidence are needed before assigning a deal-value score.</x:v>
      </x:c>
      <x:c r="N1605" s="75" t="str">
        <x:v>Not assessed</x:v>
      </x:c>
      <x:c r="O1605" s="75" t="str">
        <x:v>Source broad position and transfer quote only; detailed role and buyer-specific production not validated.</x:v>
      </x:c>
      <x:c r="P1605" s="75" t="str">
        <x:v>https://www.theguardian.com/football/ng-interactive/2026/sep/01/mens-transfer-window-summer-2026-all-deals-from-europes-top-five-leagues</x:v>
      </x:c>
    </x:row>
    <x:row r="1606" ht="25" customHeight="1">
      <x:c r="A1606" s="69" t="str">
        <x:v>summer-S26-1374</x:v>
      </x:c>
      <x:c r="B1606" s="69" t="str">
        <x:v>Manuel Ángel</x:v>
      </x:c>
      <x:c r="C1606" s="69" t="str">
        <x:v>Fulham</x:v>
      </x:c>
      <x:c r="D1606" s="69" t="str">
        <x:v>Real Madrid</x:v>
      </x:c>
      <x:c r="E1606" s="76" t="d">
        <x:v>2026-09-01T00:00:00.000Z</x:v>
      </x:c>
      <x:c r="F1606" s="69" t="str">
        <x:v>summer</x:v>
      </x:c>
      <x:c r="G1606" s="69" t="str">
        <x:v>Midfielder — source label</x:v>
      </x:c>
      <x:c r="H1606" s="78" t="n">
        <x:v>3400000</x:v>
      </x:c>
      <x:c r="I1606" s="69" t="str">
        <x:v>GBP</x:v>
      </x:c>
      <x:c r="J1606" s="80"/>
      <x:c r="K1606" s="82"/>
      <x:c r="L1606" s="69" t="str">
        <x:v>Evidence needed</x:v>
      </x:c>
      <x:c r="M1606" s="69" t="str">
        <x:v>Buyer-specific role, production, availability, signing age and total fee evidence are needed before assigning a deal-value score.</x:v>
      </x:c>
      <x:c r="N1606" s="69" t="str">
        <x:v>Not assessed</x:v>
      </x:c>
      <x:c r="O1606" s="69" t="str">
        <x:v>Source broad position and transfer quote only; detailed role and buyer-specific production not validated.</x:v>
      </x:c>
      <x:c r="P1606" s="69" t="str">
        <x:v>https://www.theguardian.com/football/ng-interactive/2026/sep/01/mens-transfer-window-summer-2026-all-deals-from-europes-top-five-leagues</x:v>
      </x:c>
    </x:row>
    <x:row r="1607" ht="25" customHeight="1">
      <x:c r="A1607" s="75" t="str">
        <x:v>summer-S26-1375</x:v>
      </x:c>
      <x:c r="B1607" s="75" t="str">
        <x:v>Lilian Brassier</x:v>
      </x:c>
      <x:c r="C1607" s="75" t="str">
        <x:v>Eintracht Frankfurt</x:v>
      </x:c>
      <x:c r="D1607" s="75" t="str">
        <x:v>Rennes</x:v>
      </x:c>
      <x:c r="E1607" s="77" t="d">
        <x:v>2026-09-01T00:00:00.000Z</x:v>
      </x:c>
      <x:c r="F1607" s="75" t="str">
        <x:v>summer</x:v>
      </x:c>
      <x:c r="G1607" s="75" t="str">
        <x:v>Defender — source label</x:v>
      </x:c>
      <x:c r="H1607" s="79" t="n">
        <x:v>8500000</x:v>
      </x:c>
      <x:c r="I1607" s="75" t="str">
        <x:v>GBP</x:v>
      </x:c>
      <x:c r="J1607" s="81"/>
      <x:c r="K1607" s="83"/>
      <x:c r="L1607" s="75" t="str">
        <x:v>Evidence needed</x:v>
      </x:c>
      <x:c r="M1607" s="75" t="str">
        <x:v>Buyer-specific role, production, availability, signing age and total fee evidence are needed before assigning a deal-value score.</x:v>
      </x:c>
      <x:c r="N1607" s="75" t="str">
        <x:v>Not assessed</x:v>
      </x:c>
      <x:c r="O1607" s="75" t="str">
        <x:v>Source broad position and transfer quote only; detailed role and buyer-specific production not validated.</x:v>
      </x:c>
      <x:c r="P1607" s="75" t="str">
        <x:v>https://www.theguardian.com/football/ng-interactive/2026/sep/01/mens-transfer-window-summer-2026-all-deals-from-europes-top-five-leagues</x:v>
      </x:c>
    </x:row>
    <x:row r="1608" ht="25" customHeight="1">
      <x:c r="A1608" s="69" t="str">
        <x:v>summer-S26-1377</x:v>
      </x:c>
      <x:c r="B1608" s="69" t="str">
        <x:v>Alessandro Di Bitonto</x:v>
      </x:c>
      <x:c r="C1608" s="69" t="str">
        <x:v>Avellino</x:v>
      </x:c>
      <x:c r="D1608" s="69" t="str">
        <x:v>Sassuolo</x:v>
      </x:c>
      <x:c r="E1608" s="76" t="d">
        <x:v>2026-09-01T00:00:00.000Z</x:v>
      </x:c>
      <x:c r="F1608" s="69" t="str">
        <x:v>summer</x:v>
      </x:c>
      <x:c r="G1608" s="69" t="str">
        <x:v>Defender — source label</x:v>
      </x:c>
      <x:c r="H1608" s="78"/>
      <x:c r="I1608" s="69" t="str">
        <x:v>GBP</x:v>
      </x:c>
      <x:c r="J1608" s="80"/>
      <x:c r="K1608" s="82"/>
      <x:c r="L1608" s="69" t="str">
        <x:v>Evidence needed</x:v>
      </x:c>
      <x:c r="M1608" s="69" t="str">
        <x:v>Buyer-specific role, production, availability, signing age and total fee evidence are needed before assigning a deal-value score. Loan/swap costs must be treated separately.</x:v>
      </x:c>
      <x:c r="N1608" s="69" t="str">
        <x:v>Not assessed</x:v>
      </x:c>
      <x:c r="O1608" s="69" t="str">
        <x:v>Source broad position and transfer quote only; detailed role and buyer-specific production not validated.</x:v>
      </x:c>
      <x:c r="P1608" s="69" t="str">
        <x:v>https://www.theguardian.com/football/ng-interactive/2026/sep/01/mens-transfer-window-summer-2026-all-deals-from-europes-top-five-leagues</x:v>
      </x:c>
    </x:row>
    <x:row r="1609" ht="25" customHeight="1">
      <x:c r="A1609" s="75" t="str">
        <x:v>summer-S26-1379</x:v>
      </x:c>
      <x:c r="B1609" s="75" t="str">
        <x:v>Rolando Mandragora</x:v>
      </x:c>
      <x:c r="C1609" s="75" t="str">
        <x:v>Torino</x:v>
      </x:c>
      <x:c r="D1609" s="75" t="str">
        <x:v>Fiorentina</x:v>
      </x:c>
      <x:c r="E1609" s="77" t="d">
        <x:v>2026-09-01T00:00:00.000Z</x:v>
      </x:c>
      <x:c r="F1609" s="75" t="str">
        <x:v>summer</x:v>
      </x:c>
      <x:c r="G1609" s="75" t="str">
        <x:v>Midfielder — source label</x:v>
      </x:c>
      <x:c r="H1609" s="79" t="n">
        <x:v>4300000</x:v>
      </x:c>
      <x:c r="I1609" s="75" t="str">
        <x:v>GBP</x:v>
      </x:c>
      <x:c r="J1609" s="81"/>
      <x:c r="K1609" s="83"/>
      <x:c r="L1609" s="75" t="str">
        <x:v>Evidence needed</x:v>
      </x:c>
      <x:c r="M1609" s="75" t="str">
        <x:v>Buyer-specific role, production, availability, signing age and total fee evidence are needed before assigning a deal-value score.</x:v>
      </x:c>
      <x:c r="N1609" s="75" t="str">
        <x:v>Not assessed</x:v>
      </x:c>
      <x:c r="O1609" s="75" t="str">
        <x:v>Source broad position and transfer quote only; detailed role and buyer-specific production not validated.</x:v>
      </x:c>
      <x:c r="P1609" s="75" t="str">
        <x:v>https://www.theguardian.com/football/ng-interactive/2026/sep/01/mens-transfer-window-summer-2026-all-deals-from-europes-top-five-leagues</x:v>
      </x:c>
    </x:row>
    <x:row r="1610" ht="25" customHeight="1">
      <x:c r="A1610" s="69" t="str">
        <x:v>summer-S26-1381</x:v>
      </x:c>
      <x:c r="B1610" s="69" t="str">
        <x:v>Jeremiah Mensah</x:v>
      </x:c>
      <x:c r="C1610" s="69" t="str">
        <x:v>Roda JC</x:v>
      </x:c>
      <x:c r="D1610" s="69" t="str">
        <x:v>Bayer Leverkusen</x:v>
      </x:c>
      <x:c r="E1610" s="76" t="d">
        <x:v>2026-08-12T00:00:00.000Z</x:v>
      </x:c>
      <x:c r="F1610" s="69" t="str">
        <x:v>summer</x:v>
      </x:c>
      <x:c r="G1610" s="69" t="str">
        <x:v>Midfielder — source label</x:v>
      </x:c>
      <x:c r="H1610" s="78"/>
      <x:c r="I1610" s="69" t="str">
        <x:v>GBP</x:v>
      </x:c>
      <x:c r="J1610" s="80"/>
      <x:c r="K1610" s="82"/>
      <x:c r="L1610" s="69" t="str">
        <x:v>Evidence needed</x:v>
      </x:c>
      <x:c r="M1610" s="69" t="str">
        <x:v>Buyer-specific role, production, availability, signing age and total fee evidence are needed before assigning a deal-value score. Loan/swap costs must be treated separately.</x:v>
      </x:c>
      <x:c r="N1610" s="69" t="str">
        <x:v>Not assessed</x:v>
      </x:c>
      <x:c r="O1610" s="69" t="str">
        <x:v>Source broad position and transfer quote only; detailed role and buyer-specific production not validated.</x:v>
      </x:c>
      <x:c r="P1610" s="69" t="str">
        <x:v>https://www.theguardian.com/football/ng-interactive/2026/sep/01/mens-transfer-window-summer-2026-all-deals-from-europes-top-five-leagues</x:v>
      </x:c>
    </x:row>
    <x:row r="1611" ht="25" customHeight="1">
      <x:c r="A1611" s="75" t="str">
        <x:v>summer-S26-1383</x:v>
      </x:c>
      <x:c r="B1611" s="75" t="str">
        <x:v>Andrea Natali</x:v>
      </x:c>
      <x:c r="C1611" s="75" t="str">
        <x:v>AZ Alkmaar</x:v>
      </x:c>
      <x:c r="D1611" s="75" t="str">
        <x:v>Bayer Leverkusen</x:v>
      </x:c>
      <x:c r="E1611" s="77" t="d">
        <x:v>2026-07-28T00:00:00.000Z</x:v>
      </x:c>
      <x:c r="F1611" s="75" t="str">
        <x:v>summer</x:v>
      </x:c>
      <x:c r="G1611" s="75" t="str">
        <x:v>Defender — source label</x:v>
      </x:c>
      <x:c r="H1611" s="79" t="n">
        <x:v>2000000</x:v>
      </x:c>
      <x:c r="I1611" s="75" t="str">
        <x:v>GBP</x:v>
      </x:c>
      <x:c r="J1611" s="81"/>
      <x:c r="K1611" s="83"/>
      <x:c r="L1611" s="75" t="str">
        <x:v>Evidence needed</x:v>
      </x:c>
      <x:c r="M1611" s="75" t="str">
        <x:v>Buyer-specific role, production, availability, signing age and total fee evidence are needed before assigning a deal-value score.</x:v>
      </x:c>
      <x:c r="N1611" s="75" t="str">
        <x:v>Not assessed</x:v>
      </x:c>
      <x:c r="O1611" s="75" t="str">
        <x:v>Source broad position and transfer quote only; detailed role and buyer-specific production not validated.</x:v>
      </x:c>
      <x:c r="P1611" s="75" t="str">
        <x:v>https://www.theguardian.com/football/ng-interactive/2026/sep/01/mens-transfer-window-summer-2026-all-deals-from-europes-top-five-leagues</x:v>
      </x:c>
    </x:row>
    <x:row r="1612" ht="25" customHeight="1">
      <x:c r="A1612" s="69" t="str">
        <x:v>summer-S26-1385</x:v>
      </x:c>
      <x:c r="B1612" s="69" t="str">
        <x:v>Hugo Larsson</x:v>
      </x:c>
      <x:c r="C1612" s="69" t="str">
        <x:v>Fulham</x:v>
      </x:c>
      <x:c r="D1612" s="69" t="str">
        <x:v>Eintracht Frankfurt</x:v>
      </x:c>
      <x:c r="E1612" s="76" t="d">
        <x:v>2026-09-01T00:00:00.000Z</x:v>
      </x:c>
      <x:c r="F1612" s="69" t="str">
        <x:v>summer</x:v>
      </x:c>
      <x:c r="G1612" s="69" t="str">
        <x:v>Midfielder — source label</x:v>
      </x:c>
      <x:c r="H1612" s="78"/>
      <x:c r="I1612" s="69" t="str">
        <x:v>GBP</x:v>
      </x:c>
      <x:c r="J1612" s="80"/>
      <x:c r="K1612" s="82"/>
      <x:c r="L1612" s="69" t="str">
        <x:v>Evidence needed</x:v>
      </x:c>
      <x:c r="M1612" s="69" t="str">
        <x:v>Buyer-specific role, production, availability, signing age and total fee evidence are needed before assigning a deal-value score. Loan/swap costs must be treated separately.</x:v>
      </x:c>
      <x:c r="N1612" s="69" t="str">
        <x:v>Not assessed</x:v>
      </x:c>
      <x:c r="O1612" s="69" t="str">
        <x:v>Source broad position and transfer quote only; detailed role and buyer-specific production not validated.</x:v>
      </x:c>
      <x:c r="P1612" s="69" t="str">
        <x:v>https://www.theguardian.com/football/ng-interactive/2026/sep/01/mens-transfer-window-summer-2026-all-deals-from-europes-top-five-leagues</x:v>
      </x:c>
    </x:row>
    <x:row r="1613" ht="25" customHeight="1">
      <x:c r="A1613" s="75" t="str">
        <x:v>summer-S26-1388</x:v>
      </x:c>
      <x:c r="B1613" s="75" t="str">
        <x:v>Javier Fernández</x:v>
      </x:c>
      <x:c r="C1613" s="75" t="str">
        <x:v>Nuremberg</x:v>
      </x:c>
      <x:c r="D1613" s="75" t="str">
        <x:v>Bayern Munich</x:v>
      </x:c>
      <x:c r="E1613" s="77" t="d">
        <x:v>2026-06-13T00:00:00.000Z</x:v>
      </x:c>
      <x:c r="F1613" s="75" t="str">
        <x:v>summer</x:v>
      </x:c>
      <x:c r="G1613" s="75" t="str">
        <x:v>Midfielder — source label</x:v>
      </x:c>
      <x:c r="H1613" s="79"/>
      <x:c r="I1613" s="75" t="str">
        <x:v>GBP</x:v>
      </x:c>
      <x:c r="J1613" s="81"/>
      <x:c r="K1613" s="83"/>
      <x:c r="L1613" s="75" t="str">
        <x:v>Evidence needed</x:v>
      </x:c>
      <x:c r="M1613" s="75" t="str">
        <x:v>Buyer-specific role, production, availability, signing age and total fee evidence are needed before assigning a deal-value score.</x:v>
      </x:c>
      <x:c r="N1613" s="75" t="str">
        <x:v>Not assessed</x:v>
      </x:c>
      <x:c r="O1613" s="75" t="str">
        <x:v>Source broad position and transfer quote only; detailed role and buyer-specific production not validated.</x:v>
      </x:c>
      <x:c r="P1613" s="75" t="str">
        <x:v>https://www.theguardian.com/football/ng-interactive/2026/sep/01/mens-transfer-window-summer-2026-all-deals-from-europes-top-five-leagues</x:v>
      </x:c>
    </x:row>
    <x:row r="1614" ht="25" customHeight="1">
      <x:c r="A1614" s="69" t="str">
        <x:v>summer-S26-1391</x:v>
      </x:c>
      <x:c r="B1614" s="69" t="str">
        <x:v>Brooke Norton-Cuffy</x:v>
      </x:c>
      <x:c r="C1614" s="69" t="str">
        <x:v>Hull City</x:v>
      </x:c>
      <x:c r="D1614" s="69" t="str">
        <x:v>Genoa</x:v>
      </x:c>
      <x:c r="E1614" s="76" t="d">
        <x:v>2026-09-01T00:00:00.000Z</x:v>
      </x:c>
      <x:c r="F1614" s="69" t="str">
        <x:v>summer</x:v>
      </x:c>
      <x:c r="G1614" s="69" t="str">
        <x:v>Defender — source label</x:v>
      </x:c>
      <x:c r="H1614" s="78" t="n">
        <x:v>12000000</x:v>
      </x:c>
      <x:c r="I1614" s="69" t="str">
        <x:v>GBP</x:v>
      </x:c>
      <x:c r="J1614" s="80"/>
      <x:c r="K1614" s="82"/>
      <x:c r="L1614" s="69" t="str">
        <x:v>Evidence needed</x:v>
      </x:c>
      <x:c r="M1614" s="69" t="str">
        <x:v>Buyer-specific role, production, availability, signing age and total fee evidence are needed before assigning a deal-value score.</x:v>
      </x:c>
      <x:c r="N1614" s="69" t="str">
        <x:v>Not assessed</x:v>
      </x:c>
      <x:c r="O1614" s="69" t="str">
        <x:v>Source broad position and transfer quote only; detailed role and buyer-specific production not validated.</x:v>
      </x:c>
      <x:c r="P1614" s="69" t="str">
        <x:v>https://www.theguardian.com/football/ng-interactive/2026/sep/01/mens-transfer-window-summer-2026-all-deals-from-europes-top-five-leagues</x:v>
      </x:c>
    </x:row>
    <x:row r="1615" ht="25" customHeight="1">
      <x:c r="A1615" s="75" t="str">
        <x:v>summer-S26-1392</x:v>
      </x:c>
      <x:c r="B1615" s="75" t="str">
        <x:v>Cody Drameh</x:v>
      </x:c>
      <x:c r="C1615" s="75" t="str">
        <x:v>Genoa</x:v>
      </x:c>
      <x:c r="D1615" s="75" t="str">
        <x:v>Hull City</x:v>
      </x:c>
      <x:c r="E1615" s="77" t="d">
        <x:v>2026-09-01T00:00:00.000Z</x:v>
      </x:c>
      <x:c r="F1615" s="75" t="str">
        <x:v>summer</x:v>
      </x:c>
      <x:c r="G1615" s="75" t="str">
        <x:v>Defender — source label</x:v>
      </x:c>
      <x:c r="H1615" s="79" t="n">
        <x:v>3850000</x:v>
      </x:c>
      <x:c r="I1615" s="75" t="str">
        <x:v>GBP</x:v>
      </x:c>
      <x:c r="J1615" s="81"/>
      <x:c r="K1615" s="83"/>
      <x:c r="L1615" s="75" t="str">
        <x:v>Evidence needed</x:v>
      </x:c>
      <x:c r="M1615" s="75" t="str">
        <x:v>Buyer-specific role, production, availability, signing age and total fee evidence are needed before assigning a deal-value score.</x:v>
      </x:c>
      <x:c r="N1615" s="75" t="str">
        <x:v>Not assessed</x:v>
      </x:c>
      <x:c r="O1615" s="75" t="str">
        <x:v>Source broad position and transfer quote only; detailed role and buyer-specific production not validated.</x:v>
      </x:c>
      <x:c r="P1615" s="75" t="str">
        <x:v>https://www.theguardian.com/football/ng-interactive/2026/sep/01/mens-transfer-window-summer-2026-all-deals-from-europes-top-five-leagues</x:v>
      </x:c>
    </x:row>
    <x:row r="1616" ht="25" customHeight="1">
      <x:c r="A1616" s="69" t="str">
        <x:v>summer-S26-1393</x:v>
      </x:c>
      <x:c r="B1616" s="69" t="str">
        <x:v>Joane Gadou</x:v>
      </x:c>
      <x:c r="C1616" s="69" t="str">
        <x:v>Borussia Dortmund</x:v>
      </x:c>
      <x:c r="D1616" s="69" t="str">
        <x:v>Red Bull Salzburg</x:v>
      </x:c>
      <x:c r="E1616" s="76" t="d">
        <x:v>2026-07-01T00:00:00.000Z</x:v>
      </x:c>
      <x:c r="F1616" s="69" t="str">
        <x:v>summer</x:v>
      </x:c>
      <x:c r="G1616" s="69" t="str">
        <x:v>Defender — source label</x:v>
      </x:c>
      <x:c r="H1616" s="78" t="n">
        <x:v>16700000</x:v>
      </x:c>
      <x:c r="I1616" s="69" t="str">
        <x:v>GBP</x:v>
      </x:c>
      <x:c r="J1616" s="80"/>
      <x:c r="K1616" s="82"/>
      <x:c r="L1616" s="69" t="str">
        <x:v>Evidence needed</x:v>
      </x:c>
      <x:c r="M1616" s="69" t="str">
        <x:v>Buyer-specific role, production, availability, signing age and total fee evidence are needed before assigning a deal-value score.</x:v>
      </x:c>
      <x:c r="N1616" s="69" t="str">
        <x:v>Not assessed</x:v>
      </x:c>
      <x:c r="O1616" s="69" t="str">
        <x:v>Source broad position and transfer quote only; detailed role and buyer-specific production not validated.</x:v>
      </x:c>
      <x:c r="P1616" s="69" t="str">
        <x:v>https://www.theguardian.com/football/ng-interactive/2026/sep/01/mens-transfer-window-summer-2026-all-deals-from-europes-top-five-leagues</x:v>
      </x:c>
    </x:row>
    <x:row r="1617" ht="25" customHeight="1">
      <x:c r="A1617" s="75" t="str">
        <x:v>summer-S26-1394</x:v>
      </x:c>
      <x:c r="B1617" s="75" t="str">
        <x:v>Justin Lerma</x:v>
      </x:c>
      <x:c r="C1617" s="75" t="str">
        <x:v>Borussia Dortmund</x:v>
      </x:c>
      <x:c r="D1617" s="75" t="str">
        <x:v>Independiente del Valle</x:v>
      </x:c>
      <x:c r="E1617" s="77" t="d">
        <x:v>2026-07-01T00:00:00.000Z</x:v>
      </x:c>
      <x:c r="F1617" s="75" t="str">
        <x:v>summer</x:v>
      </x:c>
      <x:c r="G1617" s="75" t="str">
        <x:v>Midfielder — source label</x:v>
      </x:c>
      <x:c r="H1617" s="79" t="n">
        <x:v>3000000</x:v>
      </x:c>
      <x:c r="I1617" s="75" t="str">
        <x:v>GBP</x:v>
      </x:c>
      <x:c r="J1617" s="81"/>
      <x:c r="K1617" s="83"/>
      <x:c r="L1617" s="75" t="str">
        <x:v>Evidence needed</x:v>
      </x:c>
      <x:c r="M1617" s="75" t="str">
        <x:v>Buyer-specific role, production, availability, signing age and total fee evidence are needed before assigning a deal-value score.</x:v>
      </x:c>
      <x:c r="N1617" s="75" t="str">
        <x:v>Not assessed</x:v>
      </x:c>
      <x:c r="O1617" s="75" t="str">
        <x:v>Source broad position and transfer quote only; detailed role and buyer-specific production not validated.</x:v>
      </x:c>
      <x:c r="P1617" s="75" t="str">
        <x:v>https://www.theguardian.com/football/ng-interactive/2026/sep/01/mens-transfer-window-summer-2026-all-deals-from-europes-top-five-leagues</x:v>
      </x:c>
    </x:row>
    <x:row r="1618" ht="25" customHeight="1">
      <x:c r="A1618" s="69" t="str">
        <x:v>summer-S26-1395</x:v>
      </x:c>
      <x:c r="B1618" s="69" t="str">
        <x:v>Elias Benkara</x:v>
      </x:c>
      <x:c r="C1618" s="69" t="str">
        <x:v>Greuther Fürth</x:v>
      </x:c>
      <x:c r="D1618" s="69" t="str">
        <x:v>Borussia Dortmund</x:v>
      </x:c>
      <x:c r="E1618" s="76" t="d">
        <x:v>2026-08-28T00:00:00.000Z</x:v>
      </x:c>
      <x:c r="F1618" s="69" t="str">
        <x:v>summer</x:v>
      </x:c>
      <x:c r="G1618" s="69" t="str">
        <x:v>Defender — source label</x:v>
      </x:c>
      <x:c r="H1618" s="78"/>
      <x:c r="I1618" s="69" t="str">
        <x:v>GBP</x:v>
      </x:c>
      <x:c r="J1618" s="80"/>
      <x:c r="K1618" s="82"/>
      <x:c r="L1618" s="69" t="str">
        <x:v>Evidence needed</x:v>
      </x:c>
      <x:c r="M1618" s="69" t="str">
        <x:v>Buyer-specific role, production, availability, signing age and total fee evidence are needed before assigning a deal-value score. Loan/swap costs must be treated separately.</x:v>
      </x:c>
      <x:c r="N1618" s="69" t="str">
        <x:v>Not assessed</x:v>
      </x:c>
      <x:c r="O1618" s="69" t="str">
        <x:v>Source broad position and transfer quote only; detailed role and buyer-specific production not validated.</x:v>
      </x:c>
      <x:c r="P1618" s="69" t="str">
        <x:v>https://www.theguardian.com/football/ng-interactive/2026/sep/01/mens-transfer-window-summer-2026-all-deals-from-europes-top-five-leagues</x:v>
      </x:c>
    </x:row>
    <x:row r="1619" ht="25" customHeight="1">
      <x:c r="A1619" s="75" t="str">
        <x:v>summer-S26-1398</x:v>
      </x:c>
      <x:c r="B1619" s="75" t="str">
        <x:v>Thomas Lemar</x:v>
      </x:c>
      <x:c r="C1619" s="75" t="str">
        <x:v>Elche</x:v>
      </x:c>
      <x:c r="D1619" s="75" t="str">
        <x:v>Atlético Madrid</x:v>
      </x:c>
      <x:c r="E1619" s="77" t="d">
        <x:v>2026-09-01T00:00:00.000Z</x:v>
      </x:c>
      <x:c r="F1619" s="75" t="str">
        <x:v>summer</x:v>
      </x:c>
      <x:c r="G1619" s="75" t="str">
        <x:v>Midfielder — source label</x:v>
      </x:c>
      <x:c r="H1619" s="79"/>
      <x:c r="I1619" s="75" t="str">
        <x:v>GBP</x:v>
      </x:c>
      <x:c r="J1619" s="81"/>
      <x:c r="K1619" s="83"/>
      <x:c r="L1619" s="75" t="str">
        <x:v>Evidence needed</x:v>
      </x:c>
      <x:c r="M1619" s="75" t="str">
        <x:v>Buyer-specific role, production, availability, signing age and total fee evidence are needed before assigning a deal-value score. Loan/swap costs must be treated separately.</x:v>
      </x:c>
      <x:c r="N1619" s="75" t="str">
        <x:v>Not assessed</x:v>
      </x:c>
      <x:c r="O1619" s="75" t="str">
        <x:v>Source broad position and transfer quote only; detailed role and buyer-specific production not validated.</x:v>
      </x:c>
      <x:c r="P1619" s="75" t="str">
        <x:v>https://www.theguardian.com/football/ng-interactive/2026/sep/01/mens-transfer-window-summer-2026-all-deals-from-europes-top-five-leagues</x:v>
      </x:c>
    </x:row>
    <x:row r="1620" ht="25" customHeight="1">
      <x:c r="A1620" s="69" t="str">
        <x:v>summer-S26-1400</x:v>
      </x:c>
      <x:c r="B1620" s="69" t="str">
        <x:v>Niklas Süle</x:v>
      </x:c>
      <x:c r="C1620" s="69" t="str">
        <x:v>SV Tiefenbach</x:v>
      </x:c>
      <x:c r="D1620" s="69" t="str">
        <x:v>Borussia Dortmund</x:v>
      </x:c>
      <x:c r="E1620" s="76" t="d">
        <x:v>2026-07-05T00:00:00.000Z</x:v>
      </x:c>
      <x:c r="F1620" s="69" t="str">
        <x:v>summer</x:v>
      </x:c>
      <x:c r="G1620" s="69" t="str">
        <x:v>Defender — source label</x:v>
      </x:c>
      <x:c r="H1620" s="78"/>
      <x:c r="I1620" s="69" t="str">
        <x:v>GBP</x:v>
      </x:c>
      <x:c r="J1620" s="80"/>
      <x:c r="K1620" s="82"/>
      <x:c r="L1620" s="69" t="str">
        <x:v>Evidence needed</x:v>
      </x:c>
      <x:c r="M1620" s="69" t="str">
        <x:v>Buyer-specific role, production, availability, signing age and total fee evidence are needed before assigning a deal-value score. A zero base fee does not represent wages or signing costs.</x:v>
      </x:c>
      <x:c r="N1620" s="69" t="str">
        <x:v>Not assessed</x:v>
      </x:c>
      <x:c r="O1620" s="69" t="str">
        <x:v>Source broad position and transfer quote only; detailed role and buyer-specific production not validated.</x:v>
      </x:c>
      <x:c r="P1620" s="69" t="str">
        <x:v>https://www.theguardian.com/football/ng-interactive/2026/sep/01/mens-transfer-window-summer-2026-all-deals-from-europes-top-five-leagues</x:v>
      </x:c>
    </x:row>
    <x:row r="1621" ht="25" customHeight="1">
      <x:c r="A1621" s="75" t="str">
        <x:v>summer-S26-1401</x:v>
      </x:c>
      <x:c r="B1621" s="75" t="str">
        <x:v>Nathan Patterson</x:v>
      </x:c>
      <x:c r="C1621" s="75" t="str">
        <x:v>Torino</x:v>
      </x:c>
      <x:c r="D1621" s="75" t="str">
        <x:v>Everton</x:v>
      </x:c>
      <x:c r="E1621" s="77" t="d">
        <x:v>2026-09-01T00:00:00.000Z</x:v>
      </x:c>
      <x:c r="F1621" s="75" t="str">
        <x:v>summer</x:v>
      </x:c>
      <x:c r="G1621" s="75" t="str">
        <x:v>Defender — source label</x:v>
      </x:c>
      <x:c r="H1621" s="79"/>
      <x:c r="I1621" s="75" t="str">
        <x:v>GBP</x:v>
      </x:c>
      <x:c r="J1621" s="81"/>
      <x:c r="K1621" s="83"/>
      <x:c r="L1621" s="75" t="str">
        <x:v>Evidence needed</x:v>
      </x:c>
      <x:c r="M1621" s="75" t="str">
        <x:v>Buyer-specific role, production, availability, signing age and total fee evidence are needed before assigning a deal-value score. A zero base fee does not represent wages or signing costs.</x:v>
      </x:c>
      <x:c r="N1621" s="75" t="str">
        <x:v>Not assessed</x:v>
      </x:c>
      <x:c r="O1621" s="75" t="str">
        <x:v>Source broad position and transfer quote only; detailed role and buyer-specific production not validated.</x:v>
      </x:c>
      <x:c r="P1621" s="75" t="str">
        <x:v>https://www.theguardian.com/football/ng-interactive/2026/sep/01/mens-transfer-window-summer-2026-all-deals-from-europes-top-five-leagues</x:v>
      </x:c>
    </x:row>
    <x:row r="1622" ht="25" customHeight="1">
      <x:c r="A1622" s="69" t="str">
        <x:v>summer-S26-1403</x:v>
      </x:c>
      <x:c r="B1622" s="69" t="str">
        <x:v>Tommy Setford</x:v>
      </x:c>
      <x:c r="C1622" s="69" t="str">
        <x:v>Stevenage</x:v>
      </x:c>
      <x:c r="D1622" s="69" t="str">
        <x:v>Arsenal</x:v>
      </x:c>
      <x:c r="E1622" s="76" t="d">
        <x:v>2026-09-01T00:00:00.000Z</x:v>
      </x:c>
      <x:c r="F1622" s="69" t="str">
        <x:v>summer</x:v>
      </x:c>
      <x:c r="G1622" s="69" t="str">
        <x:v>Goalkeeper — source label</x:v>
      </x:c>
      <x:c r="H1622" s="78"/>
      <x:c r="I1622" s="69" t="str">
        <x:v>GBP</x:v>
      </x:c>
      <x:c r="J1622" s="80"/>
      <x:c r="K1622" s="82"/>
      <x:c r="L1622" s="69" t="str">
        <x:v>Evidence needed</x:v>
      </x:c>
      <x:c r="M1622" s="69" t="str">
        <x:v>Buyer-specific shot-stopping, distribution, aerial command, sweeping, signing age and total fee evidence are needed before scoring. Loan/swap costs must be treated separately.</x:v>
      </x:c>
      <x:c r="N1622" s="69" t="str">
        <x:v>Not assessed</x:v>
      </x:c>
      <x:c r="O1622" s="69" t="str">
        <x:v>Source broad position and transfer quote only; detailed role and buyer-specific production not validated.</x:v>
      </x:c>
      <x:c r="P1622" s="69" t="str">
        <x:v>https://www.theguardian.com/football/ng-interactive/2026/sep/01/mens-transfer-window-summer-2026-all-deals-from-europes-top-five-leagues</x:v>
      </x:c>
    </x:row>
    <x:row r="1623" ht="25" customHeight="1">
      <x:c r="A1623" s="75" t="str">
        <x:v>summer-S26-1404</x:v>
      </x:c>
      <x:c r="B1623" s="75" t="str">
        <x:v>Jayden Meghoma</x:v>
      </x:c>
      <x:c r="C1623" s="75" t="str">
        <x:v>Portsmouth</x:v>
      </x:c>
      <x:c r="D1623" s="75" t="str">
        <x:v>Brentford</x:v>
      </x:c>
      <x:c r="E1623" s="77" t="d">
        <x:v>2026-09-01T00:00:00.000Z</x:v>
      </x:c>
      <x:c r="F1623" s="75" t="str">
        <x:v>summer</x:v>
      </x:c>
      <x:c r="G1623" s="75" t="str">
        <x:v>Defender — source label</x:v>
      </x:c>
      <x:c r="H1623" s="79"/>
      <x:c r="I1623" s="75" t="str">
        <x:v>GBP</x:v>
      </x:c>
      <x:c r="J1623" s="81"/>
      <x:c r="K1623" s="83"/>
      <x:c r="L1623" s="75" t="str">
        <x:v>Evidence needed</x:v>
      </x:c>
      <x:c r="M1623" s="75" t="str">
        <x:v>Buyer-specific role, production, availability, signing age and total fee evidence are needed before assigning a deal-value score. Loan/swap costs must be treated separately.</x:v>
      </x:c>
      <x:c r="N1623" s="75" t="str">
        <x:v>Not assessed</x:v>
      </x:c>
      <x:c r="O1623" s="75" t="str">
        <x:v>Source broad position and transfer quote only; detailed role and buyer-specific production not validated.</x:v>
      </x:c>
      <x:c r="P1623" s="75" t="str">
        <x:v>https://www.theguardian.com/football/ng-interactive/2026/sep/01/mens-transfer-window-summer-2026-all-deals-from-europes-top-five-leagues</x:v>
      </x:c>
    </x:row>
    <x:row r="1624" ht="25" customHeight="1">
      <x:c r="A1624" s="69" t="str">
        <x:v>summer-S26-1406</x:v>
      </x:c>
      <x:c r="B1624" s="69" t="str">
        <x:v>Daniel Batz</x:v>
      </x:c>
      <x:c r="C1624" s="69" t="str">
        <x:v>Borussia Mönchengladbach</x:v>
      </x:c>
      <x:c r="D1624" s="69" t="str">
        <x:v>Mainz 05</x:v>
      </x:c>
      <x:c r="E1624" s="76" t="d">
        <x:v>2026-07-01T00:00:00.000Z</x:v>
      </x:c>
      <x:c r="F1624" s="69" t="str">
        <x:v>summer</x:v>
      </x:c>
      <x:c r="G1624" s="69" t="str">
        <x:v>Goalkeeper — source label</x:v>
      </x:c>
      <x:c r="H1624" s="78"/>
      <x:c r="I1624" s="69" t="str">
        <x:v>GBP</x:v>
      </x:c>
      <x:c r="J1624" s="80"/>
      <x:c r="K1624" s="82"/>
      <x:c r="L1624" s="69" t="str">
        <x:v>Evidence needed</x:v>
      </x:c>
      <x:c r="M1624" s="69" t="str">
        <x:v>Buyer-specific shot-stopping, distribution, aerial command, sweeping, signing age and total fee evidence are needed before scoring. A zero base fee does not represent wages or signing costs.</x:v>
      </x:c>
      <x:c r="N1624" s="69" t="str">
        <x:v>Not assessed</x:v>
      </x:c>
      <x:c r="O1624" s="69" t="str">
        <x:v>Source broad position and transfer quote only; detailed role and buyer-specific production not validated.</x:v>
      </x:c>
      <x:c r="P1624" s="69" t="str">
        <x:v>https://www.theguardian.com/football/ng-interactive/2026/sep/01/mens-transfer-window-summer-2026-all-deals-from-europes-top-five-leagues</x:v>
      </x:c>
    </x:row>
    <x:row r="1625" ht="25" customHeight="1">
      <x:c r="A1625" s="75" t="str">
        <x:v>summer-S26-1407</x:v>
      </x:c>
      <x:c r="B1625" s="75" t="str">
        <x:v>Melvin Bard</x:v>
      </x:c>
      <x:c r="C1625" s="75" t="str">
        <x:v>Leeds United</x:v>
      </x:c>
      <x:c r="D1625" s="75" t="str">
        <x:v>Nice</x:v>
      </x:c>
      <x:c r="E1625" s="77" t="d">
        <x:v>2026-09-01T00:00:00.000Z</x:v>
      </x:c>
      <x:c r="F1625" s="75" t="str">
        <x:v>summer</x:v>
      </x:c>
      <x:c r="G1625" s="75" t="str">
        <x:v>Defender — source label</x:v>
      </x:c>
      <x:c r="H1625" s="79"/>
      <x:c r="I1625" s="75" t="str">
        <x:v>GBP</x:v>
      </x:c>
      <x:c r="J1625" s="81"/>
      <x:c r="K1625" s="83"/>
      <x:c r="L1625" s="75" t="str">
        <x:v>Evidence needed</x:v>
      </x:c>
      <x:c r="M1625" s="75" t="str">
        <x:v>Buyer-specific role, production, availability, signing age and total fee evidence are needed before assigning a deal-value score. Loan/swap costs must be treated separately.</x:v>
      </x:c>
      <x:c r="N1625" s="75" t="str">
        <x:v>Not assessed</x:v>
      </x:c>
      <x:c r="O1625" s="75" t="str">
        <x:v>Source broad position and transfer quote only; detailed role and buyer-specific production not validated.</x:v>
      </x:c>
      <x:c r="P1625" s="75" t="str">
        <x:v>https://www.theguardian.com/football/ng-interactive/2026/sep/01/mens-transfer-window-summer-2026-all-deals-from-europes-top-five-leagues</x:v>
      </x:c>
    </x:row>
    <x:row r="1626" ht="25" customHeight="1">
      <x:c r="A1626" s="69" t="str">
        <x:v>summer-S26-1408</x:v>
      </x:c>
      <x:c r="B1626" s="69" t="str">
        <x:v>Hugo Bolin</x:v>
      </x:c>
      <x:c r="C1626" s="69" t="str">
        <x:v>Borussia Mönchengladbach</x:v>
      </x:c>
      <x:c r="D1626" s="69" t="str">
        <x:v>Malmö FF</x:v>
      </x:c>
      <x:c r="E1626" s="76" t="d">
        <x:v>2026-07-01T00:00:00.000Z</x:v>
      </x:c>
      <x:c r="F1626" s="69" t="str">
        <x:v>summer</x:v>
      </x:c>
      <x:c r="G1626" s="69" t="str">
        <x:v>Midfielder — source label</x:v>
      </x:c>
      <x:c r="H1626" s="78" t="n">
        <x:v>1500000</x:v>
      </x:c>
      <x:c r="I1626" s="69" t="str">
        <x:v>GBP</x:v>
      </x:c>
      <x:c r="J1626" s="80"/>
      <x:c r="K1626" s="82"/>
      <x:c r="L1626" s="69" t="str">
        <x:v>Evidence needed</x:v>
      </x:c>
      <x:c r="M1626" s="69" t="str">
        <x:v>Buyer-specific role, production, availability, signing age and total fee evidence are needed before assigning a deal-value score.</x:v>
      </x:c>
      <x:c r="N1626" s="69" t="str">
        <x:v>Not assessed</x:v>
      </x:c>
      <x:c r="O1626" s="69" t="str">
        <x:v>Source broad position and transfer quote only; detailed role and buyer-specific production not validated.</x:v>
      </x:c>
      <x:c r="P1626" s="69" t="str">
        <x:v>https://www.theguardian.com/football/ng-interactive/2026/sep/01/mens-transfer-window-summer-2026-all-deals-from-europes-top-five-leagues</x:v>
      </x:c>
    </x:row>
    <x:row r="1627" ht="25" customHeight="1">
      <x:c r="A1627" s="75" t="str">
        <x:v>summer-S26-1409</x:v>
      </x:c>
      <x:c r="B1627" s="75" t="str">
        <x:v>David Herold</x:v>
      </x:c>
      <x:c r="C1627" s="75" t="str">
        <x:v>Borussia Mönchengladbach</x:v>
      </x:c>
      <x:c r="D1627" s="75" t="str">
        <x:v>Karlsruhe</x:v>
      </x:c>
      <x:c r="E1627" s="77" t="d">
        <x:v>2026-07-01T00:00:00.000Z</x:v>
      </x:c>
      <x:c r="F1627" s="75" t="str">
        <x:v>summer</x:v>
      </x:c>
      <x:c r="G1627" s="75" t="str">
        <x:v>Defender — source label</x:v>
      </x:c>
      <x:c r="H1627" s="79"/>
      <x:c r="I1627" s="75" t="str">
        <x:v>GBP</x:v>
      </x:c>
      <x:c r="J1627" s="81"/>
      <x:c r="K1627" s="83"/>
      <x:c r="L1627" s="75" t="str">
        <x:v>Evidence needed</x:v>
      </x:c>
      <x:c r="M1627" s="75" t="str">
        <x:v>Buyer-specific role, production, availability, signing age and total fee evidence are needed before assigning a deal-value score.</x:v>
      </x:c>
      <x:c r="N1627" s="75" t="str">
        <x:v>Not assessed</x:v>
      </x:c>
      <x:c r="O1627" s="75" t="str">
        <x:v>Source broad position and transfer quote only; detailed role and buyer-specific production not validated.</x:v>
      </x:c>
      <x:c r="P1627" s="75" t="str">
        <x:v>https://www.theguardian.com/football/ng-interactive/2026/sep/01/mens-transfer-window-summer-2026-all-deals-from-europes-top-five-leagues</x:v>
      </x:c>
    </x:row>
    <x:row r="1628" ht="25" customHeight="1">
      <x:c r="A1628" s="69" t="str">
        <x:v>summer-S26-1410</x:v>
      </x:c>
      <x:c r="B1628" s="69" t="str">
        <x:v>Tosin Adarabioyo</x:v>
      </x:c>
      <x:c r="C1628" s="69" t="str">
        <x:v>Tottenham Hotspur</x:v>
      </x:c>
      <x:c r="D1628" s="69" t="str">
        <x:v>Chelsea</x:v>
      </x:c>
      <x:c r="E1628" s="76" t="d">
        <x:v>2026-09-01T00:00:00.000Z</x:v>
      </x:c>
      <x:c r="F1628" s="69" t="str">
        <x:v>summer</x:v>
      </x:c>
      <x:c r="G1628" s="69" t="str">
        <x:v>Defender — source label</x:v>
      </x:c>
      <x:c r="H1628" s="78" t="n">
        <x:v>7000000</x:v>
      </x:c>
      <x:c r="I1628" s="69" t="str">
        <x:v>GBP</x:v>
      </x:c>
      <x:c r="J1628" s="80"/>
      <x:c r="K1628" s="82"/>
      <x:c r="L1628" s="69" t="str">
        <x:v>Evidence needed</x:v>
      </x:c>
      <x:c r="M1628" s="69" t="str">
        <x:v>Buyer-specific role, production, availability, signing age and total fee evidence are needed before assigning a deal-value score.</x:v>
      </x:c>
      <x:c r="N1628" s="69" t="str">
        <x:v>Not assessed</x:v>
      </x:c>
      <x:c r="O1628" s="69" t="str">
        <x:v>Source broad position and transfer quote only; detailed role and buyer-specific production not validated.</x:v>
      </x:c>
      <x:c r="P1628" s="69" t="str">
        <x:v>https://www.theguardian.com/football/ng-interactive/2026/sep/01/mens-transfer-window-summer-2026-all-deals-from-europes-top-five-leagues</x:v>
      </x:c>
    </x:row>
    <x:row r="1629" ht="25" customHeight="1">
      <x:c r="A1629" s="75" t="str">
        <x:v>summer-S26-1411</x:v>
      </x:c>
      <x:c r="B1629" s="75" t="str">
        <x:v>Yukhym Konoplia</x:v>
      </x:c>
      <x:c r="C1629" s="75" t="str">
        <x:v>Borussia Mönchengladbach</x:v>
      </x:c>
      <x:c r="D1629" s="75" t="str">
        <x:v>Shakhtar Donetsk</x:v>
      </x:c>
      <x:c r="E1629" s="77" t="d">
        <x:v>2026-07-01T00:00:00.000Z</x:v>
      </x:c>
      <x:c r="F1629" s="75" t="str">
        <x:v>summer</x:v>
      </x:c>
      <x:c r="G1629" s="75" t="str">
        <x:v>Defender — source label</x:v>
      </x:c>
      <x:c r="H1629" s="79"/>
      <x:c r="I1629" s="75" t="str">
        <x:v>GBP</x:v>
      </x:c>
      <x:c r="J1629" s="81"/>
      <x:c r="K1629" s="83"/>
      <x:c r="L1629" s="75" t="str">
        <x:v>Evidence needed</x:v>
      </x:c>
      <x:c r="M1629" s="75" t="str">
        <x:v>Buyer-specific role, production, availability, signing age and total fee evidence are needed before assigning a deal-value score. A zero base fee does not represent wages or signing costs.</x:v>
      </x:c>
      <x:c r="N1629" s="75" t="str">
        <x:v>Not assessed</x:v>
      </x:c>
      <x:c r="O1629" s="75" t="str">
        <x:v>Source broad position and transfer quote only; detailed role and buyer-specific production not validated.</x:v>
      </x:c>
      <x:c r="P1629" s="75" t="str">
        <x:v>https://www.theguardian.com/football/ng-interactive/2026/sep/01/mens-transfer-window-summer-2026-all-deals-from-europes-top-five-leagues</x:v>
      </x:c>
    </x:row>
    <x:row r="1630" ht="25" customHeight="1">
      <x:c r="A1630" s="69" t="str">
        <x:v>summer-S26-1415</x:v>
      </x:c>
      <x:c r="B1630" s="69" t="str">
        <x:v>Emil Audero</x:v>
      </x:c>
      <x:c r="C1630" s="69" t="str">
        <x:v>Rayo Vallecano</x:v>
      </x:c>
      <x:c r="D1630" s="69" t="str">
        <x:v>Como 1907</x:v>
      </x:c>
      <x:c r="E1630" s="76" t="d">
        <x:v>2026-09-01T00:00:00.000Z</x:v>
      </x:c>
      <x:c r="F1630" s="69" t="str">
        <x:v>summer</x:v>
      </x:c>
      <x:c r="G1630" s="69" t="str">
        <x:v>Goalkeeper — source label</x:v>
      </x:c>
      <x:c r="H1630" s="78"/>
      <x:c r="I1630" s="69" t="str">
        <x:v>GBP</x:v>
      </x:c>
      <x:c r="J1630" s="80"/>
      <x:c r="K1630" s="82"/>
      <x:c r="L1630" s="69" t="str">
        <x:v>Evidence needed</x:v>
      </x:c>
      <x:c r="M1630" s="69" t="str">
        <x:v>Buyer-specific shot-stopping, distribution, aerial command, sweeping, signing age and total fee evidence are needed before scoring. Loan/swap costs must be treated separately.</x:v>
      </x:c>
      <x:c r="N1630" s="69" t="str">
        <x:v>Not assessed</x:v>
      </x:c>
      <x:c r="O1630" s="69" t="str">
        <x:v>Source broad position and transfer quote only; detailed role and buyer-specific production not validated.</x:v>
      </x:c>
      <x:c r="P1630" s="69" t="str">
        <x:v>https://www.theguardian.com/football/ng-interactive/2026/sep/01/mens-transfer-window-summer-2026-all-deals-from-europes-top-five-leagues</x:v>
      </x:c>
    </x:row>
    <x:row r="1631" ht="25" customHeight="1">
      <x:c r="A1631" s="75" t="str">
        <x:v>summer-S26-1417</x:v>
      </x:c>
      <x:c r="B1631" s="75" t="str">
        <x:v>Soumaïla Coulibaly</x:v>
      </x:c>
      <x:c r="C1631" s="75" t="str">
        <x:v>Watford</x:v>
      </x:c>
      <x:c r="D1631" s="75" t="str">
        <x:v>Strasbourg</x:v>
      </x:c>
      <x:c r="E1631" s="77" t="d">
        <x:v>2026-09-01T00:00:00.000Z</x:v>
      </x:c>
      <x:c r="F1631" s="75" t="str">
        <x:v>summer</x:v>
      </x:c>
      <x:c r="G1631" s="75" t="str">
        <x:v>Defender — source label</x:v>
      </x:c>
      <x:c r="H1631" s="79"/>
      <x:c r="I1631" s="75" t="str">
        <x:v>GBP</x:v>
      </x:c>
      <x:c r="J1631" s="81"/>
      <x:c r="K1631" s="83"/>
      <x:c r="L1631" s="75" t="str">
        <x:v>Evidence needed</x:v>
      </x:c>
      <x:c r="M1631" s="75" t="str">
        <x:v>Buyer-specific role, production, availability, signing age and total fee evidence are needed before assigning a deal-value score. Loan/swap costs must be treated separately.</x:v>
      </x:c>
      <x:c r="N1631" s="75" t="str">
        <x:v>Not assessed</x:v>
      </x:c>
      <x:c r="O1631" s="75" t="str">
        <x:v>Source broad position and transfer quote only; detailed role and buyer-specific production not validated.</x:v>
      </x:c>
      <x:c r="P1631" s="75" t="str">
        <x:v>https://www.theguardian.com/football/ng-interactive/2026/sep/01/mens-transfer-window-summer-2026-all-deals-from-europes-top-five-leagues</x:v>
      </x:c>
    </x:row>
    <x:row r="1632" ht="25" customHeight="1">
      <x:c r="A1632" s="69" t="str">
        <x:v>summer-S26-1421</x:v>
      </x:c>
      <x:c r="B1632" s="69" t="str">
        <x:v>José María Giménez</x:v>
      </x:c>
      <x:c r="C1632" s="69" t="str">
        <x:v>Deportivo La Coruña</x:v>
      </x:c>
      <x:c r="D1632" s="69" t="str">
        <x:v>Atlético Madrid</x:v>
      </x:c>
      <x:c r="E1632" s="76" t="d">
        <x:v>2026-09-01T00:00:00.000Z</x:v>
      </x:c>
      <x:c r="F1632" s="69" t="str">
        <x:v>summer</x:v>
      </x:c>
      <x:c r="G1632" s="69" t="str">
        <x:v>Defender — source label</x:v>
      </x:c>
      <x:c r="H1632" s="78"/>
      <x:c r="I1632" s="69" t="str">
        <x:v>GBP</x:v>
      </x:c>
      <x:c r="J1632" s="80"/>
      <x:c r="K1632" s="82"/>
      <x:c r="L1632" s="69" t="str">
        <x:v>Evidence needed</x:v>
      </x:c>
      <x:c r="M1632" s="69" t="str">
        <x:v>Buyer-specific role, production, availability, signing age and total fee evidence are needed before assigning a deal-value score. Loan/swap costs must be treated separately.</x:v>
      </x:c>
      <x:c r="N1632" s="69" t="str">
        <x:v>Not assessed</x:v>
      </x:c>
      <x:c r="O1632" s="69" t="str">
        <x:v>Source broad position and transfer quote only; detailed role and buyer-specific production not validated.</x:v>
      </x:c>
      <x:c r="P1632" s="69" t="str">
        <x:v>https://www.theguardian.com/football/ng-interactive/2026/sep/01/mens-transfer-window-summer-2026-all-deals-from-europes-top-five-leagues</x:v>
      </x:c>
    </x:row>
    <x:row r="1633" ht="25" customHeight="1">
      <x:c r="A1633" s="75" t="str">
        <x:v>summer-S26-1424</x:v>
      </x:c>
      <x:c r="B1633" s="75" t="str">
        <x:v>Ben Chilwell</x:v>
      </x:c>
      <x:c r="C1633" s="75" t="str">
        <x:v>Crystal Palace</x:v>
      </x:c>
      <x:c r="D1633" s="75" t="str">
        <x:v>Strasbourg</x:v>
      </x:c>
      <x:c r="E1633" s="77" t="d">
        <x:v>2026-09-01T00:00:00.000Z</x:v>
      </x:c>
      <x:c r="F1633" s="75" t="str">
        <x:v>summer</x:v>
      </x:c>
      <x:c r="G1633" s="75" t="str">
        <x:v>Defender — source label</x:v>
      </x:c>
      <x:c r="H1633" s="79"/>
      <x:c r="I1633" s="75" t="str">
        <x:v>GBP</x:v>
      </x:c>
      <x:c r="J1633" s="81"/>
      <x:c r="K1633" s="83"/>
      <x:c r="L1633" s="75" t="str">
        <x:v>Evidence needed</x:v>
      </x:c>
      <x:c r="M1633" s="75" t="str">
        <x:v>Buyer-specific role, production, availability, signing age and total fee evidence are needed before assigning a deal-value score.</x:v>
      </x:c>
      <x:c r="N1633" s="75" t="str">
        <x:v>Not assessed</x:v>
      </x:c>
      <x:c r="O1633" s="75" t="str">
        <x:v>Source broad position and transfer quote only; detailed role and buyer-specific production not validated.</x:v>
      </x:c>
      <x:c r="P1633" s="75" t="str">
        <x:v>https://www.theguardian.com/football/ng-interactive/2026/sep/01/mens-transfer-window-summer-2026-all-deals-from-europes-top-five-leagues</x:v>
      </x:c>
    </x:row>
    <x:row r="1634" ht="25" customHeight="1">
      <x:c r="A1634" s="69" t="str">
        <x:v>summer-S26-1425</x:v>
      </x:c>
      <x:c r="B1634" s="69" t="str">
        <x:v>Christos Mouzakitis</x:v>
      </x:c>
      <x:c r="C1634" s="69" t="str">
        <x:v>Hull City</x:v>
      </x:c>
      <x:c r="D1634" s="69" t="str">
        <x:v>Olympiakos</x:v>
      </x:c>
      <x:c r="E1634" s="76" t="d">
        <x:v>2026-09-01T00:00:00.000Z</x:v>
      </x:c>
      <x:c r="F1634" s="69" t="str">
        <x:v>summer</x:v>
      </x:c>
      <x:c r="G1634" s="69" t="str">
        <x:v>Midfielder — source label</x:v>
      </x:c>
      <x:c r="H1634" s="78" t="n">
        <x:v>12900000</x:v>
      </x:c>
      <x:c r="I1634" s="69" t="str">
        <x:v>GBP</x:v>
      </x:c>
      <x:c r="J1634" s="80"/>
      <x:c r="K1634" s="82"/>
      <x:c r="L1634" s="69" t="str">
        <x:v>Evidence needed</x:v>
      </x:c>
      <x:c r="M1634" s="69" t="str">
        <x:v>Buyer-specific role, production, availability, signing age and total fee evidence are needed before assigning a deal-value score.</x:v>
      </x:c>
      <x:c r="N1634" s="69" t="str">
        <x:v>Not assessed</x:v>
      </x:c>
      <x:c r="O1634" s="69" t="str">
        <x:v>Source broad position and transfer quote only; detailed role and buyer-specific production not validated.</x:v>
      </x:c>
      <x:c r="P1634" s="69" t="str">
        <x:v>https://www.theguardian.com/football/ng-interactive/2026/sep/01/mens-transfer-window-summer-2026-all-deals-from-europes-top-five-leagues</x:v>
      </x:c>
    </x:row>
    <x:row r="1635" ht="25" customHeight="1">
      <x:c r="A1635" s="75" t="str">
        <x:v>summer-S26-1426</x:v>
      </x:c>
      <x:c r="B1635" s="75" t="str">
        <x:v>Kevin Lomónaco</x:v>
      </x:c>
      <x:c r="C1635" s="75" t="str">
        <x:v>Elche</x:v>
      </x:c>
      <x:c r="D1635" s="75" t="str">
        <x:v>Independiente</x:v>
      </x:c>
      <x:c r="E1635" s="77" t="d">
        <x:v>2026-09-01T00:00:00.000Z</x:v>
      </x:c>
      <x:c r="F1635" s="75" t="str">
        <x:v>summer</x:v>
      </x:c>
      <x:c r="G1635" s="75" t="str">
        <x:v>Defender — source label</x:v>
      </x:c>
      <x:c r="H1635" s="79" t="n">
        <x:v>4000000</x:v>
      </x:c>
      <x:c r="I1635" s="75" t="str">
        <x:v>GBP</x:v>
      </x:c>
      <x:c r="J1635" s="81"/>
      <x:c r="K1635" s="83"/>
      <x:c r="L1635" s="75" t="str">
        <x:v>Evidence needed</x:v>
      </x:c>
      <x:c r="M1635" s="75" t="str">
        <x:v>Buyer-specific role, production, availability, signing age and total fee evidence are needed before assigning a deal-value score.</x:v>
      </x:c>
      <x:c r="N1635" s="75" t="str">
        <x:v>Not assessed</x:v>
      </x:c>
      <x:c r="O1635" s="75" t="str">
        <x:v>Source broad position and transfer quote only; detailed role and buyer-specific production not validated.</x:v>
      </x:c>
      <x:c r="P1635" s="75" t="str">
        <x:v>https://www.theguardian.com/football/ng-interactive/2026/sep/01/mens-transfer-window-summer-2026-all-deals-from-europes-top-five-leagues</x:v>
      </x:c>
    </x:row>
    <x:row r="1636" ht="25" customHeight="1">
      <x:c r="A1636" s="69" t="str">
        <x:v>summer-S26-1427</x:v>
      </x:c>
      <x:c r="B1636" s="69" t="str">
        <x:v>Mirza Catovic</x:v>
      </x:c>
      <x:c r="C1636" s="69" t="str">
        <x:v>Barcelona</x:v>
      </x:c>
      <x:c r="D1636" s="69" t="str">
        <x:v>Stuttgart</x:v>
      </x:c>
      <x:c r="E1636" s="76" t="d">
        <x:v>2026-09-01T00:00:00.000Z</x:v>
      </x:c>
      <x:c r="F1636" s="69" t="str">
        <x:v>summer</x:v>
      </x:c>
      <x:c r="G1636" s="69" t="str">
        <x:v>Midfielder — source label</x:v>
      </x:c>
      <x:c r="H1636" s="78"/>
      <x:c r="I1636" s="69" t="str">
        <x:v>GBP</x:v>
      </x:c>
      <x:c r="J1636" s="80"/>
      <x:c r="K1636" s="82"/>
      <x:c r="L1636" s="69" t="str">
        <x:v>Evidence needed</x:v>
      </x:c>
      <x:c r="M1636" s="69" t="str">
        <x:v>Buyer-specific role, production, availability, signing age and total fee evidence are needed before assigning a deal-value score. Loan/swap costs must be treated separately.</x:v>
      </x:c>
      <x:c r="N1636" s="69" t="str">
        <x:v>Not assessed</x:v>
      </x:c>
      <x:c r="O1636" s="69" t="str">
        <x:v>Source broad position and transfer quote only; detailed role and buyer-specific production not validated.</x:v>
      </x:c>
      <x:c r="P1636" s="69" t="str">
        <x:v>https://www.theguardian.com/football/ng-interactive/2026/sep/01/mens-transfer-window-summer-2026-all-deals-from-europes-top-five-leagues</x:v>
      </x:c>
    </x:row>
    <x:row r="1637" ht="25" customHeight="1">
      <x:c r="A1637" s="75" t="str">
        <x:v>summer-S26-1429</x:v>
      </x:c>
      <x:c r="B1637" s="75" t="str">
        <x:v>David Affengruber</x:v>
      </x:c>
      <x:c r="C1637" s="75" t="str">
        <x:v>Fulham</x:v>
      </x:c>
      <x:c r="D1637" s="75" t="str">
        <x:v>Elche</x:v>
      </x:c>
      <x:c r="E1637" s="77" t="d">
        <x:v>2026-09-01T00:00:00.000Z</x:v>
      </x:c>
      <x:c r="F1637" s="75" t="str">
        <x:v>summer</x:v>
      </x:c>
      <x:c r="G1637" s="75" t="str">
        <x:v>Defender — source label</x:v>
      </x:c>
      <x:c r="H1637" s="79" t="n">
        <x:v>10300000</x:v>
      </x:c>
      <x:c r="I1637" s="75" t="str">
        <x:v>GBP</x:v>
      </x:c>
      <x:c r="J1637" s="81"/>
      <x:c r="K1637" s="83"/>
      <x:c r="L1637" s="75" t="str">
        <x:v>Evidence needed</x:v>
      </x:c>
      <x:c r="M1637" s="75" t="str">
        <x:v>Buyer-specific role, production, availability, signing age and total fee evidence are needed before assigning a deal-value score.</x:v>
      </x:c>
      <x:c r="N1637" s="75" t="str">
        <x:v>Not assessed</x:v>
      </x:c>
      <x:c r="O1637" s="75" t="str">
        <x:v>Source broad position and transfer quote only; detailed role and buyer-specific production not validated.</x:v>
      </x:c>
      <x:c r="P1637" s="75" t="str">
        <x:v>https://www.theguardian.com/football/ng-interactive/2026/sep/01/mens-transfer-window-summer-2026-all-deals-from-europes-top-five-leagues</x:v>
      </x:c>
    </x:row>
    <x:row r="1638" ht="25" customHeight="1">
      <x:c r="A1638" s="69" t="str">
        <x:v>summer-S26-1430</x:v>
      </x:c>
      <x:c r="B1638" s="69" t="str">
        <x:v>Ainsley Maitland-Niles</x:v>
      </x:c>
      <x:c r="C1638" s="69" t="str">
        <x:v>Everton</x:v>
      </x:c>
      <x:c r="D1638" s="69" t="str">
        <x:v>Lyon</x:v>
      </x:c>
      <x:c r="E1638" s="76" t="d">
        <x:v>2026-09-01T00:00:00.000Z</x:v>
      </x:c>
      <x:c r="F1638" s="69" t="str">
        <x:v>summer</x:v>
      </x:c>
      <x:c r="G1638" s="69" t="str">
        <x:v>Defender — source label</x:v>
      </x:c>
      <x:c r="H1638" s="78" t="n">
        <x:v>4300000</x:v>
      </x:c>
      <x:c r="I1638" s="69" t="str">
        <x:v>GBP</x:v>
      </x:c>
      <x:c r="J1638" s="80"/>
      <x:c r="K1638" s="82"/>
      <x:c r="L1638" s="69" t="str">
        <x:v>Evidence needed</x:v>
      </x:c>
      <x:c r="M1638" s="69" t="str">
        <x:v>Buyer-specific role, production, availability, signing age and total fee evidence are needed before assigning a deal-value score.</x:v>
      </x:c>
      <x:c r="N1638" s="69" t="str">
        <x:v>Not assessed</x:v>
      </x:c>
      <x:c r="O1638" s="69" t="str">
        <x:v>Source broad position and transfer quote only; detailed role and buyer-specific production not validated.</x:v>
      </x:c>
      <x:c r="P1638" s="69" t="str">
        <x:v>https://www.theguardian.com/football/ng-interactive/2026/sep/01/mens-transfer-window-summer-2026-all-deals-from-europes-top-five-leagues</x:v>
      </x:c>
    </x:row>
    <x:row r="1639" ht="25" customHeight="1">
      <x:c r="A1639" s="75" t="str">
        <x:v>summer-S26-1433</x:v>
      </x:c>
      <x:c r="B1639" s="75" t="str">
        <x:v>Quinten Timber</x:v>
      </x:c>
      <x:c r="C1639" s="75" t="str">
        <x:v>Crystal Palace</x:v>
      </x:c>
      <x:c r="D1639" s="75" t="str">
        <x:v>Marseille</x:v>
      </x:c>
      <x:c r="E1639" s="77" t="d">
        <x:v>2026-09-02T00:00:00.000Z</x:v>
      </x:c>
      <x:c r="F1639" s="75" t="str">
        <x:v>summer</x:v>
      </x:c>
      <x:c r="G1639" s="75" t="str">
        <x:v>Midfielder — source label</x:v>
      </x:c>
      <x:c r="H1639" s="79" t="n">
        <x:v>15000000</x:v>
      </x:c>
      <x:c r="I1639" s="75" t="str">
        <x:v>GBP</x:v>
      </x:c>
      <x:c r="J1639" s="81"/>
      <x:c r="K1639" s="83"/>
      <x:c r="L1639" s="75" t="str">
        <x:v>Evidence needed</x:v>
      </x:c>
      <x:c r="M1639" s="75" t="str">
        <x:v>Buyer-specific role, production, availability, signing age and total fee evidence are needed before assigning a deal-value score.</x:v>
      </x:c>
      <x:c r="N1639" s="75" t="str">
        <x:v>Not assessed</x:v>
      </x:c>
      <x:c r="O1639" s="75" t="str">
        <x:v>Source broad position and transfer quote only; detailed role and buyer-specific production not validated.</x:v>
      </x:c>
      <x:c r="P1639" s="75" t="str">
        <x:v>https://www.theguardian.com/football/ng-interactive/2026/sep/01/mens-transfer-window-summer-2026-all-deals-from-europes-top-five-leagues</x:v>
      </x:c>
    </x:row>
    <x:row r="1640" ht="25" customHeight="1">
      <x:c r="A1640" s="69" t="str">
        <x:v>summer-S26-1436</x:v>
      </x:c>
      <x:c r="B1640" s="69" t="str">
        <x:v>Michael Zetterer</x:v>
      </x:c>
      <x:c r="C1640" s="69" t="str">
        <x:v>Leeds United</x:v>
      </x:c>
      <x:c r="D1640" s="69" t="str">
        <x:v>Eintracht Frankfurt</x:v>
      </x:c>
      <x:c r="E1640" s="76" t="d">
        <x:v>2026-07-29T00:00:00.000Z</x:v>
      </x:c>
      <x:c r="F1640" s="69" t="str">
        <x:v>summer</x:v>
      </x:c>
      <x:c r="G1640" s="69" t="str">
        <x:v>Goalkeeper — source label</x:v>
      </x:c>
      <x:c r="H1640" s="78" t="n">
        <x:v>4000000</x:v>
      </x:c>
      <x:c r="I1640" s="69" t="str">
        <x:v>GBP</x:v>
      </x:c>
      <x:c r="J1640" s="80"/>
      <x:c r="K1640" s="82"/>
      <x:c r="L1640" s="69" t="str">
        <x:v>Evidence needed</x:v>
      </x:c>
      <x:c r="M1640" s="69" t="str">
        <x:v>Buyer-specific shot-stopping, distribution, aerial command, sweeping, signing age and total fee evidence are needed before scoring.</x:v>
      </x:c>
      <x:c r="N1640" s="69" t="str">
        <x:v>Not assessed</x:v>
      </x:c>
      <x:c r="O1640" s="69" t="str">
        <x:v>Source broad position and transfer quote only; detailed role and buyer-specific production not validated.</x:v>
      </x:c>
      <x:c r="P1640" s="69" t="str">
        <x:v>https://www.theguardian.com/football/ng-interactive/2026/sep/01/mens-transfer-window-summer-2026-all-deals-from-europes-top-five-leagues</x:v>
      </x:c>
    </x:row>
    <x:row r="1641" ht="25" customHeight="1">
      <x:c r="A1641" s="75" t="str">
        <x:v>summer-S26-1437</x:v>
      </x:c>
      <x:c r="B1641" s="75" t="str">
        <x:v>Femi Azeez</x:v>
      </x:c>
      <x:c r="C1641" s="75" t="str">
        <x:v>Brighton</x:v>
      </x:c>
      <x:c r="D1641" s="75" t="str">
        <x:v>Millwall</x:v>
      </x:c>
      <x:c r="E1641" s="77" t="d">
        <x:v>2026-09-02T00:00:00.000Z</x:v>
      </x:c>
      <x:c r="F1641" s="75" t="str">
        <x:v>summer</x:v>
      </x:c>
      <x:c r="G1641" s="75" t="str">
        <x:v>Midfielder — source label</x:v>
      </x:c>
      <x:c r="H1641" s="79" t="n">
        <x:v>15000000</x:v>
      </x:c>
      <x:c r="I1641" s="75" t="str">
        <x:v>GBP</x:v>
      </x:c>
      <x:c r="J1641" s="81"/>
      <x:c r="K1641" s="83"/>
      <x:c r="L1641" s="75" t="str">
        <x:v>Evidence needed</x:v>
      </x:c>
      <x:c r="M1641" s="75" t="str">
        <x:v>Buyer-specific role, production, availability, signing age and total fee evidence are needed before assigning a deal-value score.</x:v>
      </x:c>
      <x:c r="N1641" s="75" t="str">
        <x:v>Not assessed</x:v>
      </x:c>
      <x:c r="O1641" s="75" t="str">
        <x:v>Source broad position and transfer quote only; detailed role and buyer-specific production not validated.</x:v>
      </x:c>
      <x:c r="P1641" s="75" t="str">
        <x:v>https://www.theguardian.com/football/ng-interactive/2026/sep/01/mens-transfer-window-summer-2026-all-deals-from-europes-top-five-leagues</x:v>
      </x:c>
    </x:row>
    <x:row r="1642" ht="25" customHeight="1">
      <x:c r="A1642" s="69" t="str">
        <x:v>summer-S26-1439</x:v>
      </x:c>
      <x:c r="B1642" s="69" t="str">
        <x:v>Kamari Doyle</x:v>
      </x:c>
      <x:c r="C1642" s="69" t="str">
        <x:v>Leicester City</x:v>
      </x:c>
      <x:c r="D1642" s="69" t="str">
        <x:v>Brighton</x:v>
      </x:c>
      <x:c r="E1642" s="76" t="d">
        <x:v>2026-09-01T00:00:00.000Z</x:v>
      </x:c>
      <x:c r="F1642" s="69" t="str">
        <x:v>summer</x:v>
      </x:c>
      <x:c r="G1642" s="69" t="str">
        <x:v>Midfielder — source label</x:v>
      </x:c>
      <x:c r="H1642" s="78"/>
      <x:c r="I1642" s="69" t="str">
        <x:v>GBP</x:v>
      </x:c>
      <x:c r="J1642" s="80"/>
      <x:c r="K1642" s="82"/>
      <x:c r="L1642" s="69" t="str">
        <x:v>Evidence needed</x:v>
      </x:c>
      <x:c r="M1642" s="69" t="str">
        <x:v>Buyer-specific role, production, availability, signing age and total fee evidence are needed before assigning a deal-value score. Loan/swap costs must be treated separately.</x:v>
      </x:c>
      <x:c r="N1642" s="69" t="str">
        <x:v>Not assessed</x:v>
      </x:c>
      <x:c r="O1642" s="69" t="str">
        <x:v>Source broad position and transfer quote only; detailed role and buyer-specific production not validated.</x:v>
      </x:c>
      <x:c r="P1642" s="69" t="str">
        <x:v>https://www.theguardian.com/football/ng-interactive/2026/sep/01/mens-transfer-window-summer-2026-all-deals-from-europes-top-five-leagues</x:v>
      </x:c>
    </x:row>
    <x:row r="1643" ht="25" customHeight="1">
      <x:c r="A1643" s="75" t="str">
        <x:v>summer-S26-1440</x:v>
      </x:c>
      <x:c r="B1643" s="75" t="str">
        <x:v>Adama Boiro</x:v>
      </x:c>
      <x:c r="C1643" s="75" t="str">
        <x:v>West Ham United</x:v>
      </x:c>
      <x:c r="D1643" s="75" t="str">
        <x:v>Athletic Club</x:v>
      </x:c>
      <x:c r="E1643" s="77" t="d">
        <x:v>2026-09-02T00:00:00.000Z</x:v>
      </x:c>
      <x:c r="F1643" s="75" t="str">
        <x:v>summer</x:v>
      </x:c>
      <x:c r="G1643" s="75" t="str">
        <x:v>Defender — source label</x:v>
      </x:c>
      <x:c r="H1643" s="79"/>
      <x:c r="I1643" s="75" t="str">
        <x:v>GBP</x:v>
      </x:c>
      <x:c r="J1643" s="81"/>
      <x:c r="K1643" s="83"/>
      <x:c r="L1643" s="75" t="str">
        <x:v>Evidence needed</x:v>
      </x:c>
      <x:c r="M1643" s="75" t="str">
        <x:v>Buyer-specific role, production, availability, signing age and total fee evidence are needed before assigning a deal-value score. Loan/swap costs must be treated separately.</x:v>
      </x:c>
      <x:c r="N1643" s="75" t="str">
        <x:v>Not assessed</x:v>
      </x:c>
      <x:c r="O1643" s="75" t="str">
        <x:v>Source broad position and transfer quote only; detailed role and buyer-specific production not validated.</x:v>
      </x:c>
      <x:c r="P1643" s="75" t="str">
        <x:v>https://www.theguardian.com/football/ng-interactive/2026/sep/01/mens-transfer-window-summer-2026-all-deals-from-europes-top-five-leagues</x:v>
      </x:c>
    </x:row>
    <x:row r="1644" ht="25" customHeight="1">
      <x:c r="A1644" s="69" t="str">
        <x:v>summer-S26-1441</x:v>
      </x:c>
      <x:c r="B1644" s="69" t="str">
        <x:v>Yvan Neyou</x:v>
      </x:c>
      <x:c r="C1644" s="69" t="str">
        <x:v>Volos</x:v>
      </x:c>
      <x:c r="D1644" s="69" t="str">
        <x:v>Getafe</x:v>
      </x:c>
      <x:c r="E1644" s="76" t="d">
        <x:v>2026-09-02T00:00:00.000Z</x:v>
      </x:c>
      <x:c r="F1644" s="69" t="str">
        <x:v>summer</x:v>
      </x:c>
      <x:c r="G1644" s="69" t="str">
        <x:v>Midfielder — source label</x:v>
      </x:c>
      <x:c r="H1644" s="78"/>
      <x:c r="I1644" s="69" t="str">
        <x:v>GBP</x:v>
      </x:c>
      <x:c r="J1644" s="80"/>
      <x:c r="K1644" s="82"/>
      <x:c r="L1644" s="69" t="str">
        <x:v>Evidence needed</x:v>
      </x:c>
      <x:c r="M1644" s="69" t="str">
        <x:v>Buyer-specific role, production, availability, signing age and total fee evidence are needed before assigning a deal-value score. Loan/swap costs must be treated separately.</x:v>
      </x:c>
      <x:c r="N1644" s="69" t="str">
        <x:v>Not assessed</x:v>
      </x:c>
      <x:c r="O1644" s="69" t="str">
        <x:v>Source broad position and transfer quote only; detailed role and buyer-specific production not validated.</x:v>
      </x:c>
      <x:c r="P1644" s="69" t="str">
        <x:v>https://www.theguardian.com/football/ng-interactive/2026/sep/01/mens-transfer-window-summer-2026-all-deals-from-europes-top-five-leagues</x:v>
      </x:c>
    </x:row>
    <x:row r="1645" ht="25" customHeight="1">
      <x:c r="A1645" s="75" t="str">
        <x:v>summer-S26-1443</x:v>
      </x:c>
      <x:c r="B1645" s="75" t="str">
        <x:v>Julian Pauli</x:v>
      </x:c>
      <x:c r="C1645" s="75" t="str">
        <x:v>Odense</x:v>
      </x:c>
      <x:c r="D1645" s="75" t="str">
        <x:v>Cologne</x:v>
      </x:c>
      <x:c r="E1645" s="77" t="d">
        <x:v>2026-09-02T00:00:00.000Z</x:v>
      </x:c>
      <x:c r="F1645" s="75" t="str">
        <x:v>summer</x:v>
      </x:c>
      <x:c r="G1645" s="75" t="str">
        <x:v>Defender — source label</x:v>
      </x:c>
      <x:c r="H1645" s="79"/>
      <x:c r="I1645" s="75" t="str">
        <x:v>GBP</x:v>
      </x:c>
      <x:c r="J1645" s="81"/>
      <x:c r="K1645" s="83"/>
      <x:c r="L1645" s="75" t="str">
        <x:v>Evidence needed</x:v>
      </x:c>
      <x:c r="M1645" s="75" t="str">
        <x:v>Buyer-specific role, production, availability, signing age and total fee evidence are needed before assigning a deal-value score. Loan/swap costs must be treated separately.</x:v>
      </x:c>
      <x:c r="N1645" s="75" t="str">
        <x:v>Not assessed</x:v>
      </x:c>
      <x:c r="O1645" s="75" t="str">
        <x:v>Source broad position and transfer quote only; detailed role and buyer-specific production not validated.</x:v>
      </x:c>
      <x:c r="P1645" s="75" t="str">
        <x:v>https://www.theguardian.com/football/ng-interactive/2026/sep/01/mens-transfer-window-summer-2026-all-deals-from-europes-top-five-leagues</x:v>
      </x:c>
    </x:row>
    <x:row r="1646" ht="25" customHeight="1">
      <x:c r="A1646" s="69" t="str">
        <x:v>summer-S26-1444</x:v>
      </x:c>
      <x:c r="B1646" s="69" t="str">
        <x:v>Thilo Kehrer</x:v>
      </x:c>
      <x:c r="C1646" s="69" t="str">
        <x:v>Ajax</x:v>
      </x:c>
      <x:c r="D1646" s="69" t="str">
        <x:v>Monaco</x:v>
      </x:c>
      <x:c r="E1646" s="76" t="d">
        <x:v>2026-09-02T00:00:00.000Z</x:v>
      </x:c>
      <x:c r="F1646" s="69" t="str">
        <x:v>summer</x:v>
      </x:c>
      <x:c r="G1646" s="69" t="str">
        <x:v>Defender — source label</x:v>
      </x:c>
      <x:c r="H1646" s="78"/>
      <x:c r="I1646" s="69" t="str">
        <x:v>GBP</x:v>
      </x:c>
      <x:c r="J1646" s="80"/>
      <x:c r="K1646" s="82"/>
      <x:c r="L1646" s="69" t="str">
        <x:v>Evidence needed</x:v>
      </x:c>
      <x:c r="M1646" s="69" t="str">
        <x:v>Buyer-specific role, production, availability, signing age and total fee evidence are needed before assigning a deal-value score. Loan/swap costs must be treated separately.</x:v>
      </x:c>
      <x:c r="N1646" s="69" t="str">
        <x:v>Not assessed</x:v>
      </x:c>
      <x:c r="O1646" s="69" t="str">
        <x:v>Source broad position and transfer quote only; detailed role and buyer-specific production not validated.</x:v>
      </x:c>
      <x:c r="P1646" s="69" t="str">
        <x:v>https://www.theguardian.com/football/ng-interactive/2026/sep/01/mens-transfer-window-summer-2026-all-deals-from-europes-top-five-leagues</x:v>
      </x:c>
    </x:row>
    <x:row r="1647" ht="25" customHeight="1">
      <x:c r="A1647" s="75" t="str">
        <x:v>summer-S26-1445</x:v>
      </x:c>
      <x:c r="B1647" s="75" t="str">
        <x:v>El Chadaille Bitshiabu</x:v>
      </x:c>
      <x:c r="C1647" s="75" t="str">
        <x:v>Galatasaray</x:v>
      </x:c>
      <x:c r="D1647" s="75" t="str">
        <x:v>RB Leipzig</x:v>
      </x:c>
      <x:c r="E1647" s="77" t="d">
        <x:v>2026-09-02T00:00:00.000Z</x:v>
      </x:c>
      <x:c r="F1647" s="75" t="str">
        <x:v>summer</x:v>
      </x:c>
      <x:c r="G1647" s="75" t="str">
        <x:v>Defender — source label</x:v>
      </x:c>
      <x:c r="H1647" s="79"/>
      <x:c r="I1647" s="75" t="str">
        <x:v>GBP</x:v>
      </x:c>
      <x:c r="J1647" s="81"/>
      <x:c r="K1647" s="83"/>
      <x:c r="L1647" s="75" t="str">
        <x:v>Evidence needed</x:v>
      </x:c>
      <x:c r="M1647" s="75" t="str">
        <x:v>Buyer-specific role, production, availability, signing age and total fee evidence are needed before assigning a deal-value score. Loan/swap costs must be treated separately.</x:v>
      </x:c>
      <x:c r="N1647" s="75" t="str">
        <x:v>Not assessed</x:v>
      </x:c>
      <x:c r="O1647" s="75" t="str">
        <x:v>Source broad position and transfer quote only; detailed role and buyer-specific production not validated.</x:v>
      </x:c>
      <x:c r="P1647" s="75" t="str">
        <x:v>https://www.theguardian.com/football/ng-interactive/2026/sep/01/mens-transfer-window-summer-2026-all-deals-from-europes-top-five-leagues</x:v>
      </x:c>
    </x:row>
    <x:row r="1648" ht="25" customHeight="1">
      <x:c r="A1648" s="69" t="str">
        <x:v>summer-S26-1447</x:v>
      </x:c>
      <x:c r="B1648" s="69" t="str">
        <x:v>Juma Bah</x:v>
      </x:c>
      <x:c r="C1648" s="69" t="str">
        <x:v>Augsburg</x:v>
      </x:c>
      <x:c r="D1648" s="69" t="str">
        <x:v>Manchester City</x:v>
      </x:c>
      <x:c r="E1648" s="76" t="d">
        <x:v>2026-09-01T00:00:00.000Z</x:v>
      </x:c>
      <x:c r="F1648" s="69" t="str">
        <x:v>summer</x:v>
      </x:c>
      <x:c r="G1648" s="69" t="str">
        <x:v>Defender — source label</x:v>
      </x:c>
      <x:c r="H1648" s="78"/>
      <x:c r="I1648" s="69" t="str">
        <x:v>GBP</x:v>
      </x:c>
      <x:c r="J1648" s="80"/>
      <x:c r="K1648" s="82"/>
      <x:c r="L1648" s="69" t="str">
        <x:v>Evidence needed</x:v>
      </x:c>
      <x:c r="M1648" s="69" t="str">
        <x:v>Buyer-specific role, production, availability, signing age and total fee evidence are needed before assigning a deal-value score. Loan/swap costs must be treated separately.</x:v>
      </x:c>
      <x:c r="N1648" s="69" t="str">
        <x:v>Not assessed</x:v>
      </x:c>
      <x:c r="O1648" s="69" t="str">
        <x:v>Source broad position and transfer quote only; detailed role and buyer-specific production not validated.</x:v>
      </x:c>
      <x:c r="P1648" s="69" t="str">
        <x:v>https://www.theguardian.com/football/ng-interactive/2026/sep/01/mens-transfer-window-summer-2026-all-deals-from-europes-top-five-leagues</x:v>
      </x:c>
    </x:row>
    <x:row r="1649" ht="25" customHeight="1">
      <x:c r="A1649" s="75" t="str">
        <x:v>summer-S26-1449</x:v>
      </x:c>
      <x:c r="B1649" s="75" t="str">
        <x:v>Justin Devenny</x:v>
      </x:c>
      <x:c r="C1649" s="75" t="str">
        <x:v>Stoke City</x:v>
      </x:c>
      <x:c r="D1649" s="75" t="str">
        <x:v>Crystal Palace</x:v>
      </x:c>
      <x:c r="E1649" s="77" t="d">
        <x:v>2026-09-01T00:00:00.000Z</x:v>
      </x:c>
      <x:c r="F1649" s="75" t="str">
        <x:v>summer</x:v>
      </x:c>
      <x:c r="G1649" s="75" t="str">
        <x:v>Midfielder — source label</x:v>
      </x:c>
      <x:c r="H1649" s="79" t="n">
        <x:v>5000000</x:v>
      </x:c>
      <x:c r="I1649" s="75" t="str">
        <x:v>GBP</x:v>
      </x:c>
      <x:c r="J1649" s="81"/>
      <x:c r="K1649" s="83"/>
      <x:c r="L1649" s="75" t="str">
        <x:v>Evidence needed</x:v>
      </x:c>
      <x:c r="M1649" s="75" t="str">
        <x:v>Buyer-specific role, production, availability, signing age and total fee evidence are needed before assigning a deal-value score.</x:v>
      </x:c>
      <x:c r="N1649" s="75" t="str">
        <x:v>Not assessed</x:v>
      </x:c>
      <x:c r="O1649" s="75" t="str">
        <x:v>Source broad position and transfer quote only; detailed role and buyer-specific production not validated.</x:v>
      </x:c>
      <x:c r="P1649" s="75" t="str">
        <x:v>https://www.theguardian.com/football/ng-interactive/2026/sep/01/mens-transfer-window-summer-2026-all-deals-from-europes-top-five-leagues</x:v>
      </x:c>
    </x:row>
    <x:row r="1650" ht="25" customHeight="1">
      <x:c r="A1650" s="69" t="str">
        <x:v>summer-S26-1451</x:v>
      </x:c>
      <x:c r="B1650" s="69" t="str">
        <x:v>Oliver Dovin</x:v>
      </x:c>
      <x:c r="C1650" s="69" t="str">
        <x:v>Leyton Orient</x:v>
      </x:c>
      <x:c r="D1650" s="69" t="str">
        <x:v>Coventry City</x:v>
      </x:c>
      <x:c r="E1650" s="76" t="d">
        <x:v>2026-09-01T00:00:00.000Z</x:v>
      </x:c>
      <x:c r="F1650" s="69" t="str">
        <x:v>summer</x:v>
      </x:c>
      <x:c r="G1650" s="69" t="str">
        <x:v>Goalkeeper — source label</x:v>
      </x:c>
      <x:c r="H1650" s="78"/>
      <x:c r="I1650" s="69" t="str">
        <x:v>GBP</x:v>
      </x:c>
      <x:c r="J1650" s="80"/>
      <x:c r="K1650" s="82"/>
      <x:c r="L1650" s="69" t="str">
        <x:v>Evidence needed</x:v>
      </x:c>
      <x:c r="M1650" s="69" t="str">
        <x:v>Buyer-specific shot-stopping, distribution, aerial command, sweeping, signing age and total fee evidence are needed before scoring. Loan/swap costs must be treated separately.</x:v>
      </x:c>
      <x:c r="N1650" s="69" t="str">
        <x:v>Not assessed</x:v>
      </x:c>
      <x:c r="O1650" s="69" t="str">
        <x:v>Source broad position and transfer quote only; detailed role and buyer-specific production not validated.</x:v>
      </x:c>
      <x:c r="P1650" s="69" t="str">
        <x:v>https://www.theguardian.com/football/ng-interactive/2026/sep/01/mens-transfer-window-summer-2026-all-deals-from-europes-top-five-leagues</x:v>
      </x:c>
    </x:row>
    <x:row r="1651" ht="25" customHeight="1">
      <x:c r="A1651" s="75" t="str">
        <x:v>summer-S26-1453</x:v>
      </x:c>
      <x:c r="B1651" s="75" t="str">
        <x:v>Enzo Leopold</x:v>
      </x:c>
      <x:c r="C1651" s="75" t="str">
        <x:v>Borussia Mönchengladbach</x:v>
      </x:c>
      <x:c r="D1651" s="75" t="str">
        <x:v>Hannover 96</x:v>
      </x:c>
      <x:c r="E1651" s="77" t="d">
        <x:v>2026-05-27T00:00:00.000Z</x:v>
      </x:c>
      <x:c r="F1651" s="75" t="str">
        <x:v>summer</x:v>
      </x:c>
      <x:c r="G1651" s="75" t="str">
        <x:v>Midfielder — source label</x:v>
      </x:c>
      <x:c r="H1651" s="79"/>
      <x:c r="I1651" s="75" t="str">
        <x:v>GBP</x:v>
      </x:c>
      <x:c r="J1651" s="81"/>
      <x:c r="K1651" s="83"/>
      <x:c r="L1651" s="75" t="str">
        <x:v>Evidence needed</x:v>
      </x:c>
      <x:c r="M1651" s="75" t="str">
        <x:v>Buyer-specific role, production, availability, signing age and total fee evidence are needed before assigning a deal-value score. A zero base fee does not represent wages or signing costs.</x:v>
      </x:c>
      <x:c r="N1651" s="75" t="str">
        <x:v>Not assessed</x:v>
      </x:c>
      <x:c r="O1651" s="75" t="str">
        <x:v>Source broad position and transfer quote only; detailed role and buyer-specific production not validated.</x:v>
      </x:c>
      <x:c r="P1651" s="75" t="str">
        <x:v>https://www.theguardian.com/football/ng-interactive/2026/sep/01/mens-transfer-window-summer-2026-all-deals-from-europes-top-five-leagues</x:v>
      </x:c>
    </x:row>
    <x:row r="1652" ht="25" customHeight="1">
      <x:c r="A1652" s="69" t="str">
        <x:v>summer-S26-1454</x:v>
      </x:c>
      <x:c r="B1652" s="69" t="str">
        <x:v>Jan Leszczynski</x:v>
      </x:c>
      <x:c r="C1652" s="69" t="str">
        <x:v>Borussia Mönchengladbach</x:v>
      </x:c>
      <x:c r="D1652" s="69" t="str">
        <x:v>Legia Warsaw</x:v>
      </x:c>
      <x:c r="E1652" s="76" t="d">
        <x:v>2026-07-03T00:00:00.000Z</x:v>
      </x:c>
      <x:c r="F1652" s="69" t="str">
        <x:v>summer</x:v>
      </x:c>
      <x:c r="G1652" s="69" t="str">
        <x:v>Defender — source label</x:v>
      </x:c>
      <x:c r="H1652" s="78" t="n">
        <x:v>2000000</x:v>
      </x:c>
      <x:c r="I1652" s="69" t="str">
        <x:v>GBP</x:v>
      </x:c>
      <x:c r="J1652" s="80"/>
      <x:c r="K1652" s="82"/>
      <x:c r="L1652" s="69" t="str">
        <x:v>Evidence needed</x:v>
      </x:c>
      <x:c r="M1652" s="69" t="str">
        <x:v>Buyer-specific role, production, availability, signing age and total fee evidence are needed before assigning a deal-value score.</x:v>
      </x:c>
      <x:c r="N1652" s="69" t="str">
        <x:v>Not assessed</x:v>
      </x:c>
      <x:c r="O1652" s="69" t="str">
        <x:v>Source broad position and transfer quote only; detailed role and buyer-specific production not validated.</x:v>
      </x:c>
      <x:c r="P1652" s="69" t="str">
        <x:v>https://www.theguardian.com/football/ng-interactive/2026/sep/01/mens-transfer-window-summer-2026-all-deals-from-europes-top-five-leagues</x:v>
      </x:c>
    </x:row>
    <x:row r="1653" ht="25" customHeight="1">
      <x:c r="A1653" s="75" t="str">
        <x:v>summer-S26-1455</x:v>
      </x:c>
      <x:c r="B1653" s="75" t="str">
        <x:v>Niko Horvat</x:v>
      </x:c>
      <x:c r="C1653" s="75" t="str">
        <x:v>Zulte Waregem</x:v>
      </x:c>
      <x:c r="D1653" s="75" t="str">
        <x:v>Borussia Mönchengladbach</x:v>
      </x:c>
      <x:c r="E1653" s="77" t="d">
        <x:v>2026-08-27T00:00:00.000Z</x:v>
      </x:c>
      <x:c r="F1653" s="75" t="str">
        <x:v>summer</x:v>
      </x:c>
      <x:c r="G1653" s="75" t="str">
        <x:v>Midfielder — source label</x:v>
      </x:c>
      <x:c r="H1653" s="79"/>
      <x:c r="I1653" s="75" t="str">
        <x:v>GBP</x:v>
      </x:c>
      <x:c r="J1653" s="81"/>
      <x:c r="K1653" s="83"/>
      <x:c r="L1653" s="75" t="str">
        <x:v>Evidence needed</x:v>
      </x:c>
      <x:c r="M1653" s="75" t="str">
        <x:v>Buyer-specific role, production, availability, signing age and total fee evidence are needed before assigning a deal-value score. Loan/swap costs must be treated separately.</x:v>
      </x:c>
      <x:c r="N1653" s="75" t="str">
        <x:v>Not assessed</x:v>
      </x:c>
      <x:c r="O1653" s="75" t="str">
        <x:v>Source broad position and transfer quote only; detailed role and buyer-specific production not validated.</x:v>
      </x:c>
      <x:c r="P1653" s="75" t="str">
        <x:v>https://www.theguardian.com/football/ng-interactive/2026/sep/01/mens-transfer-window-summer-2026-all-deals-from-europes-top-five-leagues</x:v>
      </x:c>
    </x:row>
    <x:row r="1654" ht="25" customHeight="1">
      <x:c r="A1654" s="69" t="str">
        <x:v>summer-S26-1456</x:v>
      </x:c>
      <x:c r="B1654" s="69" t="str">
        <x:v>Rocco Reitz</x:v>
      </x:c>
      <x:c r="C1654" s="69" t="str">
        <x:v>RB Leipzig</x:v>
      </x:c>
      <x:c r="D1654" s="69" t="str">
        <x:v>Borussia Mönchengladbach</x:v>
      </x:c>
      <x:c r="E1654" s="76" t="d">
        <x:v>2026-03-16T00:00:00.000Z</x:v>
      </x:c>
      <x:c r="F1654" s="69" t="str">
        <x:v>summer</x:v>
      </x:c>
      <x:c r="G1654" s="69" t="str">
        <x:v>Midfielder — source label</x:v>
      </x:c>
      <x:c r="H1654" s="78" t="n">
        <x:v>15000000</x:v>
      </x:c>
      <x:c r="I1654" s="69" t="str">
        <x:v>GBP</x:v>
      </x:c>
      <x:c r="J1654" s="80"/>
      <x:c r="K1654" s="82"/>
      <x:c r="L1654" s="69" t="str">
        <x:v>Evidence needed</x:v>
      </x:c>
      <x:c r="M1654" s="69" t="str">
        <x:v>Buyer-specific role, production, availability, signing age and total fee evidence are needed before assigning a deal-value score.</x:v>
      </x:c>
      <x:c r="N1654" s="69" t="str">
        <x:v>Not assessed</x:v>
      </x:c>
      <x:c r="O1654" s="69" t="str">
        <x:v>Source broad position and transfer quote only; detailed role and buyer-specific production not validated.</x:v>
      </x:c>
      <x:c r="P1654" s="69" t="str">
        <x:v>https://www.theguardian.com/football/ng-interactive/2026/sep/01/mens-transfer-window-summer-2026-all-deals-from-europes-top-five-leagues</x:v>
      </x:c>
    </x:row>
    <x:row r="1655" ht="25" customHeight="1">
      <x:c r="A1655" s="75" t="str">
        <x:v>summer-S26-1457</x:v>
      </x:c>
      <x:c r="B1655" s="75" t="str">
        <x:v>Niklas Swider</x:v>
      </x:c>
      <x:c r="C1655" s="75" t="str">
        <x:v>Viktoria Köln</x:v>
      </x:c>
      <x:c r="D1655" s="75" t="str">
        <x:v>Borussia Mönchengladbach</x:v>
      </x:c>
      <x:c r="E1655" s="77" t="d">
        <x:v>2026-07-01T00:00:00.000Z</x:v>
      </x:c>
      <x:c r="F1655" s="75" t="str">
        <x:v>summer</x:v>
      </x:c>
      <x:c r="G1655" s="75" t="str">
        <x:v>Defender — source label</x:v>
      </x:c>
      <x:c r="H1655" s="79"/>
      <x:c r="I1655" s="75" t="str">
        <x:v>GBP</x:v>
      </x:c>
      <x:c r="J1655" s="81"/>
      <x:c r="K1655" s="83"/>
      <x:c r="L1655" s="75" t="str">
        <x:v>Evidence needed</x:v>
      </x:c>
      <x:c r="M1655" s="75" t="str">
        <x:v>Buyer-specific role, production, availability, signing age and total fee evidence are needed before assigning a deal-value score. Loan/swap costs must be treated separately.</x:v>
      </x:c>
      <x:c r="N1655" s="75" t="str">
        <x:v>Not assessed</x:v>
      </x:c>
      <x:c r="O1655" s="75" t="str">
        <x:v>Source broad position and transfer quote only; detailed role and buyer-specific production not validated.</x:v>
      </x:c>
      <x:c r="P1655" s="75" t="str">
        <x:v>https://www.theguardian.com/football/ng-interactive/2026/sep/01/mens-transfer-window-summer-2026-all-deals-from-europes-top-five-leagues</x:v>
      </x:c>
    </x:row>
    <x:row r="1656" ht="25" customHeight="1">
      <x:c r="A1656" s="69" t="str">
        <x:v>summer-S26-1462</x:v>
      </x:c>
      <x:c r="B1656" s="69" t="str">
        <x:v>Claudio Echeverri</x:v>
      </x:c>
      <x:c r="C1656" s="69" t="str">
        <x:v>Benfica</x:v>
      </x:c>
      <x:c r="D1656" s="69" t="str">
        <x:v>Manchester City</x:v>
      </x:c>
      <x:c r="E1656" s="76" t="d">
        <x:v>2026-09-02T00:00:00.000Z</x:v>
      </x:c>
      <x:c r="F1656" s="69" t="str">
        <x:v>summer</x:v>
      </x:c>
      <x:c r="G1656" s="69" t="str">
        <x:v>Midfielder — source label</x:v>
      </x:c>
      <x:c r="H1656" s="78"/>
      <x:c r="I1656" s="69" t="str">
        <x:v>GBP</x:v>
      </x:c>
      <x:c r="J1656" s="80"/>
      <x:c r="K1656" s="82"/>
      <x:c r="L1656" s="69" t="str">
        <x:v>Evidence needed</x:v>
      </x:c>
      <x:c r="M1656" s="69" t="str">
        <x:v>Buyer-specific role, production, availability, signing age and total fee evidence are needed before assigning a deal-value score. Loan/swap costs must be treated separately.</x:v>
      </x:c>
      <x:c r="N1656" s="69" t="str">
        <x:v>Not assessed</x:v>
      </x:c>
      <x:c r="O1656" s="69" t="str">
        <x:v>Source broad position and transfer quote only; detailed role and buyer-specific production not validated.</x:v>
      </x:c>
      <x:c r="P1656" s="69" t="str">
        <x:v>https://www.theguardian.com/football/ng-interactive/2026/sep/01/mens-transfer-window-summer-2026-all-deals-from-europes-top-five-leagues</x:v>
      </x:c>
    </x:row>
    <x:row r="1657" ht="25" customHeight="1">
      <x:c r="A1657" s="75" t="str">
        <x:v>summer-S26-1466</x:v>
      </x:c>
      <x:c r="B1657" s="75" t="str">
        <x:v>Martin James</x:v>
      </x:c>
      <x:c r="C1657" s="75" t="str">
        <x:v>Cologne</x:v>
      </x:c>
      <x:c r="D1657" s="75" t="str">
        <x:v>Paris Saint-Germain</x:v>
      </x:c>
      <x:c r="E1657" s="77" t="d">
        <x:v>2026-07-24T00:00:00.000Z</x:v>
      </x:c>
      <x:c r="F1657" s="75" t="str">
        <x:v>summer</x:v>
      </x:c>
      <x:c r="G1657" s="75" t="str">
        <x:v>Goalkeeper — source label</x:v>
      </x:c>
      <x:c r="H1657" s="79"/>
      <x:c r="I1657" s="75" t="str">
        <x:v>GBP</x:v>
      </x:c>
      <x:c r="J1657" s="81"/>
      <x:c r="K1657" s="83"/>
      <x:c r="L1657" s="75" t="str">
        <x:v>Evidence needed</x:v>
      </x:c>
      <x:c r="M1657" s="75" t="str">
        <x:v>Buyer-specific shot-stopping, distribution, aerial command, sweeping, signing age and total fee evidence are needed before scoring. A zero base fee does not represent wages or signing costs.</x:v>
      </x:c>
      <x:c r="N1657" s="75" t="str">
        <x:v>Not assessed</x:v>
      </x:c>
      <x:c r="O1657" s="75" t="str">
        <x:v>Source broad position and transfer quote only; detailed role and buyer-specific production not validated.</x:v>
      </x:c>
      <x:c r="P1657" s="75" t="str">
        <x:v>https://www.theguardian.com/football/ng-interactive/2026/sep/01/mens-transfer-window-summer-2026-all-deals-from-europes-top-five-leagues</x:v>
      </x:c>
    </x:row>
    <x:row r="1658" ht="25" customHeight="1">
      <x:c r="A1658" s="69" t="str">
        <x:v>summer-S26-1468</x:v>
      </x:c>
      <x:c r="B1658" s="69" t="str">
        <x:v>Elias Bakatukanda</x:v>
      </x:c>
      <x:c r="C1658" s="69" t="str">
        <x:v>Osnabrück</x:v>
      </x:c>
      <x:c r="D1658" s="69" t="str">
        <x:v>Cologne</x:v>
      </x:c>
      <x:c r="E1658" s="76" t="d">
        <x:v>2026-09-01T00:00:00.000Z</x:v>
      </x:c>
      <x:c r="F1658" s="69" t="str">
        <x:v>summer</x:v>
      </x:c>
      <x:c r="G1658" s="69" t="str">
        <x:v>Defender — source label</x:v>
      </x:c>
      <x:c r="H1658" s="78"/>
      <x:c r="I1658" s="69" t="str">
        <x:v>GBP</x:v>
      </x:c>
      <x:c r="J1658" s="80"/>
      <x:c r="K1658" s="82"/>
      <x:c r="L1658" s="69" t="str">
        <x:v>Evidence needed</x:v>
      </x:c>
      <x:c r="M1658" s="69" t="str">
        <x:v>Buyer-specific role, production, availability, signing age and total fee evidence are needed before assigning a deal-value score. Loan/swap costs must be treated separately.</x:v>
      </x:c>
      <x:c r="N1658" s="69" t="str">
        <x:v>Not assessed</x:v>
      </x:c>
      <x:c r="O1658" s="69" t="str">
        <x:v>Source broad position and transfer quote only; detailed role and buyer-specific production not validated.</x:v>
      </x:c>
      <x:c r="P1658" s="69" t="str">
        <x:v>https://www.theguardian.com/football/ng-interactive/2026/sep/01/mens-transfer-window-summer-2026-all-deals-from-europes-top-five-leagues</x:v>
      </x:c>
    </x:row>
    <x:row r="1659" ht="25" customHeight="1">
      <x:c r="A1659" s="75" t="str">
        <x:v>summer-S26-1470</x:v>
      </x:c>
      <x:c r="B1659" s="75" t="str">
        <x:v>Patrik Kristal</x:v>
      </x:c>
      <x:c r="C1659" s="75" t="str">
        <x:v>Thun</x:v>
      </x:c>
      <x:c r="D1659" s="75" t="str">
        <x:v>Cologne</x:v>
      </x:c>
      <x:c r="E1659" s="77" t="d">
        <x:v>2026-09-01T00:00:00.000Z</x:v>
      </x:c>
      <x:c r="F1659" s="75" t="str">
        <x:v>summer</x:v>
      </x:c>
      <x:c r="G1659" s="75" t="str">
        <x:v>Midfielder — source label</x:v>
      </x:c>
      <x:c r="H1659" s="79"/>
      <x:c r="I1659" s="75" t="str">
        <x:v>GBP</x:v>
      </x:c>
      <x:c r="J1659" s="81"/>
      <x:c r="K1659" s="83"/>
      <x:c r="L1659" s="75" t="str">
        <x:v>Evidence needed</x:v>
      </x:c>
      <x:c r="M1659" s="75" t="str">
        <x:v>Buyer-specific role, production, availability, signing age and total fee evidence are needed before assigning a deal-value score. Loan/swap costs must be treated separately.</x:v>
      </x:c>
      <x:c r="N1659" s="75" t="str">
        <x:v>Not assessed</x:v>
      </x:c>
      <x:c r="O1659" s="75" t="str">
        <x:v>Source broad position and transfer quote only; detailed role and buyer-specific production not validated.</x:v>
      </x:c>
      <x:c r="P1659" s="75" t="str">
        <x:v>https://www.theguardian.com/football/ng-interactive/2026/sep/01/mens-transfer-window-summer-2026-all-deals-from-europes-top-five-leagues</x:v>
      </x:c>
    </x:row>
    <x:row r="1660" ht="25" customHeight="1">
      <x:c r="A1660" s="69" t="str">
        <x:v>summer-S26-1473</x:v>
      </x:c>
      <x:c r="B1660" s="69" t="str">
        <x:v>Rayane Belaid</x:v>
      </x:c>
      <x:c r="C1660" s="69" t="str">
        <x:v>Rayo Vallecano</x:v>
      </x:c>
      <x:c r="D1660" s="69" t="str">
        <x:v>Atlético Madrid</x:v>
      </x:c>
      <x:c r="E1660" s="76" t="d">
        <x:v>2026-09-03T00:00:00.000Z</x:v>
      </x:c>
      <x:c r="F1660" s="69" t="str">
        <x:v>summer</x:v>
      </x:c>
      <x:c r="G1660" s="69" t="str">
        <x:v>Midfielder — source label</x:v>
      </x:c>
      <x:c r="H1660" s="78" t="n">
        <x:v>450000</x:v>
      </x:c>
      <x:c r="I1660" s="69" t="str">
        <x:v>GBP</x:v>
      </x:c>
      <x:c r="J1660" s="80"/>
      <x:c r="K1660" s="82"/>
      <x:c r="L1660" s="69" t="str">
        <x:v>Evidence needed</x:v>
      </x:c>
      <x:c r="M1660" s="69" t="str">
        <x:v>Buyer-specific role, production, availability, signing age and total fee evidence are needed before assigning a deal-value score.</x:v>
      </x:c>
      <x:c r="N1660" s="69" t="str">
        <x:v>Not assessed</x:v>
      </x:c>
      <x:c r="O1660" s="69" t="str">
        <x:v>Source broad position and transfer quote only; detailed role and buyer-specific production not validated.</x:v>
      </x:c>
      <x:c r="P1660" s="69" t="str">
        <x:v>https://www.theguardian.com/football/ng-interactive/2026/sep/01/mens-transfer-window-summer-2026-all-deals-from-europes-top-five-leagues</x:v>
      </x:c>
    </x:row>
    <x:row r="1661" ht="25" customHeight="1">
      <x:c r="A1661" s="75" t="str">
        <x:v>summer-S26-1474</x:v>
      </x:c>
      <x:c r="B1661" s="75" t="str">
        <x:v>Carlos Álvarez</x:v>
      </x:c>
      <x:c r="C1661" s="75" t="str">
        <x:v>Club América</x:v>
      </x:c>
      <x:c r="D1661" s="75" t="str">
        <x:v>Levante</x:v>
      </x:c>
      <x:c r="E1661" s="77" t="d">
        <x:v>2026-09-02T00:00:00.000Z</x:v>
      </x:c>
      <x:c r="F1661" s="75" t="str">
        <x:v>summer</x:v>
      </x:c>
      <x:c r="G1661" s="75" t="str">
        <x:v>Midfielder — source label</x:v>
      </x:c>
      <x:c r="H1661" s="79" t="n">
        <x:v>5200000</x:v>
      </x:c>
      <x:c r="I1661" s="75" t="str">
        <x:v>GBP</x:v>
      </x:c>
      <x:c r="J1661" s="81"/>
      <x:c r="K1661" s="83"/>
      <x:c r="L1661" s="75" t="str">
        <x:v>Evidence needed</x:v>
      </x:c>
      <x:c r="M1661" s="75" t="str">
        <x:v>Buyer-specific role, production, availability, signing age and total fee evidence are needed before assigning a deal-value score.</x:v>
      </x:c>
      <x:c r="N1661" s="75" t="str">
        <x:v>Not assessed</x:v>
      </x:c>
      <x:c r="O1661" s="75" t="str">
        <x:v>Source broad position and transfer quote only; detailed role and buyer-specific production not validated.</x:v>
      </x:c>
      <x:c r="P1661" s="75" t="str">
        <x:v>https://www.theguardian.com/football/ng-interactive/2026/sep/01/mens-transfer-window-summer-2026-all-deals-from-europes-top-five-leagues</x:v>
      </x:c>
    </x:row>
    <x:row r="1662" ht="25" customHeight="1">
      <x:c r="A1662" s="69" t="str">
        <x:v>summer-S26-1477</x:v>
      </x:c>
      <x:c r="B1662" s="69" t="str">
        <x:v>Brad Mantsounga</x:v>
      </x:c>
      <x:c r="C1662" s="69" t="str">
        <x:v>RE Virton</x:v>
      </x:c>
      <x:c r="D1662" s="69" t="str">
        <x:v>Nice</x:v>
      </x:c>
      <x:c r="E1662" s="76" t="d">
        <x:v>2026-09-03T00:00:00.000Z</x:v>
      </x:c>
      <x:c r="F1662" s="69" t="str">
        <x:v>summer</x:v>
      </x:c>
      <x:c r="G1662" s="69" t="str">
        <x:v>Defender — source label</x:v>
      </x:c>
      <x:c r="H1662" s="78"/>
      <x:c r="I1662" s="69" t="str">
        <x:v>GBP</x:v>
      </x:c>
      <x:c r="J1662" s="80"/>
      <x:c r="K1662" s="82"/>
      <x:c r="L1662" s="69" t="str">
        <x:v>Evidence needed</x:v>
      </x:c>
      <x:c r="M1662" s="69" t="str">
        <x:v>Buyer-specific role, production, availability, signing age and total fee evidence are needed before assigning a deal-value score. Loan/swap costs must be treated separately.</x:v>
      </x:c>
      <x:c r="N1662" s="69" t="str">
        <x:v>Not assessed</x:v>
      </x:c>
      <x:c r="O1662" s="69" t="str">
        <x:v>Source broad position and transfer quote only; detailed role and buyer-specific production not validated.</x:v>
      </x:c>
      <x:c r="P1662" s="69" t="str">
        <x:v>https://www.theguardian.com/football/ng-interactive/2026/sep/01/mens-transfer-window-summer-2026-all-deals-from-europes-top-five-leagues</x:v>
      </x:c>
    </x:row>
    <x:row r="1663" ht="25" customHeight="1">
      <x:c r="A1663" s="75" t="str">
        <x:v>summer-S26-1479</x:v>
      </x:c>
      <x:c r="B1663" s="75" t="str">
        <x:v>Xavi Grande</x:v>
      </x:c>
      <x:c r="C1663" s="75" t="str">
        <x:v>Académica de Coimbra</x:v>
      </x:c>
      <x:c r="D1663" s="75" t="str">
        <x:v>Levante</x:v>
      </x:c>
      <x:c r="E1663" s="77" t="d">
        <x:v>2026-09-04T00:00:00.000Z</x:v>
      </x:c>
      <x:c r="F1663" s="75" t="str">
        <x:v>summer</x:v>
      </x:c>
      <x:c r="G1663" s="75" t="str">
        <x:v>Defender — source label</x:v>
      </x:c>
      <x:c r="H1663" s="79"/>
      <x:c r="I1663" s="75" t="str">
        <x:v>GBP</x:v>
      </x:c>
      <x:c r="J1663" s="81"/>
      <x:c r="K1663" s="83"/>
      <x:c r="L1663" s="75" t="str">
        <x:v>Evidence needed</x:v>
      </x:c>
      <x:c r="M1663" s="75" t="str">
        <x:v>Buyer-specific role, production, availability, signing age and total fee evidence are needed before assigning a deal-value score. A zero base fee does not represent wages or signing costs.</x:v>
      </x:c>
      <x:c r="N1663" s="75" t="str">
        <x:v>Not assessed</x:v>
      </x:c>
      <x:c r="O1663" s="75" t="str">
        <x:v>Source broad position and transfer quote only; detailed role and buyer-specific production not validated.</x:v>
      </x:c>
      <x:c r="P1663" s="75" t="str">
        <x:v>https://www.theguardian.com/football/ng-interactive/2026/sep/01/mens-transfer-window-summer-2026-all-deals-from-europes-top-five-leagues</x:v>
      </x:c>
    </x:row>
    <x:row r="1664" ht="25" customHeight="1">
      <x:c r="A1664" s="69" t="str">
        <x:v>summer-S26-1483</x:v>
      </x:c>
      <x:c r="B1664" s="69" t="str">
        <x:v>Gerónimo Spina</x:v>
      </x:c>
      <x:c r="C1664" s="69" t="str">
        <x:v>Ajax</x:v>
      </x:c>
      <x:c r="D1664" s="69" t="str">
        <x:v>Atlético Madrid</x:v>
      </x:c>
      <x:c r="E1664" s="76" t="d">
        <x:v>2026-09-02T00:00:00.000Z</x:v>
      </x:c>
      <x:c r="F1664" s="69" t="str">
        <x:v>summer</x:v>
      </x:c>
      <x:c r="G1664" s="69" t="str">
        <x:v>Defender — source label</x:v>
      </x:c>
      <x:c r="H1664" s="78" t="n">
        <x:v>340000</x:v>
      </x:c>
      <x:c r="I1664" s="69" t="str">
        <x:v>GBP</x:v>
      </x:c>
      <x:c r="J1664" s="80"/>
      <x:c r="K1664" s="82"/>
      <x:c r="L1664" s="69" t="str">
        <x:v>Evidence needed</x:v>
      </x:c>
      <x:c r="M1664" s="69" t="str">
        <x:v>Buyer-specific role, production, availability, signing age and total fee evidence are needed before assigning a deal-value score.</x:v>
      </x:c>
      <x:c r="N1664" s="69" t="str">
        <x:v>Not assessed</x:v>
      </x:c>
      <x:c r="O1664" s="69" t="str">
        <x:v>Source broad position and transfer quote only; detailed role and buyer-specific production not validated.</x:v>
      </x:c>
      <x:c r="P1664" s="69" t="str">
        <x:v>https://www.theguardian.com/football/ng-interactive/2026/sep/01/mens-transfer-window-summer-2026-all-deals-from-europes-top-five-leagues</x:v>
      </x:c>
    </x:row>
    <x:row r="1665" ht="25" customHeight="1">
      <x:c r="A1665" s="75" t="str">
        <x:v>summer-S26-1485</x:v>
      </x:c>
      <x:c r="B1665" s="75" t="str">
        <x:v>Charlie Patiño</x:v>
      </x:c>
      <x:c r="C1665" s="75" t="str">
        <x:v>Bochum</x:v>
      </x:c>
      <x:c r="D1665" s="75" t="str">
        <x:v>Deportivo La Coruña</x:v>
      </x:c>
      <x:c r="E1665" s="77" t="d">
        <x:v>2026-09-01T00:00:00.000Z</x:v>
      </x:c>
      <x:c r="F1665" s="75" t="str">
        <x:v>summer</x:v>
      </x:c>
      <x:c r="G1665" s="75" t="str">
        <x:v>Midfielder — source label</x:v>
      </x:c>
      <x:c r="H1665" s="79"/>
      <x:c r="I1665" s="75" t="str">
        <x:v>GBP</x:v>
      </x:c>
      <x:c r="J1665" s="81"/>
      <x:c r="K1665" s="83"/>
      <x:c r="L1665" s="75" t="str">
        <x:v>Evidence needed</x:v>
      </x:c>
      <x:c r="M1665" s="75" t="str">
        <x:v>Buyer-specific role, production, availability, signing age and total fee evidence are needed before assigning a deal-value score. Loan/swap costs must be treated separately.</x:v>
      </x:c>
      <x:c r="N1665" s="75" t="str">
        <x:v>Not assessed</x:v>
      </x:c>
      <x:c r="O1665" s="75" t="str">
        <x:v>Source broad position and transfer quote only; detailed role and buyer-specific production not validated.</x:v>
      </x:c>
      <x:c r="P1665" s="75" t="str">
        <x:v>https://www.theguardian.com/football/ng-interactive/2026/sep/01/mens-transfer-window-summer-2026-all-deals-from-europes-top-five-leagues</x:v>
      </x:c>
    </x:row>
    <x:row r="1666" ht="25" customHeight="1">
      <x:c r="A1666" s="69" t="str">
        <x:v>summer-S26-1486</x:v>
      </x:c>
      <x:c r="B1666" s="69" t="str">
        <x:v>Héctor Fort</x:v>
      </x:c>
      <x:c r="C1666" s="69" t="str">
        <x:v>Real Sociedad</x:v>
      </x:c>
      <x:c r="D1666" s="69" t="str">
        <x:v>Barcelona</x:v>
      </x:c>
      <x:c r="E1666" s="76" t="d">
        <x:v>2026-08-30T00:00:00.000Z</x:v>
      </x:c>
      <x:c r="F1666" s="69" t="str">
        <x:v>summer</x:v>
      </x:c>
      <x:c r="G1666" s="69" t="str">
        <x:v>Defender — source label</x:v>
      </x:c>
      <x:c r="H1666" s="78" t="n">
        <x:v>7200000</x:v>
      </x:c>
      <x:c r="I1666" s="69" t="str">
        <x:v>GBP</x:v>
      </x:c>
      <x:c r="J1666" s="80"/>
      <x:c r="K1666" s="82"/>
      <x:c r="L1666" s="69" t="str">
        <x:v>Evidence needed</x:v>
      </x:c>
      <x:c r="M1666" s="69" t="str">
        <x:v>Buyer-specific role, production, availability, signing age and total fee evidence are needed before assigning a deal-value score.</x:v>
      </x:c>
      <x:c r="N1666" s="69" t="str">
        <x:v>Not assessed</x:v>
      </x:c>
      <x:c r="O1666" s="69" t="str">
        <x:v>Source broad position and transfer quote only; detailed role and buyer-specific production not validated.</x:v>
      </x:c>
      <x:c r="P1666" s="69" t="str">
        <x:v>https://www.theguardian.com/football/ng-interactive/2026/sep/01/mens-transfer-window-summer-2026-all-deals-from-europes-top-five-leagues</x:v>
      </x:c>
    </x:row>
    <x:row r="1667" ht="25" customHeight="1">
      <x:c r="A1667" s="75" t="str">
        <x:v>summer-S26-1487</x:v>
      </x:c>
      <x:c r="B1667" s="75" t="str">
        <x:v>Oscar Naasei</x:v>
      </x:c>
      <x:c r="C1667" s="75" t="str">
        <x:v>Real Madrid</x:v>
      </x:c>
      <x:c r="D1667" s="75" t="str">
        <x:v>Granada</x:v>
      </x:c>
      <x:c r="E1667" s="77" t="d">
        <x:v>2026-08-27T00:00:00.000Z</x:v>
      </x:c>
      <x:c r="F1667" s="75" t="str">
        <x:v>summer</x:v>
      </x:c>
      <x:c r="G1667" s="75" t="str">
        <x:v>Defender — source label</x:v>
      </x:c>
      <x:c r="H1667" s="79" t="n">
        <x:v>1700000</x:v>
      </x:c>
      <x:c r="I1667" s="75" t="str">
        <x:v>GBP</x:v>
      </x:c>
      <x:c r="J1667" s="81"/>
      <x:c r="K1667" s="83"/>
      <x:c r="L1667" s="75" t="str">
        <x:v>Evidence needed</x:v>
      </x:c>
      <x:c r="M1667" s="75" t="str">
        <x:v>Buyer-specific role, production, availability, signing age and total fee evidence are needed before assigning a deal-value score.</x:v>
      </x:c>
      <x:c r="N1667" s="75" t="str">
        <x:v>Not assessed</x:v>
      </x:c>
      <x:c r="O1667" s="75" t="str">
        <x:v>Source broad position and transfer quote only; detailed role and buyer-specific production not validated.</x:v>
      </x:c>
      <x:c r="P1667" s="75" t="str">
        <x:v>https://www.theguardian.com/football/ng-interactive/2026/sep/01/mens-transfer-window-summer-2026-all-deals-from-europes-top-five-leagues</x:v>
      </x:c>
    </x:row>
    <x:row r="1668" ht="25" customHeight="1">
      <x:c r="A1668" s="69" t="str">
        <x:v>summer-S26-1488</x:v>
      </x:c>
      <x:c r="B1668" s="69" t="str">
        <x:v>Javier Boñar</x:v>
      </x:c>
      <x:c r="C1668" s="69" t="str">
        <x:v>Girona</x:v>
      </x:c>
      <x:c r="D1668" s="69" t="str">
        <x:v>Atlético Madrid</x:v>
      </x:c>
      <x:c r="E1668" s="76" t="d">
        <x:v>2026-08-27T00:00:00.000Z</x:v>
      </x:c>
      <x:c r="F1668" s="69" t="str">
        <x:v>summer</x:v>
      </x:c>
      <x:c r="G1668" s="69" t="str">
        <x:v>Defender — source label</x:v>
      </x:c>
      <x:c r="H1668" s="78" t="n">
        <x:v>1700000</x:v>
      </x:c>
      <x:c r="I1668" s="69" t="str">
        <x:v>GBP</x:v>
      </x:c>
      <x:c r="J1668" s="80"/>
      <x:c r="K1668" s="82"/>
      <x:c r="L1668" s="69" t="str">
        <x:v>Evidence needed</x:v>
      </x:c>
      <x:c r="M1668" s="69" t="str">
        <x:v>Buyer-specific role, production, availability, signing age and total fee evidence are needed before assigning a deal-value score.</x:v>
      </x:c>
      <x:c r="N1668" s="69" t="str">
        <x:v>Not assessed</x:v>
      </x:c>
      <x:c r="O1668" s="69" t="str">
        <x:v>Source broad position and transfer quote only; detailed role and buyer-specific production not validated.</x:v>
      </x:c>
      <x:c r="P1668" s="69" t="str">
        <x:v>https://www.theguardian.com/football/ng-interactive/2026/sep/01/mens-transfer-window-summer-2026-all-deals-from-europes-top-five-leagues</x:v>
      </x:c>
    </x:row>
    <x:row r="1669" ht="25" customHeight="1">
      <x:c r="A1669" s="75" t="str">
        <x:v>summer-S26-1491</x:v>
      </x:c>
      <x:c r="B1669" s="75" t="str">
        <x:v>Srdjan Kuzmic</x:v>
      </x:c>
      <x:c r="C1669" s="75" t="str">
        <x:v>Lorient</x:v>
      </x:c>
      <x:c r="D1669" s="75" t="str">
        <x:v>Viborg</x:v>
      </x:c>
      <x:c r="E1669" s="77" t="d">
        <x:v>2026-08-31T00:00:00.000Z</x:v>
      </x:c>
      <x:c r="F1669" s="75" t="str">
        <x:v>summer</x:v>
      </x:c>
      <x:c r="G1669" s="75" t="str">
        <x:v>Defender — source label</x:v>
      </x:c>
      <x:c r="H1669" s="79" t="n">
        <x:v>2600000</x:v>
      </x:c>
      <x:c r="I1669" s="75" t="str">
        <x:v>GBP</x:v>
      </x:c>
      <x:c r="J1669" s="81"/>
      <x:c r="K1669" s="83"/>
      <x:c r="L1669" s="75" t="str">
        <x:v>Evidence needed</x:v>
      </x:c>
      <x:c r="M1669" s="75" t="str">
        <x:v>Buyer-specific role, production, availability, signing age and total fee evidence are needed before assigning a deal-value score.</x:v>
      </x:c>
      <x:c r="N1669" s="75" t="str">
        <x:v>Not assessed</x:v>
      </x:c>
      <x:c r="O1669" s="75" t="str">
        <x:v>Source broad position and transfer quote only; detailed role and buyer-specific production not validated.</x:v>
      </x:c>
      <x:c r="P1669" s="75" t="str">
        <x:v>https://www.theguardian.com/football/ng-interactive/2026/sep/01/mens-transfer-window-summer-2026-all-deals-from-europes-top-five-leagues</x:v>
      </x:c>
    </x:row>
    <x:row r="1670" ht="25" customHeight="1">
      <x:c r="A1670" s="69" t="str">
        <x:v>summer-S26-1493</x:v>
      </x:c>
      <x:c r="B1670" s="69" t="str">
        <x:v>Pape Diong</x:v>
      </x:c>
      <x:c r="C1670" s="69" t="str">
        <x:v>Westerlo</x:v>
      </x:c>
      <x:c r="D1670" s="69" t="str">
        <x:v>Strasbourg</x:v>
      </x:c>
      <x:c r="E1670" s="76" t="d">
        <x:v>2026-07-27T00:00:00.000Z</x:v>
      </x:c>
      <x:c r="F1670" s="69" t="str">
        <x:v>summer</x:v>
      </x:c>
      <x:c r="G1670" s="69" t="str">
        <x:v>Midfielder — source label</x:v>
      </x:c>
      <x:c r="H1670" s="78" t="n">
        <x:v>1300000</x:v>
      </x:c>
      <x:c r="I1670" s="69" t="str">
        <x:v>GBP</x:v>
      </x:c>
      <x:c r="J1670" s="80"/>
      <x:c r="K1670" s="82"/>
      <x:c r="L1670" s="69" t="str">
        <x:v>Evidence needed</x:v>
      </x:c>
      <x:c r="M1670" s="69" t="str">
        <x:v>Buyer-specific role, production, availability, signing age and total fee evidence are needed before assigning a deal-value score.</x:v>
      </x:c>
      <x:c r="N1670" s="69" t="str">
        <x:v>Not assessed</x:v>
      </x:c>
      <x:c r="O1670" s="69" t="str">
        <x:v>Source broad position and transfer quote only; detailed role and buyer-specific production not validated.</x:v>
      </x:c>
      <x:c r="P1670" s="69" t="str">
        <x:v>https://www.theguardian.com/football/ng-interactive/2026/sep/01/mens-transfer-window-summer-2026-all-deals-from-europes-top-five-leagues</x:v>
      </x:c>
    </x:row>
    <x:row r="1671" ht="25" customHeight="1">
      <x:c r="A1671" s="75" t="str">
        <x:v>summer-S26-1494</x:v>
      </x:c>
      <x:c r="B1671" s="75" t="str">
        <x:v>Jacques Ekomié</x:v>
      </x:c>
      <x:c r="C1671" s="75" t="str">
        <x:v>Wrexham</x:v>
      </x:c>
      <x:c r="D1671" s="75" t="str">
        <x:v>Angers</x:v>
      </x:c>
      <x:c r="E1671" s="77" t="d">
        <x:v>2026-07-27T00:00:00.000Z</x:v>
      </x:c>
      <x:c r="F1671" s="75" t="str">
        <x:v>summer</x:v>
      </x:c>
      <x:c r="G1671" s="75" t="str">
        <x:v>Defender — source label</x:v>
      </x:c>
      <x:c r="H1671" s="79" t="n">
        <x:v>6900000</x:v>
      </x:c>
      <x:c r="I1671" s="75" t="str">
        <x:v>GBP</x:v>
      </x:c>
      <x:c r="J1671" s="81"/>
      <x:c r="K1671" s="83"/>
      <x:c r="L1671" s="75" t="str">
        <x:v>Evidence needed</x:v>
      </x:c>
      <x:c r="M1671" s="75" t="str">
        <x:v>Buyer-specific role, production, availability, signing age and total fee evidence are needed before assigning a deal-value score.</x:v>
      </x:c>
      <x:c r="N1671" s="75" t="str">
        <x:v>Not assessed</x:v>
      </x:c>
      <x:c r="O1671" s="75" t="str">
        <x:v>Source broad position and transfer quote only; detailed role and buyer-specific production not validated.</x:v>
      </x:c>
      <x:c r="P1671" s="75" t="str">
        <x:v>https://www.theguardian.com/football/ng-interactive/2026/sep/01/mens-transfer-window-summer-2026-all-deals-from-europes-top-five-leagues</x:v>
      </x:c>
    </x:row>
    <x:row r="1672" ht="25" customHeight="1">
      <x:c r="A1672" s="69" t="str">
        <x:v>summer-S26-1496</x:v>
      </x:c>
      <x:c r="B1672" s="69" t="str">
        <x:v>Mory Diaw</x:v>
      </x:c>
      <x:c r="C1672" s="69" t="str">
        <x:v>Al-Shabab</x:v>
      </x:c>
      <x:c r="D1672" s="69" t="str">
        <x:v>Le Havre</x:v>
      </x:c>
      <x:c r="E1672" s="76" t="d">
        <x:v>2026-08-25T00:00:00.000Z</x:v>
      </x:c>
      <x:c r="F1672" s="69" t="str">
        <x:v>summer</x:v>
      </x:c>
      <x:c r="G1672" s="69" t="str">
        <x:v>Goalkeeper — source label</x:v>
      </x:c>
      <x:c r="H1672" s="78"/>
      <x:c r="I1672" s="69" t="str">
        <x:v>GBP</x:v>
      </x:c>
      <x:c r="J1672" s="80"/>
      <x:c r="K1672" s="82"/>
      <x:c r="L1672" s="69" t="str">
        <x:v>Evidence needed</x:v>
      </x:c>
      <x:c r="M1672" s="69" t="str">
        <x:v>Buyer-specific shot-stopping, distribution, aerial command, sweeping, signing age and total fee evidence are needed before scoring.</x:v>
      </x:c>
      <x:c r="N1672" s="69" t="str">
        <x:v>Not assessed</x:v>
      </x:c>
      <x:c r="O1672" s="69" t="str">
        <x:v>Source broad position and transfer quote only; detailed role and buyer-specific production not validated.</x:v>
      </x:c>
      <x:c r="P1672" s="69" t="str">
        <x:v>https://www.theguardian.com/football/ng-interactive/2026/sep/01/mens-transfer-window-summer-2026-all-deals-from-europes-top-five-leagues</x:v>
      </x:c>
    </x:row>
    <x:row r="1673" ht="25" customHeight="1">
      <x:c r="A1673" s="75" t="str">
        <x:v>summer-S26-1497</x:v>
      </x:c>
      <x:c r="B1673" s="75" t="str">
        <x:v>Joseph Kalulu</x:v>
      </x:c>
      <x:c r="C1673" s="75" t="str">
        <x:v>Angers</x:v>
      </x:c>
      <x:c r="D1673" s="75" t="str">
        <x:v>Pau</x:v>
      </x:c>
      <x:c r="E1673" s="77" t="d">
        <x:v>2026-08-20T00:00:00.000Z</x:v>
      </x:c>
      <x:c r="F1673" s="75" t="str">
        <x:v>summer</x:v>
      </x:c>
      <x:c r="G1673" s="75" t="str">
        <x:v>Defender — source label</x:v>
      </x:c>
      <x:c r="H1673" s="79" t="n">
        <x:v>1700000</x:v>
      </x:c>
      <x:c r="I1673" s="75" t="str">
        <x:v>GBP</x:v>
      </x:c>
      <x:c r="J1673" s="81"/>
      <x:c r="K1673" s="83"/>
      <x:c r="L1673" s="75" t="str">
        <x:v>Evidence needed</x:v>
      </x:c>
      <x:c r="M1673" s="75" t="str">
        <x:v>Buyer-specific role, production, availability, signing age and total fee evidence are needed before assigning a deal-value score.</x:v>
      </x:c>
      <x:c r="N1673" s="75" t="str">
        <x:v>Not assessed</x:v>
      </x:c>
      <x:c r="O1673" s="75" t="str">
        <x:v>Source broad position and transfer quote only; detailed role and buyer-specific production not validated.</x:v>
      </x:c>
      <x:c r="P1673" s="75" t="str">
        <x:v>https://www.theguardian.com/football/ng-interactive/2026/sep/01/mens-transfer-window-summer-2026-all-deals-from-europes-top-five-leagues</x:v>
      </x:c>
    </x:row>
    <x:row r="1674" ht="25" customHeight="1">
      <x:c r="A1674" s="69" t="str">
        <x:v>summer-S26-1499</x:v>
      </x:c>
      <x:c r="B1674" s="69" t="str">
        <x:v>Kiano Dyer</x:v>
      </x:c>
      <x:c r="C1674" s="69" t="str">
        <x:v>Chesterfield</x:v>
      </x:c>
      <x:c r="D1674" s="69" t="str">
        <x:v>Chelsea</x:v>
      </x:c>
      <x:c r="E1674" s="76" t="d">
        <x:v>2026-09-02T00:00:00.000Z</x:v>
      </x:c>
      <x:c r="F1674" s="69" t="str">
        <x:v>summer</x:v>
      </x:c>
      <x:c r="G1674" s="69" t="str">
        <x:v>Midfielder — source label</x:v>
      </x:c>
      <x:c r="H1674" s="78"/>
      <x:c r="I1674" s="69" t="str">
        <x:v>GBP</x:v>
      </x:c>
      <x:c r="J1674" s="80"/>
      <x:c r="K1674" s="82"/>
      <x:c r="L1674" s="69" t="str">
        <x:v>Evidence needed</x:v>
      </x:c>
      <x:c r="M1674" s="69" t="str">
        <x:v>Buyer-specific role, production, availability, signing age and total fee evidence are needed before assigning a deal-value score. Loan/swap costs must be treated separately.</x:v>
      </x:c>
      <x:c r="N1674" s="69" t="str">
        <x:v>Not assessed</x:v>
      </x:c>
      <x:c r="O1674" s="69" t="str">
        <x:v>Source broad position and transfer quote only; detailed role and buyer-specific production not validated.</x:v>
      </x:c>
      <x:c r="P1674" s="69" t="str">
        <x:v>https://www.theguardian.com/football/ng-interactive/2026/sep/01/mens-transfer-window-summer-2026-all-deals-from-europes-top-five-leagues</x:v>
      </x:c>
    </x:row>
    <x:row r="1675" ht="25" customHeight="1">
      <x:c r="A1675" s="75" t="str">
        <x:v>summer-S26-1500</x:v>
      </x:c>
      <x:c r="B1675" s="75" t="str">
        <x:v>Mathys De Carvalho</x:v>
      </x:c>
      <x:c r="C1675" s="75" t="str">
        <x:v>Al-Diriyah</x:v>
      </x:c>
      <x:c r="D1675" s="75" t="str">
        <x:v>Lyon</x:v>
      </x:c>
      <x:c r="E1675" s="77" t="d">
        <x:v>2026-09-07T00:00:00.000Z</x:v>
      </x:c>
      <x:c r="F1675" s="75" t="str">
        <x:v>summer</x:v>
      </x:c>
      <x:c r="G1675" s="75" t="str">
        <x:v>Midfielder — source label</x:v>
      </x:c>
      <x:c r="H1675" s="79" t="n">
        <x:v>900000</x:v>
      </x:c>
      <x:c r="I1675" s="75" t="str">
        <x:v>GBP</x:v>
      </x:c>
      <x:c r="J1675" s="81"/>
      <x:c r="K1675" s="83"/>
      <x:c r="L1675" s="75" t="str">
        <x:v>Evidence needed</x:v>
      </x:c>
      <x:c r="M1675" s="75" t="str">
        <x:v>Buyer-specific role, production, availability, signing age and total fee evidence are needed before assigning a deal-value score.</x:v>
      </x:c>
      <x:c r="N1675" s="75" t="str">
        <x:v>Not assessed</x:v>
      </x:c>
      <x:c r="O1675" s="75" t="str">
        <x:v>Source broad position and transfer quote only; detailed role and buyer-specific production not validated.</x:v>
      </x:c>
      <x:c r="P1675" s="75" t="str">
        <x:v>https://www.theguardian.com/football/ng-interactive/2026/sep/01/mens-transfer-window-summer-2026-all-deals-from-europes-top-five-leagues</x:v>
      </x:c>
    </x:row>
    <x:row r="1676" ht="25" customHeight="1">
      <x:c r="A1676" s="69" t="str">
        <x:v>summer-S26-1501</x:v>
      </x:c>
      <x:c r="B1676" s="69" t="str">
        <x:v>Matty Jacob</x:v>
      </x:c>
      <x:c r="C1676" s="69" t="str">
        <x:v>Newport County</x:v>
      </x:c>
      <x:c r="D1676" s="69" t="str">
        <x:v>Hull City</x:v>
      </x:c>
      <x:c r="E1676" s="76" t="d">
        <x:v>2026-09-02T00:00:00.000Z</x:v>
      </x:c>
      <x:c r="F1676" s="69" t="str">
        <x:v>summer</x:v>
      </x:c>
      <x:c r="G1676" s="69" t="str">
        <x:v>Defender — source label</x:v>
      </x:c>
      <x:c r="H1676" s="78"/>
      <x:c r="I1676" s="69" t="str">
        <x:v>GBP</x:v>
      </x:c>
      <x:c r="J1676" s="80"/>
      <x:c r="K1676" s="82"/>
      <x:c r="L1676" s="69" t="str">
        <x:v>Evidence needed</x:v>
      </x:c>
      <x:c r="M1676" s="69" t="str">
        <x:v>Buyer-specific role, production, availability, signing age and total fee evidence are needed before assigning a deal-value score. Loan/swap costs must be treated separately.</x:v>
      </x:c>
      <x:c r="N1676" s="69" t="str">
        <x:v>Not assessed</x:v>
      </x:c>
      <x:c r="O1676" s="69" t="str">
        <x:v>Source broad position and transfer quote only; detailed role and buyer-specific production not validated.</x:v>
      </x:c>
      <x:c r="P1676" s="69" t="str">
        <x:v>https://www.theguardian.com/football/ng-interactive/2026/sep/01/mens-transfer-window-summer-2026-all-deals-from-europes-top-five-leagues</x:v>
      </x:c>
    </x:row>
    <x:row r="1677" ht="25" customHeight="1">
      <x:c r="A1677" s="75" t="str">
        <x:v>summer-S26-1503</x:v>
      </x:c>
      <x:c r="B1677" s="75" t="str">
        <x:v>Francisco Sierralta</x:v>
      </x:c>
      <x:c r="C1677" s="75" t="str">
        <x:v>Piast Gliwice</x:v>
      </x:c>
      <x:c r="D1677" s="75" t="str">
        <x:v>Auxerre</x:v>
      </x:c>
      <x:c r="E1677" s="77" t="d">
        <x:v>2026-09-09T00:00:00.000Z</x:v>
      </x:c>
      <x:c r="F1677" s="75" t="str">
        <x:v>summer</x:v>
      </x:c>
      <x:c r="G1677" s="75" t="str">
        <x:v>Defender — source label</x:v>
      </x:c>
      <x:c r="H1677" s="79"/>
      <x:c r="I1677" s="75" t="str">
        <x:v>GBP</x:v>
      </x:c>
      <x:c r="J1677" s="81"/>
      <x:c r="K1677" s="83"/>
      <x:c r="L1677" s="75" t="str">
        <x:v>Evidence needed</x:v>
      </x:c>
      <x:c r="M1677" s="75" t="str">
        <x:v>Buyer-specific role, production, availability, signing age and total fee evidence are needed before assigning a deal-value score. Loan/swap costs must be treated separately.</x:v>
      </x:c>
      <x:c r="N1677" s="75" t="str">
        <x:v>Not assessed</x:v>
      </x:c>
      <x:c r="O1677" s="75" t="str">
        <x:v>Source broad position and transfer quote only; detailed role and buyer-specific production not validated.</x:v>
      </x:c>
      <x:c r="P1677" s="75" t="str">
        <x:v>https://www.theguardian.com/football/ng-interactive/2026/sep/01/mens-transfer-window-summer-2026-all-deals-from-europes-top-five-leagues</x:v>
      </x:c>
    </x:row>
    <x:row r="1678" ht="25" customHeight="1">
      <x:c r="A1678" s="69" t="str">
        <x:v>summer-S26-1504</x:v>
      </x:c>
      <x:c r="B1678" s="69" t="str">
        <x:v>Kristijan Jakic</x:v>
      </x:c>
      <x:c r="C1678" s="69" t="str">
        <x:v>PAOK</x:v>
      </x:c>
      <x:c r="D1678" s="69" t="str">
        <x:v>Augsburg</x:v>
      </x:c>
      <x:c r="E1678" s="76" t="d">
        <x:v>2026-09-09T00:00:00.000Z</x:v>
      </x:c>
      <x:c r="F1678" s="69" t="str">
        <x:v>summer</x:v>
      </x:c>
      <x:c r="G1678" s="69" t="str">
        <x:v>Defender — source label</x:v>
      </x:c>
      <x:c r="H1678" s="78"/>
      <x:c r="I1678" s="69" t="str">
        <x:v>GBP</x:v>
      </x:c>
      <x:c r="J1678" s="80"/>
      <x:c r="K1678" s="82"/>
      <x:c r="L1678" s="69" t="str">
        <x:v>Evidence needed</x:v>
      </x:c>
      <x:c r="M1678" s="69" t="str">
        <x:v>Buyer-specific role, production, availability, signing age and total fee evidence are needed before assigning a deal-value score. Loan/swap costs must be treated separately.</x:v>
      </x:c>
      <x:c r="N1678" s="69" t="str">
        <x:v>Not assessed</x:v>
      </x:c>
      <x:c r="O1678" s="69" t="str">
        <x:v>Source broad position and transfer quote only; detailed role and buyer-specific production not validated.</x:v>
      </x:c>
      <x:c r="P1678" s="69" t="str">
        <x:v>https://www.theguardian.com/football/ng-interactive/2026/sep/01/mens-transfer-window-summer-2026-all-deals-from-europes-top-five-leagues</x:v>
      </x:c>
    </x:row>
    <x:row r="1679" ht="25" customHeight="1">
      <x:c r="A1679" s="75" t="str">
        <x:v>summer-S26-1506</x:v>
      </x:c>
      <x:c r="B1679" s="75" t="str">
        <x:v>Edoardo Piana</x:v>
      </x:c>
      <x:c r="C1679" s="75" t="str">
        <x:v>Koper</x:v>
      </x:c>
      <x:c r="D1679" s="75" t="str">
        <x:v>Udinese</x:v>
      </x:c>
      <x:c r="E1679" s="77" t="d">
        <x:v>2026-09-08T00:00:00.000Z</x:v>
      </x:c>
      <x:c r="F1679" s="75" t="str">
        <x:v>summer</x:v>
      </x:c>
      <x:c r="G1679" s="75" t="str">
        <x:v>Goalkeeper — source label</x:v>
      </x:c>
      <x:c r="H1679" s="79"/>
      <x:c r="I1679" s="75" t="str">
        <x:v>GBP</x:v>
      </x:c>
      <x:c r="J1679" s="81"/>
      <x:c r="K1679" s="83"/>
      <x:c r="L1679" s="75" t="str">
        <x:v>Evidence needed</x:v>
      </x:c>
      <x:c r="M1679" s="75" t="str">
        <x:v>Buyer-specific shot-stopping, distribution, aerial command, sweeping, signing age and total fee evidence are needed before scoring.</x:v>
      </x:c>
      <x:c r="N1679" s="75" t="str">
        <x:v>Not assessed</x:v>
      </x:c>
      <x:c r="O1679" s="75" t="str">
        <x:v>Source broad position and transfer quote only; detailed role and buyer-specific production not validated.</x:v>
      </x:c>
      <x:c r="P1679" s="75" t="str">
        <x:v>https://www.theguardian.com/football/ng-interactive/2026/sep/01/mens-transfer-window-summer-2026-all-deals-from-europes-top-five-leagues</x:v>
      </x:c>
    </x:row>
    <x:row r="1680" ht="25" customHeight="1">
      <x:c r="A1680" s="69" t="str">
        <x:v>summer-S26-1508</x:v>
      </x:c>
      <x:c r="B1680" s="69" t="str">
        <x:v>Josh Robertson</x:v>
      </x:c>
      <x:c r="C1680" s="69" t="str">
        <x:v>Fleetwood Town</x:v>
      </x:c>
      <x:c r="D1680" s="69" t="str">
        <x:v>Brighton</x:v>
      </x:c>
      <x:c r="E1680" s="76" t="d">
        <x:v>2026-09-02T00:00:00.000Z</x:v>
      </x:c>
      <x:c r="F1680" s="69" t="str">
        <x:v>summer</x:v>
      </x:c>
      <x:c r="G1680" s="69" t="str">
        <x:v>Midfielder — source label</x:v>
      </x:c>
      <x:c r="H1680" s="78"/>
      <x:c r="I1680" s="69" t="str">
        <x:v>GBP</x:v>
      </x:c>
      <x:c r="J1680" s="80"/>
      <x:c r="K1680" s="82"/>
      <x:c r="L1680" s="69" t="str">
        <x:v>Evidence needed</x:v>
      </x:c>
      <x:c r="M1680" s="69" t="str">
        <x:v>Buyer-specific role, production, availability, signing age and total fee evidence are needed before assigning a deal-value score. Loan/swap costs must be treated separately.</x:v>
      </x:c>
      <x:c r="N1680" s="69" t="str">
        <x:v>Not assessed</x:v>
      </x:c>
      <x:c r="O1680" s="69" t="str">
        <x:v>Source broad position and transfer quote only; detailed role and buyer-specific production not validated.</x:v>
      </x:c>
      <x:c r="P1680" s="69" t="str">
        <x:v>https://www.theguardian.com/football/ng-interactive/2026/sep/01/mens-transfer-window-summer-2026-all-deals-from-europes-top-five-leagues</x:v>
      </x:c>
    </x:row>
    <x:row r="1681" ht="25" customHeight="1">
      <x:c r="A1681" s="75" t="str">
        <x:v>summer-S26-1509</x:v>
      </x:c>
      <x:c r="B1681" s="75" t="str">
        <x:v>Cristian Perea</x:v>
      </x:c>
      <x:c r="C1681" s="75" t="str">
        <x:v>CFR Cluj</x:v>
      </x:c>
      <x:c r="D1681" s="75" t="str">
        <x:v>Real Madrid</x:v>
      </x:c>
      <x:c r="E1681" s="77" t="d">
        <x:v>2026-09-08T00:00:00.000Z</x:v>
      </x:c>
      <x:c r="F1681" s="75" t="str">
        <x:v>summer</x:v>
      </x:c>
      <x:c r="G1681" s="75" t="str">
        <x:v>Midfielder — source label</x:v>
      </x:c>
      <x:c r="H1681" s="79"/>
      <x:c r="I1681" s="75" t="str">
        <x:v>GBP</x:v>
      </x:c>
      <x:c r="J1681" s="81"/>
      <x:c r="K1681" s="83"/>
      <x:c r="L1681" s="75" t="str">
        <x:v>Evidence needed</x:v>
      </x:c>
      <x:c r="M1681" s="75" t="str">
        <x:v>Buyer-specific role, production, availability, signing age and total fee evidence are needed before assigning a deal-value score. A zero base fee does not represent wages or signing costs.</x:v>
      </x:c>
      <x:c r="N1681" s="75" t="str">
        <x:v>Not assessed</x:v>
      </x:c>
      <x:c r="O1681" s="75" t="str">
        <x:v>Source broad position and transfer quote only; detailed role and buyer-specific production not validated.</x:v>
      </x:c>
      <x:c r="P1681" s="75" t="str">
        <x:v>https://www.theguardian.com/football/ng-interactive/2026/sep/01/mens-transfer-window-summer-2026-all-deals-from-europes-top-five-leagues</x:v>
      </x:c>
    </x:row>
    <x:row r="1682" ht="25" customHeight="1">
      <x:c r="A1682" s="69" t="str">
        <x:v>summer-S26-1510</x:v>
      </x:c>
      <x:c r="B1682" s="69" t="str">
        <x:v>Diogo Leite</x:v>
      </x:c>
      <x:c r="C1682" s="69" t="str">
        <x:v>Lazio</x:v>
      </x:c>
      <x:c r="D1682" s="69" t="str">
        <x:v>Free agent</x:v>
      </x:c>
      <x:c r="E1682" s="76" t="d">
        <x:v>2026-09-08T00:00:00.000Z</x:v>
      </x:c>
      <x:c r="F1682" s="69" t="str">
        <x:v>summer</x:v>
      </x:c>
      <x:c r="G1682" s="69" t="str">
        <x:v>Defender — source label</x:v>
      </x:c>
      <x:c r="H1682" s="78"/>
      <x:c r="I1682" s="69" t="str">
        <x:v>GBP</x:v>
      </x:c>
      <x:c r="J1682" s="80"/>
      <x:c r="K1682" s="82"/>
      <x:c r="L1682" s="69" t="str">
        <x:v>Evidence needed</x:v>
      </x:c>
      <x:c r="M1682" s="69" t="str">
        <x:v>Buyer-specific role, production, availability, signing age and total fee evidence are needed before assigning a deal-value score. A zero base fee does not represent wages or signing costs.</x:v>
      </x:c>
      <x:c r="N1682" s="69" t="str">
        <x:v>Not assessed</x:v>
      </x:c>
      <x:c r="O1682" s="69" t="str">
        <x:v>Source broad position and transfer quote only; detailed role and buyer-specific production not validated.</x:v>
      </x:c>
      <x:c r="P1682" s="69" t="str">
        <x:v>https://www.theguardian.com/football/ng-interactive/2026/sep/01/mens-transfer-window-summer-2026-all-deals-from-europes-top-five-leagues</x:v>
      </x:c>
    </x:row>
    <x:row r="1683" ht="25" customHeight="1">
      <x:c r="A1683" s="75" t="str">
        <x:v>summer-S26-1511</x:v>
      </x:c>
      <x:c r="B1683" s="75" t="str">
        <x:v>Harry Vaughan</x:v>
      </x:c>
      <x:c r="C1683" s="75" t="str">
        <x:v>Bohemians</x:v>
      </x:c>
      <x:c r="D1683" s="75" t="str">
        <x:v>Hull City</x:v>
      </x:c>
      <x:c r="E1683" s="77" t="d">
        <x:v>2026-06-29T00:00:00.000Z</x:v>
      </x:c>
      <x:c r="F1683" s="75" t="str">
        <x:v>summer</x:v>
      </x:c>
      <x:c r="G1683" s="75" t="str">
        <x:v>Midfielder — source label</x:v>
      </x:c>
      <x:c r="H1683" s="79"/>
      <x:c r="I1683" s="75" t="str">
        <x:v>GBP</x:v>
      </x:c>
      <x:c r="J1683" s="81"/>
      <x:c r="K1683" s="83"/>
      <x:c r="L1683" s="75" t="str">
        <x:v>Evidence needed</x:v>
      </x:c>
      <x:c r="M1683" s="75" t="str">
        <x:v>Buyer-specific role, production, availability, signing age and total fee evidence are needed before assigning a deal-value score. A zero base fee does not represent wages or signing costs.</x:v>
      </x:c>
      <x:c r="N1683" s="75" t="str">
        <x:v>Not assessed</x:v>
      </x:c>
      <x:c r="O1683" s="75" t="str">
        <x:v>Source broad position and transfer quote only; detailed role and buyer-specific production not validated.</x:v>
      </x:c>
      <x:c r="P1683" s="75" t="str">
        <x:v>https://www.theguardian.com/football/ng-interactive/2026/sep/01/mens-transfer-window-summer-2026-all-deals-from-europes-top-five-leagues</x:v>
      </x:c>
    </x:row>
    <x:row r="1684" ht="25" customHeight="1">
      <x:c r="A1684" s="69" t="str">
        <x:v>summer-S26-1512</x:v>
      </x:c>
      <x:c r="B1684" s="69" t="str">
        <x:v>Ryan Trevitt</x:v>
      </x:c>
      <x:c r="C1684" s="69" t="str">
        <x:v>Wigan Athletic</x:v>
      </x:c>
      <x:c r="D1684" s="69" t="str">
        <x:v>Brentford</x:v>
      </x:c>
      <x:c r="E1684" s="76" t="d">
        <x:v>2026-07-21T00:00:00.000Z</x:v>
      </x:c>
      <x:c r="F1684" s="69" t="str">
        <x:v>summer</x:v>
      </x:c>
      <x:c r="G1684" s="69" t="str">
        <x:v>Midfielder — source label</x:v>
      </x:c>
      <x:c r="H1684" s="78"/>
      <x:c r="I1684" s="69" t="str">
        <x:v>GBP</x:v>
      </x:c>
      <x:c r="J1684" s="80"/>
      <x:c r="K1684" s="82"/>
      <x:c r="L1684" s="69" t="str">
        <x:v>Evidence needed</x:v>
      </x:c>
      <x:c r="M1684" s="69" t="str">
        <x:v>Buyer-specific role, production, availability, signing age and total fee evidence are needed before assigning a deal-value score. A zero base fee does not represent wages or signing costs.</x:v>
      </x:c>
      <x:c r="N1684" s="69" t="str">
        <x:v>Not assessed</x:v>
      </x:c>
      <x:c r="O1684" s="69" t="str">
        <x:v>Source broad position and transfer quote only; detailed role and buyer-specific production not validated.</x:v>
      </x:c>
      <x:c r="P1684" s="69" t="str">
        <x:v>https://www.theguardian.com/football/ng-interactive/2026/sep/01/mens-transfer-window-summer-2026-all-deals-from-europes-top-five-leagues</x:v>
      </x:c>
    </x:row>
    <x:row r="1685" ht="25" customHeight="1">
      <x:c r="A1685" s="75" t="str">
        <x:v>summer-S26-1513</x:v>
      </x:c>
      <x:c r="B1685" s="75" t="str">
        <x:v>Benjamin Arthur</x:v>
      </x:c>
      <x:c r="C1685" s="75" t="str">
        <x:v>Portsmouth</x:v>
      </x:c>
      <x:c r="D1685" s="75" t="str">
        <x:v>Brentford</x:v>
      </x:c>
      <x:c r="E1685" s="77" t="d">
        <x:v>2026-08-12T00:00:00.000Z</x:v>
      </x:c>
      <x:c r="F1685" s="75" t="str">
        <x:v>summer</x:v>
      </x:c>
      <x:c r="G1685" s="75" t="str">
        <x:v>Defender — source label</x:v>
      </x:c>
      <x:c r="H1685" s="79"/>
      <x:c r="I1685" s="75" t="str">
        <x:v>GBP</x:v>
      </x:c>
      <x:c r="J1685" s="81"/>
      <x:c r="K1685" s="83"/>
      <x:c r="L1685" s="75" t="str">
        <x:v>Evidence needed</x:v>
      </x:c>
      <x:c r="M1685" s="75" t="str">
        <x:v>Buyer-specific role, production, availability, signing age and total fee evidence are needed before assigning a deal-value score. Loan/swap costs must be treated separately.</x:v>
      </x:c>
      <x:c r="N1685" s="75" t="str">
        <x:v>Not assessed</x:v>
      </x:c>
      <x:c r="O1685" s="75" t="str">
        <x:v>Source broad position and transfer quote only; detailed role and buyer-specific production not validated.</x:v>
      </x:c>
      <x:c r="P1685" s="75" t="str">
        <x:v>https://www.theguardian.com/football/ng-interactive/2026/sep/01/mens-transfer-window-summer-2026-all-deals-from-europes-top-five-leagues</x:v>
      </x:c>
    </x:row>
    <x:row r="1686" ht="25" customHeight="1">
      <x:c r="A1686" s="69" t="str">
        <x:v>summer-S26-1514</x:v>
      </x:c>
      <x:c r="B1686" s="69" t="str">
        <x:v>Julian Eyestone</x:v>
      </x:c>
      <x:c r="C1686" s="69" t="str">
        <x:v>Rotherham</x:v>
      </x:c>
      <x:c r="D1686" s="69" t="str">
        <x:v>Brentford</x:v>
      </x:c>
      <x:c r="E1686" s="76" t="d">
        <x:v>2026-08-11T00:00:00.000Z</x:v>
      </x:c>
      <x:c r="F1686" s="69" t="str">
        <x:v>summer</x:v>
      </x:c>
      <x:c r="G1686" s="69" t="str">
        <x:v>Goalkeeper — source label</x:v>
      </x:c>
      <x:c r="H1686" s="78"/>
      <x:c r="I1686" s="69" t="str">
        <x:v>GBP</x:v>
      </x:c>
      <x:c r="J1686" s="80"/>
      <x:c r="K1686" s="82"/>
      <x:c r="L1686" s="69" t="str">
        <x:v>Evidence needed</x:v>
      </x:c>
      <x:c r="M1686" s="69" t="str">
        <x:v>Buyer-specific shot-stopping, distribution, aerial command, sweeping, signing age and total fee evidence are needed before scoring. Loan/swap costs must be treated separately.</x:v>
      </x:c>
      <x:c r="N1686" s="69" t="str">
        <x:v>Not assessed</x:v>
      </x:c>
      <x:c r="O1686" s="69" t="str">
        <x:v>Source broad position and transfer quote only; detailed role and buyer-specific production not validated.</x:v>
      </x:c>
      <x:c r="P1686" s="69" t="str">
        <x:v>https://www.theguardian.com/football/ng-interactive/2026/sep/01/mens-transfer-window-summer-2026-all-deals-from-europes-top-five-leagues</x:v>
      </x:c>
    </x:row>
    <x:row r="1687" ht="25" customHeight="1">
      <x:c r="A1687" s="75" t="str">
        <x:v>summer-S26-1515</x:v>
      </x:c>
      <x:c r="B1687" s="75" t="str">
        <x:v>Leo Shahar</x:v>
      </x:c>
      <x:c r="C1687" s="75" t="str">
        <x:v>Arouca</x:v>
      </x:c>
      <x:c r="D1687" s="75" t="str">
        <x:v>Newcastle United</x:v>
      </x:c>
      <x:c r="E1687" s="77" t="d">
        <x:v>2026-09-04T00:00:00.000Z</x:v>
      </x:c>
      <x:c r="F1687" s="75" t="str">
        <x:v>summer</x:v>
      </x:c>
      <x:c r="G1687" s="75" t="str">
        <x:v>Defender — source label</x:v>
      </x:c>
      <x:c r="H1687" s="79"/>
      <x:c r="I1687" s="75" t="str">
        <x:v>GBP</x:v>
      </x:c>
      <x:c r="J1687" s="81"/>
      <x:c r="K1687" s="83"/>
      <x:c r="L1687" s="75" t="str">
        <x:v>Evidence needed</x:v>
      </x:c>
      <x:c r="M1687" s="75" t="str">
        <x:v>Buyer-specific role, production, availability, signing age and total fee evidence are needed before assigning a deal-value score. Loan/swap costs must be treated separately.</x:v>
      </x:c>
      <x:c r="N1687" s="75" t="str">
        <x:v>Not assessed</x:v>
      </x:c>
      <x:c r="O1687" s="75" t="str">
        <x:v>Source broad position and transfer quote only; detailed role and buyer-specific production not validated.</x:v>
      </x:c>
      <x:c r="P1687" s="75" t="str">
        <x:v>https://www.theguardian.com/football/ng-interactive/2026/sep/01/mens-transfer-window-summer-2026-all-deals-from-europes-top-five-leagues</x:v>
      </x:c>
    </x:row>
    <x:row r="1688" ht="25" customHeight="1">
      <x:c r="A1688" s="69" t="str">
        <x:v>summer-S26-1517</x:v>
      </x:c>
      <x:c r="B1688" s="69" t="str">
        <x:v>Josué Casimir</x:v>
      </x:c>
      <x:c r="C1688" s="69" t="str">
        <x:v>Dinamo Moscow</x:v>
      </x:c>
      <x:c r="D1688" s="69" t="str">
        <x:v>Auxerre</x:v>
      </x:c>
      <x:c r="E1688" s="76" t="d">
        <x:v>2026-09-10T00:00:00.000Z</x:v>
      </x:c>
      <x:c r="F1688" s="69" t="str">
        <x:v>summer</x:v>
      </x:c>
      <x:c r="G1688" s="69" t="str">
        <x:v>Defender — source label</x:v>
      </x:c>
      <x:c r="H1688" s="78"/>
      <x:c r="I1688" s="69" t="str">
        <x:v>GBP</x:v>
      </x:c>
      <x:c r="J1688" s="80"/>
      <x:c r="K1688" s="82"/>
      <x:c r="L1688" s="69" t="str">
        <x:v>Evidence needed</x:v>
      </x:c>
      <x:c r="M1688" s="69" t="str">
        <x:v>Buyer-specific role, production, availability, signing age and total fee evidence are needed before assigning a deal-value score. Loan/swap costs must be treated separately.</x:v>
      </x:c>
      <x:c r="N1688" s="69" t="str">
        <x:v>Not assessed</x:v>
      </x:c>
      <x:c r="O1688" s="69" t="str">
        <x:v>Source broad position and transfer quote only; detailed role and buyer-specific production not validated.</x:v>
      </x:c>
      <x:c r="P1688" s="69" t="str">
        <x:v>https://www.theguardian.com/football/ng-interactive/2026/sep/01/mens-transfer-window-summer-2026-all-deals-from-europes-top-five-leagues</x:v>
      </x:c>
    </x:row>
    <x:row r="1689" ht="25" customHeight="1">
      <x:c r="A1689" s="75" t="str">
        <x:v>summer-S26-1518</x:v>
      </x:c>
      <x:c r="B1689" s="75" t="str">
        <x:v>Nikola Maras</x:v>
      </x:c>
      <x:c r="C1689" s="75" t="str">
        <x:v>OFK Beograd</x:v>
      </x:c>
      <x:c r="D1689" s="75" t="str">
        <x:v>Alavés</x:v>
      </x:c>
      <x:c r="E1689" s="77" t="d">
        <x:v>2026-09-11T00:00:00.000Z</x:v>
      </x:c>
      <x:c r="F1689" s="75" t="str">
        <x:v>summer</x:v>
      </x:c>
      <x:c r="G1689" s="75" t="str">
        <x:v>Defender — source label</x:v>
      </x:c>
      <x:c r="H1689" s="79"/>
      <x:c r="I1689" s="75" t="str">
        <x:v>GBP</x:v>
      </x:c>
      <x:c r="J1689" s="81"/>
      <x:c r="K1689" s="83"/>
      <x:c r="L1689" s="75" t="str">
        <x:v>Evidence needed</x:v>
      </x:c>
      <x:c r="M1689" s="75" t="str">
        <x:v>Buyer-specific role, production, availability, signing age and total fee evidence are needed before assigning a deal-value score. A zero base fee does not represent wages or signing costs.</x:v>
      </x:c>
      <x:c r="N1689" s="75" t="str">
        <x:v>Not assessed</x:v>
      </x:c>
      <x:c r="O1689" s="75" t="str">
        <x:v>Source broad position and transfer quote only; detailed role and buyer-specific production not validated.</x:v>
      </x:c>
      <x:c r="P1689" s="75" t="str">
        <x:v>https://www.theguardian.com/football/ng-interactive/2026/sep/01/mens-transfer-window-summer-2026-all-deals-from-europes-top-five-leagues</x:v>
      </x:c>
    </x:row>
    <x:row r="1690" ht="25" customHeight="1">
      <x:c r="A1690" s="69" t="str">
        <x:v>summer-S26-1520</x:v>
      </x:c>
      <x:c r="B1690" s="69" t="str">
        <x:v>Luc De Fougerolles</x:v>
      </x:c>
      <x:c r="C1690" s="69" t="str">
        <x:v>Real Salt Lake</x:v>
      </x:c>
      <x:c r="D1690" s="69" t="str">
        <x:v>Fulham</x:v>
      </x:c>
      <x:c r="E1690" s="76" t="d">
        <x:v>2026-09-02T00:00:00.000Z</x:v>
      </x:c>
      <x:c r="F1690" s="69" t="str">
        <x:v>summer</x:v>
      </x:c>
      <x:c r="G1690" s="69" t="str">
        <x:v>Defender — source label</x:v>
      </x:c>
      <x:c r="H1690" s="78"/>
      <x:c r="I1690" s="69" t="str">
        <x:v>GBP</x:v>
      </x:c>
      <x:c r="J1690" s="80"/>
      <x:c r="K1690" s="82"/>
      <x:c r="L1690" s="69" t="str">
        <x:v>Evidence needed</x:v>
      </x:c>
      <x:c r="M1690" s="69" t="str">
        <x:v>Buyer-specific role, production, availability, signing age and total fee evidence are needed before assigning a deal-value score. Loan/swap costs must be treated separately.</x:v>
      </x:c>
      <x:c r="N1690" s="69" t="str">
        <x:v>Not assessed</x:v>
      </x:c>
      <x:c r="O1690" s="69" t="str">
        <x:v>Source broad position and transfer quote only; detailed role and buyer-specific production not validated.</x:v>
      </x:c>
      <x:c r="P1690" s="69" t="str">
        <x:v>https://www.theguardian.com/football/ng-interactive/2026/sep/01/mens-transfer-window-summer-2026-all-deals-from-europes-top-five-leagues</x:v>
      </x:c>
    </x:row>
    <x:row r="1691" ht="25" customHeight="1">
      <x:c r="A1691" s="75" t="str">
        <x:v>summer-S26-1521</x:v>
      </x:c>
      <x:c r="B1691" s="75" t="str">
        <x:v>Will Dennis</x:v>
      </x:c>
      <x:c r="C1691" s="75" t="str">
        <x:v>MK Dons</x:v>
      </x:c>
      <x:c r="D1691" s="75" t="str">
        <x:v>Bournemouth</x:v>
      </x:c>
      <x:c r="E1691" s="77" t="d">
        <x:v>2026-08-26T00:00:00.000Z</x:v>
      </x:c>
      <x:c r="F1691" s="75" t="str">
        <x:v>summer</x:v>
      </x:c>
      <x:c r="G1691" s="75" t="str">
        <x:v>Goalkeeper — source label</x:v>
      </x:c>
      <x:c r="H1691" s="79"/>
      <x:c r="I1691" s="75" t="str">
        <x:v>GBP</x:v>
      </x:c>
      <x:c r="J1691" s="81"/>
      <x:c r="K1691" s="83"/>
      <x:c r="L1691" s="75" t="str">
        <x:v>Evidence needed</x:v>
      </x:c>
      <x:c r="M1691" s="75" t="str">
        <x:v>Buyer-specific shot-stopping, distribution, aerial command, sweeping, signing age and total fee evidence are needed before scoring.</x:v>
      </x:c>
      <x:c r="N1691" s="75" t="str">
        <x:v>Not assessed</x:v>
      </x:c>
      <x:c r="O1691" s="75" t="str">
        <x:v>Source broad position and transfer quote only; detailed role and buyer-specific production not validated.</x:v>
      </x:c>
      <x:c r="P1691" s="75" t="str">
        <x:v>https://www.theguardian.com/football/ng-interactive/2026/sep/01/mens-transfer-window-summer-2026-all-deals-from-europes-top-five-leagues</x:v>
      </x:c>
    </x:row>
    <x:row r="1692" ht="25" customHeight="1">
      <x:c r="A1692" s="69" t="str">
        <x:v>summer-S26-0007</x:v>
      </x:c>
      <x:c r="B1692" s="69" t="str">
        <x:v>Jérémy Jacquet</x:v>
      </x:c>
      <x:c r="C1692" s="69" t="str">
        <x:v>Liverpool</x:v>
      </x:c>
      <x:c r="D1692" s="69" t="str">
        <x:v>Rennes</x:v>
      </x:c>
      <x:c r="E1692" s="76" t="d">
        <x:v>2026-07-01T00:00:00.000Z</x:v>
      </x:c>
      <x:c r="F1692" s="69" t="str">
        <x:v>summer</x:v>
      </x:c>
      <x:c r="G1692" s="69" t="str">
        <x:v>Defender — source label</x:v>
      </x:c>
      <x:c r="H1692" s="78" t="n">
        <x:v>55000000</x:v>
      </x:c>
      <x:c r="I1692" s="69" t="str">
        <x:v>GBP</x:v>
      </x:c>
      <x:c r="J1692" s="80"/>
      <x:c r="K1692" s="82"/>
      <x:c r="L1692" s="69" t="str">
        <x:v>Evidence needed</x:v>
      </x:c>
      <x:c r="M1692" s="69" t="str">
        <x:v>Buyer-specific role, production, availability, signing age and total fee evidence are needed before assigning a deal-value score.</x:v>
      </x:c>
      <x:c r="N1692" s="69" t="str">
        <x:v>Not assessed</x:v>
      </x:c>
      <x:c r="O1692" s="69" t="str">
        <x:v>Source broad position and transfer quote only; detailed role and buyer-specific production not validated.</x:v>
      </x:c>
      <x:c r="P1692" s="69" t="str">
        <x:v>https://www.theguardian.com/football/ng-interactive/2026/sep/01/mens-transfer-window-summer-2026-all-deals-from-europes-top-five-leagues</x:v>
      </x:c>
    </x:row>
    <x:row r="1693" ht="25" customHeight="1">
      <x:c r="A1693" s="75" t="str">
        <x:v>summer-S26-0095</x:v>
      </x:c>
      <x:c r="B1693" s="75" t="str">
        <x:v>Jan Paul van Hecke</x:v>
      </x:c>
      <x:c r="C1693" s="75" t="str">
        <x:v>Tottenham Hotspur</x:v>
      </x:c>
      <x:c r="D1693" s="75" t="str">
        <x:v>Brighton</x:v>
      </x:c>
      <x:c r="E1693" s="77" t="d">
        <x:v>2026-06-18T00:00:00.000Z</x:v>
      </x:c>
      <x:c r="F1693" s="75" t="str">
        <x:v>summer</x:v>
      </x:c>
      <x:c r="G1693" s="75" t="str">
        <x:v>Defender — source label</x:v>
      </x:c>
      <x:c r="H1693" s="79" t="n">
        <x:v>52000000</x:v>
      </x:c>
      <x:c r="I1693" s="75" t="str">
        <x:v>GBP</x:v>
      </x:c>
      <x:c r="J1693" s="81"/>
      <x:c r="K1693" s="83"/>
      <x:c r="L1693" s="75" t="str">
        <x:v>Evidence needed</x:v>
      </x:c>
      <x:c r="M1693" s="75" t="str">
        <x:v>Buyer-specific role, production, availability, signing age and total fee evidence are needed before assigning a deal-value score.</x:v>
      </x:c>
      <x:c r="N1693" s="75" t="str">
        <x:v>Not assessed</x:v>
      </x:c>
      <x:c r="O1693" s="75" t="str">
        <x:v>Source broad position and transfer quote only; detailed role and buyer-specific production not validated.</x:v>
      </x:c>
      <x:c r="P1693" s="75" t="str">
        <x:v>https://www.theguardian.com/football/ng-interactive/2026/sep/01/mens-transfer-window-summer-2026-all-deals-from-europes-top-five-leagues</x:v>
      </x:c>
    </x:row>
    <x:row r="1694" ht="25" customHeight="1">
      <x:c r="A1694" s="69" t="str">
        <x:v>summer-S26-0130</x:v>
      </x:c>
      <x:c r="B1694" s="69" t="str">
        <x:v>Piero Hincapié</x:v>
      </x:c>
      <x:c r="C1694" s="69" t="str">
        <x:v>Arsenal</x:v>
      </x:c>
      <x:c r="D1694" s="69" t="str">
        <x:v>Bayer Leverkusen</x:v>
      </x:c>
      <x:c r="E1694" s="76" t="d">
        <x:v>2026-06-25T00:00:00.000Z</x:v>
      </x:c>
      <x:c r="F1694" s="69" t="str">
        <x:v>summer</x:v>
      </x:c>
      <x:c r="G1694" s="69" t="str">
        <x:v>Defender — source label</x:v>
      </x:c>
      <x:c r="H1694" s="78" t="n">
        <x:v>45000000</x:v>
      </x:c>
      <x:c r="I1694" s="69" t="str">
        <x:v>GBP</x:v>
      </x:c>
      <x:c r="J1694" s="80"/>
      <x:c r="K1694" s="82"/>
      <x:c r="L1694" s="69" t="str">
        <x:v>Evidence needed</x:v>
      </x:c>
      <x:c r="M1694" s="69" t="str">
        <x:v>Buyer-specific role, production, availability, signing age and total fee evidence are needed before assigning a deal-value score.</x:v>
      </x:c>
      <x:c r="N1694" s="69" t="str">
        <x:v>Not assessed</x:v>
      </x:c>
      <x:c r="O1694" s="69" t="str">
        <x:v>Source broad position and transfer quote only; detailed role and buyer-specific production not validated.</x:v>
      </x:c>
      <x:c r="P1694" s="69" t="str">
        <x:v>https://www.theguardian.com/football/ng-interactive/2026/sep/01/mens-transfer-window-summer-2026-all-deals-from-europes-top-five-leagues</x:v>
      </x:c>
    </x:row>
    <x:row r="1695" ht="25" customHeight="1">
      <x:c r="A1695" s="75" t="str">
        <x:v>summer-S26-0196</x:v>
      </x:c>
      <x:c r="B1695" s="75" t="str">
        <x:v>Mateus Fernandes</x:v>
      </x:c>
      <x:c r="C1695" s="75" t="str">
        <x:v>Tottenham Hotspur</x:v>
      </x:c>
      <x:c r="D1695" s="75" t="str">
        <x:v>West Ham United</x:v>
      </x:c>
      <x:c r="E1695" s="77" t="d">
        <x:v>2026-07-02T00:00:00.000Z</x:v>
      </x:c>
      <x:c r="F1695" s="75" t="str">
        <x:v>summer</x:v>
      </x:c>
      <x:c r="G1695" s="75" t="str">
        <x:v>Midfielder — source label</x:v>
      </x:c>
      <x:c r="H1695" s="79" t="n">
        <x:v>85000000</x:v>
      </x:c>
      <x:c r="I1695" s="75" t="str">
        <x:v>GBP</x:v>
      </x:c>
      <x:c r="J1695" s="81"/>
      <x:c r="K1695" s="83"/>
      <x:c r="L1695" s="75" t="str">
        <x:v>Evidence needed</x:v>
      </x:c>
      <x:c r="M1695" s="75" t="str">
        <x:v>Buyer-specific role, production, availability, signing age and total fee evidence are needed before assigning a deal-value score.</x:v>
      </x:c>
      <x:c r="N1695" s="75" t="str">
        <x:v>Not assessed</x:v>
      </x:c>
      <x:c r="O1695" s="75" t="str">
        <x:v>Source broad position and transfer quote only; detailed role and buyer-specific production not validated.</x:v>
      </x:c>
      <x:c r="P1695" s="75" t="str">
        <x:v>https://www.theguardian.com/football/ng-interactive/2026/sep/01/mens-transfer-window-summer-2026-all-deals-from-europes-top-five-leagues</x:v>
      </x:c>
    </x:row>
    <x:row r="1696" ht="25" customHeight="1">
      <x:c r="A1696" s="69" t="str">
        <x:v>summer-S26-1058</x:v>
      </x:c>
      <x:c r="B1696" s="69" t="str">
        <x:v>Ezri Konsa</x:v>
      </x:c>
      <x:c r="C1696" s="69" t="str">
        <x:v>Arsenal</x:v>
      </x:c>
      <x:c r="D1696" s="69" t="str">
        <x:v>Aston Villa</x:v>
      </x:c>
      <x:c r="E1696" s="76" t="d">
        <x:v>2026-08-21T00:00:00.000Z</x:v>
      </x:c>
      <x:c r="F1696" s="69" t="str">
        <x:v>summer</x:v>
      </x:c>
      <x:c r="G1696" s="69" t="str">
        <x:v>Defender — source label</x:v>
      </x:c>
      <x:c r="H1696" s="78" t="n">
        <x:v>51000000</x:v>
      </x:c>
      <x:c r="I1696" s="69" t="str">
        <x:v>GBP</x:v>
      </x:c>
      <x:c r="J1696" s="80"/>
      <x:c r="K1696" s="82"/>
      <x:c r="L1696" s="69" t="str">
        <x:v>Evidence needed</x:v>
      </x:c>
      <x:c r="M1696" s="69" t="str">
        <x:v>Buyer-specific role, production, availability, signing age and total fee evidence are needed before assigning a deal-value score.</x:v>
      </x:c>
      <x:c r="N1696" s="69" t="str">
        <x:v>Not assessed</x:v>
      </x:c>
      <x:c r="O1696" s="69" t="str">
        <x:v>Source broad position and transfer quote only; detailed role and buyer-specific production not validated.</x:v>
      </x:c>
      <x:c r="P1696" s="69" t="str">
        <x:v>https://www.theguardian.com/football/ng-interactive/2026/sep/01/mens-transfer-window-summer-2026-all-deals-from-europes-top-five-leagues</x:v>
      </x:c>
    </x:row>
    <x:row r="1697" ht="25" customHeight="1">
      <x:c r="A1697" s="69"/>
      <x:c r="B1697" s="69"/>
      <x:c r="C1697" s="69"/>
      <x:c r="D1697" s="69"/>
      <x:c r="E1697" s="69"/>
      <x:c r="F1697" s="69"/>
      <x:c r="G1697" s="69"/>
      <x:c r="H1697" s="69"/>
      <x:c r="I1697" s="69"/>
      <x:c r="J1697" s="69"/>
      <x:c r="K1697" s="69"/>
      <x:c r="L1697" s="69"/>
      <x:c r="M1697" s="69"/>
      <x:c r="N1697" s="69"/>
      <x:c r="O1697" s="69"/>
      <x:c r="P1697" s="69"/>
    </x:row>
  </x:sheetData>
  <x:autoFilter ref="A5:P1696"/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30" hidden="0" customWidth="1"/>
    <x:col min="3" max="3" width="20" hidden="0" customWidth="1"/>
    <x:col min="4" max="4" width="65" hidden="0" customWidth="1"/>
    <x:col min="5" max="5" width="55" hidden="0" customWidth="1"/>
    <x:col min="6" max="6" width="29" hidden="0" customWidth="1"/>
    <x:col min="7" max="7" width="18" hidden="0" customWidth="1"/>
    <x:col min="8" max="8" width="18" hidden="0" customWidth="1"/>
  </x:cols>
  <x:sheetData>
    <x:row r="1" ht="25" customHeight="1">
      <x:c r="A1" s="69"/>
      <x:c r="B1" s="69"/>
      <x:c r="C1" s="69"/>
      <x:c r="D1" s="69"/>
      <x:c r="E1" s="69"/>
      <x:c r="F1" s="69"/>
      <x:c r="G1" s="69"/>
      <x:c r="H1" s="69"/>
    </x:row>
    <x:row r="2" ht="30" customHeight="1">
      <x:c r="A2" s="70" t="str">
        <x:v>Position scoring rubric</x:v>
      </x:c>
      <x:c r="B2" s="69"/>
      <x:c r="C2" s="69"/>
      <x:c r="D2" s="69"/>
      <x:c r="E2" s="69"/>
      <x:c r="F2" s="69"/>
      <x:c r="G2" s="69"/>
      <x:c r="H2" s="69"/>
    </x:row>
    <x:row r="3" ht="25" customHeight="1">
      <x:c r="A3" s="69" t="str">
        <x:v>Scale: 0.1–10.0. Same overall weights across positions; production splits remain proposed outside CDM. Production subscores need role-specific evidence.</x:v>
      </x:c>
      <x:c r="B3" s="69"/>
      <x:c r="C3" s="69"/>
      <x:c r="D3" s="69"/>
      <x:c r="E3" s="69"/>
      <x:c r="F3" s="69"/>
      <x:c r="G3" s="69"/>
      <x:c r="H3" s="69"/>
    </x:row>
    <x:row r="4" ht="25" customHeight="1">
      <x:c r="A4" s="69"/>
      <x:c r="B4" s="69"/>
      <x:c r="C4" s="69"/>
      <x:c r="D4" s="69"/>
      <x:c r="E4" s="69"/>
      <x:c r="F4" s="69"/>
      <x:c r="G4" s="69"/>
      <x:c r="H4" s="69"/>
    </x:row>
    <x:row r="5" ht="38" customHeight="1">
      <x:c r="A5" s="74" t="str">
        <x:v>Position</x:v>
      </x:c>
      <x:c r="B5" s="74" t="str">
        <x:v>Rule status</x:v>
      </x:c>
      <x:c r="C5" s="74" t="str">
        <x:v>Production</x:v>
      </x:c>
      <x:c r="D5" s="74" t="str">
        <x:v>Fee vs worth</x:v>
      </x:c>
      <x:c r="E5" s="74" t="str">
        <x:v>Potential</x:v>
      </x:c>
      <x:c r="F5" s="74" t="str">
        <x:v>Age / runway</x:v>
      </x:c>
      <x:c r="G5" s="74" t="str">
        <x:v>Competition</x:v>
      </x:c>
      <x:c r="H5" s="74" t="str">
        <x:v>Total weight</x:v>
      </x:c>
    </x:row>
    <x:row r="6" ht="25" customHeight="1">
      <x:c r="A6" s="69" t="str">
        <x:v>CDM</x:v>
      </x:c>
      <x:c r="B6" s="69" t="str">
        <x:v>Same overall weights</x:v>
      </x:c>
      <x:c r="C6" s="84" t="n">
        <x:v>0.4</x:v>
      </x:c>
      <x:c r="D6" s="84" t="n">
        <x:v>0.3</x:v>
      </x:c>
      <x:c r="E6" s="84" t="n">
        <x:v>0.15</x:v>
      </x:c>
      <x:c r="F6" s="84" t="n">
        <x:v>0.1</x:v>
      </x:c>
      <x:c r="G6" s="84" t="n">
        <x:v>0.05</x:v>
      </x:c>
      <x:c r="H6" s="84" t="n">
        <x:f>SUM(C6:G6)</x:f>
        <x:v>1</x:v>
      </x:c>
    </x:row>
    <x:row r="7" ht="25" customHeight="1">
      <x:c r="A7" s="69" t="str">
        <x:v>CM</x:v>
      </x:c>
      <x:c r="B7" s="69" t="str">
        <x:v>Same overall weights</x:v>
      </x:c>
      <x:c r="C7" s="84" t="n">
        <x:v>0.4</x:v>
      </x:c>
      <x:c r="D7" s="84" t="n">
        <x:v>0.3</x:v>
      </x:c>
      <x:c r="E7" s="84" t="n">
        <x:v>0.15</x:v>
      </x:c>
      <x:c r="F7" s="84" t="n">
        <x:v>0.1</x:v>
      </x:c>
      <x:c r="G7" s="84" t="n">
        <x:v>0.05</x:v>
      </x:c>
      <x:c r="H7" s="84" t="n">
        <x:f>SUM(C7:G7)</x:f>
        <x:v>1</x:v>
      </x:c>
    </x:row>
    <x:row r="8" ht="25" customHeight="1">
      <x:c r="A8" s="69" t="str">
        <x:v>CAM</x:v>
      </x:c>
      <x:c r="B8" s="69" t="str">
        <x:v>Same overall weights</x:v>
      </x:c>
      <x:c r="C8" s="84" t="n">
        <x:v>0.4</x:v>
      </x:c>
      <x:c r="D8" s="84" t="n">
        <x:v>0.3</x:v>
      </x:c>
      <x:c r="E8" s="84" t="n">
        <x:v>0.15</x:v>
      </x:c>
      <x:c r="F8" s="84" t="n">
        <x:v>0.1</x:v>
      </x:c>
      <x:c r="G8" s="84" t="n">
        <x:v>0.05</x:v>
      </x:c>
      <x:c r="H8" s="84" t="n">
        <x:f>SUM(C8:G8)</x:f>
        <x:v>1</x:v>
      </x:c>
    </x:row>
    <x:row r="9" ht="25" customHeight="1">
      <x:c r="A9" s="69" t="str">
        <x:v>CB</x:v>
      </x:c>
      <x:c r="B9" s="69" t="str">
        <x:v>Same overall weights</x:v>
      </x:c>
      <x:c r="C9" s="84" t="n">
        <x:v>0.4</x:v>
      </x:c>
      <x:c r="D9" s="84" t="n">
        <x:v>0.3</x:v>
      </x:c>
      <x:c r="E9" s="84" t="n">
        <x:v>0.15</x:v>
      </x:c>
      <x:c r="F9" s="84" t="n">
        <x:v>0.1</x:v>
      </x:c>
      <x:c r="G9" s="84" t="n">
        <x:v>0.05</x:v>
      </x:c>
      <x:c r="H9" s="84" t="n">
        <x:f>SUM(C9:G9)</x:f>
        <x:v>1</x:v>
      </x:c>
    </x:row>
    <x:row r="10" ht="25" customHeight="1">
      <x:c r="A10" s="69" t="str">
        <x:v>FB</x:v>
      </x:c>
      <x:c r="B10" s="69" t="str">
        <x:v>Same overall weights</x:v>
      </x:c>
      <x:c r="C10" s="84" t="n">
        <x:v>0.4</x:v>
      </x:c>
      <x:c r="D10" s="84" t="n">
        <x:v>0.3</x:v>
      </x:c>
      <x:c r="E10" s="84" t="n">
        <x:v>0.15</x:v>
      </x:c>
      <x:c r="F10" s="84" t="n">
        <x:v>0.1</x:v>
      </x:c>
      <x:c r="G10" s="84" t="n">
        <x:v>0.05</x:v>
      </x:c>
      <x:c r="H10" s="84" t="n">
        <x:f>SUM(C10:G10)</x:f>
        <x:v>1</x:v>
      </x:c>
    </x:row>
    <x:row r="11" ht="25" customHeight="1">
      <x:c r="A11" s="69" t="str">
        <x:v>WB</x:v>
      </x:c>
      <x:c r="B11" s="69" t="str">
        <x:v>Same overall weights</x:v>
      </x:c>
      <x:c r="C11" s="84" t="n">
        <x:v>0.4</x:v>
      </x:c>
      <x:c r="D11" s="84" t="n">
        <x:v>0.3</x:v>
      </x:c>
      <x:c r="E11" s="84" t="n">
        <x:v>0.15</x:v>
      </x:c>
      <x:c r="F11" s="84" t="n">
        <x:v>0.1</x:v>
      </x:c>
      <x:c r="G11" s="84" t="n">
        <x:v>0.05</x:v>
      </x:c>
      <x:c r="H11" s="84" t="n">
        <x:f>SUM(C11:G11)</x:f>
        <x:v>1</x:v>
      </x:c>
    </x:row>
    <x:row r="12" ht="25" customHeight="1">
      <x:c r="A12" s="69" t="str">
        <x:v>WINGER</x:v>
      </x:c>
      <x:c r="B12" s="69" t="str">
        <x:v>Same overall weights</x:v>
      </x:c>
      <x:c r="C12" s="84" t="n">
        <x:v>0.4</x:v>
      </x:c>
      <x:c r="D12" s="84" t="n">
        <x:v>0.3</x:v>
      </x:c>
      <x:c r="E12" s="84" t="n">
        <x:v>0.15</x:v>
      </x:c>
      <x:c r="F12" s="84" t="n">
        <x:v>0.1</x:v>
      </x:c>
      <x:c r="G12" s="84" t="n">
        <x:v>0.05</x:v>
      </x:c>
      <x:c r="H12" s="84" t="n">
        <x:f>SUM(C12:G12)</x:f>
        <x:v>1</x:v>
      </x:c>
    </x:row>
    <x:row r="13" ht="25" customHeight="1">
      <x:c r="A13" s="69" t="str">
        <x:v>ST</x:v>
      </x:c>
      <x:c r="B13" s="69" t="str">
        <x:v>Same overall weights</x:v>
      </x:c>
      <x:c r="C13" s="84" t="n">
        <x:v>0.4</x:v>
      </x:c>
      <x:c r="D13" s="84" t="n">
        <x:v>0.3</x:v>
      </x:c>
      <x:c r="E13" s="84" t="n">
        <x:v>0.15</x:v>
      </x:c>
      <x:c r="F13" s="84" t="n">
        <x:v>0.1</x:v>
      </x:c>
      <x:c r="G13" s="84" t="n">
        <x:v>0.05</x:v>
      </x:c>
      <x:c r="H13" s="84" t="n">
        <x:f>SUM(C13:G13)</x:f>
        <x:v>1</x:v>
      </x:c>
    </x:row>
    <x:row r="14" ht="25" customHeight="1">
      <x:c r="A14" s="69" t="str">
        <x:v>GK</x:v>
      </x:c>
      <x:c r="B14" s="69" t="str">
        <x:v>Same overall weights</x:v>
      </x:c>
      <x:c r="C14" s="84" t="n">
        <x:v>0.4</x:v>
      </x:c>
      <x:c r="D14" s="84" t="n">
        <x:v>0.3</x:v>
      </x:c>
      <x:c r="E14" s="84" t="n">
        <x:v>0.15</x:v>
      </x:c>
      <x:c r="F14" s="84" t="n">
        <x:v>0.1</x:v>
      </x:c>
      <x:c r="G14" s="84" t="n">
        <x:v>0.05</x:v>
      </x:c>
      <x:c r="H14" s="84" t="n">
        <x:f>SUM(C14:G14)</x:f>
        <x:v>1</x:v>
      </x:c>
    </x:row>
    <x:row r="15" ht="25" customHeight="1">
      <x:c r="A15" s="69"/>
      <x:c r="B15" s="69"/>
      <x:c r="C15" s="69"/>
      <x:c r="D15" s="69"/>
      <x:c r="E15" s="69"/>
      <x:c r="F15" s="69"/>
      <x:c r="G15" s="69"/>
      <x:c r="H15" s="69"/>
    </x:row>
    <x:row r="16" ht="25" customHeight="1">
      <x:c r="A16" s="69"/>
      <x:c r="B16" s="69"/>
      <x:c r="C16" s="69"/>
      <x:c r="D16" s="69"/>
      <x:c r="E16" s="69"/>
      <x:c r="F16" s="69"/>
      <x:c r="G16" s="69"/>
      <x:c r="H16" s="69"/>
    </x:row>
    <x:row r="17" ht="38" customHeight="1">
      <x:c r="A17" s="74" t="str">
        <x:v>Position</x:v>
      </x:c>
      <x:c r="B17" s="74" t="str">
        <x:v>Production criterion</x:v>
      </x:c>
      <x:c r="C17" s="74" t="str">
        <x:v>Within-production weight</x:v>
      </x:c>
      <x:c r="D17" s="74" t="str">
        <x:v>Evidence to collect</x:v>
      </x:c>
      <x:c r="E17" s="74" t="str">
        <x:v>Normalization</x:v>
      </x:c>
      <x:c r="F17" s="74" t="str">
        <x:v>Rule status</x:v>
      </x:c>
      <x:c r="G17" s="69"/>
      <x:c r="H17" s="69"/>
    </x:row>
    <x:row r="18" ht="25" customHeight="1">
      <x:c r="A18" s="69" t="str">
        <x:v>CDM</x:v>
      </x:c>
      <x:c r="B18" s="69" t="str">
        <x:v>Defending</x:v>
      </x:c>
      <x:c r="C18" s="84" t="n">
        <x:v>0.4</x:v>
      </x:c>
      <x:c r="D18" s="69" t="str">
        <x:v>Interceptions, recoveries, duel success</x:v>
      </x:c>
      <x:c r="E18" s="69" t="str">
        <x:v>Per 90; adjust for possession</x:v>
      </x:c>
      <x:c r="F18" s="69" t="str">
        <x:v>Agreed production split</x:v>
      </x:c>
      <x:c r="G18" s="69"/>
      <x:c r="H18" s="69"/>
    </x:row>
    <x:row r="19" ht="25" customHeight="1">
      <x:c r="A19" s="69" t="str">
        <x:v>CDM</x:v>
      </x:c>
      <x:c r="B19" s="69" t="str">
        <x:v>Passing / progression</x:v>
      </x:c>
      <x:c r="C19" s="84" t="n">
        <x:v>0.3</x:v>
      </x:c>
      <x:c r="D19" s="69" t="str">
        <x:v>Progressive passes, carries, line-breaking passes</x:v>
      </x:c>
      <x:c r="E19" s="69" t="str">
        <x:v>Per 90; compare deep-midfield roles</x:v>
      </x:c>
      <x:c r="F19" s="69" t="str">
        <x:v>Agreed production split</x:v>
      </x:c>
      <x:c r="G19" s="69"/>
      <x:c r="H19" s="69"/>
    </x:row>
    <x:row r="20" ht="25" customHeight="1">
      <x:c r="A20" s="69" t="str">
        <x:v>CDM</x:v>
      </x:c>
      <x:c r="B20" s="69" t="str">
        <x:v>Possession security</x:v>
      </x:c>
      <x:c r="C20" s="84" t="n">
        <x:v>0.2</x:v>
      </x:c>
      <x:c r="D20" s="69" t="str">
        <x:v>Turnovers, dispossessions, pressure retention</x:v>
      </x:c>
      <x:c r="E20" s="69" t="str">
        <x:v>Reverse adverse measures; comparable difficulty</x:v>
      </x:c>
      <x:c r="F20" s="69" t="str">
        <x:v>Agreed production split</x:v>
      </x:c>
      <x:c r="G20" s="69"/>
      <x:c r="H20" s="69"/>
    </x:row>
    <x:row r="21" ht="25" customHeight="1">
      <x:c r="A21" s="69" t="str">
        <x:v>CDM</x:v>
      </x:c>
      <x:c r="B21" s="69" t="str">
        <x:v>Attacking contribution</x:v>
      </x:c>
      <x:c r="C21" s="84" t="n">
        <x:v>0.1</x:v>
      </x:c>
      <x:c r="D21" s="69" t="str">
        <x:v>Non-penalty xG, xA, chances created</x:v>
      </x:c>
      <x:c r="E21" s="69" t="str">
        <x:v>Per 90; do not reward goals alone</x:v>
      </x:c>
      <x:c r="F21" s="69" t="str">
        <x:v>Agreed production split</x:v>
      </x:c>
      <x:c r="G21" s="69"/>
      <x:c r="H21" s="69"/>
    </x:row>
    <x:row r="22" ht="25" customHeight="1">
      <x:c r="A22" s="69" t="str">
        <x:v>CM</x:v>
      </x:c>
      <x:c r="B22" s="69" t="str">
        <x:v>Progression</x:v>
      </x:c>
      <x:c r="C22" s="84" t="n">
        <x:v>0.35</x:v>
      </x:c>
      <x:c r="D22" s="69" t="str">
        <x:v>Progressive passes and carries</x:v>
      </x:c>
      <x:c r="E22" s="69" t="str">
        <x:v>Per 90; role and possession context</x:v>
      </x:c>
      <x:c r="F22" s="69" t="str">
        <x:v>Proposed</x:v>
      </x:c>
      <x:c r="G22" s="69"/>
      <x:c r="H22" s="69"/>
    </x:row>
    <x:row r="23" ht="25" customHeight="1">
      <x:c r="A23" s="69" t="str">
        <x:v>CM</x:v>
      </x:c>
      <x:c r="B23" s="69" t="str">
        <x:v>Creation</x:v>
      </x:c>
      <x:c r="C23" s="84" t="n">
        <x:v>0.25</x:v>
      </x:c>
      <x:c r="D23" s="69" t="str">
        <x:v>xA, chances created</x:v>
      </x:c>
      <x:c r="E23" s="69" t="str">
        <x:v>Per 90</x:v>
      </x:c>
      <x:c r="F23" s="69" t="str">
        <x:v>Proposed</x:v>
      </x:c>
      <x:c r="G23" s="69"/>
      <x:c r="H23" s="69"/>
    </x:row>
    <x:row r="24" ht="25" customHeight="1">
      <x:c r="A24" s="69" t="str">
        <x:v>CM</x:v>
      </x:c>
      <x:c r="B24" s="69" t="str">
        <x:v>Defending</x:v>
      </x:c>
      <x:c r="C24" s="84" t="n">
        <x:v>0.25</x:v>
      </x:c>
      <x:c r="D24" s="69" t="str">
        <x:v>Recoveries, interceptions, duel success</x:v>
      </x:c>
      <x:c r="E24" s="69" t="str">
        <x:v>Per 90; possession adjustment</x:v>
      </x:c>
      <x:c r="F24" s="69" t="str">
        <x:v>Proposed</x:v>
      </x:c>
      <x:c r="G24" s="69"/>
      <x:c r="H24" s="69"/>
    </x:row>
    <x:row r="25" ht="25" customHeight="1">
      <x:c r="A25" s="69" t="str">
        <x:v>CM</x:v>
      </x:c>
      <x:c r="B25" s="69" t="str">
        <x:v>Possession security</x:v>
      </x:c>
      <x:c r="C25" s="84" t="n">
        <x:v>0.15</x:v>
      </x:c>
      <x:c r="D25" s="69" t="str">
        <x:v>Turnovers and pressure retention</x:v>
      </x:c>
      <x:c r="E25" s="69" t="str">
        <x:v>Adverse measures reversed</x:v>
      </x:c>
      <x:c r="F25" s="69" t="str">
        <x:v>Proposed</x:v>
      </x:c>
      <x:c r="G25" s="69"/>
      <x:c r="H25" s="69"/>
    </x:row>
    <x:row r="26" ht="25" customHeight="1">
      <x:c r="A26" s="69" t="str">
        <x:v>CAM</x:v>
      </x:c>
      <x:c r="B26" s="69" t="str">
        <x:v>Creation</x:v>
      </x:c>
      <x:c r="C26" s="84" t="n">
        <x:v>0.45</x:v>
      </x:c>
      <x:c r="D26" s="69" t="str">
        <x:v>xA, chances created, through balls</x:v>
      </x:c>
      <x:c r="E26" s="69" t="str">
        <x:v>Per 90; chance quality</x:v>
      </x:c>
      <x:c r="F26" s="69" t="str">
        <x:v>Proposed</x:v>
      </x:c>
      <x:c r="G26" s="69"/>
      <x:c r="H26" s="69"/>
    </x:row>
    <x:row r="27" ht="25" customHeight="1">
      <x:c r="A27" s="69" t="str">
        <x:v>CAM</x:v>
      </x:c>
      <x:c r="B27" s="69" t="str">
        <x:v>Scoring</x:v>
      </x:c>
      <x:c r="C27" s="84" t="n">
        <x:v>0.25</x:v>
      </x:c>
      <x:c r="D27" s="69" t="str">
        <x:v>Non-penalty xG and goals</x:v>
      </x:c>
      <x:c r="E27" s="69" t="str">
        <x:v>Per 90; separate penalties</x:v>
      </x:c>
      <x:c r="F27" s="69" t="str">
        <x:v>Proposed</x:v>
      </x:c>
      <x:c r="G27" s="69"/>
      <x:c r="H27" s="69"/>
    </x:row>
    <x:row r="28" ht="25" customHeight="1">
      <x:c r="A28" s="69" t="str">
        <x:v>CAM</x:v>
      </x:c>
      <x:c r="B28" s="69" t="str">
        <x:v>Progression</x:v>
      </x:c>
      <x:c r="C28" s="84" t="n">
        <x:v>0.2</x:v>
      </x:c>
      <x:c r="D28" s="69" t="str">
        <x:v>Carries and attacking entries</x:v>
      </x:c>
      <x:c r="E28" s="69" t="str">
        <x:v>Per 90</x:v>
      </x:c>
      <x:c r="F28" s="69" t="str">
        <x:v>Proposed</x:v>
      </x:c>
      <x:c r="G28" s="69"/>
      <x:c r="H28" s="69"/>
    </x:row>
    <x:row r="29" ht="25" customHeight="1">
      <x:c r="A29" s="69" t="str">
        <x:v>CAM</x:v>
      </x:c>
      <x:c r="B29" s="69" t="str">
        <x:v>Security / pressing</x:v>
      </x:c>
      <x:c r="C29" s="84" t="n">
        <x:v>0.1</x:v>
      </x:c>
      <x:c r="D29" s="69" t="str">
        <x:v>Turnovers and possession wins</x:v>
      </x:c>
      <x:c r="E29" s="69" t="str">
        <x:v>Role and team context</x:v>
      </x:c>
      <x:c r="F29" s="69" t="str">
        <x:v>Proposed</x:v>
      </x:c>
      <x:c r="G29" s="69"/>
      <x:c r="H29" s="69"/>
    </x:row>
    <x:row r="30" ht="25" customHeight="1">
      <x:c r="A30" s="69" t="str">
        <x:v>CB</x:v>
      </x:c>
      <x:c r="B30" s="69" t="str">
        <x:v>Defending</x:v>
      </x:c>
      <x:c r="C30" s="84" t="n">
        <x:v>0.45</x:v>
      </x:c>
      <x:c r="D30" s="69" t="str">
        <x:v>Interceptions, duels, defensive errors</x:v>
      </x:c>
      <x:c r="E30" s="69" t="str">
        <x:v>Possession and opponent adjustment</x:v>
      </x:c>
      <x:c r="F30" s="69" t="str">
        <x:v>Proposed</x:v>
      </x:c>
      <x:c r="G30" s="69"/>
      <x:c r="H30" s="69"/>
    </x:row>
    <x:row r="31" ht="25" customHeight="1">
      <x:c r="A31" s="69" t="str">
        <x:v>CB</x:v>
      </x:c>
      <x:c r="B31" s="69" t="str">
        <x:v>Aerial play</x:v>
      </x:c>
      <x:c r="C31" s="84" t="n">
        <x:v>0.25</x:v>
      </x:c>
      <x:c r="D31" s="69" t="str">
        <x:v>Aerial success and contested volume</x:v>
      </x:c>
      <x:c r="E31" s="69" t="str">
        <x:v>Compare similar defensive roles</x:v>
      </x:c>
      <x:c r="F31" s="69" t="str">
        <x:v>Proposed</x:v>
      </x:c>
      <x:c r="G31" s="69"/>
      <x:c r="H31" s="69"/>
    </x:row>
    <x:row r="32" ht="25" customHeight="1">
      <x:c r="A32" s="69" t="str">
        <x:v>CB</x:v>
      </x:c>
      <x:c r="B32" s="69" t="str">
        <x:v>Ball progression</x:v>
      </x:c>
      <x:c r="C32" s="84" t="n">
        <x:v>0.2</x:v>
      </x:c>
      <x:c r="D32" s="69" t="str">
        <x:v>Progressive passing and carries</x:v>
      </x:c>
      <x:c r="E32" s="69" t="str">
        <x:v>Per 90; pass difficulty</x:v>
      </x:c>
      <x:c r="F32" s="69" t="str">
        <x:v>Proposed</x:v>
      </x:c>
      <x:c r="G32" s="69"/>
      <x:c r="H32" s="69"/>
    </x:row>
    <x:row r="33" ht="25" customHeight="1">
      <x:c r="A33" s="69" t="str">
        <x:v>CB</x:v>
      </x:c>
      <x:c r="B33" s="69" t="str">
        <x:v>Discipline / security</x:v>
      </x:c>
      <x:c r="C33" s="84" t="n">
        <x:v>0.1</x:v>
      </x:c>
      <x:c r="D33" s="69" t="str">
        <x:v>Errors, fouls, cards, turnovers</x:v>
      </x:c>
      <x:c r="E33" s="69" t="str">
        <x:v>Adverse measures reversed</x:v>
      </x:c>
      <x:c r="F33" s="69" t="str">
        <x:v>Proposed</x:v>
      </x:c>
      <x:c r="G33" s="69"/>
      <x:c r="H33" s="69"/>
    </x:row>
    <x:row r="34" ht="25" customHeight="1">
      <x:c r="A34" s="69" t="str">
        <x:v>FB</x:v>
      </x:c>
      <x:c r="B34" s="69" t="str">
        <x:v>Defending</x:v>
      </x:c>
      <x:c r="C34" s="84" t="n">
        <x:v>0.3</x:v>
      </x:c>
      <x:c r="D34" s="69" t="str">
        <x:v>Defensive duels, interceptions</x:v>
      </x:c>
      <x:c r="E34" s="69" t="str">
        <x:v>Possession adjusted</x:v>
      </x:c>
      <x:c r="F34" s="69" t="str">
        <x:v>Proposed</x:v>
      </x:c>
      <x:c r="G34" s="69"/>
      <x:c r="H34" s="69"/>
    </x:row>
    <x:row r="35" ht="25" customHeight="1">
      <x:c r="A35" s="69" t="str">
        <x:v>FB</x:v>
      </x:c>
      <x:c r="B35" s="69" t="str">
        <x:v>Progression</x:v>
      </x:c>
      <x:c r="C35" s="84" t="n">
        <x:v>0.25</x:v>
      </x:c>
      <x:c r="D35" s="69" t="str">
        <x:v>Progressive passes and carries</x:v>
      </x:c>
      <x:c r="E35" s="69" t="str">
        <x:v>Per 90</x:v>
      </x:c>
      <x:c r="F35" s="69" t="str">
        <x:v>Proposed</x:v>
      </x:c>
      <x:c r="G35" s="69"/>
      <x:c r="H35" s="69"/>
    </x:row>
    <x:row r="36" ht="25" customHeight="1">
      <x:c r="A36" s="69" t="str">
        <x:v>FB</x:v>
      </x:c>
      <x:c r="B36" s="69" t="str">
        <x:v>Creation</x:v>
      </x:c>
      <x:c r="C36" s="84" t="n">
        <x:v>0.25</x:v>
      </x:c>
      <x:c r="D36" s="69" t="str">
        <x:v>xA, chances created, crosses</x:v>
      </x:c>
      <x:c r="E36" s="69" t="str">
        <x:v>Per 90; crossing quality</x:v>
      </x:c>
      <x:c r="F36" s="69" t="str">
        <x:v>Proposed</x:v>
      </x:c>
      <x:c r="G36" s="69"/>
      <x:c r="H36" s="69"/>
    </x:row>
    <x:row r="37" ht="25" customHeight="1">
      <x:c r="A37" s="69" t="str">
        <x:v>FB</x:v>
      </x:c>
      <x:c r="B37" s="69" t="str">
        <x:v>Recovery / security</x:v>
      </x:c>
      <x:c r="C37" s="84" t="n">
        <x:v>0.2</x:v>
      </x:c>
      <x:c r="D37" s="69" t="str">
        <x:v>Recoveries and turnovers</x:v>
      </x:c>
      <x:c r="E37" s="69" t="str">
        <x:v>Role context</x:v>
      </x:c>
      <x:c r="F37" s="69" t="str">
        <x:v>Proposed</x:v>
      </x:c>
      <x:c r="G37" s="69"/>
      <x:c r="H37" s="69"/>
    </x:row>
    <x:row r="38" ht="25" customHeight="1">
      <x:c r="A38" s="69" t="str">
        <x:v>WB</x:v>
      </x:c>
      <x:c r="B38" s="69" t="str">
        <x:v>Creation</x:v>
      </x:c>
      <x:c r="C38" s="84" t="n">
        <x:v>0.35</x:v>
      </x:c>
      <x:c r="D38" s="69" t="str">
        <x:v>xA, chance creation, crosses</x:v>
      </x:c>
      <x:c r="E38" s="69" t="str">
        <x:v>Per 90</x:v>
      </x:c>
      <x:c r="F38" s="69" t="str">
        <x:v>Proposed</x:v>
      </x:c>
      <x:c r="G38" s="69"/>
      <x:c r="H38" s="69"/>
    </x:row>
    <x:row r="39" ht="25" customHeight="1">
      <x:c r="A39" s="69" t="str">
        <x:v>WB</x:v>
      </x:c>
      <x:c r="B39" s="69" t="str">
        <x:v>Progression</x:v>
      </x:c>
      <x:c r="C39" s="84" t="n">
        <x:v>0.3</x:v>
      </x:c>
      <x:c r="D39" s="69" t="str">
        <x:v>Carries and attacking entries</x:v>
      </x:c>
      <x:c r="E39" s="69" t="str">
        <x:v>Per 90</x:v>
      </x:c>
      <x:c r="F39" s="69" t="str">
        <x:v>Proposed</x:v>
      </x:c>
      <x:c r="G39" s="69"/>
      <x:c r="H39" s="69"/>
    </x:row>
    <x:row r="40" ht="25" customHeight="1">
      <x:c r="A40" s="69" t="str">
        <x:v>WB</x:v>
      </x:c>
      <x:c r="B40" s="69" t="str">
        <x:v>Defending</x:v>
      </x:c>
      <x:c r="C40" s="84" t="n">
        <x:v>0.25</x:v>
      </x:c>
      <x:c r="D40" s="69" t="str">
        <x:v>Duels, interceptions, recoveries</x:v>
      </x:c>
      <x:c r="E40" s="69" t="str">
        <x:v>Possession adjusted</x:v>
      </x:c>
      <x:c r="F40" s="69" t="str">
        <x:v>Proposed</x:v>
      </x:c>
      <x:c r="G40" s="69"/>
      <x:c r="H40" s="69"/>
    </x:row>
    <x:row r="41" ht="25" customHeight="1">
      <x:c r="A41" s="69" t="str">
        <x:v>WB</x:v>
      </x:c>
      <x:c r="B41" s="69" t="str">
        <x:v>Security</x:v>
      </x:c>
      <x:c r="C41" s="84" t="n">
        <x:v>0.1</x:v>
      </x:c>
      <x:c r="D41" s="69" t="str">
        <x:v>Turnovers and pressure retention</x:v>
      </x:c>
      <x:c r="E41" s="69" t="str">
        <x:v>Adverse measures reversed</x:v>
      </x:c>
      <x:c r="F41" s="69" t="str">
        <x:v>Proposed</x:v>
      </x:c>
      <x:c r="G41" s="69"/>
      <x:c r="H41" s="69"/>
    </x:row>
    <x:row r="42" ht="25" customHeight="1">
      <x:c r="A42" s="69" t="str">
        <x:v>WINGER</x:v>
      </x:c>
      <x:c r="B42" s="69" t="str">
        <x:v>Scoring</x:v>
      </x:c>
      <x:c r="C42" s="84" t="n">
        <x:v>0.35</x:v>
      </x:c>
      <x:c r="D42" s="69" t="str">
        <x:v>Non-penalty xG and goals</x:v>
      </x:c>
      <x:c r="E42" s="69" t="str">
        <x:v>Per 90</x:v>
      </x:c>
      <x:c r="F42" s="69" t="str">
        <x:v>Proposed</x:v>
      </x:c>
      <x:c r="G42" s="69"/>
      <x:c r="H42" s="69"/>
    </x:row>
    <x:row r="43" ht="25" customHeight="1">
      <x:c r="A43" s="69" t="str">
        <x:v>WINGER</x:v>
      </x:c>
      <x:c r="B43" s="69" t="str">
        <x:v>Creation</x:v>
      </x:c>
      <x:c r="C43" s="84" t="n">
        <x:v>0.3</x:v>
      </x:c>
      <x:c r="D43" s="69" t="str">
        <x:v>xA and chances created</x:v>
      </x:c>
      <x:c r="E43" s="69" t="str">
        <x:v>Per 90</x:v>
      </x:c>
      <x:c r="F43" s="69" t="str">
        <x:v>Proposed</x:v>
      </x:c>
      <x:c r="G43" s="69"/>
      <x:c r="H43" s="69"/>
    </x:row>
    <x:row r="44" ht="25" customHeight="1">
      <x:c r="A44" s="69" t="str">
        <x:v>WINGER</x:v>
      </x:c>
      <x:c r="B44" s="69" t="str">
        <x:v>Progression / take-ons</x:v>
      </x:c>
      <x:c r="C44" s="84" t="n">
        <x:v>0.25</x:v>
      </x:c>
      <x:c r="D44" s="69" t="str">
        <x:v>Carries and successful take-ons</x:v>
      </x:c>
      <x:c r="E44" s="69" t="str">
        <x:v>Per 90; success and volume</x:v>
      </x:c>
      <x:c r="F44" s="69" t="str">
        <x:v>Proposed</x:v>
      </x:c>
      <x:c r="G44" s="69"/>
      <x:c r="H44" s="69"/>
    </x:row>
    <x:row r="45" ht="25" customHeight="1">
      <x:c r="A45" s="69" t="str">
        <x:v>WINGER</x:v>
      </x:c>
      <x:c r="B45" s="69" t="str">
        <x:v>Pressing / security</x:v>
      </x:c>
      <x:c r="C45" s="84" t="n">
        <x:v>0.1</x:v>
      </x:c>
      <x:c r="D45" s="69" t="str">
        <x:v>Possession wins and turnovers</x:v>
      </x:c>
      <x:c r="E45" s="69" t="str">
        <x:v>Team and role context</x:v>
      </x:c>
      <x:c r="F45" s="69" t="str">
        <x:v>Proposed</x:v>
      </x:c>
      <x:c r="G45" s="69"/>
      <x:c r="H45" s="69"/>
    </x:row>
    <x:row r="46" ht="25" customHeight="1">
      <x:c r="A46" s="69" t="str">
        <x:v>ST</x:v>
      </x:c>
      <x:c r="B46" s="69" t="str">
        <x:v>Scoring</x:v>
      </x:c>
      <x:c r="C46" s="84" t="n">
        <x:v>0.5</x:v>
      </x:c>
      <x:c r="D46" s="69" t="str">
        <x:v>Non-penalty xG and goals</x:v>
      </x:c>
      <x:c r="E46" s="69" t="str">
        <x:v>Per 90; finishing evidence over time</x:v>
      </x:c>
      <x:c r="F46" s="69" t="str">
        <x:v>Proposed</x:v>
      </x:c>
      <x:c r="G46" s="69"/>
      <x:c r="H46" s="69"/>
    </x:row>
    <x:row r="47" ht="25" customHeight="1">
      <x:c r="A47" s="69" t="str">
        <x:v>ST</x:v>
      </x:c>
      <x:c r="B47" s="69" t="str">
        <x:v>Link-up / creation</x:v>
      </x:c>
      <x:c r="C47" s="84" t="n">
        <x:v>0.2</x:v>
      </x:c>
      <x:c r="D47" s="69" t="str">
        <x:v>xA, chance creation, retention</x:v>
      </x:c>
      <x:c r="E47" s="69" t="str">
        <x:v>Per 90; target / mobile role context</x:v>
      </x:c>
      <x:c r="F47" s="69" t="str">
        <x:v>Proposed</x:v>
      </x:c>
      <x:c r="G47" s="69"/>
      <x:c r="H47" s="69"/>
    </x:row>
    <x:row r="48" ht="25" customHeight="1">
      <x:c r="A48" s="69" t="str">
        <x:v>ST</x:v>
      </x:c>
      <x:c r="B48" s="69" t="str">
        <x:v>Box / aerial threat</x:v>
      </x:c>
      <x:c r="C48" s="84" t="n">
        <x:v>0.2</x:v>
      </x:c>
      <x:c r="D48" s="69" t="str">
        <x:v>Box touches and aerial success</x:v>
      </x:c>
      <x:c r="E48" s="69" t="str">
        <x:v>Per 90; role context</x:v>
      </x:c>
      <x:c r="F48" s="69" t="str">
        <x:v>Proposed</x:v>
      </x:c>
      <x:c r="G48" s="69"/>
      <x:c r="H48" s="69"/>
    </x:row>
    <x:row r="49" ht="25" customHeight="1">
      <x:c r="A49" s="69" t="str">
        <x:v>ST</x:v>
      </x:c>
      <x:c r="B49" s="69" t="str">
        <x:v>Pressing</x:v>
      </x:c>
      <x:c r="C49" s="84" t="n">
        <x:v>0.1</x:v>
      </x:c>
      <x:c r="D49" s="69" t="str">
        <x:v>High possession wins</x:v>
      </x:c>
      <x:c r="E49" s="69" t="str">
        <x:v>Team pressing context</x:v>
      </x:c>
      <x:c r="F49" s="69" t="str">
        <x:v>Proposed</x:v>
      </x:c>
      <x:c r="G49" s="69"/>
      <x:c r="H49" s="69"/>
    </x:row>
    <x:row r="50" ht="25" customHeight="1">
      <x:c r="A50" s="69" t="str">
        <x:v>GK</x:v>
      </x:c>
      <x:c r="B50" s="69" t="str">
        <x:v>Shot stopping</x:v>
      </x:c>
      <x:c r="C50" s="84" t="n">
        <x:v>0.45</x:v>
      </x:c>
      <x:c r="D50" s="69" t="str">
        <x:v>Post-shot xG minus goals allowed</x:v>
      </x:c>
      <x:c r="E50" s="69" t="str">
        <x:v>Per 90; shot difficulty</x:v>
      </x:c>
      <x:c r="F50" s="69" t="str">
        <x:v>Proposed</x:v>
      </x:c>
      <x:c r="G50" s="69"/>
      <x:c r="H50" s="69"/>
    </x:row>
    <x:row r="51" ht="25" customHeight="1">
      <x:c r="A51" s="69" t="str">
        <x:v>GK</x:v>
      </x:c>
      <x:c r="B51" s="69" t="str">
        <x:v>Distribution</x:v>
      </x:c>
      <x:c r="C51" s="84" t="n">
        <x:v>0.25</x:v>
      </x:c>
      <x:c r="D51" s="69" t="str">
        <x:v>Progressive passing and pressured accuracy</x:v>
      </x:c>
      <x:c r="E51" s="69" t="str">
        <x:v>Pass difficulty and role</x:v>
      </x:c>
      <x:c r="F51" s="69" t="str">
        <x:v>Proposed</x:v>
      </x:c>
      <x:c r="G51" s="69"/>
      <x:c r="H51" s="69"/>
    </x:row>
    <x:row r="52" ht="25" customHeight="1">
      <x:c r="A52" s="69" t="str">
        <x:v>GK</x:v>
      </x:c>
      <x:c r="B52" s="69" t="str">
        <x:v>Aerial command</x:v>
      </x:c>
      <x:c r="C52" s="84" t="n">
        <x:v>0.2</x:v>
      </x:c>
      <x:c r="D52" s="69" t="str">
        <x:v>Cross claiming and aerial interventions</x:v>
      </x:c>
      <x:c r="E52" s="69" t="str">
        <x:v>Per opportunity</x:v>
      </x:c>
      <x:c r="F52" s="69" t="str">
        <x:v>Proposed</x:v>
      </x:c>
      <x:c r="G52" s="69"/>
      <x:c r="H52" s="69"/>
    </x:row>
    <x:row r="53" ht="25" customHeight="1">
      <x:c r="A53" s="69" t="str">
        <x:v>GK</x:v>
      </x:c>
      <x:c r="B53" s="69" t="str">
        <x:v>Sweeping</x:v>
      </x:c>
      <x:c r="C53" s="84" t="n">
        <x:v>0.1</x:v>
      </x:c>
      <x:c r="D53" s="69" t="str">
        <x:v>Actions outside area and errors</x:v>
      </x:c>
      <x:c r="E53" s="69" t="str">
        <x:v>Per opportunity; team line height</x:v>
      </x:c>
      <x:c r="F53" s="69" t="str">
        <x:v>Proposed</x:v>
      </x:c>
      <x:c r="G53" s="69"/>
      <x:c r="H53" s="69"/>
    </x:row>
    <x:row r="54" ht="25" customHeight="1">
      <x:c r="A54" s="69"/>
      <x:c r="B54" s="69"/>
      <x:c r="C54" s="69"/>
      <x:c r="D54" s="69"/>
      <x:c r="E54" s="69"/>
      <x:c r="F54" s="69"/>
      <x:c r="G54" s="69"/>
      <x:c r="H54" s="69"/>
    </x:row>
    <x:row r="55" ht="25" customHeight="1">
      <x:c r="A55" s="69"/>
      <x:c r="B55" s="69"/>
      <x:c r="C55" s="69"/>
      <x:c r="D55" s="69"/>
      <x:c r="E55" s="69"/>
      <x:c r="F55" s="69"/>
      <x:c r="G55" s="69"/>
      <x:c r="H55" s="69"/>
    </x:row>
    <x:row r="56" ht="38" customHeight="1">
      <x:c r="A56" s="74" t="str">
        <x:v>Factor</x:v>
      </x:c>
      <x:c r="B56" s="74" t="str">
        <x:v>Interpretation</x:v>
      </x:c>
      <x:c r="C56" s="69"/>
      <x:c r="D56" s="69"/>
      <x:c r="E56" s="69"/>
      <x:c r="F56" s="69"/>
      <x:c r="G56" s="69"/>
      <x:c r="H56" s="69"/>
    </x:row>
    <x:row r="57" ht="44" customHeight="1">
      <x:c r="A57" s="69" t="str">
        <x:v>Production</x:v>
      </x:c>
      <x:c r="B57" s="85" t="str">
        <x:v>Compare the same role and period. Use per-90 / opportunity rates and sufficient minutes. Missing measures stay unavailable.</x:v>
      </x:c>
      <x:c r="C57" s="85"/>
      <x:c r="D57" s="85"/>
      <x:c r="E57" s="85"/>
      <x:c r="F57" s="85"/>
      <x:c r="G57" s="69"/>
      <x:c r="H57" s="69"/>
    </x:row>
    <x:row r="58" ht="44" customHeight="1">
      <x:c r="A58" s="69" t="str">
        <x:v>Fee vs worth</x:v>
      </x:c>
      <x:c r="B58" s="85" t="str">
        <x:v>Use independently supported worth or comparable deals. Keep currency, fee basis, transfer date and add-ons consistent.</x:v>
      </x:c>
      <x:c r="C58" s="85"/>
      <x:c r="D58" s="85"/>
      <x:c r="E58" s="85"/>
      <x:c r="F58" s="85"/>
      <x:c r="G58" s="69"/>
      <x:c r="H58" s="69"/>
    </x:row>
    <x:row r="59" ht="44" customHeight="1">
      <x:c r="A59" s="69" t="str">
        <x:v>Potential</x:v>
      </x:c>
      <x:c r="B59" s="85" t="str">
        <x:v>Evidence of improvement and room to develop. Do not simply count youth a second time.</x:v>
      </x:c>
      <x:c r="C59" s="85"/>
      <x:c r="D59" s="85"/>
      <x:c r="E59" s="85"/>
      <x:c r="F59" s="85"/>
      <x:c r="G59" s="69"/>
      <x:c r="H59" s="69"/>
    </x:row>
    <x:row r="60" ht="44" customHeight="1">
      <x:c r="A60" s="69" t="str">
        <x:v>Age / runway</x:v>
      </x:c>
      <x:c r="B60" s="85" t="str">
        <x:v>Expected useful seasons at signing for this deal; distinguish age today. Correct source ages only with verification.</x:v>
      </x:c>
      <x:c r="C60" s="85"/>
      <x:c r="D60" s="85"/>
      <x:c r="E60" s="85"/>
      <x:c r="F60" s="85"/>
      <x:c r="G60" s="69"/>
      <x:c r="H60" s="69"/>
    </x:row>
    <x:row r="61" ht="44" customHeight="1">
      <x:c r="A61" s="69" t="str">
        <x:v>Competition</x:v>
      </x:c>
      <x:c r="B61" s="85" t="str">
        <x:v>Opponent and competition strength. Avoid double-counting league effects already used in production.</x:v>
      </x:c>
      <x:c r="C61" s="85"/>
      <x:c r="D61" s="85"/>
      <x:c r="E61" s="85"/>
      <x:c r="F61" s="85"/>
      <x:c r="G61" s="69"/>
      <x:c r="H61" s="69"/>
    </x:row>
    <x:row r="62" ht="44" customHeight="1">
      <x:c r="A62" s="69" t="str">
        <x:v>Score interpretation</x:v>
      </x:c>
      <x:c r="B62" s="85" t="str">
        <x:v>10.0 = exceptional deal; 9.0–9.9 = outstanding; 8.0–8.9 = strong; 6.0–7.9 = mixed; below 6.0 = weak. Proposed anchors.</x:v>
      </x:c>
      <x:c r="C62" s="85"/>
      <x:c r="D62" s="85"/>
      <x:c r="E62" s="85"/>
      <x:c r="F62" s="85"/>
      <x:c r="G62" s="69"/>
      <x:c r="H62" s="69"/>
    </x:row>
    <x:row r="63" ht="44" customHeight="1">
      <x:c r="A63" s="69" t="str">
        <x:v>Existing ratings</x:v>
      </x:c>
      <x:c r="B63" s="85" t="str">
        <x:v>Editorial and retrospective judgments are retained. They are not statistically validated weighted scores.</x:v>
      </x:c>
      <x:c r="C63" s="85"/>
      <x:c r="D63" s="85"/>
      <x:c r="E63" s="85"/>
      <x:c r="F63" s="85"/>
      <x:c r="G63" s="69"/>
      <x:c r="H63" s="69"/>
    </x:row>
    <x:row r="64" ht="25" customHeight="1">
      <x:c r="A64" s="69"/>
      <x:c r="B64" s="69"/>
      <x:c r="C64" s="69"/>
      <x:c r="D64" s="69"/>
      <x:c r="E64" s="69"/>
      <x:c r="F64" s="69"/>
      <x:c r="G64" s="69"/>
      <x:c r="H64" s="69"/>
    </x:row>
    <x:row r="65" ht="25" customHeight="1">
      <x:c r="A65" s="69"/>
      <x:c r="B65" s="69"/>
      <x:c r="C65" s="69"/>
      <x:c r="D65" s="69"/>
      <x:c r="E65" s="69"/>
      <x:c r="F65" s="69"/>
      <x:c r="G65" s="69"/>
      <x:c r="H65" s="69"/>
    </x:row>
    <x:row r="66" ht="25" customHeight="1">
      <x:c r="A66" s="69"/>
      <x:c r="B66" s="69"/>
      <x:c r="C66" s="69"/>
      <x:c r="D66" s="69"/>
      <x:c r="E66" s="69"/>
      <x:c r="F66" s="69"/>
      <x:c r="G66" s="69"/>
      <x:c r="H66" s="69"/>
    </x:row>
    <x:row r="67" ht="25" customHeight="1">
      <x:c r="A67" s="69"/>
      <x:c r="B67" s="69"/>
      <x:c r="C67" s="69"/>
      <x:c r="D67" s="69"/>
      <x:c r="E67" s="69"/>
      <x:c r="F67" s="69"/>
      <x:c r="G67" s="69"/>
      <x:c r="H67" s="69"/>
    </x:row>
    <x:row r="68" ht="25" customHeight="1">
      <x:c r="A68" s="69"/>
      <x:c r="B68" s="69"/>
      <x:c r="C68" s="69"/>
      <x:c r="D68" s="69"/>
      <x:c r="E68" s="69"/>
      <x:c r="F68" s="69"/>
      <x:c r="G68" s="69"/>
      <x:c r="H68" s="69"/>
    </x:row>
    <x:row r="69" ht="25" customHeight="1">
      <x:c r="A69" s="69"/>
      <x:c r="B69" s="69"/>
      <x:c r="C69" s="69"/>
      <x:c r="D69" s="69"/>
      <x:c r="E69" s="69"/>
      <x:c r="F69" s="69"/>
      <x:c r="G69" s="69"/>
      <x:c r="H69" s="69"/>
    </x:row>
    <x:row r="70" ht="25" customHeight="1">
      <x:c r="A70" s="69"/>
      <x:c r="B70" s="69"/>
      <x:c r="C70" s="69"/>
      <x:c r="D70" s="69"/>
      <x:c r="E70" s="69"/>
      <x:c r="F70" s="69"/>
      <x:c r="G70" s="69"/>
      <x:c r="H70" s="69"/>
    </x:row>
    <x:row r="71" ht="25" customHeight="1">
      <x:c r="A71" s="69"/>
      <x:c r="B71" s="69"/>
      <x:c r="C71" s="69"/>
      <x:c r="D71" s="69"/>
      <x:c r="E71" s="69"/>
      <x:c r="F71" s="69"/>
      <x:c r="G71" s="69"/>
      <x:c r="H71" s="69"/>
    </x:row>
    <x:row r="72" ht="25" customHeight="1">
      <x:c r="A72" s="69"/>
      <x:c r="B72" s="69"/>
      <x:c r="C72" s="69"/>
      <x:c r="D72" s="69"/>
      <x:c r="E72" s="69"/>
      <x:c r="F72" s="69"/>
      <x:c r="G72" s="69"/>
      <x:c r="H72" s="69"/>
    </x:row>
    <x:row r="73" ht="25" customHeight="1">
      <x:c r="A73" s="69"/>
      <x:c r="B73" s="69"/>
      <x:c r="C73" s="69"/>
      <x:c r="D73" s="69"/>
      <x:c r="E73" s="69"/>
      <x:c r="F73" s="69"/>
      <x:c r="G73" s="69"/>
      <x:c r="H73" s="69"/>
    </x:row>
  </x:sheetData>
  <x:mergeCells>
    <x:mergeCell ref="B57:F57"/>
    <x:mergeCell ref="B58:F58"/>
    <x:mergeCell ref="B59:F59"/>
    <x:mergeCell ref="B60:F60"/>
    <x:mergeCell ref="B61:F61"/>
    <x:mergeCell ref="B62:F62"/>
    <x:mergeCell ref="B63:F6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9" hidden="0" customWidth="1"/>
    <x:col min="13" max="13" width="12" hidden="0" customWidth="1"/>
    <x:col min="14" max="14" width="65" hidden="0" customWidth="1"/>
  </x:cols>
  <x:sheetData>
    <x:row r="1" ht="25" customHeight="1">
      <x:c r="A1" s="69"/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  <x:c r="N1" s="69"/>
    </x:row>
    <x:row r="2" ht="30" customHeight="1">
      <x:c r="A2" s="70" t="str">
        <x:v>Transfer rating calculator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</x:row>
    <x:row r="3" ht="25" customHeight="1">
      <x:c r="A3" s="69" t="str">
        <x:v>Enter five evidence-backed scores (0.1–10.0). Existing editorial ratings stay separate. Blank inputs produce no weighted rating.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</x:row>
    <x:row r="4" ht="25" customHeight="1">
      <x:c r="A4" s="69"/>
      <x:c r="B4" s="69"/>
      <x:c r="C4" s="69"/>
      <x:c r="D4" s="69"/>
      <x:c r="E4" s="69"/>
      <x:c r="F4" s="69"/>
      <x:c r="G4" s="69"/>
      <x:c r="H4" s="69"/>
      <x:c r="I4" s="69"/>
      <x:c r="J4" s="69"/>
      <x:c r="K4" s="69"/>
      <x:c r="L4" s="69"/>
      <x:c r="M4" s="69"/>
      <x:c r="N4" s="69"/>
    </x:row>
    <x:row r="5" ht="38" customHeight="1">
      <x:c r="A5" s="74" t="str">
        <x:v>Transfer ID</x:v>
      </x:c>
      <x:c r="B5" s="74" t="str">
        <x:v>Player</x:v>
      </x:c>
      <x:c r="C5" s="74" t="str">
        <x:v>Position rule</x:v>
      </x:c>
      <x:c r="D5" s="74" t="str">
        <x:v>Editorial rating</x:v>
      </x:c>
      <x:c r="E5" s="74" t="str">
        <x:v>Production</x:v>
      </x:c>
      <x:c r="F5" s="74" t="str">
        <x:v>Fee vs worth</x:v>
      </x:c>
      <x:c r="G5" s="74" t="str">
        <x:v>Potential</x:v>
      </x:c>
      <x:c r="H5" s="74" t="str">
        <x:v>Age / runway</x:v>
      </x:c>
      <x:c r="I5" s="74" t="str">
        <x:v>Competition</x:v>
      </x:c>
      <x:c r="J5" s="74" t="str">
        <x:v>Weighted score</x:v>
      </x:c>
      <x:c r="K5" s="74" t="str">
        <x:v>Vs editorial</x:v>
      </x:c>
      <x:c r="L5" s="74" t="str">
        <x:v>Input status</x:v>
      </x:c>
      <x:c r="M5" s="74" t="str">
        <x:v>Rule row</x:v>
      </x:c>
      <x:c r="N5" s="74" t="str">
        <x:v>Review notes</x:v>
      </x:c>
    </x:row>
    <x:row r="6" ht="25" customHeight="1">
      <x:c r="A6" s="69" t="str">
        <x:v>historical-4</x:v>
      </x:c>
      <x:c r="B6" s="69" t="str">
        <x:v>Enzo Fernández</x:v>
      </x:c>
      <x:c r="C6" s="69" t="str">
        <x:v>CM</x:v>
      </x:c>
      <x:c r="D6" s="82" t="n">
        <x:f>IF(ISNUMBER('Transfer_Ratings'!K6),'Transfer_Ratings'!K6,"")</x:f>
        <x:v>8</x:v>
      </x:c>
      <x:c r="E6" s="86"/>
      <x:c r="F6" s="86"/>
      <x:c r="G6" s="86"/>
      <x:c r="H6" s="86"/>
      <x:c r="I6" s="86"/>
      <x:c r="J6" s="82" t="str">
        <x:f>IF(C6="","Choose position",IF(COUNT(E6:I6)&lt;5,"",IF(OR(MIN(E6:I6)&lt;0.1,MAX(E6:I6)&gt;10),"Invalid score",IF(INDEX('Position_Rubric'!$H$6:$H$14,M6)&lt;&gt;1,"Check weights",ROUND(E6*INDEX('Position_Rubric'!$C$6:$C$14,M6)+F6*INDEX('Position_Rubric'!$D$6:$D$14,M6)+G6*INDEX('Position_Rubric'!$E$6:$E$14,M6)+H6*INDEX('Position_Rubric'!$F$6:$F$14,M6)+I6*INDEX('Position_Rubric'!$G$6:$G$14,M6),1)))))</x:f>
      </x:c>
      <x:c r="K6" s="82" t="str">
        <x:f>IF(AND(ISNUMBER(J6),ISNUMBER(D6)),J6-D6,"")</x:f>
      </x:c>
      <x:c r="L6" s="69" t="str">
        <x:f>IF(COUNT(E6:I6)&lt;5,"Needs component scores",IF(ISNUMBER(J6),"Calculated",J6))</x:f>
        <x:v>Needs component scores</x:v>
      </x:c>
      <x:c r="M6" s="69" t="n">
        <x:f>IF(C6="","",MATCH(C6,'Position_Rubric'!$A$6:$A$14,0))</x:f>
        <x:v>2</x:v>
      </x:c>
      <x:c r="N6" s="69" t="str"/>
    </x:row>
    <x:row r="7" ht="25" customHeight="1">
      <x:c r="A7" s="69" t="str">
        <x:v>historical-7</x:v>
      </x:c>
      <x:c r="B7" s="69" t="str">
        <x:v>Elliot Anderson</x:v>
      </x:c>
      <x:c r="C7" s="69" t="str">
        <x:v>CDM</x:v>
      </x:c>
      <x:c r="D7" s="82" t="n">
        <x:f>IF(ISNUMBER('Transfer_Ratings'!K7),'Transfer_Ratings'!K7,"")</x:f>
        <x:v>9.2</x:v>
      </x:c>
      <x:c r="E7" s="86"/>
      <x:c r="F7" s="86"/>
      <x:c r="G7" s="86"/>
      <x:c r="H7" s="86"/>
      <x:c r="I7" s="86"/>
      <x:c r="J7" s="82" t="str">
        <x:f>IF(C7="","Choose position",IF(COUNT(E7:I7)&lt;5,"",IF(OR(MIN(E7:I7)&lt;0.1,MAX(E7:I7)&gt;10),"Invalid score",IF(INDEX('Position_Rubric'!$H$6:$H$14,M7)&lt;&gt;1,"Check weights",ROUND(E7*INDEX('Position_Rubric'!$C$6:$C$14,M7)+F7*INDEX('Position_Rubric'!$D$6:$D$14,M7)+G7*INDEX('Position_Rubric'!$E$6:$E$14,M7)+H7*INDEX('Position_Rubric'!$F$6:$F$14,M7)+I7*INDEX('Position_Rubric'!$G$6:$G$14,M7),1)))))</x:f>
      </x:c>
      <x:c r="K7" s="82" t="str">
        <x:f>IF(AND(ISNUMBER(J7),ISNUMBER(D7)),J7-D7,"")</x:f>
      </x:c>
      <x:c r="L7" s="69" t="str">
        <x:f>IF(COUNT(E7:I7)&lt;5,"Needs component scores",IF(ISNUMBER(J7),"Calculated",J7))</x:f>
        <x:v>Needs component scores</x:v>
      </x:c>
      <x:c r="M7" s="69" t="n">
        <x:f>IF(C7="","",MATCH(C7,'Position_Rubric'!$A$6:$A$14,0))</x:f>
        <x:v>1</x:v>
      </x:c>
      <x:c r="N7" s="69" t="str"/>
    </x:row>
    <x:row r="8" ht="25" customHeight="1">
      <x:c r="A8" s="69" t="str">
        <x:v>historical-13</x:v>
      </x:c>
      <x:c r="B8" s="69" t="str">
        <x:v>Enzo Fernández</x:v>
      </x:c>
      <x:c r="C8" s="69" t="str">
        <x:v>CM</x:v>
      </x:c>
      <x:c r="D8" s="82" t="n">
        <x:f>IF(ISNUMBER('Transfer_Ratings'!K8),'Transfer_Ratings'!K8,"")</x:f>
        <x:v>8.2</x:v>
      </x:c>
      <x:c r="E8" s="86"/>
      <x:c r="F8" s="86"/>
      <x:c r="G8" s="86"/>
      <x:c r="H8" s="86"/>
      <x:c r="I8" s="86"/>
      <x:c r="J8" s="82" t="str">
        <x:f>IF(C8="","Choose position",IF(COUNT(E8:I8)&lt;5,"",IF(OR(MIN(E8:I8)&lt;0.1,MAX(E8:I8)&gt;10),"Invalid score",IF(INDEX('Position_Rubric'!$H$6:$H$14,M8)&lt;&gt;1,"Check weights",ROUND(E8*INDEX('Position_Rubric'!$C$6:$C$14,M8)+F8*INDEX('Position_Rubric'!$D$6:$D$14,M8)+G8*INDEX('Position_Rubric'!$E$6:$E$14,M8)+H8*INDEX('Position_Rubric'!$F$6:$F$14,M8)+I8*INDEX('Position_Rubric'!$G$6:$G$14,M8),1)))))</x:f>
      </x:c>
      <x:c r="K8" s="82" t="str">
        <x:f>IF(AND(ISNUMBER(J8),ISNUMBER(D8)),J8-D8,"")</x:f>
      </x:c>
      <x:c r="L8" s="69" t="str">
        <x:f>IF(COUNT(E8:I8)&lt;5,"Needs component scores",IF(ISNUMBER(J8),"Calculated",J8))</x:f>
        <x:v>Needs component scores</x:v>
      </x:c>
      <x:c r="M8" s="69" t="n">
        <x:f>IF(C8="","",MATCH(C8,'Position_Rubric'!$A$6:$A$14,0))</x:f>
        <x:v>2</x:v>
      </x:c>
      <x:c r="N8" s="69" t="str"/>
    </x:row>
    <x:row r="9" ht="25" customHeight="1">
      <x:c r="A9" s="69" t="str">
        <x:v>historical-17</x:v>
      </x:c>
      <x:c r="B9" s="69" t="str">
        <x:v>Declan Rice</x:v>
      </x:c>
      <x:c r="C9" s="69" t="str">
        <x:v>CDM</x:v>
      </x:c>
      <x:c r="D9" s="82" t="n">
        <x:f>IF(ISNUMBER('Transfer_Ratings'!K9),'Transfer_Ratings'!K9,"")</x:f>
        <x:v>9.7</x:v>
      </x:c>
      <x:c r="E9" s="86"/>
      <x:c r="F9" s="86"/>
      <x:c r="G9" s="86"/>
      <x:c r="H9" s="86"/>
      <x:c r="I9" s="86"/>
      <x:c r="J9" s="82" t="str">
        <x:f>IF(C9="","Choose position",IF(COUNT(E9:I9)&lt;5,"",IF(OR(MIN(E9:I9)&lt;0.1,MAX(E9:I9)&gt;10),"Invalid score",IF(INDEX('Position_Rubric'!$H$6:$H$14,M9)&lt;&gt;1,"Check weights",ROUND(E9*INDEX('Position_Rubric'!$C$6:$C$14,M9)+F9*INDEX('Position_Rubric'!$D$6:$D$14,M9)+G9*INDEX('Position_Rubric'!$E$6:$E$14,M9)+H9*INDEX('Position_Rubric'!$F$6:$F$14,M9)+I9*INDEX('Position_Rubric'!$G$6:$G$14,M9),1)))))</x:f>
      </x:c>
      <x:c r="K9" s="82" t="str">
        <x:f>IF(AND(ISNUMBER(J9),ISNUMBER(D9)),J9-D9,"")</x:f>
      </x:c>
      <x:c r="L9" s="69" t="str">
        <x:f>IF(COUNT(E9:I9)&lt;5,"Needs component scores",IF(ISNUMBER(J9),"Calculated",J9))</x:f>
        <x:v>Needs component scores</x:v>
      </x:c>
      <x:c r="M9" s="69" t="n">
        <x:f>IF(C9="","",MATCH(C9,'Position_Rubric'!$A$6:$A$14,0))</x:f>
        <x:v>1</x:v>
      </x:c>
      <x:c r="N9" s="69" t="str"/>
    </x:row>
    <x:row r="10" ht="25" customHeight="1">
      <x:c r="A10" s="69" t="str">
        <x:v>historical-18</x:v>
      </x:c>
      <x:c r="B10" s="69" t="str">
        <x:v>Moisés Caicedo</x:v>
      </x:c>
      <x:c r="C10" s="69" t="str">
        <x:v>CDM</x:v>
      </x:c>
      <x:c r="D10" s="82" t="n">
        <x:f>IF(ISNUMBER('Transfer_Ratings'!K10),'Transfer_Ratings'!K10,"")</x:f>
        <x:v>8.9</x:v>
      </x:c>
      <x:c r="E10" s="86"/>
      <x:c r="F10" s="86"/>
      <x:c r="G10" s="86"/>
      <x:c r="H10" s="86"/>
      <x:c r="I10" s="86"/>
      <x:c r="J10" s="82" t="str">
        <x:f>IF(C10="","Choose position",IF(COUNT(E10:I10)&lt;5,"",IF(OR(MIN(E10:I10)&lt;0.1,MAX(E10:I10)&gt;10),"Invalid score",IF(INDEX('Position_Rubric'!$H$6:$H$14,M10)&lt;&gt;1,"Check weights",ROUND(E10*INDEX('Position_Rubric'!$C$6:$C$14,M10)+F10*INDEX('Position_Rubric'!$D$6:$D$14,M10)+G10*INDEX('Position_Rubric'!$E$6:$E$14,M10)+H10*INDEX('Position_Rubric'!$F$6:$F$14,M10)+I10*INDEX('Position_Rubric'!$G$6:$G$14,M10),1)))))</x:f>
      </x:c>
      <x:c r="K10" s="82" t="str">
        <x:f>IF(AND(ISNUMBER(J10),ISNUMBER(D10)),J10-D10,"")</x:f>
      </x:c>
      <x:c r="L10" s="69" t="str">
        <x:f>IF(COUNT(E10:I10)&lt;5,"Needs component scores",IF(ISNUMBER(J10),"Calculated",J10))</x:f>
        <x:v>Needs component scores</x:v>
      </x:c>
      <x:c r="M10" s="69" t="n">
        <x:f>IF(C10="","",MATCH(C10,'Position_Rubric'!$A$6:$A$14,0))</x:f>
        <x:v>1</x:v>
      </x:c>
      <x:c r="N10" s="69" t="str"/>
    </x:row>
    <x:row r="11" ht="25" customHeight="1">
      <x:c r="A11" s="69" t="str">
        <x:v>historical-20</x:v>
      </x:c>
      <x:c r="B11" s="69" t="str">
        <x:v>Sandro Tonali</x:v>
      </x:c>
      <x:c r="C11" s="69" t="str">
        <x:v>CDM</x:v>
      </x:c>
      <x:c r="D11" s="82" t="n">
        <x:f>IF(ISNUMBER('Transfer_Ratings'!K11),'Transfer_Ratings'!K11,"")</x:f>
        <x:v>8.6</x:v>
      </x:c>
      <x:c r="E11" s="86"/>
      <x:c r="F11" s="86"/>
      <x:c r="G11" s="86"/>
      <x:c r="H11" s="86"/>
      <x:c r="I11" s="86"/>
      <x:c r="J11" s="82" t="str">
        <x:f>IF(C11="","Choose position",IF(COUNT(E11:I11)&lt;5,"",IF(OR(MIN(E11:I11)&lt;0.1,MAX(E11:I11)&gt;10),"Invalid score",IF(INDEX('Position_Rubric'!$H$6:$H$14,M11)&lt;&gt;1,"Check weights",ROUND(E11*INDEX('Position_Rubric'!$C$6:$C$14,M11)+F11*INDEX('Position_Rubric'!$D$6:$D$14,M11)+G11*INDEX('Position_Rubric'!$E$6:$E$14,M11)+H11*INDEX('Position_Rubric'!$F$6:$F$14,M11)+I11*INDEX('Position_Rubric'!$G$6:$G$14,M11),1)))))</x:f>
      </x:c>
      <x:c r="K11" s="82" t="str">
        <x:f>IF(AND(ISNUMBER(J11),ISNUMBER(D11)),J11-D11,"")</x:f>
      </x:c>
      <x:c r="L11" s="69" t="str">
        <x:f>IF(COUNT(E11:I11)&lt;5,"Needs component scores",IF(ISNUMBER(J11),"Calculated",J11))</x:f>
        <x:v>Needs component scores</x:v>
      </x:c>
      <x:c r="M11" s="69" t="n">
        <x:f>IF(C11="","",MATCH(C11,'Position_Rubric'!$A$6:$A$14,0))</x:f>
        <x:v>1</x:v>
      </x:c>
      <x:c r="N11" s="69" t="str"/>
    </x:row>
    <x:row r="12" ht="25" customHeight="1">
      <x:c r="A12" s="69" t="str">
        <x:v>historical-23</x:v>
      </x:c>
      <x:c r="B12" s="69" t="str">
        <x:v>Ayyoub Bouaddi</x:v>
      </x:c>
      <x:c r="C12" s="69" t="str">
        <x:v>CM</x:v>
      </x:c>
      <x:c r="D12" s="82" t="n">
        <x:f>IF(ISNUMBER('Transfer_Ratings'!K12),'Transfer_Ratings'!K12,"")</x:f>
        <x:v>8.3</x:v>
      </x:c>
      <x:c r="E12" s="86"/>
      <x:c r="F12" s="86"/>
      <x:c r="G12" s="86"/>
      <x:c r="H12" s="86"/>
      <x:c r="I12" s="86"/>
      <x:c r="J12" s="82" t="str">
        <x:f>IF(C12="","Choose position",IF(COUNT(E12:I12)&lt;5,"",IF(OR(MIN(E12:I12)&lt;0.1,MAX(E12:I12)&gt;10),"Invalid score",IF(INDEX('Position_Rubric'!$H$6:$H$14,M12)&lt;&gt;1,"Check weights",ROUND(E12*INDEX('Position_Rubric'!$C$6:$C$14,M12)+F12*INDEX('Position_Rubric'!$D$6:$D$14,M12)+G12*INDEX('Position_Rubric'!$E$6:$E$14,M12)+H12*INDEX('Position_Rubric'!$F$6:$F$14,M12)+I12*INDEX('Position_Rubric'!$G$6:$G$14,M12),1)))))</x:f>
      </x:c>
      <x:c r="K12" s="82" t="str">
        <x:f>IF(AND(ISNUMBER(J12),ISNUMBER(D12)),J12-D12,"")</x:f>
      </x:c>
      <x:c r="L12" s="69" t="str">
        <x:f>IF(COUNT(E12:I12)&lt;5,"Needs component scores",IF(ISNUMBER(J12),"Calculated",J12))</x:f>
        <x:v>Needs component scores</x:v>
      </x:c>
      <x:c r="M12" s="69" t="n">
        <x:f>IF(C12="","",MATCH(C12,'Position_Rubric'!$A$6:$A$14,0))</x:f>
        <x:v>2</x:v>
      </x:c>
      <x:c r="N12" s="69" t="str"/>
    </x:row>
    <x:row r="13" ht="25" customHeight="1">
      <x:c r="A13" s="69" t="str">
        <x:v>historical-34</x:v>
      </x:c>
      <x:c r="B13" s="69" t="str">
        <x:v>Bruno Guimarães</x:v>
      </x:c>
      <x:c r="C13" s="69" t="str">
        <x:v>CDM</x:v>
      </x:c>
      <x:c r="D13" s="82" t="n">
        <x:f>IF(ISNUMBER('Transfer_Ratings'!K13),'Transfer_Ratings'!K13,"")</x:f>
        <x:v>8.7</x:v>
      </x:c>
      <x:c r="E13" s="86"/>
      <x:c r="F13" s="86"/>
      <x:c r="G13" s="86"/>
      <x:c r="H13" s="86"/>
      <x:c r="I13" s="86"/>
      <x:c r="J13" s="82" t="str">
        <x:f>IF(C13="","Choose position",IF(COUNT(E13:I13)&lt;5,"",IF(OR(MIN(E13:I13)&lt;0.1,MAX(E13:I13)&gt;10),"Invalid score",IF(INDEX('Position_Rubric'!$H$6:$H$14,M13)&lt;&gt;1,"Check weights",ROUND(E13*INDEX('Position_Rubric'!$C$6:$C$14,M13)+F13*INDEX('Position_Rubric'!$D$6:$D$14,M13)+G13*INDEX('Position_Rubric'!$E$6:$E$14,M13)+H13*INDEX('Position_Rubric'!$F$6:$F$14,M13)+I13*INDEX('Position_Rubric'!$G$6:$G$14,M13),1)))))</x:f>
      </x:c>
      <x:c r="K13" s="82" t="str">
        <x:f>IF(AND(ISNUMBER(J13),ISNUMBER(D13)),J13-D13,"")</x:f>
      </x:c>
      <x:c r="L13" s="69" t="str">
        <x:f>IF(COUNT(E13:I13)&lt;5,"Needs component scores",IF(ISNUMBER(J13),"Calculated",J13))</x:f>
        <x:v>Needs component scores</x:v>
      </x:c>
      <x:c r="M13" s="69" t="n">
        <x:f>IF(C13="","",MATCH(C13,'Position_Rubric'!$A$6:$A$14,0))</x:f>
        <x:v>1</x:v>
      </x:c>
      <x:c r="N13" s="69" t="str"/>
    </x:row>
    <x:row r="14" ht="25" customHeight="1">
      <x:c r="A14" s="69" t="str">
        <x:v>historical-35</x:v>
      </x:c>
      <x:c r="B14" s="69" t="str">
        <x:v>Frenkie de Jong</x:v>
      </x:c>
      <x:c r="C14" s="69" t="str">
        <x:v>CM</x:v>
      </x:c>
      <x:c r="D14" s="82" t="n">
        <x:f>IF(ISNUMBER('Transfer_Ratings'!K14),'Transfer_Ratings'!K14,"")</x:f>
        <x:v>8.7</x:v>
      </x:c>
      <x:c r="E14" s="86"/>
      <x:c r="F14" s="86"/>
      <x:c r="G14" s="86"/>
      <x:c r="H14" s="86"/>
      <x:c r="I14" s="86"/>
      <x:c r="J14" s="82" t="str">
        <x:f>IF(C14="","Choose position",IF(COUNT(E14:I14)&lt;5,"",IF(OR(MIN(E14:I14)&lt;0.1,MAX(E14:I14)&gt;10),"Invalid score",IF(INDEX('Position_Rubric'!$H$6:$H$14,M14)&lt;&gt;1,"Check weights",ROUND(E14*INDEX('Position_Rubric'!$C$6:$C$14,M14)+F14*INDEX('Position_Rubric'!$D$6:$D$14,M14)+G14*INDEX('Position_Rubric'!$E$6:$E$14,M14)+H14*INDEX('Position_Rubric'!$F$6:$F$14,M14)+I14*INDEX('Position_Rubric'!$G$6:$G$14,M14),1)))))</x:f>
      </x:c>
      <x:c r="K14" s="82" t="str">
        <x:f>IF(AND(ISNUMBER(J14),ISNUMBER(D14)),J14-D14,"")</x:f>
      </x:c>
      <x:c r="L14" s="69" t="str">
        <x:f>IF(COUNT(E14:I14)&lt;5,"Needs component scores",IF(ISNUMBER(J14),"Calculated",J14))</x:f>
        <x:v>Needs component scores</x:v>
      </x:c>
      <x:c r="M14" s="69" t="n">
        <x:f>IF(C14="","",MATCH(C14,'Position_Rubric'!$A$6:$A$14,0))</x:f>
        <x:v>2</x:v>
      </x:c>
      <x:c r="N14" s="69" t="str"/>
    </x:row>
    <x:row r="15" ht="25" customHeight="1">
      <x:c r="A15" s="69" t="str">
        <x:v>historical-43</x:v>
      </x:c>
      <x:c r="B15" s="69" t="str">
        <x:v>Arthur Melo</x:v>
      </x:c>
      <x:c r="C15" s="69" t="str">
        <x:v>CM</x:v>
      </x:c>
      <x:c r="D15" s="82" t="n">
        <x:f>IF(ISNUMBER('Transfer_Ratings'!K15),'Transfer_Ratings'!K15,"")</x:f>
        <x:v>6.4</x:v>
      </x:c>
      <x:c r="E15" s="86"/>
      <x:c r="F15" s="86"/>
      <x:c r="G15" s="86"/>
      <x:c r="H15" s="86"/>
      <x:c r="I15" s="86"/>
      <x:c r="J15" s="82" t="str">
        <x:f>IF(C15="","Choose position",IF(COUNT(E15:I15)&lt;5,"",IF(OR(MIN(E15:I15)&lt;0.1,MAX(E15:I15)&gt;10),"Invalid score",IF(INDEX('Position_Rubric'!$H$6:$H$14,M15)&lt;&gt;1,"Check weights",ROUND(E15*INDEX('Position_Rubric'!$C$6:$C$14,M15)+F15*INDEX('Position_Rubric'!$D$6:$D$14,M15)+G15*INDEX('Position_Rubric'!$E$6:$E$14,M15)+H15*INDEX('Position_Rubric'!$F$6:$F$14,M15)+I15*INDEX('Position_Rubric'!$G$6:$G$14,M15),1)))))</x:f>
      </x:c>
      <x:c r="K15" s="82" t="str">
        <x:f>IF(AND(ISNUMBER(J15),ISNUMBER(D15)),J15-D15,"")</x:f>
      </x:c>
      <x:c r="L15" s="69" t="str">
        <x:f>IF(COUNT(E15:I15)&lt;5,"Needs component scores",IF(ISNUMBER(J15),"Calculated",J15))</x:f>
        <x:v>Needs component scores</x:v>
      </x:c>
      <x:c r="M15" s="69" t="n">
        <x:f>IF(C15="","",MATCH(C15,'Position_Rubric'!$A$6:$A$14,0))</x:f>
        <x:v>2</x:v>
      </x:c>
      <x:c r="N15" s="69" t="str"/>
    </x:row>
    <x:row r="16" ht="25" customHeight="1">
      <x:c r="A16" s="69" t="str">
        <x:v>historical-47</x:v>
      </x:c>
      <x:c r="B16" s="69" t="str">
        <x:v>Aurélien Tchouaméni</x:v>
      </x:c>
      <x:c r="C16" s="69" t="str">
        <x:v>CDM</x:v>
      </x:c>
      <x:c r="D16" s="82" t="n">
        <x:f>IF(ISNUMBER('Transfer_Ratings'!K16),'Transfer_Ratings'!K16,"")</x:f>
        <x:v>8.5</x:v>
      </x:c>
      <x:c r="E16" s="86"/>
      <x:c r="F16" s="86"/>
      <x:c r="G16" s="86"/>
      <x:c r="H16" s="86"/>
      <x:c r="I16" s="86"/>
      <x:c r="J16" s="82" t="str">
        <x:f>IF(C16="","Choose position",IF(COUNT(E16:I16)&lt;5,"",IF(OR(MIN(E16:I16)&lt;0.1,MAX(E16:I16)&gt;10),"Invalid score",IF(INDEX('Position_Rubric'!$H$6:$H$14,M16)&lt;&gt;1,"Check weights",ROUND(E16*INDEX('Position_Rubric'!$C$6:$C$14,M16)+F16*INDEX('Position_Rubric'!$D$6:$D$14,M16)+G16*INDEX('Position_Rubric'!$E$6:$E$14,M16)+H16*INDEX('Position_Rubric'!$F$6:$F$14,M16)+I16*INDEX('Position_Rubric'!$G$6:$G$14,M16),1)))))</x:f>
      </x:c>
      <x:c r="K16" s="82" t="str">
        <x:f>IF(AND(ISNUMBER(J16),ISNUMBER(D16)),J16-D16,"")</x:f>
      </x:c>
      <x:c r="L16" s="69" t="str">
        <x:f>IF(COUNT(E16:I16)&lt;5,"Needs component scores",IF(ISNUMBER(J16),"Calculated",J16))</x:f>
        <x:v>Needs component scores</x:v>
      </x:c>
      <x:c r="M16" s="69" t="n">
        <x:f>IF(C16="","",MATCH(C16,'Position_Rubric'!$A$6:$A$14,0))</x:f>
        <x:v>1</x:v>
      </x:c>
      <x:c r="N16" s="69" t="str"/>
    </x:row>
    <x:row r="17" ht="25" customHeight="1">
      <x:c r="A17" s="69" t="str">
        <x:v>historical-55</x:v>
      </x:c>
      <x:c r="B17" s="69" t="str">
        <x:v>Rodri</x:v>
      </x:c>
      <x:c r="C17" s="69" t="str">
        <x:v>CDM</x:v>
      </x:c>
      <x:c r="D17" s="82" t="n">
        <x:f>IF(ISNUMBER('Transfer_Ratings'!K17),'Transfer_Ratings'!K17,"")</x:f>
        <x:v>8.8</x:v>
      </x:c>
      <x:c r="E17" s="86"/>
      <x:c r="F17" s="86"/>
      <x:c r="G17" s="86"/>
      <x:c r="H17" s="86"/>
      <x:c r="I17" s="86"/>
      <x:c r="J17" s="82" t="str">
        <x:f>IF(C17="","Choose position",IF(COUNT(E17:I17)&lt;5,"",IF(OR(MIN(E17:I17)&lt;0.1,MAX(E17:I17)&gt;10),"Invalid score",IF(INDEX('Position_Rubric'!$H$6:$H$14,M17)&lt;&gt;1,"Check weights",ROUND(E17*INDEX('Position_Rubric'!$C$6:$C$14,M17)+F17*INDEX('Position_Rubric'!$D$6:$D$14,M17)+G17*INDEX('Position_Rubric'!$E$6:$E$14,M17)+H17*INDEX('Position_Rubric'!$F$6:$F$14,M17)+I17*INDEX('Position_Rubric'!$G$6:$G$14,M17),1)))))</x:f>
      </x:c>
      <x:c r="K17" s="82" t="str">
        <x:f>IF(AND(ISNUMBER(J17),ISNUMBER(D17)),J17-D17,"")</x:f>
      </x:c>
      <x:c r="L17" s="69" t="str">
        <x:f>IF(COUNT(E17:I17)&lt;5,"Needs component scores",IF(ISNUMBER(J17),"Calculated",J17))</x:f>
        <x:v>Needs component scores</x:v>
      </x:c>
      <x:c r="M17" s="69" t="n">
        <x:f>IF(C17="","",MATCH(C17,'Position_Rubric'!$A$6:$A$14,0))</x:f>
        <x:v>1</x:v>
      </x:c>
      <x:c r="N17" s="69" t="str"/>
    </x:row>
    <x:row r="18" ht="25" customHeight="1">
      <x:c r="A18" s="69" t="str">
        <x:v>historical-73</x:v>
      </x:c>
      <x:c r="B18" s="69" t="str">
        <x:v>Casemiro</x:v>
      </x:c>
      <x:c r="C18" s="69" t="str">
        <x:v>CDM</x:v>
      </x:c>
      <x:c r="D18" s="82" t="n">
        <x:f>IF(ISNUMBER('Transfer_Ratings'!K18),'Transfer_Ratings'!K18,"")</x:f>
        <x:v>9.1</x:v>
      </x:c>
      <x:c r="E18" s="86"/>
      <x:c r="F18" s="86"/>
      <x:c r="G18" s="86"/>
      <x:c r="H18" s="86"/>
      <x:c r="I18" s="86"/>
      <x:c r="J18" s="82" t="str">
        <x:f>IF(C18="","Choose position",IF(COUNT(E18:I18)&lt;5,"",IF(OR(MIN(E18:I18)&lt;0.1,MAX(E18:I18)&gt;10),"Invalid score",IF(INDEX('Position_Rubric'!$H$6:$H$14,M18)&lt;&gt;1,"Check weights",ROUND(E18*INDEX('Position_Rubric'!$C$6:$C$14,M18)+F18*INDEX('Position_Rubric'!$D$6:$D$14,M18)+G18*INDEX('Position_Rubric'!$E$6:$E$14,M18)+H18*INDEX('Position_Rubric'!$F$6:$F$14,M18)+I18*INDEX('Position_Rubric'!$G$6:$G$14,M18),1)))))</x:f>
      </x:c>
      <x:c r="K18" s="82" t="str">
        <x:f>IF(AND(ISNUMBER(J18),ISNUMBER(D18)),J18-D18,"")</x:f>
      </x:c>
      <x:c r="L18" s="69" t="str">
        <x:f>IF(COUNT(E18:I18)&lt;5,"Needs component scores",IF(ISNUMBER(J18),"Calculated",J18))</x:f>
        <x:v>Needs component scores</x:v>
      </x:c>
      <x:c r="M18" s="69" t="n">
        <x:f>IF(C18="","",MATCH(C18,'Position_Rubric'!$A$6:$A$14,0))</x:f>
        <x:v>1</x:v>
      </x:c>
      <x:c r="N18" s="69" t="str"/>
    </x:row>
    <x:row r="19" ht="25" customHeight="1">
      <x:c r="A19" s="69" t="str">
        <x:v>historical-74</x:v>
      </x:c>
      <x:c r="B19" s="69" t="str">
        <x:v>Rodri</x:v>
      </x:c>
      <x:c r="C19" s="69" t="str">
        <x:v>CDM</x:v>
      </x:c>
      <x:c r="D19" s="82" t="n">
        <x:f>IF(ISNUMBER('Transfer_Ratings'!K19),'Transfer_Ratings'!K19,"")</x:f>
        <x:v>9.8</x:v>
      </x:c>
      <x:c r="E19" s="86"/>
      <x:c r="F19" s="86"/>
      <x:c r="G19" s="86"/>
      <x:c r="H19" s="86"/>
      <x:c r="I19" s="86"/>
      <x:c r="J19" s="82" t="str">
        <x:f>IF(C19="","Choose position",IF(COUNT(E19:I19)&lt;5,"",IF(OR(MIN(E19:I19)&lt;0.1,MAX(E19:I19)&gt;10),"Invalid score",IF(INDEX('Position_Rubric'!$H$6:$H$14,M19)&lt;&gt;1,"Check weights",ROUND(E19*INDEX('Position_Rubric'!$C$6:$C$14,M19)+F19*INDEX('Position_Rubric'!$D$6:$D$14,M19)+G19*INDEX('Position_Rubric'!$E$6:$E$14,M19)+H19*INDEX('Position_Rubric'!$F$6:$F$14,M19)+I19*INDEX('Position_Rubric'!$G$6:$G$14,M19),1)))))</x:f>
      </x:c>
      <x:c r="K19" s="82" t="str">
        <x:f>IF(AND(ISNUMBER(J19),ISNUMBER(D19)),J19-D19,"")</x:f>
      </x:c>
      <x:c r="L19" s="69" t="str">
        <x:f>IF(COUNT(E19:I19)&lt;5,"Needs component scores",IF(ISNUMBER(J19),"Calculated",J19))</x:f>
        <x:v>Needs component scores</x:v>
      </x:c>
      <x:c r="M19" s="69" t="n">
        <x:f>IF(C19="","",MATCH(C19,'Position_Rubric'!$A$6:$A$14,0))</x:f>
        <x:v>1</x:v>
      </x:c>
      <x:c r="N19" s="69" t="str"/>
    </x:row>
    <x:row r="20" ht="25" customHeight="1">
      <x:c r="A20" s="69" t="str">
        <x:v>historical-76</x:v>
      </x:c>
      <x:c r="B20" s="69" t="str">
        <x:v>Martín Zubimendi</x:v>
      </x:c>
      <x:c r="C20" s="69" t="str">
        <x:v>CDM</x:v>
      </x:c>
      <x:c r="D20" s="82" t="n">
        <x:f>IF(ISNUMBER('Transfer_Ratings'!K20),'Transfer_Ratings'!K20,"")</x:f>
        <x:v>8.8</x:v>
      </x:c>
      <x:c r="E20" s="86"/>
      <x:c r="F20" s="86"/>
      <x:c r="G20" s="86"/>
      <x:c r="H20" s="86"/>
      <x:c r="I20" s="86"/>
      <x:c r="J20" s="82" t="str">
        <x:f>IF(C20="","Choose position",IF(COUNT(E20:I20)&lt;5,"",IF(OR(MIN(E20:I20)&lt;0.1,MAX(E20:I20)&gt;10),"Invalid score",IF(INDEX('Position_Rubric'!$H$6:$H$14,M20)&lt;&gt;1,"Check weights",ROUND(E20*INDEX('Position_Rubric'!$C$6:$C$14,M20)+F20*INDEX('Position_Rubric'!$D$6:$D$14,M20)+G20*INDEX('Position_Rubric'!$E$6:$E$14,M20)+H20*INDEX('Position_Rubric'!$F$6:$F$14,M20)+I20*INDEX('Position_Rubric'!$G$6:$G$14,M20),1)))))</x:f>
      </x:c>
      <x:c r="K20" s="82" t="str">
        <x:f>IF(AND(ISNUMBER(J20),ISNUMBER(D20)),J20-D20,"")</x:f>
      </x:c>
      <x:c r="L20" s="69" t="str">
        <x:f>IF(COUNT(E20:I20)&lt;5,"Needs component scores",IF(ISNUMBER(J20),"Calculated",J20))</x:f>
        <x:v>Needs component scores</x:v>
      </x:c>
      <x:c r="M20" s="69" t="n">
        <x:f>IF(C20="","",MATCH(C20,'Position_Rubric'!$A$6:$A$14,0))</x:f>
        <x:v>1</x:v>
      </x:c>
      <x:c r="N20" s="69" t="str"/>
    </x:row>
    <x:row r="21" ht="25" customHeight="1">
      <x:c r="A21" s="69" t="str">
        <x:v>historical-86</x:v>
      </x:c>
      <x:c r="B21" s="69" t="str">
        <x:v>João Neves</x:v>
      </x:c>
      <x:c r="C21" s="69" t="str">
        <x:v>CM</x:v>
      </x:c>
      <x:c r="D21" s="82" t="n">
        <x:f>IF(ISNUMBER('Transfer_Ratings'!K21),'Transfer_Ratings'!K21,"")</x:f>
        <x:v>9.4</x:v>
      </x:c>
      <x:c r="E21" s="86"/>
      <x:c r="F21" s="86"/>
      <x:c r="G21" s="86"/>
      <x:c r="H21" s="86"/>
      <x:c r="I21" s="86"/>
      <x:c r="J21" s="82" t="str">
        <x:f>IF(C21="","Choose position",IF(COUNT(E21:I21)&lt;5,"",IF(OR(MIN(E21:I21)&lt;0.1,MAX(E21:I21)&gt;10),"Invalid score",IF(INDEX('Position_Rubric'!$H$6:$H$14,M21)&lt;&gt;1,"Check weights",ROUND(E21*INDEX('Position_Rubric'!$C$6:$C$14,M21)+F21*INDEX('Position_Rubric'!$D$6:$D$14,M21)+G21*INDEX('Position_Rubric'!$E$6:$E$14,M21)+H21*INDEX('Position_Rubric'!$F$6:$F$14,M21)+I21*INDEX('Position_Rubric'!$G$6:$G$14,M21),1)))))</x:f>
      </x:c>
      <x:c r="K21" s="82" t="str">
        <x:f>IF(AND(ISNUMBER(J21),ISNUMBER(D21)),J21-D21,"")</x:f>
      </x:c>
      <x:c r="L21" s="69" t="str">
        <x:f>IF(COUNT(E21:I21)&lt;5,"Needs component scores",IF(ISNUMBER(J21),"Calculated",J21))</x:f>
        <x:v>Needs component scores</x:v>
      </x:c>
      <x:c r="M21" s="69" t="n">
        <x:f>IF(C21="","",MATCH(C21,'Position_Rubric'!$A$6:$A$14,0))</x:f>
        <x:v>2</x:v>
      </x:c>
      <x:c r="N21" s="69" t="str"/>
    </x:row>
    <x:row r="22" ht="25" customHeight="1">
      <x:c r="A22" s="69" t="str">
        <x:v>historical-105</x:v>
      </x:c>
      <x:c r="B22" s="69" t="str">
        <x:v>Roméo Lavia</x:v>
      </x:c>
      <x:c r="C22" s="69" t="str">
        <x:v>CDM</x:v>
      </x:c>
      <x:c r="D22" s="82" t="n">
        <x:f>IF(ISNUMBER('Transfer_Ratings'!K22),'Transfer_Ratings'!K22,"")</x:f>
        <x:v>7.4</x:v>
      </x:c>
      <x:c r="E22" s="86"/>
      <x:c r="F22" s="86"/>
      <x:c r="G22" s="86"/>
      <x:c r="H22" s="86"/>
      <x:c r="I22" s="86"/>
      <x:c r="J22" s="82" t="str">
        <x:f>IF(C22="","Choose position",IF(COUNT(E22:I22)&lt;5,"",IF(OR(MIN(E22:I22)&lt;0.1,MAX(E22:I22)&gt;10),"Invalid score",IF(INDEX('Position_Rubric'!$H$6:$H$14,M22)&lt;&gt;1,"Check weights",ROUND(E22*INDEX('Position_Rubric'!$C$6:$C$14,M22)+F22*INDEX('Position_Rubric'!$D$6:$D$14,M22)+G22*INDEX('Position_Rubric'!$E$6:$E$14,M22)+H22*INDEX('Position_Rubric'!$F$6:$F$14,M22)+I22*INDEX('Position_Rubric'!$G$6:$G$14,M22),1)))))</x:f>
      </x:c>
      <x:c r="K22" s="82" t="str">
        <x:f>IF(AND(ISNUMBER(J22),ISNUMBER(D22)),J22-D22,"")</x:f>
      </x:c>
      <x:c r="L22" s="69" t="str">
        <x:f>IF(COUNT(E22:I22)&lt;5,"Needs component scores",IF(ISNUMBER(J22),"Calculated",J22))</x:f>
        <x:v>Needs component scores</x:v>
      </x:c>
      <x:c r="M22" s="69" t="n">
        <x:f>IF(C22="","",MATCH(C22,'Position_Rubric'!$A$6:$A$14,0))</x:f>
        <x:v>1</x:v>
      </x:c>
      <x:c r="N22" s="69" t="str"/>
    </x:row>
    <x:row r="23" ht="25" customHeight="1">
      <x:c r="A23" s="69" t="str">
        <x:v>historical-112</x:v>
      </x:c>
      <x:c r="B23" s="69" t="str">
        <x:v>Sandro Tonali</x:v>
      </x:c>
      <x:c r="C23" s="69" t="str">
        <x:v>CDM</x:v>
      </x:c>
      <x:c r="D23" s="82" t="n">
        <x:f>IF(ISNUMBER('Transfer_Ratings'!K23),'Transfer_Ratings'!K23,"")</x:f>
        <x:v>8.8</x:v>
      </x:c>
      <x:c r="E23" s="86"/>
      <x:c r="F23" s="86"/>
      <x:c r="G23" s="86"/>
      <x:c r="H23" s="86"/>
      <x:c r="I23" s="86"/>
      <x:c r="J23" s="82" t="str">
        <x:f>IF(C23="","Choose position",IF(COUNT(E23:I23)&lt;5,"",IF(OR(MIN(E23:I23)&lt;0.1,MAX(E23:I23)&gt;10),"Invalid score",IF(INDEX('Position_Rubric'!$H$6:$H$14,M23)&lt;&gt;1,"Check weights",ROUND(E23*INDEX('Position_Rubric'!$C$6:$C$14,M23)+F23*INDEX('Position_Rubric'!$D$6:$D$14,M23)+G23*INDEX('Position_Rubric'!$E$6:$E$14,M23)+H23*INDEX('Position_Rubric'!$F$6:$F$14,M23)+I23*INDEX('Position_Rubric'!$G$6:$G$14,M23),1)))))</x:f>
      </x:c>
      <x:c r="K23" s="82" t="str">
        <x:f>IF(AND(ISNUMBER(J23),ISNUMBER(D23)),J23-D23,"")</x:f>
      </x:c>
      <x:c r="L23" s="69" t="str">
        <x:f>IF(COUNT(E23:I23)&lt;5,"Needs component scores",IF(ISNUMBER(J23),"Calculated",J23))</x:f>
        <x:v>Needs component scores</x:v>
      </x:c>
      <x:c r="M23" s="69" t="n">
        <x:f>IF(C23="","",MATCH(C23,'Position_Rubric'!$A$6:$A$14,0))</x:f>
        <x:v>1</x:v>
      </x:c>
      <x:c r="N23" s="69" t="str"/>
    </x:row>
    <x:row r="24" ht="25" customHeight="1">
      <x:c r="A24" s="69" t="str">
        <x:v>historical-113</x:v>
      </x:c>
      <x:c r="B24" s="69" t="str">
        <x:v>Miralem Pjanić</x:v>
      </x:c>
      <x:c r="C24" s="69" t="str">
        <x:v>CM</x:v>
      </x:c>
      <x:c r="D24" s="82" t="n">
        <x:f>IF(ISNUMBER('Transfer_Ratings'!K24),'Transfer_Ratings'!K24,"")</x:f>
        <x:v>6.5</x:v>
      </x:c>
      <x:c r="E24" s="86"/>
      <x:c r="F24" s="86"/>
      <x:c r="G24" s="86"/>
      <x:c r="H24" s="86"/>
      <x:c r="I24" s="86"/>
      <x:c r="J24" s="82" t="str">
        <x:f>IF(C24="","Choose position",IF(COUNT(E24:I24)&lt;5,"",IF(OR(MIN(E24:I24)&lt;0.1,MAX(E24:I24)&gt;10),"Invalid score",IF(INDEX('Position_Rubric'!$H$6:$H$14,M24)&lt;&gt;1,"Check weights",ROUND(E24*INDEX('Position_Rubric'!$C$6:$C$14,M24)+F24*INDEX('Position_Rubric'!$D$6:$D$14,M24)+G24*INDEX('Position_Rubric'!$E$6:$E$14,M24)+H24*INDEX('Position_Rubric'!$F$6:$F$14,M24)+I24*INDEX('Position_Rubric'!$G$6:$G$14,M24),1)))))</x:f>
      </x:c>
      <x:c r="K24" s="82" t="str">
        <x:f>IF(AND(ISNUMBER(J24),ISNUMBER(D24)),J24-D24,"")</x:f>
      </x:c>
      <x:c r="L24" s="69" t="str">
        <x:f>IF(COUNT(E24:I24)&lt;5,"Needs component scores",IF(ISNUMBER(J24),"Calculated",J24))</x:f>
        <x:v>Needs component scores</x:v>
      </x:c>
      <x:c r="M24" s="69" t="n">
        <x:f>IF(C24="","",MATCH(C24,'Position_Rubric'!$A$6:$A$14,0))</x:f>
        <x:v>2</x:v>
      </x:c>
      <x:c r="N24" s="69" t="str"/>
    </x:row>
    <x:row r="25" ht="25" customHeight="1">
      <x:c r="A25" s="69" t="str">
        <x:v>historical-120</x:v>
      </x:c>
      <x:c r="B25" s="69" t="str">
        <x:v>Nico González</x:v>
      </x:c>
      <x:c r="C25" s="69" t="str">
        <x:v>CDM</x:v>
      </x:c>
      <x:c r="D25" s="82" t="n">
        <x:f>IF(ISNUMBER('Transfer_Ratings'!K25),'Transfer_Ratings'!K25,"")</x:f>
        <x:v>8.2</x:v>
      </x:c>
      <x:c r="E25" s="86"/>
      <x:c r="F25" s="86"/>
      <x:c r="G25" s="86"/>
      <x:c r="H25" s="86"/>
      <x:c r="I25" s="86"/>
      <x:c r="J25" s="82" t="str">
        <x:f>IF(C25="","Choose position",IF(COUNT(E25:I25)&lt;5,"",IF(OR(MIN(E25:I25)&lt;0.1,MAX(E25:I25)&gt;10),"Invalid score",IF(INDEX('Position_Rubric'!$H$6:$H$14,M25)&lt;&gt;1,"Check weights",ROUND(E25*INDEX('Position_Rubric'!$C$6:$C$14,M25)+F25*INDEX('Position_Rubric'!$D$6:$D$14,M25)+G25*INDEX('Position_Rubric'!$E$6:$E$14,M25)+H25*INDEX('Position_Rubric'!$F$6:$F$14,M25)+I25*INDEX('Position_Rubric'!$G$6:$G$14,M25),1)))))</x:f>
      </x:c>
      <x:c r="K25" s="82" t="str">
        <x:f>IF(AND(ISNUMBER(J25),ISNUMBER(D25)),J25-D25,"")</x:f>
      </x:c>
      <x:c r="L25" s="69" t="str">
        <x:f>IF(COUNT(E25:I25)&lt;5,"Needs component scores",IF(ISNUMBER(J25),"Calculated",J25))</x:f>
        <x:v>Needs component scores</x:v>
      </x:c>
      <x:c r="M25" s="69" t="n">
        <x:f>IF(C25="","",MATCH(C25,'Position_Rubric'!$A$6:$A$14,0))</x:f>
        <x:v>1</x:v>
      </x:c>
      <x:c r="N25" s="69" t="str"/>
    </x:row>
    <x:row r="26" ht="25" customHeight="1">
      <x:c r="A26" s="69" t="str">
        <x:v>historical-121</x:v>
      </x:c>
      <x:c r="B26" s="69" t="str">
        <x:v>Manuel Ugarte</x:v>
      </x:c>
      <x:c r="C26" s="69" t="str">
        <x:v>CDM</x:v>
      </x:c>
      <x:c r="D26" s="82" t="n">
        <x:f>IF(ISNUMBER('Transfer_Ratings'!K26),'Transfer_Ratings'!K26,"")</x:f>
        <x:v>7.6</x:v>
      </x:c>
      <x:c r="E26" s="86"/>
      <x:c r="F26" s="86"/>
      <x:c r="G26" s="86"/>
      <x:c r="H26" s="86"/>
      <x:c r="I26" s="86"/>
      <x:c r="J26" s="82" t="str">
        <x:f>IF(C26="","Choose position",IF(COUNT(E26:I26)&lt;5,"",IF(OR(MIN(E26:I26)&lt;0.1,MAX(E26:I26)&gt;10),"Invalid score",IF(INDEX('Position_Rubric'!$H$6:$H$14,M26)&lt;&gt;1,"Check weights",ROUND(E26*INDEX('Position_Rubric'!$C$6:$C$14,M26)+F26*INDEX('Position_Rubric'!$D$6:$D$14,M26)+G26*INDEX('Position_Rubric'!$E$6:$E$14,M26)+H26*INDEX('Position_Rubric'!$F$6:$F$14,M26)+I26*INDEX('Position_Rubric'!$G$6:$G$14,M26),1)))))</x:f>
      </x:c>
      <x:c r="K26" s="82" t="str">
        <x:f>IF(AND(ISNUMBER(J26),ISNUMBER(D26)),J26-D26,"")</x:f>
      </x:c>
      <x:c r="L26" s="69" t="str">
        <x:f>IF(COUNT(E26:I26)&lt;5,"Needs component scores",IF(ISNUMBER(J26),"Calculated",J26))</x:f>
        <x:v>Needs component scores</x:v>
      </x:c>
      <x:c r="M26" s="69" t="n">
        <x:f>IF(C26="","",MATCH(C26,'Position_Rubric'!$A$6:$A$14,0))</x:f>
        <x:v>1</x:v>
      </x:c>
      <x:c r="N26" s="69" t="str"/>
    </x:row>
    <x:row r="27" ht="25" customHeight="1">
      <x:c r="A27" s="69" t="str">
        <x:v>historical-126</x:v>
      </x:c>
      <x:c r="B27" s="69" t="str">
        <x:v>Amadou Onana</x:v>
      </x:c>
      <x:c r="C27" s="69" t="str">
        <x:v>CDM</x:v>
      </x:c>
      <x:c r="D27" s="82" t="n">
        <x:f>IF(ISNUMBER('Transfer_Ratings'!K27),'Transfer_Ratings'!K27,"")</x:f>
        <x:v>8.4</x:v>
      </x:c>
      <x:c r="E27" s="86"/>
      <x:c r="F27" s="86"/>
      <x:c r="G27" s="86"/>
      <x:c r="H27" s="86"/>
      <x:c r="I27" s="86"/>
      <x:c r="J27" s="82" t="str">
        <x:f>IF(C27="","Choose position",IF(COUNT(E27:I27)&lt;5,"",IF(OR(MIN(E27:I27)&lt;0.1,MAX(E27:I27)&gt;10),"Invalid score",IF(INDEX('Position_Rubric'!$H$6:$H$14,M27)&lt;&gt;1,"Check weights",ROUND(E27*INDEX('Position_Rubric'!$C$6:$C$14,M27)+F27*INDEX('Position_Rubric'!$D$6:$D$14,M27)+G27*INDEX('Position_Rubric'!$E$6:$E$14,M27)+H27*INDEX('Position_Rubric'!$F$6:$F$14,M27)+I27*INDEX('Position_Rubric'!$G$6:$G$14,M27),1)))))</x:f>
      </x:c>
      <x:c r="K27" s="82" t="str">
        <x:f>IF(AND(ISNUMBER(J27),ISNUMBER(D27)),J27-D27,"")</x:f>
      </x:c>
      <x:c r="L27" s="69" t="str">
        <x:f>IF(COUNT(E27:I27)&lt;5,"Needs component scores",IF(ISNUMBER(J27),"Calculated",J27))</x:f>
        <x:v>Needs component scores</x:v>
      </x:c>
      <x:c r="M27" s="69" t="n">
        <x:f>IF(C27="","",MATCH(C27,'Position_Rubric'!$A$6:$A$14,0))</x:f>
        <x:v>1</x:v>
      </x:c>
      <x:c r="N27" s="69" t="str"/>
    </x:row>
    <x:row r="28" ht="25" customHeight="1">
      <x:c r="A28" s="69" t="str">
        <x:v>historical-127</x:v>
      </x:c>
      <x:c r="B28" s="69" t="str">
        <x:v>Fred</x:v>
      </x:c>
      <x:c r="C28" s="69" t="str">
        <x:v>CM</x:v>
      </x:c>
      <x:c r="D28" s="82" t="n">
        <x:f>IF(ISNUMBER('Transfer_Ratings'!K28),'Transfer_Ratings'!K28,"")</x:f>
        <x:v>7</x:v>
      </x:c>
      <x:c r="E28" s="86"/>
      <x:c r="F28" s="86"/>
      <x:c r="G28" s="86"/>
      <x:c r="H28" s="86"/>
      <x:c r="I28" s="86"/>
      <x:c r="J28" s="82" t="str">
        <x:f>IF(C28="","Choose position",IF(COUNT(E28:I28)&lt;5,"",IF(OR(MIN(E28:I28)&lt;0.1,MAX(E28:I28)&gt;10),"Invalid score",IF(INDEX('Position_Rubric'!$H$6:$H$14,M28)&lt;&gt;1,"Check weights",ROUND(E28*INDEX('Position_Rubric'!$C$6:$C$14,M28)+F28*INDEX('Position_Rubric'!$D$6:$D$14,M28)+G28*INDEX('Position_Rubric'!$E$6:$E$14,M28)+H28*INDEX('Position_Rubric'!$F$6:$F$14,M28)+I28*INDEX('Position_Rubric'!$G$6:$G$14,M28),1)))))</x:f>
      </x:c>
      <x:c r="K28" s="82" t="str">
        <x:f>IF(AND(ISNUMBER(J28),ISNUMBER(D28)),J28-D28,"")</x:f>
      </x:c>
      <x:c r="L28" s="69" t="str">
        <x:f>IF(COUNT(E28:I28)&lt;5,"Needs component scores",IF(ISNUMBER(J28),"Calculated",J28))</x:f>
        <x:v>Needs component scores</x:v>
      </x:c>
      <x:c r="M28" s="69" t="n">
        <x:f>IF(C28="","",MATCH(C28,'Position_Rubric'!$A$6:$A$14,0))</x:f>
        <x:v>2</x:v>
      </x:c>
      <x:c r="N28" s="69" t="str"/>
    </x:row>
    <x:row r="29" ht="25" customHeight="1">
      <x:c r="A29" s="69" t="str">
        <x:v>historical-130</x:v>
      </x:c>
      <x:c r="B29" s="69" t="str">
        <x:v>Teun Koopmeiners</x:v>
      </x:c>
      <x:c r="C29" s="69" t="str">
        <x:v>CM</x:v>
      </x:c>
      <x:c r="D29" s="82" t="n">
        <x:f>IF(ISNUMBER('Transfer_Ratings'!K29),'Transfer_Ratings'!K29,"")</x:f>
        <x:v>7.3</x:v>
      </x:c>
      <x:c r="E29" s="86"/>
      <x:c r="F29" s="86"/>
      <x:c r="G29" s="86"/>
      <x:c r="H29" s="86"/>
      <x:c r="I29" s="86"/>
      <x:c r="J29" s="82" t="str">
        <x:f>IF(C29="","Choose position",IF(COUNT(E29:I29)&lt;5,"",IF(OR(MIN(E29:I29)&lt;0.1,MAX(E29:I29)&gt;10),"Invalid score",IF(INDEX('Position_Rubric'!$H$6:$H$14,M29)&lt;&gt;1,"Check weights",ROUND(E29*INDEX('Position_Rubric'!$C$6:$C$14,M29)+F29*INDEX('Position_Rubric'!$D$6:$D$14,M29)+G29*INDEX('Position_Rubric'!$E$6:$E$14,M29)+H29*INDEX('Position_Rubric'!$F$6:$F$14,M29)+I29*INDEX('Position_Rubric'!$G$6:$G$14,M29),1)))))</x:f>
      </x:c>
      <x:c r="K29" s="82" t="str">
        <x:f>IF(AND(ISNUMBER(J29),ISNUMBER(D29)),J29-D29,"")</x:f>
      </x:c>
      <x:c r="L29" s="69" t="str">
        <x:f>IF(COUNT(E29:I29)&lt;5,"Needs component scores",IF(ISNUMBER(J29),"Calculated",J29))</x:f>
        <x:v>Needs component scores</x:v>
      </x:c>
      <x:c r="M29" s="69" t="n">
        <x:f>IF(C29="","",MATCH(C29,'Position_Rubric'!$A$6:$A$14,0))</x:f>
        <x:v>2</x:v>
      </x:c>
      <x:c r="N29" s="69" t="str"/>
    </x:row>
    <x:row r="30" ht="25" customHeight="1">
      <x:c r="A30" s="69" t="str">
        <x:v>historical-136</x:v>
      </x:c>
      <x:c r="B30" s="69" t="str">
        <x:v>Jorginho</x:v>
      </x:c>
      <x:c r="C30" s="69" t="str">
        <x:v>CDM</x:v>
      </x:c>
      <x:c r="D30" s="82" t="n">
        <x:f>IF(ISNUMBER('Transfer_Ratings'!K30),'Transfer_Ratings'!K30,"")</x:f>
        <x:v>8.7</x:v>
      </x:c>
      <x:c r="E30" s="86"/>
      <x:c r="F30" s="86"/>
      <x:c r="G30" s="86"/>
      <x:c r="H30" s="86"/>
      <x:c r="I30" s="86"/>
      <x:c r="J30" s="82" t="str">
        <x:f>IF(C30="","Choose position",IF(COUNT(E30:I30)&lt;5,"",IF(OR(MIN(E30:I30)&lt;0.1,MAX(E30:I30)&gt;10),"Invalid score",IF(INDEX('Position_Rubric'!$H$6:$H$14,M30)&lt;&gt;1,"Check weights",ROUND(E30*INDEX('Position_Rubric'!$C$6:$C$14,M30)+F30*INDEX('Position_Rubric'!$D$6:$D$14,M30)+G30*INDEX('Position_Rubric'!$E$6:$E$14,M30)+H30*INDEX('Position_Rubric'!$F$6:$F$14,M30)+I30*INDEX('Position_Rubric'!$G$6:$G$14,M30),1)))))</x:f>
      </x:c>
      <x:c r="K30" s="82" t="str">
        <x:f>IF(AND(ISNUMBER(J30),ISNUMBER(D30)),J30-D30,"")</x:f>
      </x:c>
      <x:c r="L30" s="69" t="str">
        <x:f>IF(COUNT(E30:I30)&lt;5,"Needs component scores",IF(ISNUMBER(J30),"Calculated",J30))</x:f>
        <x:v>Needs component scores</x:v>
      </x:c>
      <x:c r="M30" s="69" t="n">
        <x:f>IF(C30="","",MATCH(C30,'Position_Rubric'!$A$6:$A$14,0))</x:f>
        <x:v>1</x:v>
      </x:c>
      <x:c r="N30" s="69" t="str"/>
    </x:row>
    <x:row r="31" ht="25" customHeight="1">
      <x:c r="A31" s="69" t="str">
        <x:v>historical-146</x:v>
      </x:c>
      <x:c r="B31" s="69" t="str">
        <x:v>Rúben Neves</x:v>
      </x:c>
      <x:c r="C31" s="69" t="str">
        <x:v>CDM</x:v>
      </x:c>
      <x:c r="D31" s="82" t="n">
        <x:f>IF(ISNUMBER('Transfer_Ratings'!K31),'Transfer_Ratings'!K31,"")</x:f>
        <x:v>7.8</x:v>
      </x:c>
      <x:c r="E31" s="86"/>
      <x:c r="F31" s="86"/>
      <x:c r="G31" s="86"/>
      <x:c r="H31" s="86"/>
      <x:c r="I31" s="86"/>
      <x:c r="J31" s="82" t="str">
        <x:f>IF(C31="","Choose position",IF(COUNT(E31:I31)&lt;5,"",IF(OR(MIN(E31:I31)&lt;0.1,MAX(E31:I31)&gt;10),"Invalid score",IF(INDEX('Position_Rubric'!$H$6:$H$14,M31)&lt;&gt;1,"Check weights",ROUND(E31*INDEX('Position_Rubric'!$C$6:$C$14,M31)+F31*INDEX('Position_Rubric'!$D$6:$D$14,M31)+G31*INDEX('Position_Rubric'!$E$6:$E$14,M31)+H31*INDEX('Position_Rubric'!$F$6:$F$14,M31)+I31*INDEX('Position_Rubric'!$G$6:$G$14,M31),1)))))</x:f>
      </x:c>
      <x:c r="K31" s="82" t="str">
        <x:f>IF(AND(ISNUMBER(J31),ISNUMBER(D31)),J31-D31,"")</x:f>
      </x:c>
      <x:c r="L31" s="69" t="str">
        <x:f>IF(COUNT(E31:I31)&lt;5,"Needs component scores",IF(ISNUMBER(J31),"Calculated",J31))</x:f>
        <x:v>Needs component scores</x:v>
      </x:c>
      <x:c r="M31" s="69" t="n">
        <x:f>IF(C31="","",MATCH(C31,'Position_Rubric'!$A$6:$A$14,0))</x:f>
        <x:v>1</x:v>
      </x:c>
      <x:c r="N31" s="69" t="str"/>
    </x:row>
    <x:row r="32" ht="25" customHeight="1">
      <x:c r="A32" s="69" t="str">
        <x:v>historical-161</x:v>
      </x:c>
      <x:c r="B32" s="69" t="str">
        <x:v>Douglas Luiz</x:v>
      </x:c>
      <x:c r="C32" s="69" t="str">
        <x:v>CDM</x:v>
      </x:c>
      <x:c r="D32" s="82" t="n">
        <x:f>IF(ISNUMBER('Transfer_Ratings'!K32),'Transfer_Ratings'!K32,"")</x:f>
        <x:v>7.2</x:v>
      </x:c>
      <x:c r="E32" s="86"/>
      <x:c r="F32" s="86"/>
      <x:c r="G32" s="86"/>
      <x:c r="H32" s="86"/>
      <x:c r="I32" s="86"/>
      <x:c r="J32" s="82" t="str">
        <x:f>IF(C32="","Choose position",IF(COUNT(E32:I32)&lt;5,"",IF(OR(MIN(E32:I32)&lt;0.1,MAX(E32:I32)&gt;10),"Invalid score",IF(INDEX('Position_Rubric'!$H$6:$H$14,M32)&lt;&gt;1,"Check weights",ROUND(E32*INDEX('Position_Rubric'!$C$6:$C$14,M32)+F32*INDEX('Position_Rubric'!$D$6:$D$14,M32)+G32*INDEX('Position_Rubric'!$E$6:$E$14,M32)+H32*INDEX('Position_Rubric'!$F$6:$F$14,M32)+I32*INDEX('Position_Rubric'!$G$6:$G$14,M32),1)))))</x:f>
      </x:c>
      <x:c r="K32" s="82" t="str">
        <x:f>IF(AND(ISNUMBER(J32),ISNUMBER(D32)),J32-D32,"")</x:f>
      </x:c>
      <x:c r="L32" s="69" t="str">
        <x:f>IF(COUNT(E32:I32)&lt;5,"Needs component scores",IF(ISNUMBER(J32),"Calculated",J32))</x:f>
        <x:v>Needs component scores</x:v>
      </x:c>
      <x:c r="M32" s="69" t="n">
        <x:f>IF(C32="","",MATCH(C32,'Position_Rubric'!$A$6:$A$14,0))</x:f>
        <x:v>1</x:v>
      </x:c>
      <x:c r="N32" s="69" t="str"/>
    </x:row>
    <x:row r="33" ht="25" customHeight="1">
      <x:c r="A33" s="69" t="str">
        <x:v>historical-163</x:v>
      </x:c>
      <x:c r="B33" s="69" t="str">
        <x:v>João Palhinha</x:v>
      </x:c>
      <x:c r="C33" s="69" t="str">
        <x:v>CDM</x:v>
      </x:c>
      <x:c r="D33" s="82" t="n">
        <x:f>IF(ISNUMBER('Transfer_Ratings'!K33),'Transfer_Ratings'!K33,"")</x:f>
        <x:v>7.6</x:v>
      </x:c>
      <x:c r="E33" s="86"/>
      <x:c r="F33" s="86"/>
      <x:c r="G33" s="86"/>
      <x:c r="H33" s="86"/>
      <x:c r="I33" s="86"/>
      <x:c r="J33" s="82" t="str">
        <x:f>IF(C33="","Choose position",IF(COUNT(E33:I33)&lt;5,"",IF(OR(MIN(E33:I33)&lt;0.1,MAX(E33:I33)&gt;10),"Invalid score",IF(INDEX('Position_Rubric'!$H$6:$H$14,M33)&lt;&gt;1,"Check weights",ROUND(E33*INDEX('Position_Rubric'!$C$6:$C$14,M33)+F33*INDEX('Position_Rubric'!$D$6:$D$14,M33)+G33*INDEX('Position_Rubric'!$E$6:$E$14,M33)+H33*INDEX('Position_Rubric'!$F$6:$F$14,M33)+I33*INDEX('Position_Rubric'!$G$6:$G$14,M33),1)))))</x:f>
      </x:c>
      <x:c r="K33" s="82" t="str">
        <x:f>IF(AND(ISNUMBER(J33),ISNUMBER(D33)),J33-D33,"")</x:f>
      </x:c>
      <x:c r="L33" s="69" t="str">
        <x:f>IF(COUNT(E33:I33)&lt;5,"Needs component scores",IF(ISNUMBER(J33),"Calculated",J33))</x:f>
        <x:v>Needs component scores</x:v>
      </x:c>
      <x:c r="M33" s="69" t="n">
        <x:f>IF(C33="","",MATCH(C33,'Position_Rubric'!$A$6:$A$14,0))</x:f>
        <x:v>1</x:v>
      </x:c>
      <x:c r="N33" s="69" t="str"/>
    </x:row>
    <x:row r="34" ht="25" customHeight="1">
      <x:c r="A34" s="69" t="str">
        <x:v>historical-179</x:v>
      </x:c>
      <x:c r="B34" s="69" t="str">
        <x:v>Manuel Ugarte</x:v>
      </x:c>
      <x:c r="C34" s="69" t="str">
        <x:v>CDM</x:v>
      </x:c>
      <x:c r="D34" s="82" t="n">
        <x:f>IF(ISNUMBER('Transfer_Ratings'!K34),'Transfer_Ratings'!K34,"")</x:f>
        <x:v>7.7</x:v>
      </x:c>
      <x:c r="E34" s="86"/>
      <x:c r="F34" s="86"/>
      <x:c r="G34" s="86"/>
      <x:c r="H34" s="86"/>
      <x:c r="I34" s="86"/>
      <x:c r="J34" s="82" t="str">
        <x:f>IF(C34="","Choose position",IF(COUNT(E34:I34)&lt;5,"",IF(OR(MIN(E34:I34)&lt;0.1,MAX(E34:I34)&gt;10),"Invalid score",IF(INDEX('Position_Rubric'!$H$6:$H$14,M34)&lt;&gt;1,"Check weights",ROUND(E34*INDEX('Position_Rubric'!$C$6:$C$14,M34)+F34*INDEX('Position_Rubric'!$D$6:$D$14,M34)+G34*INDEX('Position_Rubric'!$E$6:$E$14,M34)+H34*INDEX('Position_Rubric'!$F$6:$F$14,M34)+I34*INDEX('Position_Rubric'!$G$6:$G$14,M34),1)))))</x:f>
      </x:c>
      <x:c r="K34" s="82" t="str">
        <x:f>IF(AND(ISNUMBER(J34),ISNUMBER(D34)),J34-D34,"")</x:f>
      </x:c>
      <x:c r="L34" s="69" t="str">
        <x:f>IF(COUNT(E34:I34)&lt;5,"Needs component scores",IF(ISNUMBER(J34),"Calculated",J34))</x:f>
        <x:v>Needs component scores</x:v>
      </x:c>
      <x:c r="M34" s="69" t="n">
        <x:f>IF(C34="","",MATCH(C34,'Position_Rubric'!$A$6:$A$14,0))</x:f>
        <x:v>1</x:v>
      </x:c>
      <x:c r="N34" s="69" t="str"/>
    </x:row>
    <x:row r="35" ht="25" customHeight="1">
      <x:c r="A35" s="69" t="str">
        <x:v>historical-180</x:v>
      </x:c>
      <x:c r="B35" s="69" t="str">
        <x:v>Thomas Partey</x:v>
      </x:c>
      <x:c r="C35" s="69" t="str">
        <x:v>CDM</x:v>
      </x:c>
      <x:c r="D35" s="82" t="n">
        <x:f>IF(ISNUMBER('Transfer_Ratings'!K35),'Transfer_Ratings'!K35,"")</x:f>
        <x:v>8</x:v>
      </x:c>
      <x:c r="E35" s="86"/>
      <x:c r="F35" s="86"/>
      <x:c r="G35" s="86"/>
      <x:c r="H35" s="86"/>
      <x:c r="I35" s="86"/>
      <x:c r="J35" s="82" t="str">
        <x:f>IF(C35="","Choose position",IF(COUNT(E35:I35)&lt;5,"",IF(OR(MIN(E35:I35)&lt;0.1,MAX(E35:I35)&gt;10),"Invalid score",IF(INDEX('Position_Rubric'!$H$6:$H$14,M35)&lt;&gt;1,"Check weights",ROUND(E35*INDEX('Position_Rubric'!$C$6:$C$14,M35)+F35*INDEX('Position_Rubric'!$D$6:$D$14,M35)+G35*INDEX('Position_Rubric'!$E$6:$E$14,M35)+H35*INDEX('Position_Rubric'!$F$6:$F$14,M35)+I35*INDEX('Position_Rubric'!$G$6:$G$14,M35),1)))))</x:f>
      </x:c>
      <x:c r="K35" s="82" t="str">
        <x:f>IF(AND(ISNUMBER(J35),ISNUMBER(D35)),J35-D35,"")</x:f>
      </x:c>
      <x:c r="L35" s="69" t="str">
        <x:f>IF(COUNT(E35:I35)&lt;5,"Needs component scores",IF(ISNUMBER(J35),"Calculated",J35))</x:f>
        <x:v>Needs component scores</x:v>
      </x:c>
      <x:c r="M35" s="69" t="n">
        <x:f>IF(C35="","",MATCH(C35,'Position_Rubric'!$A$6:$A$14,0))</x:f>
        <x:v>1</x:v>
      </x:c>
      <x:c r="N35" s="69" t="str"/>
    </x:row>
    <x:row r="36" ht="25" customHeight="1">
      <x:c r="A36" s="69" t="str">
        <x:v>historical-186</x:v>
      </x:c>
      <x:c r="B36" s="69" t="str">
        <x:v>Kalvin Phillips</x:v>
      </x:c>
      <x:c r="C36" s="69" t="str">
        <x:v>CDM</x:v>
      </x:c>
      <x:c r="D36" s="82" t="n">
        <x:f>IF(ISNUMBER('Transfer_Ratings'!K36),'Transfer_Ratings'!K36,"")</x:f>
        <x:v>5.9</x:v>
      </x:c>
      <x:c r="E36" s="86"/>
      <x:c r="F36" s="86"/>
      <x:c r="G36" s="86"/>
      <x:c r="H36" s="86"/>
      <x:c r="I36" s="86"/>
      <x:c r="J36" s="82" t="str">
        <x:f>IF(C36="","Choose position",IF(COUNT(E36:I36)&lt;5,"",IF(OR(MIN(E36:I36)&lt;0.1,MAX(E36:I36)&gt;10),"Invalid score",IF(INDEX('Position_Rubric'!$H$6:$H$14,M36)&lt;&gt;1,"Check weights",ROUND(E36*INDEX('Position_Rubric'!$C$6:$C$14,M36)+F36*INDEX('Position_Rubric'!$D$6:$D$14,M36)+G36*INDEX('Position_Rubric'!$E$6:$E$14,M36)+H36*INDEX('Position_Rubric'!$F$6:$F$14,M36)+I36*INDEX('Position_Rubric'!$G$6:$G$14,M36),1)))))</x:f>
      </x:c>
      <x:c r="K36" s="82" t="str">
        <x:f>IF(AND(ISNUMBER(J36),ISNUMBER(D36)),J36-D36,"")</x:f>
      </x:c>
      <x:c r="L36" s="69" t="str">
        <x:f>IF(COUNT(E36:I36)&lt;5,"Needs component scores",IF(ISNUMBER(J36),"Calculated",J36))</x:f>
        <x:v>Needs component scores</x:v>
      </x:c>
      <x:c r="M36" s="69" t="n">
        <x:f>IF(C36="","",MATCH(C36,'Position_Rubric'!$A$6:$A$14,0))</x:f>
        <x:v>1</x:v>
      </x:c>
      <x:c r="N36" s="69" t="str"/>
    </x:row>
    <x:row r="37" ht="25" customHeight="1">
      <x:c r="A37" s="69" t="str">
        <x:v>historical-195</x:v>
      </x:c>
      <x:c r="B37" s="69" t="str">
        <x:v>Fabinho</x:v>
      </x:c>
      <x:c r="C37" s="69" t="str">
        <x:v>CDM</x:v>
      </x:c>
      <x:c r="D37" s="82" t="n">
        <x:f>IF(ISNUMBER('Transfer_Ratings'!K37),'Transfer_Ratings'!K37,"")</x:f>
        <x:v>7.4</x:v>
      </x:c>
      <x:c r="E37" s="86"/>
      <x:c r="F37" s="86"/>
      <x:c r="G37" s="86"/>
      <x:c r="H37" s="86"/>
      <x:c r="I37" s="86"/>
      <x:c r="J37" s="82" t="str">
        <x:f>IF(C37="","Choose position",IF(COUNT(E37:I37)&lt;5,"",IF(OR(MIN(E37:I37)&lt;0.1,MAX(E37:I37)&gt;10),"Invalid score",IF(INDEX('Position_Rubric'!$H$6:$H$14,M37)&lt;&gt;1,"Check weights",ROUND(E37*INDEX('Position_Rubric'!$C$6:$C$14,M37)+F37*INDEX('Position_Rubric'!$D$6:$D$14,M37)+G37*INDEX('Position_Rubric'!$E$6:$E$14,M37)+H37*INDEX('Position_Rubric'!$F$6:$F$14,M37)+I37*INDEX('Position_Rubric'!$G$6:$G$14,M37),1)))))</x:f>
      </x:c>
      <x:c r="K37" s="82" t="str">
        <x:f>IF(AND(ISNUMBER(J37),ISNUMBER(D37)),J37-D37,"")</x:f>
      </x:c>
      <x:c r="L37" s="69" t="str">
        <x:f>IF(COUNT(E37:I37)&lt;5,"Needs component scores",IF(ISNUMBER(J37),"Calculated",J37))</x:f>
        <x:v>Needs component scores</x:v>
      </x:c>
      <x:c r="M37" s="69" t="n">
        <x:f>IF(C37="","",MATCH(C37,'Position_Rubric'!$A$6:$A$14,0))</x:f>
        <x:v>1</x:v>
      </x:c>
      <x:c r="N37" s="69" t="str"/>
    </x:row>
    <x:row r="38" ht="25" customHeight="1">
      <x:c r="A38" s="69" t="str">
        <x:v>S26-0019</x:v>
      </x:c>
      <x:c r="B38" s="69" t="str">
        <x:v>Gonzalo Villar</x:v>
      </x:c>
      <x:c r="C38" s="69" t="str">
        <x:v>CDM</x:v>
      </x:c>
      <x:c r="D38" s="82" t="n">
        <x:f>IF(ISNUMBER('Transfer_Ratings'!K38),'Transfer_Ratings'!K38,"")</x:f>
        <x:v>7.5</x:v>
      </x:c>
      <x:c r="E38" s="86"/>
      <x:c r="F38" s="86"/>
      <x:c r="G38" s="86"/>
      <x:c r="H38" s="86"/>
      <x:c r="I38" s="86"/>
      <x:c r="J38" s="82" t="str">
        <x:f>IF(C38="","Choose position",IF(COUNT(E38:I38)&lt;5,"",IF(OR(MIN(E38:I38)&lt;0.1,MAX(E38:I38)&gt;10),"Invalid score",IF(INDEX('Position_Rubric'!$H$6:$H$14,M38)&lt;&gt;1,"Check weights",ROUND(E38*INDEX('Position_Rubric'!$C$6:$C$14,M38)+F38*INDEX('Position_Rubric'!$D$6:$D$14,M38)+G38*INDEX('Position_Rubric'!$E$6:$E$14,M38)+H38*INDEX('Position_Rubric'!$F$6:$F$14,M38)+I38*INDEX('Position_Rubric'!$G$6:$G$14,M38),1)))))</x:f>
      </x:c>
      <x:c r="K38" s="82" t="str">
        <x:f>IF(AND(ISNUMBER(J38),ISNUMBER(D38)),J38-D38,"")</x:f>
      </x:c>
      <x:c r="L38" s="69" t="str">
        <x:f>IF(COUNT(E38:I38)&lt;5,"Needs component scores",IF(ISNUMBER(J38),"Calculated",J38))</x:f>
        <x:v>Needs component scores</x:v>
      </x:c>
      <x:c r="M38" s="69" t="n">
        <x:f>IF(C38="","",MATCH(C38,'Position_Rubric'!$A$6:$A$14,0))</x:f>
        <x:v>1</x:v>
      </x:c>
      <x:c r="N38" s="69" t="str"/>
    </x:row>
    <x:row r="39" ht="25" customHeight="1">
      <x:c r="A39" s="69" t="str">
        <x:v>S26-0026</x:v>
      </x:c>
      <x:c r="B39" s="69" t="str">
        <x:v>Aleksandar Stankovic</x:v>
      </x:c>
      <x:c r="C39" s="69" t="str">
        <x:v>CDM</x:v>
      </x:c>
      <x:c r="D39" s="82" t="n">
        <x:f>IF(ISNUMBER('Transfer_Ratings'!K39),'Transfer_Ratings'!K39,"")</x:f>
        <x:v>8.4</x:v>
      </x:c>
      <x:c r="E39" s="86"/>
      <x:c r="F39" s="86"/>
      <x:c r="G39" s="86"/>
      <x:c r="H39" s="86"/>
      <x:c r="I39" s="86"/>
      <x:c r="J39" s="82" t="str">
        <x:f>IF(C39="","Choose position",IF(COUNT(E39:I39)&lt;5,"",IF(OR(MIN(E39:I39)&lt;0.1,MAX(E39:I39)&gt;10),"Invalid score",IF(INDEX('Position_Rubric'!$H$6:$H$14,M39)&lt;&gt;1,"Check weights",ROUND(E39*INDEX('Position_Rubric'!$C$6:$C$14,M39)+F39*INDEX('Position_Rubric'!$D$6:$D$14,M39)+G39*INDEX('Position_Rubric'!$E$6:$E$14,M39)+H39*INDEX('Position_Rubric'!$F$6:$F$14,M39)+I39*INDEX('Position_Rubric'!$G$6:$G$14,M39),1)))))</x:f>
      </x:c>
      <x:c r="K39" s="82" t="str">
        <x:f>IF(AND(ISNUMBER(J39),ISNUMBER(D39)),J39-D39,"")</x:f>
      </x:c>
      <x:c r="L39" s="69" t="str">
        <x:f>IF(COUNT(E39:I39)&lt;5,"Needs component scores",IF(ISNUMBER(J39),"Calculated",J39))</x:f>
        <x:v>Needs component scores</x:v>
      </x:c>
      <x:c r="M39" s="69" t="n">
        <x:f>IF(C39="","",MATCH(C39,'Position_Rubric'!$A$6:$A$14,0))</x:f>
        <x:v>1</x:v>
      </x:c>
      <x:c r="N39" s="69" t="str"/>
    </x:row>
    <x:row r="40" ht="25" customHeight="1">
      <x:c r="A40" s="69" t="str">
        <x:v>S26-0050</x:v>
      </x:c>
      <x:c r="B40" s="69" t="str">
        <x:v>Satoshi Tanaka</x:v>
      </x:c>
      <x:c r="C40" s="69" t="str">
        <x:v>CDM</x:v>
      </x:c>
      <x:c r="D40" s="82" t="n">
        <x:f>IF(ISNUMBER('Transfer_Ratings'!K40),'Transfer_Ratings'!K40,"")</x:f>
        <x:v>7.8</x:v>
      </x:c>
      <x:c r="E40" s="86"/>
      <x:c r="F40" s="86"/>
      <x:c r="G40" s="86"/>
      <x:c r="H40" s="86"/>
      <x:c r="I40" s="86"/>
      <x:c r="J40" s="82" t="str">
        <x:f>IF(C40="","Choose position",IF(COUNT(E40:I40)&lt;5,"",IF(OR(MIN(E40:I40)&lt;0.1,MAX(E40:I40)&gt;10),"Invalid score",IF(INDEX('Position_Rubric'!$H$6:$H$14,M40)&lt;&gt;1,"Check weights",ROUND(E40*INDEX('Position_Rubric'!$C$6:$C$14,M40)+F40*INDEX('Position_Rubric'!$D$6:$D$14,M40)+G40*INDEX('Position_Rubric'!$E$6:$E$14,M40)+H40*INDEX('Position_Rubric'!$F$6:$F$14,M40)+I40*INDEX('Position_Rubric'!$G$6:$G$14,M40),1)))))</x:f>
      </x:c>
      <x:c r="K40" s="82" t="str">
        <x:f>IF(AND(ISNUMBER(J40),ISNUMBER(D40)),J40-D40,"")</x:f>
      </x:c>
      <x:c r="L40" s="69" t="str">
        <x:f>IF(COUNT(E40:I40)&lt;5,"Needs component scores",IF(ISNUMBER(J40),"Calculated",J40))</x:f>
        <x:v>Needs component scores</x:v>
      </x:c>
      <x:c r="M40" s="69" t="n">
        <x:f>IF(C40="","",MATCH(C40,'Position_Rubric'!$A$6:$A$14,0))</x:f>
        <x:v>1</x:v>
      </x:c>
      <x:c r="N40" s="69" t="str"/>
    </x:row>
    <x:row r="41" ht="25" customHeight="1">
      <x:c r="A41" s="69" t="str">
        <x:v>S26-0051</x:v>
      </x:c>
      <x:c r="B41" s="69" t="str">
        <x:v>Kennet Eichhorn</x:v>
      </x:c>
      <x:c r="C41" s="69" t="str">
        <x:v>CDM</x:v>
      </x:c>
      <x:c r="D41" s="82" t="n">
        <x:f>IF(ISNUMBER('Transfer_Ratings'!K41),'Transfer_Ratings'!K41,"")</x:f>
        <x:v>8.4</x:v>
      </x:c>
      <x:c r="E41" s="86"/>
      <x:c r="F41" s="86"/>
      <x:c r="G41" s="86"/>
      <x:c r="H41" s="86"/>
      <x:c r="I41" s="86"/>
      <x:c r="J41" s="82" t="str">
        <x:f>IF(C41="","Choose position",IF(COUNT(E41:I41)&lt;5,"",IF(OR(MIN(E41:I41)&lt;0.1,MAX(E41:I41)&gt;10),"Invalid score",IF(INDEX('Position_Rubric'!$H$6:$H$14,M41)&lt;&gt;1,"Check weights",ROUND(E41*INDEX('Position_Rubric'!$C$6:$C$14,M41)+F41*INDEX('Position_Rubric'!$D$6:$D$14,M41)+G41*INDEX('Position_Rubric'!$E$6:$E$14,M41)+H41*INDEX('Position_Rubric'!$F$6:$F$14,M41)+I41*INDEX('Position_Rubric'!$G$6:$G$14,M41),1)))))</x:f>
      </x:c>
      <x:c r="K41" s="82" t="str">
        <x:f>IF(AND(ISNUMBER(J41),ISNUMBER(D41)),J41-D41,"")</x:f>
      </x:c>
      <x:c r="L41" s="69" t="str">
        <x:f>IF(COUNT(E41:I41)&lt;5,"Needs component scores",IF(ISNUMBER(J41),"Calculated",J41))</x:f>
        <x:v>Needs component scores</x:v>
      </x:c>
      <x:c r="M41" s="69" t="n">
        <x:f>IF(C41="","",MATCH(C41,'Position_Rubric'!$A$6:$A$14,0))</x:f>
        <x:v>1</x:v>
      </x:c>
      <x:c r="N41" s="69" t="str"/>
    </x:row>
    <x:row r="42" ht="25" customHeight="1">
      <x:c r="A42" s="69" t="str">
        <x:v>S26-0084</x:v>
      </x:c>
      <x:c r="B42" s="69" t="str">
        <x:v>Giacomo Calò</x:v>
      </x:c>
      <x:c r="C42" s="69" t="str">
        <x:v>CDM</x:v>
      </x:c>
      <x:c r="D42" s="82" t="str">
        <x:f>IF(ISNUMBER('Transfer_Ratings'!K42),'Transfer_Ratings'!K42,"")</x:f>
      </x:c>
      <x:c r="E42" s="86"/>
      <x:c r="F42" s="86"/>
      <x:c r="G42" s="86"/>
      <x:c r="H42" s="86"/>
      <x:c r="I42" s="86"/>
      <x:c r="J42" s="82" t="str">
        <x:f>IF(C42="","Choose position",IF(COUNT(E42:I42)&lt;5,"",IF(OR(MIN(E42:I42)&lt;0.1,MAX(E42:I42)&gt;10),"Invalid score",IF(INDEX('Position_Rubric'!$H$6:$H$14,M42)&lt;&gt;1,"Check weights",ROUND(E42*INDEX('Position_Rubric'!$C$6:$C$14,M42)+F42*INDEX('Position_Rubric'!$D$6:$D$14,M42)+G42*INDEX('Position_Rubric'!$E$6:$E$14,M42)+H42*INDEX('Position_Rubric'!$F$6:$F$14,M42)+I42*INDEX('Position_Rubric'!$G$6:$G$14,M42),1)))))</x:f>
      </x:c>
      <x:c r="K42" s="82" t="str">
        <x:f>IF(AND(ISNUMBER(J42),ISNUMBER(D42)),J42-D42,"")</x:f>
      </x:c>
      <x:c r="L42" s="69" t="str">
        <x:f>IF(COUNT(E42:I42)&lt;5,"Needs component scores",IF(ISNUMBER(J42),"Calculated",J42))</x:f>
        <x:v>Needs component scores</x:v>
      </x:c>
      <x:c r="M42" s="69" t="n">
        <x:f>IF(C42="","",MATCH(C42,'Position_Rubric'!$A$6:$A$14,0))</x:f>
        <x:v>1</x:v>
      </x:c>
      <x:c r="N42" s="69" t="str"/>
    </x:row>
    <x:row r="43" ht="25" customHeight="1">
      <x:c r="A43" s="69" t="str">
        <x:v>S26-0099</x:v>
      </x:c>
      <x:c r="B43" s="69" t="str">
        <x:v>Charles Vanhoutte</x:v>
      </x:c>
      <x:c r="C43" s="69" t="str">
        <x:v>CDM</x:v>
      </x:c>
      <x:c r="D43" s="82" t="n">
        <x:f>IF(ISNUMBER('Transfer_Ratings'!K43),'Transfer_Ratings'!K43,"")</x:f>
        <x:v>7.8</x:v>
      </x:c>
      <x:c r="E43" s="86"/>
      <x:c r="F43" s="86"/>
      <x:c r="G43" s="86"/>
      <x:c r="H43" s="86"/>
      <x:c r="I43" s="86"/>
      <x:c r="J43" s="82" t="str">
        <x:f>IF(C43="","Choose position",IF(COUNT(E43:I43)&lt;5,"",IF(OR(MIN(E43:I43)&lt;0.1,MAX(E43:I43)&gt;10),"Invalid score",IF(INDEX('Position_Rubric'!$H$6:$H$14,M43)&lt;&gt;1,"Check weights",ROUND(E43*INDEX('Position_Rubric'!$C$6:$C$14,M43)+F43*INDEX('Position_Rubric'!$D$6:$D$14,M43)+G43*INDEX('Position_Rubric'!$E$6:$E$14,M43)+H43*INDEX('Position_Rubric'!$F$6:$F$14,M43)+I43*INDEX('Position_Rubric'!$G$6:$G$14,M43),1)))))</x:f>
      </x:c>
      <x:c r="K43" s="82" t="str">
        <x:f>IF(AND(ISNUMBER(J43),ISNUMBER(D43)),J43-D43,"")</x:f>
      </x:c>
      <x:c r="L43" s="69" t="str">
        <x:f>IF(COUNT(E43:I43)&lt;5,"Needs component scores",IF(ISNUMBER(J43),"Calculated",J43))</x:f>
        <x:v>Needs component scores</x:v>
      </x:c>
      <x:c r="M43" s="69" t="n">
        <x:f>IF(C43="","",MATCH(C43,'Position_Rubric'!$A$6:$A$14,0))</x:f>
        <x:v>1</x:v>
      </x:c>
      <x:c r="N43" s="69" t="str"/>
    </x:row>
    <x:row r="44" ht="25" customHeight="1">
      <x:c r="A44" s="69" t="str">
        <x:v>S26-0158</x:v>
      </x:c>
      <x:c r="B44" s="69" t="str">
        <x:v>Frank Onyeka</x:v>
      </x:c>
      <x:c r="C44" s="69" t="str">
        <x:v>CDM</x:v>
      </x:c>
      <x:c r="D44" s="82" t="str">
        <x:f>IF(ISNUMBER('Transfer_Ratings'!K44),'Transfer_Ratings'!K44,"")</x:f>
      </x:c>
      <x:c r="E44" s="86"/>
      <x:c r="F44" s="86"/>
      <x:c r="G44" s="86"/>
      <x:c r="H44" s="86"/>
      <x:c r="I44" s="86"/>
      <x:c r="J44" s="82" t="str">
        <x:f>IF(C44="","Choose position",IF(COUNT(E44:I44)&lt;5,"",IF(OR(MIN(E44:I44)&lt;0.1,MAX(E44:I44)&gt;10),"Invalid score",IF(INDEX('Position_Rubric'!$H$6:$H$14,M44)&lt;&gt;1,"Check weights",ROUND(E44*INDEX('Position_Rubric'!$C$6:$C$14,M44)+F44*INDEX('Position_Rubric'!$D$6:$D$14,M44)+G44*INDEX('Position_Rubric'!$E$6:$E$14,M44)+H44*INDEX('Position_Rubric'!$F$6:$F$14,M44)+I44*INDEX('Position_Rubric'!$G$6:$G$14,M44),1)))))</x:f>
      </x:c>
      <x:c r="K44" s="82" t="str">
        <x:f>IF(AND(ISNUMBER(J44),ISNUMBER(D44)),J44-D44,"")</x:f>
      </x:c>
      <x:c r="L44" s="69" t="str">
        <x:f>IF(COUNT(E44:I44)&lt;5,"Needs component scores",IF(ISNUMBER(J44),"Calculated",J44))</x:f>
        <x:v>Needs component scores</x:v>
      </x:c>
      <x:c r="M44" s="69" t="n">
        <x:f>IF(C44="","",MATCH(C44,'Position_Rubric'!$A$6:$A$14,0))</x:f>
        <x:v>1</x:v>
      </x:c>
      <x:c r="N44" s="69" t="str"/>
    </x:row>
    <x:row r="45" ht="25" customHeight="1">
      <x:c r="A45" s="69" t="str">
        <x:v>S26-0169</x:v>
      </x:c>
      <x:c r="B45" s="69" t="str">
        <x:v>Mads Bidstrup</x:v>
      </x:c>
      <x:c r="C45" s="69" t="str">
        <x:v>CDM</x:v>
      </x:c>
      <x:c r="D45" s="82" t="n">
        <x:f>IF(ISNUMBER('Transfer_Ratings'!K45),'Transfer_Ratings'!K45,"")</x:f>
        <x:v>8</x:v>
      </x:c>
      <x:c r="E45" s="86"/>
      <x:c r="F45" s="86"/>
      <x:c r="G45" s="86"/>
      <x:c r="H45" s="86"/>
      <x:c r="I45" s="86"/>
      <x:c r="J45" s="82" t="str">
        <x:f>IF(C45="","Choose position",IF(COUNT(E45:I45)&lt;5,"",IF(OR(MIN(E45:I45)&lt;0.1,MAX(E45:I45)&gt;10),"Invalid score",IF(INDEX('Position_Rubric'!$H$6:$H$14,M45)&lt;&gt;1,"Check weights",ROUND(E45*INDEX('Position_Rubric'!$C$6:$C$14,M45)+F45*INDEX('Position_Rubric'!$D$6:$D$14,M45)+G45*INDEX('Position_Rubric'!$E$6:$E$14,M45)+H45*INDEX('Position_Rubric'!$F$6:$F$14,M45)+I45*INDEX('Position_Rubric'!$G$6:$G$14,M45),1)))))</x:f>
      </x:c>
      <x:c r="K45" s="82" t="str">
        <x:f>IF(AND(ISNUMBER(J45),ISNUMBER(D45)),J45-D45,"")</x:f>
      </x:c>
      <x:c r="L45" s="69" t="str">
        <x:f>IF(COUNT(E45:I45)&lt;5,"Needs component scores",IF(ISNUMBER(J45),"Calculated",J45))</x:f>
        <x:v>Needs component scores</x:v>
      </x:c>
      <x:c r="M45" s="69" t="n">
        <x:f>IF(C45="","",MATCH(C45,'Position_Rubric'!$A$6:$A$14,0))</x:f>
        <x:v>1</x:v>
      </x:c>
      <x:c r="N45" s="69" t="str"/>
    </x:row>
    <x:row r="46" ht="25" customHeight="1">
      <x:c r="A46" s="69" t="str">
        <x:v>S26-0179</x:v>
      </x:c>
      <x:c r="B46" s="69" t="str">
        <x:v>Sergi Altimira</x:v>
      </x:c>
      <x:c r="C46" s="69" t="str">
        <x:v>CDM</x:v>
      </x:c>
      <x:c r="D46" s="82" t="n">
        <x:f>IF(ISNUMBER('Transfer_Ratings'!K46),'Transfer_Ratings'!K46,"")</x:f>
        <x:v>7.9</x:v>
      </x:c>
      <x:c r="E46" s="86"/>
      <x:c r="F46" s="86"/>
      <x:c r="G46" s="86"/>
      <x:c r="H46" s="86"/>
      <x:c r="I46" s="86"/>
      <x:c r="J46" s="82" t="str">
        <x:f>IF(C46="","Choose position",IF(COUNT(E46:I46)&lt;5,"",IF(OR(MIN(E46:I46)&lt;0.1,MAX(E46:I46)&gt;10),"Invalid score",IF(INDEX('Position_Rubric'!$H$6:$H$14,M46)&lt;&gt;1,"Check weights",ROUND(E46*INDEX('Position_Rubric'!$C$6:$C$14,M46)+F46*INDEX('Position_Rubric'!$D$6:$D$14,M46)+G46*INDEX('Position_Rubric'!$E$6:$E$14,M46)+H46*INDEX('Position_Rubric'!$F$6:$F$14,M46)+I46*INDEX('Position_Rubric'!$G$6:$G$14,M46),1)))))</x:f>
      </x:c>
      <x:c r="K46" s="82" t="str">
        <x:f>IF(AND(ISNUMBER(J46),ISNUMBER(D46)),J46-D46,"")</x:f>
      </x:c>
      <x:c r="L46" s="69" t="str">
        <x:f>IF(COUNT(E46:I46)&lt;5,"Needs component scores",IF(ISNUMBER(J46),"Calculated",J46))</x:f>
        <x:v>Needs component scores</x:v>
      </x:c>
      <x:c r="M46" s="69" t="n">
        <x:f>IF(C46="","",MATCH(C46,'Position_Rubric'!$A$6:$A$14,0))</x:f>
        <x:v>1</x:v>
      </x:c>
      <x:c r="N46" s="69" t="str"/>
    </x:row>
    <x:row r="47" ht="25" customHeight="1">
      <x:c r="A47" s="69" t="str">
        <x:v>S26-0182</x:v>
      </x:c>
      <x:c r="B47" s="69" t="str">
        <x:v>Dan Neil</x:v>
      </x:c>
      <x:c r="C47" s="69" t="str">
        <x:v>CDM</x:v>
      </x:c>
      <x:c r="D47" s="82" t="n">
        <x:f>IF(ISNUMBER('Transfer_Ratings'!K47),'Transfer_Ratings'!K47,"")</x:f>
        <x:v>7.9</x:v>
      </x:c>
      <x:c r="E47" s="86"/>
      <x:c r="F47" s="86"/>
      <x:c r="G47" s="86"/>
      <x:c r="H47" s="86"/>
      <x:c r="I47" s="86"/>
      <x:c r="J47" s="82" t="str">
        <x:f>IF(C47="","Choose position",IF(COUNT(E47:I47)&lt;5,"",IF(OR(MIN(E47:I47)&lt;0.1,MAX(E47:I47)&gt;10),"Invalid score",IF(INDEX('Position_Rubric'!$H$6:$H$14,M47)&lt;&gt;1,"Check weights",ROUND(E47*INDEX('Position_Rubric'!$C$6:$C$14,M47)+F47*INDEX('Position_Rubric'!$D$6:$D$14,M47)+G47*INDEX('Position_Rubric'!$E$6:$E$14,M47)+H47*INDEX('Position_Rubric'!$F$6:$F$14,M47)+I47*INDEX('Position_Rubric'!$G$6:$G$14,M47),1)))))</x:f>
      </x:c>
      <x:c r="K47" s="82" t="str">
        <x:f>IF(AND(ISNUMBER(J47),ISNUMBER(D47)),J47-D47,"")</x:f>
      </x:c>
      <x:c r="L47" s="69" t="str">
        <x:f>IF(COUNT(E47:I47)&lt;5,"Needs component scores",IF(ISNUMBER(J47),"Calculated",J47))</x:f>
        <x:v>Needs component scores</x:v>
      </x:c>
      <x:c r="M47" s="69" t="n">
        <x:f>IF(C47="","",MATCH(C47,'Position_Rubric'!$A$6:$A$14,0))</x:f>
        <x:v>1</x:v>
      </x:c>
      <x:c r="N47" s="69" t="str"/>
    </x:row>
    <x:row r="48" ht="25" customHeight="1">
      <x:c r="A48" s="69" t="str">
        <x:v>S26-0192</x:v>
      </x:c>
      <x:c r="B48" s="69" t="str">
        <x:v>Enzo Barrenechea</x:v>
      </x:c>
      <x:c r="C48" s="69" t="str">
        <x:v>CDM</x:v>
      </x:c>
      <x:c r="D48" s="82" t="n">
        <x:f>IF(ISNUMBER('Transfer_Ratings'!K48),'Transfer_Ratings'!K48,"")</x:f>
        <x:v>8.2</x:v>
      </x:c>
      <x:c r="E48" s="86"/>
      <x:c r="F48" s="86"/>
      <x:c r="G48" s="86"/>
      <x:c r="H48" s="86"/>
      <x:c r="I48" s="86"/>
      <x:c r="J48" s="82" t="str">
        <x:f>IF(C48="","Choose position",IF(COUNT(E48:I48)&lt;5,"",IF(OR(MIN(E48:I48)&lt;0.1,MAX(E48:I48)&gt;10),"Invalid score",IF(INDEX('Position_Rubric'!$H$6:$H$14,M48)&lt;&gt;1,"Check weights",ROUND(E48*INDEX('Position_Rubric'!$C$6:$C$14,M48)+F48*INDEX('Position_Rubric'!$D$6:$D$14,M48)+G48*INDEX('Position_Rubric'!$E$6:$E$14,M48)+H48*INDEX('Position_Rubric'!$F$6:$F$14,M48)+I48*INDEX('Position_Rubric'!$G$6:$G$14,M48),1)))))</x:f>
      </x:c>
      <x:c r="K48" s="82" t="str">
        <x:f>IF(AND(ISNUMBER(J48),ISNUMBER(D48)),J48-D48,"")</x:f>
      </x:c>
      <x:c r="L48" s="69" t="str">
        <x:f>IF(COUNT(E48:I48)&lt;5,"Needs component scores",IF(ISNUMBER(J48),"Calculated",J48))</x:f>
        <x:v>Needs component scores</x:v>
      </x:c>
      <x:c r="M48" s="69" t="n">
        <x:f>IF(C48="","",MATCH(C48,'Position_Rubric'!$A$6:$A$14,0))</x:f>
        <x:v>1</x:v>
      </x:c>
      <x:c r="N48" s="69" t="str"/>
    </x:row>
    <x:row r="49" ht="25" customHeight="1">
      <x:c r="A49" s="69" t="str">
        <x:v>S26-0195</x:v>
      </x:c>
      <x:c r="B49" s="69" t="str">
        <x:v>Hayden Hackney</x:v>
      </x:c>
      <x:c r="C49" s="69" t="str">
        <x:v>CDM</x:v>
      </x:c>
      <x:c r="D49" s="82" t="n">
        <x:f>IF(ISNUMBER('Transfer_Ratings'!K49),'Transfer_Ratings'!K49,"")</x:f>
        <x:v>8.3</x:v>
      </x:c>
      <x:c r="E49" s="86"/>
      <x:c r="F49" s="86"/>
      <x:c r="G49" s="86"/>
      <x:c r="H49" s="86"/>
      <x:c r="I49" s="86"/>
      <x:c r="J49" s="82" t="str">
        <x:f>IF(C49="","Choose position",IF(COUNT(E49:I49)&lt;5,"",IF(OR(MIN(E49:I49)&lt;0.1,MAX(E49:I49)&gt;10),"Invalid score",IF(INDEX('Position_Rubric'!$H$6:$H$14,M49)&lt;&gt;1,"Check weights",ROUND(E49*INDEX('Position_Rubric'!$C$6:$C$14,M49)+F49*INDEX('Position_Rubric'!$D$6:$D$14,M49)+G49*INDEX('Position_Rubric'!$E$6:$E$14,M49)+H49*INDEX('Position_Rubric'!$F$6:$F$14,M49)+I49*INDEX('Position_Rubric'!$G$6:$G$14,M49),1)))))</x:f>
      </x:c>
      <x:c r="K49" s="82" t="str">
        <x:f>IF(AND(ISNUMBER(J49),ISNUMBER(D49)),J49-D49,"")</x:f>
      </x:c>
      <x:c r="L49" s="69" t="str">
        <x:f>IF(COUNT(E49:I49)&lt;5,"Needs component scores",IF(ISNUMBER(J49),"Calculated",J49))</x:f>
        <x:v>Needs component scores</x:v>
      </x:c>
      <x:c r="M49" s="69" t="n">
        <x:f>IF(C49="","",MATCH(C49,'Position_Rubric'!$A$6:$A$14,0))</x:f>
        <x:v>1</x:v>
      </x:c>
      <x:c r="N49" s="69" t="str"/>
    </x:row>
    <x:row r="50" ht="25" customHeight="1">
      <x:c r="A50" s="69" t="str">
        <x:v>S26-0223</x:v>
      </x:c>
      <x:c r="B50" s="69" t="str">
        <x:v>Laurent Abergel</x:v>
      </x:c>
      <x:c r="C50" s="69" t="str">
        <x:v>CDM</x:v>
      </x:c>
      <x:c r="D50" s="82" t="n">
        <x:f>IF(ISNUMBER('Transfer_Ratings'!K50),'Transfer_Ratings'!K50,"")</x:f>
        <x:v>7.8</x:v>
      </x:c>
      <x:c r="E50" s="86"/>
      <x:c r="F50" s="86"/>
      <x:c r="G50" s="86"/>
      <x:c r="H50" s="86"/>
      <x:c r="I50" s="86"/>
      <x:c r="J50" s="82" t="str">
        <x:f>IF(C50="","Choose position",IF(COUNT(E50:I50)&lt;5,"",IF(OR(MIN(E50:I50)&lt;0.1,MAX(E50:I50)&gt;10),"Invalid score",IF(INDEX('Position_Rubric'!$H$6:$H$14,M50)&lt;&gt;1,"Check weights",ROUND(E50*INDEX('Position_Rubric'!$C$6:$C$14,M50)+F50*INDEX('Position_Rubric'!$D$6:$D$14,M50)+G50*INDEX('Position_Rubric'!$E$6:$E$14,M50)+H50*INDEX('Position_Rubric'!$F$6:$F$14,M50)+I50*INDEX('Position_Rubric'!$G$6:$G$14,M50),1)))))</x:f>
      </x:c>
      <x:c r="K50" s="82" t="str">
        <x:f>IF(AND(ISNUMBER(J50),ISNUMBER(D50)),J50-D50,"")</x:f>
      </x:c>
      <x:c r="L50" s="69" t="str">
        <x:f>IF(COUNT(E50:I50)&lt;5,"Needs component scores",IF(ISNUMBER(J50),"Calculated",J50))</x:f>
        <x:v>Needs component scores</x:v>
      </x:c>
      <x:c r="M50" s="69" t="n">
        <x:f>IF(C50="","",MATCH(C50,'Position_Rubric'!$A$6:$A$14,0))</x:f>
        <x:v>1</x:v>
      </x:c>
      <x:c r="N50" s="69" t="str"/>
    </x:row>
    <x:row r="51" ht="25" customHeight="1">
      <x:c r="A51" s="69" t="str">
        <x:v>S26-0276</x:v>
      </x:c>
      <x:c r="B51" s="69" t="str">
        <x:v>Gabriel Moscardo</x:v>
      </x:c>
      <x:c r="C51" s="69" t="str">
        <x:v>CDM</x:v>
      </x:c>
      <x:c r="D51" s="82" t="str">
        <x:f>IF(ISNUMBER('Transfer_Ratings'!K51),'Transfer_Ratings'!K51,"")</x:f>
      </x:c>
      <x:c r="E51" s="86"/>
      <x:c r="F51" s="86"/>
      <x:c r="G51" s="86"/>
      <x:c r="H51" s="86"/>
      <x:c r="I51" s="86"/>
      <x:c r="J51" s="82" t="str">
        <x:f>IF(C51="","Choose position",IF(COUNT(E51:I51)&lt;5,"",IF(OR(MIN(E51:I51)&lt;0.1,MAX(E51:I51)&gt;10),"Invalid score",IF(INDEX('Position_Rubric'!$H$6:$H$14,M51)&lt;&gt;1,"Check weights",ROUND(E51*INDEX('Position_Rubric'!$C$6:$C$14,M51)+F51*INDEX('Position_Rubric'!$D$6:$D$14,M51)+G51*INDEX('Position_Rubric'!$E$6:$E$14,M51)+H51*INDEX('Position_Rubric'!$F$6:$F$14,M51)+I51*INDEX('Position_Rubric'!$G$6:$G$14,M51),1)))))</x:f>
      </x:c>
      <x:c r="K51" s="82" t="str">
        <x:f>IF(AND(ISNUMBER(J51),ISNUMBER(D51)),J51-D51,"")</x:f>
      </x:c>
      <x:c r="L51" s="69" t="str">
        <x:f>IF(COUNT(E51:I51)&lt;5,"Needs component scores",IF(ISNUMBER(J51),"Calculated",J51))</x:f>
        <x:v>Needs component scores</x:v>
      </x:c>
      <x:c r="M51" s="69" t="n">
        <x:f>IF(C51="","",MATCH(C51,'Position_Rubric'!$A$6:$A$14,0))</x:f>
        <x:v>1</x:v>
      </x:c>
      <x:c r="N51" s="69" t="str"/>
    </x:row>
    <x:row r="52" ht="25" customHeight="1">
      <x:c r="A52" s="69" t="str">
        <x:v>S26-0295</x:v>
      </x:c>
      <x:c r="B52" s="69" t="str">
        <x:v>Salih Ozcan</x:v>
      </x:c>
      <x:c r="C52" s="69" t="str">
        <x:v>CDM</x:v>
      </x:c>
      <x:c r="D52" s="82" t="n">
        <x:f>IF(ISNUMBER('Transfer_Ratings'!K52),'Transfer_Ratings'!K52,"")</x:f>
        <x:v>7.5</x:v>
      </x:c>
      <x:c r="E52" s="86"/>
      <x:c r="F52" s="86"/>
      <x:c r="G52" s="86"/>
      <x:c r="H52" s="86"/>
      <x:c r="I52" s="86"/>
      <x:c r="J52" s="82" t="str">
        <x:f>IF(C52="","Choose position",IF(COUNT(E52:I52)&lt;5,"",IF(OR(MIN(E52:I52)&lt;0.1,MAX(E52:I52)&gt;10),"Invalid score",IF(INDEX('Position_Rubric'!$H$6:$H$14,M52)&lt;&gt;1,"Check weights",ROUND(E52*INDEX('Position_Rubric'!$C$6:$C$14,M52)+F52*INDEX('Position_Rubric'!$D$6:$D$14,M52)+G52*INDEX('Position_Rubric'!$E$6:$E$14,M52)+H52*INDEX('Position_Rubric'!$F$6:$F$14,M52)+I52*INDEX('Position_Rubric'!$G$6:$G$14,M52),1)))))</x:f>
      </x:c>
      <x:c r="K52" s="82" t="str">
        <x:f>IF(AND(ISNUMBER(J52),ISNUMBER(D52)),J52-D52,"")</x:f>
      </x:c>
      <x:c r="L52" s="69" t="str">
        <x:f>IF(COUNT(E52:I52)&lt;5,"Needs component scores",IF(ISNUMBER(J52),"Calculated",J52))</x:f>
        <x:v>Needs component scores</x:v>
      </x:c>
      <x:c r="M52" s="69" t="n">
        <x:f>IF(C52="","",MATCH(C52,'Position_Rubric'!$A$6:$A$14,0))</x:f>
        <x:v>1</x:v>
      </x:c>
      <x:c r="N52" s="69" t="str"/>
    </x:row>
    <x:row r="53" ht="25" customHeight="1">
      <x:c r="A53" s="69" t="str">
        <x:v>S26-0328</x:v>
      </x:c>
      <x:c r="B53" s="69" t="str">
        <x:v>Giacomo Faticanti</x:v>
      </x:c>
      <x:c r="C53" s="69" t="str">
        <x:v>CDM</x:v>
      </x:c>
      <x:c r="D53" s="82" t="str">
        <x:f>IF(ISNUMBER('Transfer_Ratings'!K53),'Transfer_Ratings'!K53,"")</x:f>
      </x:c>
      <x:c r="E53" s="86"/>
      <x:c r="F53" s="86"/>
      <x:c r="G53" s="86"/>
      <x:c r="H53" s="86"/>
      <x:c r="I53" s="86"/>
      <x:c r="J53" s="82" t="str">
        <x:f>IF(C53="","Choose position",IF(COUNT(E53:I53)&lt;5,"",IF(OR(MIN(E53:I53)&lt;0.1,MAX(E53:I53)&gt;10),"Invalid score",IF(INDEX('Position_Rubric'!$H$6:$H$14,M53)&lt;&gt;1,"Check weights",ROUND(E53*INDEX('Position_Rubric'!$C$6:$C$14,M53)+F53*INDEX('Position_Rubric'!$D$6:$D$14,M53)+G53*INDEX('Position_Rubric'!$E$6:$E$14,M53)+H53*INDEX('Position_Rubric'!$F$6:$F$14,M53)+I53*INDEX('Position_Rubric'!$G$6:$G$14,M53),1)))))</x:f>
      </x:c>
      <x:c r="K53" s="82" t="str">
        <x:f>IF(AND(ISNUMBER(J53),ISNUMBER(D53)),J53-D53,"")</x:f>
      </x:c>
      <x:c r="L53" s="69" t="str">
        <x:f>IF(COUNT(E53:I53)&lt;5,"Needs component scores",IF(ISNUMBER(J53),"Calculated",J53))</x:f>
        <x:v>Needs component scores</x:v>
      </x:c>
      <x:c r="M53" s="69" t="n">
        <x:f>IF(C53="","",MATCH(C53,'Position_Rubric'!$A$6:$A$14,0))</x:f>
        <x:v>1</x:v>
      </x:c>
      <x:c r="N53" s="69" t="str"/>
    </x:row>
    <x:row r="54" ht="25" customHeight="1">
      <x:c r="A54" s="69" t="str">
        <x:v>S26-0331</x:v>
      </x:c>
      <x:c r="B54" s="69" t="str">
        <x:v>Morten Hjulmand</x:v>
      </x:c>
      <x:c r="C54" s="69" t="str">
        <x:v>CDM</x:v>
      </x:c>
      <x:c r="D54" s="82" t="n">
        <x:f>IF(ISNUMBER('Transfer_Ratings'!K54),'Transfer_Ratings'!K54,"")</x:f>
        <x:v>8.9</x:v>
      </x:c>
      <x:c r="E54" s="86"/>
      <x:c r="F54" s="86"/>
      <x:c r="G54" s="86"/>
      <x:c r="H54" s="86"/>
      <x:c r="I54" s="86"/>
      <x:c r="J54" s="82" t="str">
        <x:f>IF(C54="","Choose position",IF(COUNT(E54:I54)&lt;5,"",IF(OR(MIN(E54:I54)&lt;0.1,MAX(E54:I54)&gt;10),"Invalid score",IF(INDEX('Position_Rubric'!$H$6:$H$14,M54)&lt;&gt;1,"Check weights",ROUND(E54*INDEX('Position_Rubric'!$C$6:$C$14,M54)+F54*INDEX('Position_Rubric'!$D$6:$D$14,M54)+G54*INDEX('Position_Rubric'!$E$6:$E$14,M54)+H54*INDEX('Position_Rubric'!$F$6:$F$14,M54)+I54*INDEX('Position_Rubric'!$G$6:$G$14,M54),1)))))</x:f>
      </x:c>
      <x:c r="K54" s="82" t="str">
        <x:f>IF(AND(ISNUMBER(J54),ISNUMBER(D54)),J54-D54,"")</x:f>
      </x:c>
      <x:c r="L54" s="69" t="str">
        <x:f>IF(COUNT(E54:I54)&lt;5,"Needs component scores",IF(ISNUMBER(J54),"Calculated",J54))</x:f>
        <x:v>Needs component scores</x:v>
      </x:c>
      <x:c r="M54" s="69" t="n">
        <x:f>IF(C54="","",MATCH(C54,'Position_Rubric'!$A$6:$A$14,0))</x:f>
        <x:v>1</x:v>
      </x:c>
      <x:c r="N54" s="69" t="str"/>
    </x:row>
    <x:row r="55" ht="25" customHeight="1">
      <x:c r="A55" s="69" t="str">
        <x:v>S26-0349</x:v>
      </x:c>
      <x:c r="B55" s="69" t="str">
        <x:v>Andrey Santos</x:v>
      </x:c>
      <x:c r="C55" s="69" t="str">
        <x:v>CDM</x:v>
      </x:c>
      <x:c r="D55" s="82" t="n">
        <x:f>IF(ISNUMBER('Transfer_Ratings'!K55),'Transfer_Ratings'!K55,"")</x:f>
        <x:v>8.7</x:v>
      </x:c>
      <x:c r="E55" s="86"/>
      <x:c r="F55" s="86"/>
      <x:c r="G55" s="86"/>
      <x:c r="H55" s="86"/>
      <x:c r="I55" s="86"/>
      <x:c r="J55" s="82" t="str">
        <x:f>IF(C55="","Choose position",IF(COUNT(E55:I55)&lt;5,"",IF(OR(MIN(E55:I55)&lt;0.1,MAX(E55:I55)&gt;10),"Invalid score",IF(INDEX('Position_Rubric'!$H$6:$H$14,M55)&lt;&gt;1,"Check weights",ROUND(E55*INDEX('Position_Rubric'!$C$6:$C$14,M55)+F55*INDEX('Position_Rubric'!$D$6:$D$14,M55)+G55*INDEX('Position_Rubric'!$E$6:$E$14,M55)+H55*INDEX('Position_Rubric'!$F$6:$F$14,M55)+I55*INDEX('Position_Rubric'!$G$6:$G$14,M55),1)))))</x:f>
      </x:c>
      <x:c r="K55" s="82" t="str">
        <x:f>IF(AND(ISNUMBER(J55),ISNUMBER(D55)),J55-D55,"")</x:f>
      </x:c>
      <x:c r="L55" s="69" t="str">
        <x:f>IF(COUNT(E55:I55)&lt;5,"Needs component scores",IF(ISNUMBER(J55),"Calculated",J55))</x:f>
        <x:v>Needs component scores</x:v>
      </x:c>
      <x:c r="M55" s="69" t="n">
        <x:f>IF(C55="","",MATCH(C55,'Position_Rubric'!$A$6:$A$14,0))</x:f>
        <x:v>1</x:v>
      </x:c>
      <x:c r="N55" s="69" t="str"/>
    </x:row>
    <x:row r="56" ht="25" customHeight="1">
      <x:c r="A56" s="69" t="str">
        <x:v>S26-0354</x:v>
      </x:c>
      <x:c r="B56" s="69" t="str">
        <x:v>Yannik Keitel</x:v>
      </x:c>
      <x:c r="C56" s="69" t="str">
        <x:v>CDM</x:v>
      </x:c>
      <x:c r="D56" s="82" t="str">
        <x:f>IF(ISNUMBER('Transfer_Ratings'!K56),'Transfer_Ratings'!K56,"")</x:f>
      </x:c>
      <x:c r="E56" s="86"/>
      <x:c r="F56" s="86"/>
      <x:c r="G56" s="86"/>
      <x:c r="H56" s="86"/>
      <x:c r="I56" s="86"/>
      <x:c r="J56" s="82" t="str">
        <x:f>IF(C56="","Choose position",IF(COUNT(E56:I56)&lt;5,"",IF(OR(MIN(E56:I56)&lt;0.1,MAX(E56:I56)&gt;10),"Invalid score",IF(INDEX('Position_Rubric'!$H$6:$H$14,M56)&lt;&gt;1,"Check weights",ROUND(E56*INDEX('Position_Rubric'!$C$6:$C$14,M56)+F56*INDEX('Position_Rubric'!$D$6:$D$14,M56)+G56*INDEX('Position_Rubric'!$E$6:$E$14,M56)+H56*INDEX('Position_Rubric'!$F$6:$F$14,M56)+I56*INDEX('Position_Rubric'!$G$6:$G$14,M56),1)))))</x:f>
      </x:c>
      <x:c r="K56" s="82" t="str">
        <x:f>IF(AND(ISNUMBER(J56),ISNUMBER(D56)),J56-D56,"")</x:f>
      </x:c>
      <x:c r="L56" s="69" t="str">
        <x:f>IF(COUNT(E56:I56)&lt;5,"Needs component scores",IF(ISNUMBER(J56),"Calculated",J56))</x:f>
        <x:v>Needs component scores</x:v>
      </x:c>
      <x:c r="M56" s="69" t="n">
        <x:f>IF(C56="","",MATCH(C56,'Position_Rubric'!$A$6:$A$14,0))</x:f>
        <x:v>1</x:v>
      </x:c>
      <x:c r="N56" s="69" t="str"/>
    </x:row>
    <x:row r="57" ht="25" customHeight="1">
      <x:c r="A57" s="69" t="str">
        <x:v>S26-0371</x:v>
      </x:c>
      <x:c r="B57" s="69" t="str">
        <x:v>Baptiste Santamaria</x:v>
      </x:c>
      <x:c r="C57" s="69" t="str">
        <x:v>CDM</x:v>
      </x:c>
      <x:c r="D57" s="82" t="n">
        <x:f>IF(ISNUMBER('Transfer_Ratings'!K57),'Transfer_Ratings'!K57,"")</x:f>
        <x:v>7.4</x:v>
      </x:c>
      <x:c r="E57" s="86"/>
      <x:c r="F57" s="86"/>
      <x:c r="G57" s="86"/>
      <x:c r="H57" s="86"/>
      <x:c r="I57" s="86"/>
      <x:c r="J57" s="82" t="str">
        <x:f>IF(C57="","Choose position",IF(COUNT(E57:I57)&lt;5,"",IF(OR(MIN(E57:I57)&lt;0.1,MAX(E57:I57)&gt;10),"Invalid score",IF(INDEX('Position_Rubric'!$H$6:$H$14,M57)&lt;&gt;1,"Check weights",ROUND(E57*INDEX('Position_Rubric'!$C$6:$C$14,M57)+F57*INDEX('Position_Rubric'!$D$6:$D$14,M57)+G57*INDEX('Position_Rubric'!$E$6:$E$14,M57)+H57*INDEX('Position_Rubric'!$F$6:$F$14,M57)+I57*INDEX('Position_Rubric'!$G$6:$G$14,M57),1)))))</x:f>
      </x:c>
      <x:c r="K57" s="82" t="str">
        <x:f>IF(AND(ISNUMBER(J57),ISNUMBER(D57)),J57-D57,"")</x:f>
      </x:c>
      <x:c r="L57" s="69" t="str">
        <x:f>IF(COUNT(E57:I57)&lt;5,"Needs component scores",IF(ISNUMBER(J57),"Calculated",J57))</x:f>
        <x:v>Needs component scores</x:v>
      </x:c>
      <x:c r="M57" s="69" t="n">
        <x:f>IF(C57="","",MATCH(C57,'Position_Rubric'!$A$6:$A$14,0))</x:f>
        <x:v>1</x:v>
      </x:c>
      <x:c r="N57" s="69" t="str"/>
    </x:row>
    <x:row r="58" ht="25" customHeight="1">
      <x:c r="A58" s="69" t="str">
        <x:v>S26-0373</x:v>
      </x:c>
      <x:c r="B58" s="69" t="str">
        <x:v>Anouar El Azzouzi</x:v>
      </x:c>
      <x:c r="C58" s="69" t="str">
        <x:v>CDM</x:v>
      </x:c>
      <x:c r="D58" s="82" t="n">
        <x:f>IF(ISNUMBER('Transfer_Ratings'!K58),'Transfer_Ratings'!K58,"")</x:f>
        <x:v>7.4</x:v>
      </x:c>
      <x:c r="E58" s="86"/>
      <x:c r="F58" s="86"/>
      <x:c r="G58" s="86"/>
      <x:c r="H58" s="86"/>
      <x:c r="I58" s="86"/>
      <x:c r="J58" s="82" t="str">
        <x:f>IF(C58="","Choose position",IF(COUNT(E58:I58)&lt;5,"",IF(OR(MIN(E58:I58)&lt;0.1,MAX(E58:I58)&gt;10),"Invalid score",IF(INDEX('Position_Rubric'!$H$6:$H$14,M58)&lt;&gt;1,"Check weights",ROUND(E58*INDEX('Position_Rubric'!$C$6:$C$14,M58)+F58*INDEX('Position_Rubric'!$D$6:$D$14,M58)+G58*INDEX('Position_Rubric'!$E$6:$E$14,M58)+H58*INDEX('Position_Rubric'!$F$6:$F$14,M58)+I58*INDEX('Position_Rubric'!$G$6:$G$14,M58),1)))))</x:f>
      </x:c>
      <x:c r="K58" s="82" t="str">
        <x:f>IF(AND(ISNUMBER(J58),ISNUMBER(D58)),J58-D58,"")</x:f>
      </x:c>
      <x:c r="L58" s="69" t="str">
        <x:f>IF(COUNT(E58:I58)&lt;5,"Needs component scores",IF(ISNUMBER(J58),"Calculated",J58))</x:f>
        <x:v>Needs component scores</x:v>
      </x:c>
      <x:c r="M58" s="69" t="n">
        <x:f>IF(C58="","",MATCH(C58,'Position_Rubric'!$A$6:$A$14,0))</x:f>
        <x:v>1</x:v>
      </x:c>
      <x:c r="N58" s="69" t="str"/>
    </x:row>
    <x:row r="59" ht="25" customHeight="1">
      <x:c r="A59" s="69" t="str">
        <x:v>S26-0390</x:v>
      </x:c>
      <x:c r="B59" s="69" t="str">
        <x:v>Harry Winks</x:v>
      </x:c>
      <x:c r="C59" s="69" t="str">
        <x:v>CDM</x:v>
      </x:c>
      <x:c r="D59" s="82" t="str">
        <x:f>IF(ISNUMBER('Transfer_Ratings'!K59),'Transfer_Ratings'!K59,"")</x:f>
      </x:c>
      <x:c r="E59" s="86"/>
      <x:c r="F59" s="86"/>
      <x:c r="G59" s="86"/>
      <x:c r="H59" s="86"/>
      <x:c r="I59" s="86"/>
      <x:c r="J59" s="82" t="str">
        <x:f>IF(C59="","Choose position",IF(COUNT(E59:I59)&lt;5,"",IF(OR(MIN(E59:I59)&lt;0.1,MAX(E59:I59)&gt;10),"Invalid score",IF(INDEX('Position_Rubric'!$H$6:$H$14,M59)&lt;&gt;1,"Check weights",ROUND(E59*INDEX('Position_Rubric'!$C$6:$C$14,M59)+F59*INDEX('Position_Rubric'!$D$6:$D$14,M59)+G59*INDEX('Position_Rubric'!$E$6:$E$14,M59)+H59*INDEX('Position_Rubric'!$F$6:$F$14,M59)+I59*INDEX('Position_Rubric'!$G$6:$G$14,M59),1)))))</x:f>
      </x:c>
      <x:c r="K59" s="82" t="str">
        <x:f>IF(AND(ISNUMBER(J59),ISNUMBER(D59)),J59-D59,"")</x:f>
      </x:c>
      <x:c r="L59" s="69" t="str">
        <x:f>IF(COUNT(E59:I59)&lt;5,"Needs component scores",IF(ISNUMBER(J59),"Calculated",J59))</x:f>
        <x:v>Needs component scores</x:v>
      </x:c>
      <x:c r="M59" s="69" t="n">
        <x:f>IF(C59="","",MATCH(C59,'Position_Rubric'!$A$6:$A$14,0))</x:f>
        <x:v>1</x:v>
      </x:c>
      <x:c r="N59" s="69" t="str"/>
    </x:row>
    <x:row r="60" ht="25" customHeight="1">
      <x:c r="A60" s="69" t="str">
        <x:v>S26-0411</x:v>
      </x:c>
      <x:c r="B60" s="69" t="str">
        <x:v>Alex Kral</x:v>
      </x:c>
      <x:c r="C60" s="69" t="str">
        <x:v>CDM</x:v>
      </x:c>
      <x:c r="D60" s="82" t="n">
        <x:f>IF(ISNUMBER('Transfer_Ratings'!K60),'Transfer_Ratings'!K60,"")</x:f>
        <x:v>7.5</x:v>
      </x:c>
      <x:c r="E60" s="86"/>
      <x:c r="F60" s="86"/>
      <x:c r="G60" s="86"/>
      <x:c r="H60" s="86"/>
      <x:c r="I60" s="86"/>
      <x:c r="J60" s="82" t="str">
        <x:f>IF(C60="","Choose position",IF(COUNT(E60:I60)&lt;5,"",IF(OR(MIN(E60:I60)&lt;0.1,MAX(E60:I60)&gt;10),"Invalid score",IF(INDEX('Position_Rubric'!$H$6:$H$14,M60)&lt;&gt;1,"Check weights",ROUND(E60*INDEX('Position_Rubric'!$C$6:$C$14,M60)+F60*INDEX('Position_Rubric'!$D$6:$D$14,M60)+G60*INDEX('Position_Rubric'!$E$6:$E$14,M60)+H60*INDEX('Position_Rubric'!$F$6:$F$14,M60)+I60*INDEX('Position_Rubric'!$G$6:$G$14,M60),1)))))</x:f>
      </x:c>
      <x:c r="K60" s="82" t="str">
        <x:f>IF(AND(ISNUMBER(J60),ISNUMBER(D60)),J60-D60,"")</x:f>
      </x:c>
      <x:c r="L60" s="69" t="str">
        <x:f>IF(COUNT(E60:I60)&lt;5,"Needs component scores",IF(ISNUMBER(J60),"Calculated",J60))</x:f>
        <x:v>Needs component scores</x:v>
      </x:c>
      <x:c r="M60" s="69" t="n">
        <x:f>IF(C60="","",MATCH(C60,'Position_Rubric'!$A$6:$A$14,0))</x:f>
        <x:v>1</x:v>
      </x:c>
      <x:c r="N60" s="69" t="str"/>
    </x:row>
    <x:row r="61" ht="25" customHeight="1">
      <x:c r="A61" s="69" t="str">
        <x:v>S26-0443</x:v>
      </x:c>
      <x:c r="B61" s="69" t="str">
        <x:v>Yannik Engelhardt</x:v>
      </x:c>
      <x:c r="C61" s="69" t="str">
        <x:v>CDM</x:v>
      </x:c>
      <x:c r="D61" s="82" t="n">
        <x:f>IF(ISNUMBER('Transfer_Ratings'!K61),'Transfer_Ratings'!K61,"")</x:f>
        <x:v>7.8</x:v>
      </x:c>
      <x:c r="E61" s="86"/>
      <x:c r="F61" s="86"/>
      <x:c r="G61" s="86"/>
      <x:c r="H61" s="86"/>
      <x:c r="I61" s="86"/>
      <x:c r="J61" s="82" t="str">
        <x:f>IF(C61="","Choose position",IF(COUNT(E61:I61)&lt;5,"",IF(OR(MIN(E61:I61)&lt;0.1,MAX(E61:I61)&gt;10),"Invalid score",IF(INDEX('Position_Rubric'!$H$6:$H$14,M61)&lt;&gt;1,"Check weights",ROUND(E61*INDEX('Position_Rubric'!$C$6:$C$14,M61)+F61*INDEX('Position_Rubric'!$D$6:$D$14,M61)+G61*INDEX('Position_Rubric'!$E$6:$E$14,M61)+H61*INDEX('Position_Rubric'!$F$6:$F$14,M61)+I61*INDEX('Position_Rubric'!$G$6:$G$14,M61),1)))))</x:f>
      </x:c>
      <x:c r="K61" s="82" t="str">
        <x:f>IF(AND(ISNUMBER(J61),ISNUMBER(D61)),J61-D61,"")</x:f>
      </x:c>
      <x:c r="L61" s="69" t="str">
        <x:f>IF(COUNT(E61:I61)&lt;5,"Needs component scores",IF(ISNUMBER(J61),"Calculated",J61))</x:f>
        <x:v>Needs component scores</x:v>
      </x:c>
      <x:c r="M61" s="69" t="n">
        <x:f>IF(C61="","",MATCH(C61,'Position_Rubric'!$A$6:$A$14,0))</x:f>
        <x:v>1</x:v>
      </x:c>
      <x:c r="N61" s="69" t="str"/>
    </x:row>
    <x:row r="62" ht="25" customHeight="1">
      <x:c r="A62" s="69" t="str">
        <x:v>S26-0466</x:v>
      </x:c>
      <x:c r="B62" s="69" t="str">
        <x:v>João Gomes</x:v>
      </x:c>
      <x:c r="C62" s="69" t="str">
        <x:v>CDM</x:v>
      </x:c>
      <x:c r="D62" s="82" t="n">
        <x:f>IF(ISNUMBER('Transfer_Ratings'!K62),'Transfer_Ratings'!K62,"")</x:f>
        <x:v>8.6</x:v>
      </x:c>
      <x:c r="E62" s="86"/>
      <x:c r="F62" s="86"/>
      <x:c r="G62" s="86"/>
      <x:c r="H62" s="86"/>
      <x:c r="I62" s="86"/>
      <x:c r="J62" s="82" t="str">
        <x:f>IF(C62="","Choose position",IF(COUNT(E62:I62)&lt;5,"",IF(OR(MIN(E62:I62)&lt;0.1,MAX(E62:I62)&gt;10),"Invalid score",IF(INDEX('Position_Rubric'!$H$6:$H$14,M62)&lt;&gt;1,"Check weights",ROUND(E62*INDEX('Position_Rubric'!$C$6:$C$14,M62)+F62*INDEX('Position_Rubric'!$D$6:$D$14,M62)+G62*INDEX('Position_Rubric'!$E$6:$E$14,M62)+H62*INDEX('Position_Rubric'!$F$6:$F$14,M62)+I62*INDEX('Position_Rubric'!$G$6:$G$14,M62),1)))))</x:f>
      </x:c>
      <x:c r="K62" s="82" t="str">
        <x:f>IF(AND(ISNUMBER(J62),ISNUMBER(D62)),J62-D62,"")</x:f>
      </x:c>
      <x:c r="L62" s="69" t="str">
        <x:f>IF(COUNT(E62:I62)&lt;5,"Needs component scores",IF(ISNUMBER(J62),"Calculated",J62))</x:f>
        <x:v>Needs component scores</x:v>
      </x:c>
      <x:c r="M62" s="69" t="n">
        <x:f>IF(C62="","",MATCH(C62,'Position_Rubric'!$A$6:$A$14,0))</x:f>
        <x:v>1</x:v>
      </x:c>
      <x:c r="N62" s="69" t="str"/>
    </x:row>
    <x:row r="63" ht="25" customHeight="1">
      <x:c r="A63" s="69" t="str">
        <x:v>S26-0508</x:v>
      </x:c>
      <x:c r="B63" s="69" t="str">
        <x:v>Lorenzo Amatucci</x:v>
      </x:c>
      <x:c r="C63" s="69" t="str">
        <x:v>CDM</x:v>
      </x:c>
      <x:c r="D63" s="82" t="n">
        <x:f>IF(ISNUMBER('Transfer_Ratings'!K63),'Transfer_Ratings'!K63,"")</x:f>
        <x:v>7.9</x:v>
      </x:c>
      <x:c r="E63" s="86"/>
      <x:c r="F63" s="86"/>
      <x:c r="G63" s="86"/>
      <x:c r="H63" s="86"/>
      <x:c r="I63" s="86"/>
      <x:c r="J63" s="82" t="str">
        <x:f>IF(C63="","Choose position",IF(COUNT(E63:I63)&lt;5,"",IF(OR(MIN(E63:I63)&lt;0.1,MAX(E63:I63)&gt;10),"Invalid score",IF(INDEX('Position_Rubric'!$H$6:$H$14,M63)&lt;&gt;1,"Check weights",ROUND(E63*INDEX('Position_Rubric'!$C$6:$C$14,M63)+F63*INDEX('Position_Rubric'!$D$6:$D$14,M63)+G63*INDEX('Position_Rubric'!$E$6:$E$14,M63)+H63*INDEX('Position_Rubric'!$F$6:$F$14,M63)+I63*INDEX('Position_Rubric'!$G$6:$G$14,M63),1)))))</x:f>
      </x:c>
      <x:c r="K63" s="82" t="str">
        <x:f>IF(AND(ISNUMBER(J63),ISNUMBER(D63)),J63-D63,"")</x:f>
      </x:c>
      <x:c r="L63" s="69" t="str">
        <x:f>IF(COUNT(E63:I63)&lt;5,"Needs component scores",IF(ISNUMBER(J63),"Calculated",J63))</x:f>
        <x:v>Needs component scores</x:v>
      </x:c>
      <x:c r="M63" s="69" t="n">
        <x:f>IF(C63="","",MATCH(C63,'Position_Rubric'!$A$6:$A$14,0))</x:f>
        <x:v>1</x:v>
      </x:c>
      <x:c r="N63" s="69" t="str"/>
    </x:row>
    <x:row r="64" ht="25" customHeight="1">
      <x:c r="A64" s="69" t="str">
        <x:v>S26-0518</x:v>
      </x:c>
      <x:c r="B64" s="69" t="str">
        <x:v>Casemiro</x:v>
      </x:c>
      <x:c r="C64" s="69" t="str">
        <x:v>CDM</x:v>
      </x:c>
      <x:c r="D64" s="82" t="n">
        <x:f>IF(ISNUMBER('Transfer_Ratings'!K64),'Transfer_Ratings'!K64,"")</x:f>
        <x:v>7.6</x:v>
      </x:c>
      <x:c r="E64" s="86"/>
      <x:c r="F64" s="86"/>
      <x:c r="G64" s="86"/>
      <x:c r="H64" s="86"/>
      <x:c r="I64" s="86"/>
      <x:c r="J64" s="82" t="str">
        <x:f>IF(C64="","Choose position",IF(COUNT(E64:I64)&lt;5,"",IF(OR(MIN(E64:I64)&lt;0.1,MAX(E64:I64)&gt;10),"Invalid score",IF(INDEX('Position_Rubric'!$H$6:$H$14,M64)&lt;&gt;1,"Check weights",ROUND(E64*INDEX('Position_Rubric'!$C$6:$C$14,M64)+F64*INDEX('Position_Rubric'!$D$6:$D$14,M64)+G64*INDEX('Position_Rubric'!$E$6:$E$14,M64)+H64*INDEX('Position_Rubric'!$F$6:$F$14,M64)+I64*INDEX('Position_Rubric'!$G$6:$G$14,M64),1)))))</x:f>
      </x:c>
      <x:c r="K64" s="82" t="str">
        <x:f>IF(AND(ISNUMBER(J64),ISNUMBER(D64)),J64-D64,"")</x:f>
      </x:c>
      <x:c r="L64" s="69" t="str">
        <x:f>IF(COUNT(E64:I64)&lt;5,"Needs component scores",IF(ISNUMBER(J64),"Calculated",J64))</x:f>
        <x:v>Needs component scores</x:v>
      </x:c>
      <x:c r="M64" s="69" t="n">
        <x:f>IF(C64="","",MATCH(C64,'Position_Rubric'!$A$6:$A$14,0))</x:f>
        <x:v>1</x:v>
      </x:c>
      <x:c r="N64" s="69" t="str"/>
    </x:row>
    <x:row r="65" ht="25" customHeight="1">
      <x:c r="A65" s="69" t="str">
        <x:v>S26-0538</x:v>
      </x:c>
      <x:c r="B65" s="69" t="str">
        <x:v>Paul Okon-Engstler</x:v>
      </x:c>
      <x:c r="C65" s="69" t="str">
        <x:v>CDM</x:v>
      </x:c>
      <x:c r="D65" s="82" t="n">
        <x:f>IF(ISNUMBER('Transfer_Ratings'!K65),'Transfer_Ratings'!K65,"")</x:f>
        <x:v>7.7</x:v>
      </x:c>
      <x:c r="E65" s="86"/>
      <x:c r="F65" s="86"/>
      <x:c r="G65" s="86"/>
      <x:c r="H65" s="86"/>
      <x:c r="I65" s="86"/>
      <x:c r="J65" s="82" t="str">
        <x:f>IF(C65="","Choose position",IF(COUNT(E65:I65)&lt;5,"",IF(OR(MIN(E65:I65)&lt;0.1,MAX(E65:I65)&gt;10),"Invalid score",IF(INDEX('Position_Rubric'!$H$6:$H$14,M65)&lt;&gt;1,"Check weights",ROUND(E65*INDEX('Position_Rubric'!$C$6:$C$14,M65)+F65*INDEX('Position_Rubric'!$D$6:$D$14,M65)+G65*INDEX('Position_Rubric'!$E$6:$E$14,M65)+H65*INDEX('Position_Rubric'!$F$6:$F$14,M65)+I65*INDEX('Position_Rubric'!$G$6:$G$14,M65),1)))))</x:f>
      </x:c>
      <x:c r="K65" s="82" t="str">
        <x:f>IF(AND(ISNUMBER(J65),ISNUMBER(D65)),J65-D65,"")</x:f>
      </x:c>
      <x:c r="L65" s="69" t="str">
        <x:f>IF(COUNT(E65:I65)&lt;5,"Needs component scores",IF(ISNUMBER(J65),"Calculated",J65))</x:f>
        <x:v>Needs component scores</x:v>
      </x:c>
      <x:c r="M65" s="69" t="n">
        <x:f>IF(C65="","",MATCH(C65,'Position_Rubric'!$A$6:$A$14,0))</x:f>
        <x:v>1</x:v>
      </x:c>
      <x:c r="N65" s="69" t="str"/>
    </x:row>
    <x:row r="66" ht="25" customHeight="1">
      <x:c r="A66" s="69" t="str">
        <x:v>S26-0560</x:v>
      </x:c>
      <x:c r="B66" s="69" t="str">
        <x:v>Idrissa Gueye</x:v>
      </x:c>
      <x:c r="C66" s="69" t="str">
        <x:v>CDM</x:v>
      </x:c>
      <x:c r="D66" s="82" t="n">
        <x:f>IF(ISNUMBER('Transfer_Ratings'!K66),'Transfer_Ratings'!K66,"")</x:f>
        <x:v>7.4</x:v>
      </x:c>
      <x:c r="E66" s="86"/>
      <x:c r="F66" s="86"/>
      <x:c r="G66" s="86"/>
      <x:c r="H66" s="86"/>
      <x:c r="I66" s="86"/>
      <x:c r="J66" s="82" t="str">
        <x:f>IF(C66="","Choose position",IF(COUNT(E66:I66)&lt;5,"",IF(OR(MIN(E66:I66)&lt;0.1,MAX(E66:I66)&gt;10),"Invalid score",IF(INDEX('Position_Rubric'!$H$6:$H$14,M66)&lt;&gt;1,"Check weights",ROUND(E66*INDEX('Position_Rubric'!$C$6:$C$14,M66)+F66*INDEX('Position_Rubric'!$D$6:$D$14,M66)+G66*INDEX('Position_Rubric'!$E$6:$E$14,M66)+H66*INDEX('Position_Rubric'!$F$6:$F$14,M66)+I66*INDEX('Position_Rubric'!$G$6:$G$14,M66),1)))))</x:f>
      </x:c>
      <x:c r="K66" s="82" t="str">
        <x:f>IF(AND(ISNUMBER(J66),ISNUMBER(D66)),J66-D66,"")</x:f>
      </x:c>
      <x:c r="L66" s="69" t="str">
        <x:f>IF(COUNT(E66:I66)&lt;5,"Needs component scores",IF(ISNUMBER(J66),"Calculated",J66))</x:f>
        <x:v>Needs component scores</x:v>
      </x:c>
      <x:c r="M66" s="69" t="n">
        <x:f>IF(C66="","",MATCH(C66,'Position_Rubric'!$A$6:$A$14,0))</x:f>
        <x:v>1</x:v>
      </x:c>
      <x:c r="N66" s="69" t="str"/>
    </x:row>
    <x:row r="67" ht="25" customHeight="1">
      <x:c r="A67" s="69" t="str">
        <x:v>S26-0566</x:v>
      </x:c>
      <x:c r="B67" s="69" t="str">
        <x:v>Hidemasa Morita</x:v>
      </x:c>
      <x:c r="C67" s="69" t="str">
        <x:v>CDM</x:v>
      </x:c>
      <x:c r="D67" s="82" t="n">
        <x:f>IF(ISNUMBER('Transfer_Ratings'!K67),'Transfer_Ratings'!K67,"")</x:f>
        <x:v>7.9</x:v>
      </x:c>
      <x:c r="E67" s="86"/>
      <x:c r="F67" s="86"/>
      <x:c r="G67" s="86"/>
      <x:c r="H67" s="86"/>
      <x:c r="I67" s="86"/>
      <x:c r="J67" s="82" t="str">
        <x:f>IF(C67="","Choose position",IF(COUNT(E67:I67)&lt;5,"",IF(OR(MIN(E67:I67)&lt;0.1,MAX(E67:I67)&gt;10),"Invalid score",IF(INDEX('Position_Rubric'!$H$6:$H$14,M67)&lt;&gt;1,"Check weights",ROUND(E67*INDEX('Position_Rubric'!$C$6:$C$14,M67)+F67*INDEX('Position_Rubric'!$D$6:$D$14,M67)+G67*INDEX('Position_Rubric'!$E$6:$E$14,M67)+H67*INDEX('Position_Rubric'!$F$6:$F$14,M67)+I67*INDEX('Position_Rubric'!$G$6:$G$14,M67),1)))))</x:f>
      </x:c>
      <x:c r="K67" s="82" t="str">
        <x:f>IF(AND(ISNUMBER(J67),ISNUMBER(D67)),J67-D67,"")</x:f>
      </x:c>
      <x:c r="L67" s="69" t="str">
        <x:f>IF(COUNT(E67:I67)&lt;5,"Needs component scores",IF(ISNUMBER(J67),"Calculated",J67))</x:f>
        <x:v>Needs component scores</x:v>
      </x:c>
      <x:c r="M67" s="69" t="n">
        <x:f>IF(C67="","",MATCH(C67,'Position_Rubric'!$A$6:$A$14,0))</x:f>
        <x:v>1</x:v>
      </x:c>
      <x:c r="N67" s="69" t="str"/>
    </x:row>
    <x:row r="68" ht="25" customHeight="1">
      <x:c r="A68" s="69" t="str">
        <x:v>S26-0631</x:v>
      </x:c>
      <x:c r="B68" s="69" t="str">
        <x:v>Aliou Dieng</x:v>
      </x:c>
      <x:c r="C68" s="69" t="str">
        <x:v>CDM</x:v>
      </x:c>
      <x:c r="D68" s="82" t="str">
        <x:f>IF(ISNUMBER('Transfer_Ratings'!K68),'Transfer_Ratings'!K68,"")</x:f>
      </x:c>
      <x:c r="E68" s="86"/>
      <x:c r="F68" s="86"/>
      <x:c r="G68" s="86"/>
      <x:c r="H68" s="86"/>
      <x:c r="I68" s="86"/>
      <x:c r="J68" s="82" t="str">
        <x:f>IF(C68="","Choose position",IF(COUNT(E68:I68)&lt;5,"",IF(OR(MIN(E68:I68)&lt;0.1,MAX(E68:I68)&gt;10),"Invalid score",IF(INDEX('Position_Rubric'!$H$6:$H$14,M68)&lt;&gt;1,"Check weights",ROUND(E68*INDEX('Position_Rubric'!$C$6:$C$14,M68)+F68*INDEX('Position_Rubric'!$D$6:$D$14,M68)+G68*INDEX('Position_Rubric'!$E$6:$E$14,M68)+H68*INDEX('Position_Rubric'!$F$6:$F$14,M68)+I68*INDEX('Position_Rubric'!$G$6:$G$14,M68),1)))))</x:f>
      </x:c>
      <x:c r="K68" s="82" t="str">
        <x:f>IF(AND(ISNUMBER(J68),ISNUMBER(D68)),J68-D68,"")</x:f>
      </x:c>
      <x:c r="L68" s="69" t="str">
        <x:f>IF(COUNT(E68:I68)&lt;5,"Needs component scores",IF(ISNUMBER(J68),"Calculated",J68))</x:f>
        <x:v>Needs component scores</x:v>
      </x:c>
      <x:c r="M68" s="69" t="n">
        <x:f>IF(C68="","",MATCH(C68,'Position_Rubric'!$A$6:$A$14,0))</x:f>
        <x:v>1</x:v>
      </x:c>
      <x:c r="N68" s="69" t="str"/>
    </x:row>
    <x:row r="69" ht="25" customHeight="1">
      <x:c r="A69" s="69" t="str">
        <x:v>S26-0638</x:v>
      </x:c>
      <x:c r="B69" s="69" t="str">
        <x:v>Cheick Condé</x:v>
      </x:c>
      <x:c r="C69" s="69" t="str">
        <x:v>CDM</x:v>
      </x:c>
      <x:c r="D69" s="82" t="n">
        <x:f>IF(ISNUMBER('Transfer_Ratings'!K69),'Transfer_Ratings'!K69,"")</x:f>
        <x:v>7.5</x:v>
      </x:c>
      <x:c r="E69" s="86"/>
      <x:c r="F69" s="86"/>
      <x:c r="G69" s="86"/>
      <x:c r="H69" s="86"/>
      <x:c r="I69" s="86"/>
      <x:c r="J69" s="82" t="str">
        <x:f>IF(C69="","Choose position",IF(COUNT(E69:I69)&lt;5,"",IF(OR(MIN(E69:I69)&lt;0.1,MAX(E69:I69)&gt;10),"Invalid score",IF(INDEX('Position_Rubric'!$H$6:$H$14,M69)&lt;&gt;1,"Check weights",ROUND(E69*INDEX('Position_Rubric'!$C$6:$C$14,M69)+F69*INDEX('Position_Rubric'!$D$6:$D$14,M69)+G69*INDEX('Position_Rubric'!$E$6:$E$14,M69)+H69*INDEX('Position_Rubric'!$F$6:$F$14,M69)+I69*INDEX('Position_Rubric'!$G$6:$G$14,M69),1)))))</x:f>
      </x:c>
      <x:c r="K69" s="82" t="str">
        <x:f>IF(AND(ISNUMBER(J69),ISNUMBER(D69)),J69-D69,"")</x:f>
      </x:c>
      <x:c r="L69" s="69" t="str">
        <x:f>IF(COUNT(E69:I69)&lt;5,"Needs component scores",IF(ISNUMBER(J69),"Calculated",J69))</x:f>
        <x:v>Needs component scores</x:v>
      </x:c>
      <x:c r="M69" s="69" t="n">
        <x:f>IF(C69="","",MATCH(C69,'Position_Rubric'!$A$6:$A$14,0))</x:f>
        <x:v>1</x:v>
      </x:c>
      <x:c r="N69" s="69" t="str"/>
    </x:row>
    <x:row r="70" ht="25" customHeight="1">
      <x:c r="A70" s="69" t="str">
        <x:v>S26-0714</x:v>
      </x:c>
      <x:c r="B70" s="69" t="str">
        <x:v>Mikel Vesga</x:v>
      </x:c>
      <x:c r="C70" s="69" t="str">
        <x:v>CDM</x:v>
      </x:c>
      <x:c r="D70" s="82" t="n">
        <x:f>IF(ISNUMBER('Transfer_Ratings'!K70),'Transfer_Ratings'!K70,"")</x:f>
        <x:v>7.2</x:v>
      </x:c>
      <x:c r="E70" s="86"/>
      <x:c r="F70" s="86"/>
      <x:c r="G70" s="86"/>
      <x:c r="H70" s="86"/>
      <x:c r="I70" s="86"/>
      <x:c r="J70" s="82" t="str">
        <x:f>IF(C70="","Choose position",IF(COUNT(E70:I70)&lt;5,"",IF(OR(MIN(E70:I70)&lt;0.1,MAX(E70:I70)&gt;10),"Invalid score",IF(INDEX('Position_Rubric'!$H$6:$H$14,M70)&lt;&gt;1,"Check weights",ROUND(E70*INDEX('Position_Rubric'!$C$6:$C$14,M70)+F70*INDEX('Position_Rubric'!$D$6:$D$14,M70)+G70*INDEX('Position_Rubric'!$E$6:$E$14,M70)+H70*INDEX('Position_Rubric'!$F$6:$F$14,M70)+I70*INDEX('Position_Rubric'!$G$6:$G$14,M70),1)))))</x:f>
      </x:c>
      <x:c r="K70" s="82" t="str">
        <x:f>IF(AND(ISNUMBER(J70),ISNUMBER(D70)),J70-D70,"")</x:f>
      </x:c>
      <x:c r="L70" s="69" t="str">
        <x:f>IF(COUNT(E70:I70)&lt;5,"Needs component scores",IF(ISNUMBER(J70),"Calculated",J70))</x:f>
        <x:v>Needs component scores</x:v>
      </x:c>
      <x:c r="M70" s="69" t="n">
        <x:f>IF(C70="","",MATCH(C70,'Position_Rubric'!$A$6:$A$14,0))</x:f>
        <x:v>1</x:v>
      </x:c>
      <x:c r="N70" s="69" t="str"/>
    </x:row>
    <x:row r="71" ht="25" customHeight="1">
      <x:c r="A71" s="69" t="str">
        <x:v>S26-0717</x:v>
      </x:c>
      <x:c r="B71" s="69" t="str">
        <x:v>Raphael Onyedika</x:v>
      </x:c>
      <x:c r="C71" s="69" t="str">
        <x:v>CDM</x:v>
      </x:c>
      <x:c r="D71" s="82" t="n">
        <x:f>IF(ISNUMBER('Transfer_Ratings'!K71),'Transfer_Ratings'!K71,"")</x:f>
        <x:v>8.4</x:v>
      </x:c>
      <x:c r="E71" s="86"/>
      <x:c r="F71" s="86"/>
      <x:c r="G71" s="86"/>
      <x:c r="H71" s="86"/>
      <x:c r="I71" s="86"/>
      <x:c r="J71" s="82" t="str">
        <x:f>IF(C71="","Choose position",IF(COUNT(E71:I71)&lt;5,"",IF(OR(MIN(E71:I71)&lt;0.1,MAX(E71:I71)&gt;10),"Invalid score",IF(INDEX('Position_Rubric'!$H$6:$H$14,M71)&lt;&gt;1,"Check weights",ROUND(E71*INDEX('Position_Rubric'!$C$6:$C$14,M71)+F71*INDEX('Position_Rubric'!$D$6:$D$14,M71)+G71*INDEX('Position_Rubric'!$E$6:$E$14,M71)+H71*INDEX('Position_Rubric'!$F$6:$F$14,M71)+I71*INDEX('Position_Rubric'!$G$6:$G$14,M71),1)))))</x:f>
      </x:c>
      <x:c r="K71" s="82" t="str">
        <x:f>IF(AND(ISNUMBER(J71),ISNUMBER(D71)),J71-D71,"")</x:f>
      </x:c>
      <x:c r="L71" s="69" t="str">
        <x:f>IF(COUNT(E71:I71)&lt;5,"Needs component scores",IF(ISNUMBER(J71),"Calculated",J71))</x:f>
        <x:v>Needs component scores</x:v>
      </x:c>
      <x:c r="M71" s="69" t="n">
        <x:f>IF(C71="","",MATCH(C71,'Position_Rubric'!$A$6:$A$14,0))</x:f>
        <x:v>1</x:v>
      </x:c>
      <x:c r="N71" s="69" t="str"/>
    </x:row>
    <x:row r="72" ht="25" customHeight="1">
      <x:c r="A72" s="69" t="str">
        <x:v>S26-0736</x:v>
      </x:c>
      <x:c r="B72" s="69" t="str">
        <x:v>Jordan Henderson</x:v>
      </x:c>
      <x:c r="C72" s="69" t="str">
        <x:v>CDM</x:v>
      </x:c>
      <x:c r="D72" s="82" t="n">
        <x:f>IF(ISNUMBER('Transfer_Ratings'!K72),'Transfer_Ratings'!K72,"")</x:f>
        <x:v>7.3</x:v>
      </x:c>
      <x:c r="E72" s="86"/>
      <x:c r="F72" s="86"/>
      <x:c r="G72" s="86"/>
      <x:c r="H72" s="86"/>
      <x:c r="I72" s="86"/>
      <x:c r="J72" s="82" t="str">
        <x:f>IF(C72="","Choose position",IF(COUNT(E72:I72)&lt;5,"",IF(OR(MIN(E72:I72)&lt;0.1,MAX(E72:I72)&gt;10),"Invalid score",IF(INDEX('Position_Rubric'!$H$6:$H$14,M72)&lt;&gt;1,"Check weights",ROUND(E72*INDEX('Position_Rubric'!$C$6:$C$14,M72)+F72*INDEX('Position_Rubric'!$D$6:$D$14,M72)+G72*INDEX('Position_Rubric'!$E$6:$E$14,M72)+H72*INDEX('Position_Rubric'!$F$6:$F$14,M72)+I72*INDEX('Position_Rubric'!$G$6:$G$14,M72),1)))))</x:f>
      </x:c>
      <x:c r="K72" s="82" t="str">
        <x:f>IF(AND(ISNUMBER(J72),ISNUMBER(D72)),J72-D72,"")</x:f>
      </x:c>
      <x:c r="L72" s="69" t="str">
        <x:f>IF(COUNT(E72:I72)&lt;5,"Needs component scores",IF(ISNUMBER(J72),"Calculated",J72))</x:f>
        <x:v>Needs component scores</x:v>
      </x:c>
      <x:c r="M72" s="69" t="n">
        <x:f>IF(C72="","",MATCH(C72,'Position_Rubric'!$A$6:$A$14,0))</x:f>
        <x:v>1</x:v>
      </x:c>
      <x:c r="N72" s="69" t="str"/>
    </x:row>
    <x:row r="73" ht="25" customHeight="1">
      <x:c r="A73" s="69" t="str">
        <x:v>S26-0751</x:v>
      </x:c>
      <x:c r="B73" s="69" t="str">
        <x:v>Florentino Luís</x:v>
      </x:c>
      <x:c r="C73" s="69" t="str">
        <x:v>CDM</x:v>
      </x:c>
      <x:c r="D73" s="82" t="n">
        <x:f>IF(ISNUMBER('Transfer_Ratings'!K73),'Transfer_Ratings'!K73,"")</x:f>
        <x:v>8.2</x:v>
      </x:c>
      <x:c r="E73" s="86"/>
      <x:c r="F73" s="86"/>
      <x:c r="G73" s="86"/>
      <x:c r="H73" s="86"/>
      <x:c r="I73" s="86"/>
      <x:c r="J73" s="82" t="str">
        <x:f>IF(C73="","Choose position",IF(COUNT(E73:I73)&lt;5,"",IF(OR(MIN(E73:I73)&lt;0.1,MAX(E73:I73)&gt;10),"Invalid score",IF(INDEX('Position_Rubric'!$H$6:$H$14,M73)&lt;&gt;1,"Check weights",ROUND(E73*INDEX('Position_Rubric'!$C$6:$C$14,M73)+F73*INDEX('Position_Rubric'!$D$6:$D$14,M73)+G73*INDEX('Position_Rubric'!$E$6:$E$14,M73)+H73*INDEX('Position_Rubric'!$F$6:$F$14,M73)+I73*INDEX('Position_Rubric'!$G$6:$G$14,M73),1)))))</x:f>
      </x:c>
      <x:c r="K73" s="82" t="str">
        <x:f>IF(AND(ISNUMBER(J73),ISNUMBER(D73)),J73-D73,"")</x:f>
      </x:c>
      <x:c r="L73" s="69" t="str">
        <x:f>IF(COUNT(E73:I73)&lt;5,"Needs component scores",IF(ISNUMBER(J73),"Calculated",J73))</x:f>
        <x:v>Needs component scores</x:v>
      </x:c>
      <x:c r="M73" s="69" t="n">
        <x:f>IF(C73="","",MATCH(C73,'Position_Rubric'!$A$6:$A$14,0))</x:f>
        <x:v>1</x:v>
      </x:c>
      <x:c r="N73" s="69" t="str"/>
    </x:row>
    <x:row r="74" ht="25" customHeight="1">
      <x:c r="A74" s="69" t="str">
        <x:v>S26-0785</x:v>
      </x:c>
      <x:c r="B74" s="69" t="str">
        <x:v>Christian Nørgaard</x:v>
      </x:c>
      <x:c r="C74" s="69" t="str">
        <x:v>CDM</x:v>
      </x:c>
      <x:c r="D74" s="82" t="n">
        <x:f>IF(ISNUMBER('Transfer_Ratings'!K74),'Transfer_Ratings'!K74,"")</x:f>
        <x:v>8</x:v>
      </x:c>
      <x:c r="E74" s="86"/>
      <x:c r="F74" s="86"/>
      <x:c r="G74" s="86"/>
      <x:c r="H74" s="86"/>
      <x:c r="I74" s="86"/>
      <x:c r="J74" s="82" t="str">
        <x:f>IF(C74="","Choose position",IF(COUNT(E74:I74)&lt;5,"",IF(OR(MIN(E74:I74)&lt;0.1,MAX(E74:I74)&gt;10),"Invalid score",IF(INDEX('Position_Rubric'!$H$6:$H$14,M74)&lt;&gt;1,"Check weights",ROUND(E74*INDEX('Position_Rubric'!$C$6:$C$14,M74)+F74*INDEX('Position_Rubric'!$D$6:$D$14,M74)+G74*INDEX('Position_Rubric'!$E$6:$E$14,M74)+H74*INDEX('Position_Rubric'!$F$6:$F$14,M74)+I74*INDEX('Position_Rubric'!$G$6:$G$14,M74),1)))))</x:f>
      </x:c>
      <x:c r="K74" s="82" t="str">
        <x:f>IF(AND(ISNUMBER(J74),ISNUMBER(D74)),J74-D74,"")</x:f>
      </x:c>
      <x:c r="L74" s="69" t="str">
        <x:f>IF(COUNT(E74:I74)&lt;5,"Needs component scores",IF(ISNUMBER(J74),"Calculated",J74))</x:f>
        <x:v>Needs component scores</x:v>
      </x:c>
      <x:c r="M74" s="69" t="n">
        <x:f>IF(C74="","",MATCH(C74,'Position_Rubric'!$A$6:$A$14,0))</x:f>
        <x:v>1</x:v>
      </x:c>
      <x:c r="N74" s="69" t="str"/>
    </x:row>
    <x:row r="75" ht="25" customHeight="1">
      <x:c r="A75" s="69" t="str">
        <x:v>S26-0801</x:v>
      </x:c>
      <x:c r="B75" s="69" t="str">
        <x:v>Tyler Onyango</x:v>
      </x:c>
      <x:c r="C75" s="69" t="str">
        <x:v>CDM</x:v>
      </x:c>
      <x:c r="D75" s="82" t="n">
        <x:f>IF(ISNUMBER('Transfer_Ratings'!K75),'Transfer_Ratings'!K75,"")</x:f>
        <x:v>7.2</x:v>
      </x:c>
      <x:c r="E75" s="86"/>
      <x:c r="F75" s="86"/>
      <x:c r="G75" s="86"/>
      <x:c r="H75" s="86"/>
      <x:c r="I75" s="86"/>
      <x:c r="J75" s="82" t="str">
        <x:f>IF(C75="","Choose position",IF(COUNT(E75:I75)&lt;5,"",IF(OR(MIN(E75:I75)&lt;0.1,MAX(E75:I75)&gt;10),"Invalid score",IF(INDEX('Position_Rubric'!$H$6:$H$14,M75)&lt;&gt;1,"Check weights",ROUND(E75*INDEX('Position_Rubric'!$C$6:$C$14,M75)+F75*INDEX('Position_Rubric'!$D$6:$D$14,M75)+G75*INDEX('Position_Rubric'!$E$6:$E$14,M75)+H75*INDEX('Position_Rubric'!$F$6:$F$14,M75)+I75*INDEX('Position_Rubric'!$G$6:$G$14,M75),1)))))</x:f>
      </x:c>
      <x:c r="K75" s="82" t="str">
        <x:f>IF(AND(ISNUMBER(J75),ISNUMBER(D75)),J75-D75,"")</x:f>
      </x:c>
      <x:c r="L75" s="69" t="str">
        <x:f>IF(COUNT(E75:I75)&lt;5,"Needs component scores",IF(ISNUMBER(J75),"Calculated",J75))</x:f>
        <x:v>Needs component scores</x:v>
      </x:c>
      <x:c r="M75" s="69" t="n">
        <x:f>IF(C75="","",MATCH(C75,'Position_Rubric'!$A$6:$A$14,0))</x:f>
        <x:v>1</x:v>
      </x:c>
      <x:c r="N75" s="69" t="str"/>
    </x:row>
    <x:row r="76" ht="25" customHeight="1">
      <x:c r="A76" s="69" t="str">
        <x:v>S26-0809</x:v>
      </x:c>
      <x:c r="B76" s="69" t="str">
        <x:v>Orel Mangala</x:v>
      </x:c>
      <x:c r="C76" s="69" t="str">
        <x:v>CDM</x:v>
      </x:c>
      <x:c r="D76" s="82" t="str">
        <x:f>IF(ISNUMBER('Transfer_Ratings'!K76),'Transfer_Ratings'!K76,"")</x:f>
      </x:c>
      <x:c r="E76" s="86"/>
      <x:c r="F76" s="86"/>
      <x:c r="G76" s="86"/>
      <x:c r="H76" s="86"/>
      <x:c r="I76" s="86"/>
      <x:c r="J76" s="82" t="str">
        <x:f>IF(C76="","Choose position",IF(COUNT(E76:I76)&lt;5,"",IF(OR(MIN(E76:I76)&lt;0.1,MAX(E76:I76)&gt;10),"Invalid score",IF(INDEX('Position_Rubric'!$H$6:$H$14,M76)&lt;&gt;1,"Check weights",ROUND(E76*INDEX('Position_Rubric'!$C$6:$C$14,M76)+F76*INDEX('Position_Rubric'!$D$6:$D$14,M76)+G76*INDEX('Position_Rubric'!$E$6:$E$14,M76)+H76*INDEX('Position_Rubric'!$F$6:$F$14,M76)+I76*INDEX('Position_Rubric'!$G$6:$G$14,M76),1)))))</x:f>
      </x:c>
      <x:c r="K76" s="82" t="str">
        <x:f>IF(AND(ISNUMBER(J76),ISNUMBER(D76)),J76-D76,"")</x:f>
      </x:c>
      <x:c r="L76" s="69" t="str">
        <x:f>IF(COUNT(E76:I76)&lt;5,"Needs component scores",IF(ISNUMBER(J76),"Calculated",J76))</x:f>
        <x:v>Needs component scores</x:v>
      </x:c>
      <x:c r="M76" s="69" t="n">
        <x:f>IF(C76="","",MATCH(C76,'Position_Rubric'!$A$6:$A$14,0))</x:f>
        <x:v>1</x:v>
      </x:c>
      <x:c r="N76" s="69" t="str"/>
    </x:row>
    <x:row r="77" ht="25" customHeight="1">
      <x:c r="A77" s="69" t="str">
        <x:v>S26-0842</x:v>
      </x:c>
      <x:c r="B77" s="69" t="str">
        <x:v>Sasa Lukic</x:v>
      </x:c>
      <x:c r="C77" s="69" t="str">
        <x:v>CDM</x:v>
      </x:c>
      <x:c r="D77" s="82" t="n">
        <x:f>IF(ISNUMBER('Transfer_Ratings'!K77),'Transfer_Ratings'!K77,"")</x:f>
        <x:v>7.7</x:v>
      </x:c>
      <x:c r="E77" s="86"/>
      <x:c r="F77" s="86"/>
      <x:c r="G77" s="86"/>
      <x:c r="H77" s="86"/>
      <x:c r="I77" s="86"/>
      <x:c r="J77" s="82" t="str">
        <x:f>IF(C77="","Choose position",IF(COUNT(E77:I77)&lt;5,"",IF(OR(MIN(E77:I77)&lt;0.1,MAX(E77:I77)&gt;10),"Invalid score",IF(INDEX('Position_Rubric'!$H$6:$H$14,M77)&lt;&gt;1,"Check weights",ROUND(E77*INDEX('Position_Rubric'!$C$6:$C$14,M77)+F77*INDEX('Position_Rubric'!$D$6:$D$14,M77)+G77*INDEX('Position_Rubric'!$E$6:$E$14,M77)+H77*INDEX('Position_Rubric'!$F$6:$F$14,M77)+I77*INDEX('Position_Rubric'!$G$6:$G$14,M77),1)))))</x:f>
      </x:c>
      <x:c r="K77" s="82" t="str">
        <x:f>IF(AND(ISNUMBER(J77),ISNUMBER(D77)),J77-D77,"")</x:f>
      </x:c>
      <x:c r="L77" s="69" t="str">
        <x:f>IF(COUNT(E77:I77)&lt;5,"Needs component scores",IF(ISNUMBER(J77),"Calculated",J77))</x:f>
        <x:v>Needs component scores</x:v>
      </x:c>
      <x:c r="M77" s="69" t="n">
        <x:f>IF(C77="","",MATCH(C77,'Position_Rubric'!$A$6:$A$14,0))</x:f>
        <x:v>1</x:v>
      </x:c>
      <x:c r="N77" s="69" t="str"/>
    </x:row>
    <x:row r="78" ht="25" customHeight="1">
      <x:c r="A78" s="69" t="str">
        <x:v>S26-0854</x:v>
      </x:c>
      <x:c r="B78" s="69" t="str">
        <x:v>Noah Mbamba</x:v>
      </x:c>
      <x:c r="C78" s="69" t="str">
        <x:v>CDM</x:v>
      </x:c>
      <x:c r="D78" s="82" t="str">
        <x:f>IF(ISNUMBER('Transfer_Ratings'!K78),'Transfer_Ratings'!K78,"")</x:f>
      </x:c>
      <x:c r="E78" s="86"/>
      <x:c r="F78" s="86"/>
      <x:c r="G78" s="86"/>
      <x:c r="H78" s="86"/>
      <x:c r="I78" s="86"/>
      <x:c r="J78" s="82" t="str">
        <x:f>IF(C78="","Choose position",IF(COUNT(E78:I78)&lt;5,"",IF(OR(MIN(E78:I78)&lt;0.1,MAX(E78:I78)&gt;10),"Invalid score",IF(INDEX('Position_Rubric'!$H$6:$H$14,M78)&lt;&gt;1,"Check weights",ROUND(E78*INDEX('Position_Rubric'!$C$6:$C$14,M78)+F78*INDEX('Position_Rubric'!$D$6:$D$14,M78)+G78*INDEX('Position_Rubric'!$E$6:$E$14,M78)+H78*INDEX('Position_Rubric'!$F$6:$F$14,M78)+I78*INDEX('Position_Rubric'!$G$6:$G$14,M78),1)))))</x:f>
      </x:c>
      <x:c r="K78" s="82" t="str">
        <x:f>IF(AND(ISNUMBER(J78),ISNUMBER(D78)),J78-D78,"")</x:f>
      </x:c>
      <x:c r="L78" s="69" t="str">
        <x:f>IF(COUNT(E78:I78)&lt;5,"Needs component scores",IF(ISNUMBER(J78),"Calculated",J78))</x:f>
        <x:v>Needs component scores</x:v>
      </x:c>
      <x:c r="M78" s="69" t="n">
        <x:f>IF(C78="","",MATCH(C78,'Position_Rubric'!$A$6:$A$14,0))</x:f>
        <x:v>1</x:v>
      </x:c>
      <x:c r="N78" s="69" t="str"/>
    </x:row>
    <x:row r="79" ht="25" customHeight="1">
      <x:c r="A79" s="69" t="str">
        <x:v>S26-0884</x:v>
      </x:c>
      <x:c r="B79" s="69" t="str">
        <x:v>Shea Charles</x:v>
      </x:c>
      <x:c r="C79" s="69" t="str">
        <x:v>CDM</x:v>
      </x:c>
      <x:c r="D79" s="82" t="n">
        <x:f>IF(ISNUMBER('Transfer_Ratings'!K79),'Transfer_Ratings'!K79,"")</x:f>
        <x:v>8.2</x:v>
      </x:c>
      <x:c r="E79" s="86"/>
      <x:c r="F79" s="86"/>
      <x:c r="G79" s="86"/>
      <x:c r="H79" s="86"/>
      <x:c r="I79" s="86"/>
      <x:c r="J79" s="82" t="str">
        <x:f>IF(C79="","Choose position",IF(COUNT(E79:I79)&lt;5,"",IF(OR(MIN(E79:I79)&lt;0.1,MAX(E79:I79)&gt;10),"Invalid score",IF(INDEX('Position_Rubric'!$H$6:$H$14,M79)&lt;&gt;1,"Check weights",ROUND(E79*INDEX('Position_Rubric'!$C$6:$C$14,M79)+F79*INDEX('Position_Rubric'!$D$6:$D$14,M79)+G79*INDEX('Position_Rubric'!$E$6:$E$14,M79)+H79*INDEX('Position_Rubric'!$F$6:$F$14,M79)+I79*INDEX('Position_Rubric'!$G$6:$G$14,M79),1)))))</x:f>
      </x:c>
      <x:c r="K79" s="82" t="str">
        <x:f>IF(AND(ISNUMBER(J79),ISNUMBER(D79)),J79-D79,"")</x:f>
      </x:c>
      <x:c r="L79" s="69" t="str">
        <x:f>IF(COUNT(E79:I79)&lt;5,"Needs component scores",IF(ISNUMBER(J79),"Calculated",J79))</x:f>
        <x:v>Needs component scores</x:v>
      </x:c>
      <x:c r="M79" s="69" t="n">
        <x:f>IF(C79="","",MATCH(C79,'Position_Rubric'!$A$6:$A$14,0))</x:f>
        <x:v>1</x:v>
      </x:c>
      <x:c r="N79" s="69" t="str"/>
    </x:row>
    <x:row r="80" ht="25" customHeight="1">
      <x:c r="A80" s="69" t="str">
        <x:v>S26-0924</x:v>
      </x:c>
      <x:c r="B80" s="69" t="str">
        <x:v>Florian Grillitsch</x:v>
      </x:c>
      <x:c r="C80" s="69" t="str">
        <x:v>CDM</x:v>
      </x:c>
      <x:c r="D80" s="82" t="n">
        <x:f>IF(ISNUMBER('Transfer_Ratings'!K80),'Transfer_Ratings'!K80,"")</x:f>
        <x:v>7.6</x:v>
      </x:c>
      <x:c r="E80" s="86"/>
      <x:c r="F80" s="86"/>
      <x:c r="G80" s="86"/>
      <x:c r="H80" s="86"/>
      <x:c r="I80" s="86"/>
      <x:c r="J80" s="82" t="str">
        <x:f>IF(C80="","Choose position",IF(COUNT(E80:I80)&lt;5,"",IF(OR(MIN(E80:I80)&lt;0.1,MAX(E80:I80)&gt;10),"Invalid score",IF(INDEX('Position_Rubric'!$H$6:$H$14,M80)&lt;&gt;1,"Check weights",ROUND(E80*INDEX('Position_Rubric'!$C$6:$C$14,M80)+F80*INDEX('Position_Rubric'!$D$6:$D$14,M80)+G80*INDEX('Position_Rubric'!$E$6:$E$14,M80)+H80*INDEX('Position_Rubric'!$F$6:$F$14,M80)+I80*INDEX('Position_Rubric'!$G$6:$G$14,M80),1)))))</x:f>
      </x:c>
      <x:c r="K80" s="82" t="str">
        <x:f>IF(AND(ISNUMBER(J80),ISNUMBER(D80)),J80-D80,"")</x:f>
      </x:c>
      <x:c r="L80" s="69" t="str">
        <x:f>IF(COUNT(E80:I80)&lt;5,"Needs component scores",IF(ISNUMBER(J80),"Calculated",J80))</x:f>
        <x:v>Needs component scores</x:v>
      </x:c>
      <x:c r="M80" s="69" t="n">
        <x:f>IF(C80="","",MATCH(C80,'Position_Rubric'!$A$6:$A$14,0))</x:f>
        <x:v>1</x:v>
      </x:c>
      <x:c r="N80" s="69" t="str"/>
    </x:row>
    <x:row r="81" ht="25" customHeight="1">
      <x:c r="A81" s="69" t="str">
        <x:v>S26-0931</x:v>
      </x:c>
      <x:c r="B81" s="69" t="str">
        <x:v>Mamady Diambou</x:v>
      </x:c>
      <x:c r="C81" s="69" t="str">
        <x:v>CDM</x:v>
      </x:c>
      <x:c r="D81" s="82" t="str">
        <x:f>IF(ISNUMBER('Transfer_Ratings'!K81),'Transfer_Ratings'!K81,"")</x:f>
      </x:c>
      <x:c r="E81" s="86"/>
      <x:c r="F81" s="86"/>
      <x:c r="G81" s="86"/>
      <x:c r="H81" s="86"/>
      <x:c r="I81" s="86"/>
      <x:c r="J81" s="82" t="str">
        <x:f>IF(C81="","Choose position",IF(COUNT(E81:I81)&lt;5,"",IF(OR(MIN(E81:I81)&lt;0.1,MAX(E81:I81)&gt;10),"Invalid score",IF(INDEX('Position_Rubric'!$H$6:$H$14,M81)&lt;&gt;1,"Check weights",ROUND(E81*INDEX('Position_Rubric'!$C$6:$C$14,M81)+F81*INDEX('Position_Rubric'!$D$6:$D$14,M81)+G81*INDEX('Position_Rubric'!$E$6:$E$14,M81)+H81*INDEX('Position_Rubric'!$F$6:$F$14,M81)+I81*INDEX('Position_Rubric'!$G$6:$G$14,M81),1)))))</x:f>
      </x:c>
      <x:c r="K81" s="82" t="str">
        <x:f>IF(AND(ISNUMBER(J81),ISNUMBER(D81)),J81-D81,"")</x:f>
      </x:c>
      <x:c r="L81" s="69" t="str">
        <x:f>IF(COUNT(E81:I81)&lt;5,"Needs component scores",IF(ISNUMBER(J81),"Calculated",J81))</x:f>
        <x:v>Needs component scores</x:v>
      </x:c>
      <x:c r="M81" s="69" t="n">
        <x:f>IF(C81="","",MATCH(C81,'Position_Rubric'!$A$6:$A$14,0))</x:f>
        <x:v>1</x:v>
      </x:c>
      <x:c r="N81" s="69" t="str"/>
    </x:row>
    <x:row r="82" ht="25" customHeight="1">
      <x:c r="A82" s="69" t="str">
        <x:v>S26-0995</x:v>
      </x:c>
      <x:c r="B82" s="69" t="str">
        <x:v>Remo Freuler</x:v>
      </x:c>
      <x:c r="C82" s="69" t="str">
        <x:v>CDM</x:v>
      </x:c>
      <x:c r="D82" s="82" t="n">
        <x:f>IF(ISNUMBER('Transfer_Ratings'!K82),'Transfer_Ratings'!K82,"")</x:f>
        <x:v>7.9</x:v>
      </x:c>
      <x:c r="E82" s="86"/>
      <x:c r="F82" s="86"/>
      <x:c r="G82" s="86"/>
      <x:c r="H82" s="86"/>
      <x:c r="I82" s="86"/>
      <x:c r="J82" s="82" t="str">
        <x:f>IF(C82="","Choose position",IF(COUNT(E82:I82)&lt;5,"",IF(OR(MIN(E82:I82)&lt;0.1,MAX(E82:I82)&gt;10),"Invalid score",IF(INDEX('Position_Rubric'!$H$6:$H$14,M82)&lt;&gt;1,"Check weights",ROUND(E82*INDEX('Position_Rubric'!$C$6:$C$14,M82)+F82*INDEX('Position_Rubric'!$D$6:$D$14,M82)+G82*INDEX('Position_Rubric'!$E$6:$E$14,M82)+H82*INDEX('Position_Rubric'!$F$6:$F$14,M82)+I82*INDEX('Position_Rubric'!$G$6:$G$14,M82),1)))))</x:f>
      </x:c>
      <x:c r="K82" s="82" t="str">
        <x:f>IF(AND(ISNUMBER(J82),ISNUMBER(D82)),J82-D82,"")</x:f>
      </x:c>
      <x:c r="L82" s="69" t="str">
        <x:f>IF(COUNT(E82:I82)&lt;5,"Needs component scores",IF(ISNUMBER(J82),"Calculated",J82))</x:f>
        <x:v>Needs component scores</x:v>
      </x:c>
      <x:c r="M82" s="69" t="n">
        <x:f>IF(C82="","",MATCH(C82,'Position_Rubric'!$A$6:$A$14,0))</x:f>
        <x:v>1</x:v>
      </x:c>
      <x:c r="N82" s="69" t="str"/>
    </x:row>
    <x:row r="83" ht="25" customHeight="1">
      <x:c r="A83" s="69" t="str">
        <x:v>S26-1002</x:v>
      </x:c>
      <x:c r="B83" s="69" t="str">
        <x:v>Kervin Arriaga</x:v>
      </x:c>
      <x:c r="C83" s="69" t="str">
        <x:v>CDM</x:v>
      </x:c>
      <x:c r="D83" s="82" t="n">
        <x:f>IF(ISNUMBER('Transfer_Ratings'!K83),'Transfer_Ratings'!K83,"")</x:f>
        <x:v>7.5</x:v>
      </x:c>
      <x:c r="E83" s="86"/>
      <x:c r="F83" s="86"/>
      <x:c r="G83" s="86"/>
      <x:c r="H83" s="86"/>
      <x:c r="I83" s="86"/>
      <x:c r="J83" s="82" t="str">
        <x:f>IF(C83="","Choose position",IF(COUNT(E83:I83)&lt;5,"",IF(OR(MIN(E83:I83)&lt;0.1,MAX(E83:I83)&gt;10),"Invalid score",IF(INDEX('Position_Rubric'!$H$6:$H$14,M83)&lt;&gt;1,"Check weights",ROUND(E83*INDEX('Position_Rubric'!$C$6:$C$14,M83)+F83*INDEX('Position_Rubric'!$D$6:$D$14,M83)+G83*INDEX('Position_Rubric'!$E$6:$E$14,M83)+H83*INDEX('Position_Rubric'!$F$6:$F$14,M83)+I83*INDEX('Position_Rubric'!$G$6:$G$14,M83),1)))))</x:f>
      </x:c>
      <x:c r="K83" s="82" t="str">
        <x:f>IF(AND(ISNUMBER(J83),ISNUMBER(D83)),J83-D83,"")</x:f>
      </x:c>
      <x:c r="L83" s="69" t="str">
        <x:f>IF(COUNT(E83:I83)&lt;5,"Needs component scores",IF(ISNUMBER(J83),"Calculated",J83))</x:f>
        <x:v>Needs component scores</x:v>
      </x:c>
      <x:c r="M83" s="69" t="n">
        <x:f>IF(C83="","",MATCH(C83,'Position_Rubric'!$A$6:$A$14,0))</x:f>
        <x:v>1</x:v>
      </x:c>
      <x:c r="N83" s="69" t="str"/>
    </x:row>
    <x:row r="84" ht="25" customHeight="1">
      <x:c r="A84" s="69" t="str">
        <x:v>S26-1037</x:v>
      </x:c>
      <x:c r="B84" s="69" t="str">
        <x:v>Axel Witsel</x:v>
      </x:c>
      <x:c r="C84" s="69" t="str">
        <x:v>CDM</x:v>
      </x:c>
      <x:c r="D84" s="82" t="n">
        <x:f>IF(ISNUMBER('Transfer_Ratings'!K84),'Transfer_Ratings'!K84,"")</x:f>
        <x:v>7.1</x:v>
      </x:c>
      <x:c r="E84" s="86"/>
      <x:c r="F84" s="86"/>
      <x:c r="G84" s="86"/>
      <x:c r="H84" s="86"/>
      <x:c r="I84" s="86"/>
      <x:c r="J84" s="82" t="str">
        <x:f>IF(C84="","Choose position",IF(COUNT(E84:I84)&lt;5,"",IF(OR(MIN(E84:I84)&lt;0.1,MAX(E84:I84)&gt;10),"Invalid score",IF(INDEX('Position_Rubric'!$H$6:$H$14,M84)&lt;&gt;1,"Check weights",ROUND(E84*INDEX('Position_Rubric'!$C$6:$C$14,M84)+F84*INDEX('Position_Rubric'!$D$6:$D$14,M84)+G84*INDEX('Position_Rubric'!$E$6:$E$14,M84)+H84*INDEX('Position_Rubric'!$F$6:$F$14,M84)+I84*INDEX('Position_Rubric'!$G$6:$G$14,M84),1)))))</x:f>
      </x:c>
      <x:c r="K84" s="82" t="str">
        <x:f>IF(AND(ISNUMBER(J84),ISNUMBER(D84)),J84-D84,"")</x:f>
      </x:c>
      <x:c r="L84" s="69" t="str">
        <x:f>IF(COUNT(E84:I84)&lt;5,"Needs component scores",IF(ISNUMBER(J84),"Calculated",J84))</x:f>
        <x:v>Needs component scores</x:v>
      </x:c>
      <x:c r="M84" s="69" t="n">
        <x:f>IF(C84="","",MATCH(C84,'Position_Rubric'!$A$6:$A$14,0))</x:f>
        <x:v>1</x:v>
      </x:c>
      <x:c r="N84" s="69" t="str"/>
    </x:row>
    <x:row r="85" ht="25" customHeight="1">
      <x:c r="A85" s="69" t="str">
        <x:v>S26-1052</x:v>
      </x:c>
      <x:c r="B85" s="69" t="str">
        <x:v>Ellyes Skhiri</x:v>
      </x:c>
      <x:c r="C85" s="69" t="str">
        <x:v>CDM</x:v>
      </x:c>
      <x:c r="D85" s="82" t="n">
        <x:f>IF(ISNUMBER('Transfer_Ratings'!K85),'Transfer_Ratings'!K85,"")</x:f>
        <x:v>8</x:v>
      </x:c>
      <x:c r="E85" s="86"/>
      <x:c r="F85" s="86"/>
      <x:c r="G85" s="86"/>
      <x:c r="H85" s="86"/>
      <x:c r="I85" s="86"/>
      <x:c r="J85" s="82" t="str">
        <x:f>IF(C85="","Choose position",IF(COUNT(E85:I85)&lt;5,"",IF(OR(MIN(E85:I85)&lt;0.1,MAX(E85:I85)&gt;10),"Invalid score",IF(INDEX('Position_Rubric'!$H$6:$H$14,M85)&lt;&gt;1,"Check weights",ROUND(E85*INDEX('Position_Rubric'!$C$6:$C$14,M85)+F85*INDEX('Position_Rubric'!$D$6:$D$14,M85)+G85*INDEX('Position_Rubric'!$E$6:$E$14,M85)+H85*INDEX('Position_Rubric'!$F$6:$F$14,M85)+I85*INDEX('Position_Rubric'!$G$6:$G$14,M85),1)))))</x:f>
      </x:c>
      <x:c r="K85" s="82" t="str">
        <x:f>IF(AND(ISNUMBER(J85),ISNUMBER(D85)),J85-D85,"")</x:f>
      </x:c>
      <x:c r="L85" s="69" t="str">
        <x:f>IF(COUNT(E85:I85)&lt;5,"Needs component scores",IF(ISNUMBER(J85),"Calculated",J85))</x:f>
        <x:v>Needs component scores</x:v>
      </x:c>
      <x:c r="M85" s="69" t="n">
        <x:f>IF(C85="","",MATCH(C85,'Position_Rubric'!$A$6:$A$14,0))</x:f>
        <x:v>1</x:v>
      </x:c>
      <x:c r="N85" s="69" t="str"/>
    </x:row>
    <x:row r="86" ht="25" customHeight="1">
      <x:c r="A86" s="69" t="str">
        <x:v>S26-1117</x:v>
      </x:c>
      <x:c r="B86" s="69" t="str">
        <x:v>Carlos Baleba</x:v>
      </x:c>
      <x:c r="C86" s="69" t="str">
        <x:v>CDM</x:v>
      </x:c>
      <x:c r="D86" s="82" t="n">
        <x:f>IF(ISNUMBER('Transfer_Ratings'!K86),'Transfer_Ratings'!K86,"")</x:f>
        <x:v>8.8</x:v>
      </x:c>
      <x:c r="E86" s="86"/>
      <x:c r="F86" s="86"/>
      <x:c r="G86" s="86"/>
      <x:c r="H86" s="86"/>
      <x:c r="I86" s="86"/>
      <x:c r="J86" s="82" t="str">
        <x:f>IF(C86="","Choose position",IF(COUNT(E86:I86)&lt;5,"",IF(OR(MIN(E86:I86)&lt;0.1,MAX(E86:I86)&gt;10),"Invalid score",IF(INDEX('Position_Rubric'!$H$6:$H$14,M86)&lt;&gt;1,"Check weights",ROUND(E86*INDEX('Position_Rubric'!$C$6:$C$14,M86)+F86*INDEX('Position_Rubric'!$D$6:$D$14,M86)+G86*INDEX('Position_Rubric'!$E$6:$E$14,M86)+H86*INDEX('Position_Rubric'!$F$6:$F$14,M86)+I86*INDEX('Position_Rubric'!$G$6:$G$14,M86),1)))))</x:f>
      </x:c>
      <x:c r="K86" s="82" t="str">
        <x:f>IF(AND(ISNUMBER(J86),ISNUMBER(D86)),J86-D86,"")</x:f>
      </x:c>
      <x:c r="L86" s="69" t="str">
        <x:f>IF(COUNT(E86:I86)&lt;5,"Needs component scores",IF(ISNUMBER(J86),"Calculated",J86))</x:f>
        <x:v>Needs component scores</x:v>
      </x:c>
      <x:c r="M86" s="69" t="n">
        <x:f>IF(C86="","",MATCH(C86,'Position_Rubric'!$A$6:$A$14,0))</x:f>
        <x:v>1</x:v>
      </x:c>
      <x:c r="N86" s="69" t="str"/>
    </x:row>
    <x:row r="87" ht="25" customHeight="1">
      <x:c r="A87" s="69" t="str">
        <x:v>S26-1128</x:v>
      </x:c>
      <x:c r="B87" s="69" t="str">
        <x:v>João Palhinha</x:v>
      </x:c>
      <x:c r="C87" s="69" t="str">
        <x:v>CDM</x:v>
      </x:c>
      <x:c r="D87" s="82" t="n">
        <x:f>IF(ISNUMBER('Transfer_Ratings'!K87),'Transfer_Ratings'!K87,"")</x:f>
        <x:v>8.3</x:v>
      </x:c>
      <x:c r="E87" s="86"/>
      <x:c r="F87" s="86"/>
      <x:c r="G87" s="86"/>
      <x:c r="H87" s="86"/>
      <x:c r="I87" s="86"/>
      <x:c r="J87" s="82" t="str">
        <x:f>IF(C87="","Choose position",IF(COUNT(E87:I87)&lt;5,"",IF(OR(MIN(E87:I87)&lt;0.1,MAX(E87:I87)&gt;10),"Invalid score",IF(INDEX('Position_Rubric'!$H$6:$H$14,M87)&lt;&gt;1,"Check weights",ROUND(E87*INDEX('Position_Rubric'!$C$6:$C$14,M87)+F87*INDEX('Position_Rubric'!$D$6:$D$14,M87)+G87*INDEX('Position_Rubric'!$E$6:$E$14,M87)+H87*INDEX('Position_Rubric'!$F$6:$F$14,M87)+I87*INDEX('Position_Rubric'!$G$6:$G$14,M87),1)))))</x:f>
      </x:c>
      <x:c r="K87" s="82" t="str">
        <x:f>IF(AND(ISNUMBER(J87),ISNUMBER(D87)),J87-D87,"")</x:f>
      </x:c>
      <x:c r="L87" s="69" t="str">
        <x:f>IF(COUNT(E87:I87)&lt;5,"Needs component scores",IF(ISNUMBER(J87),"Calculated",J87))</x:f>
        <x:v>Needs component scores</x:v>
      </x:c>
      <x:c r="M87" s="69" t="n">
        <x:f>IF(C87="","",MATCH(C87,'Position_Rubric'!$A$6:$A$14,0))</x:f>
        <x:v>1</x:v>
      </x:c>
      <x:c r="N87" s="69" t="str"/>
    </x:row>
    <x:row r="88" ht="25" customHeight="1">
      <x:c r="A88" s="69" t="str">
        <x:v>S26-1131</x:v>
      </x:c>
      <x:c r="B88" s="69" t="str">
        <x:v>Nico González</x:v>
      </x:c>
      <x:c r="C88" s="69" t="str">
        <x:v>CDM</x:v>
      </x:c>
      <x:c r="D88" s="82" t="n">
        <x:f>IF(ISNUMBER('Transfer_Ratings'!K88),'Transfer_Ratings'!K88,"")</x:f>
        <x:v>8.1</x:v>
      </x:c>
      <x:c r="E88" s="86"/>
      <x:c r="F88" s="86"/>
      <x:c r="G88" s="86"/>
      <x:c r="H88" s="86"/>
      <x:c r="I88" s="86"/>
      <x:c r="J88" s="82" t="str">
        <x:f>IF(C88="","Choose position",IF(COUNT(E88:I88)&lt;5,"",IF(OR(MIN(E88:I88)&lt;0.1,MAX(E88:I88)&gt;10),"Invalid score",IF(INDEX('Position_Rubric'!$H$6:$H$14,M88)&lt;&gt;1,"Check weights",ROUND(E88*INDEX('Position_Rubric'!$C$6:$C$14,M88)+F88*INDEX('Position_Rubric'!$D$6:$D$14,M88)+G88*INDEX('Position_Rubric'!$E$6:$E$14,M88)+H88*INDEX('Position_Rubric'!$F$6:$F$14,M88)+I88*INDEX('Position_Rubric'!$G$6:$G$14,M88),1)))))</x:f>
      </x:c>
      <x:c r="K88" s="82" t="str">
        <x:f>IF(AND(ISNUMBER(J88),ISNUMBER(D88)),J88-D88,"")</x:f>
      </x:c>
      <x:c r="L88" s="69" t="str">
        <x:f>IF(COUNT(E88:I88)&lt;5,"Needs component scores",IF(ISNUMBER(J88),"Calculated",J88))</x:f>
        <x:v>Needs component scores</x:v>
      </x:c>
      <x:c r="M88" s="69" t="n">
        <x:f>IF(C88="","",MATCH(C88,'Position_Rubric'!$A$6:$A$14,0))</x:f>
        <x:v>1</x:v>
      </x:c>
      <x:c r="N88" s="69" t="str"/>
    </x:row>
    <x:row r="89" ht="25" customHeight="1">
      <x:c r="A89" s="69" t="str">
        <x:v>S26-1159</x:v>
      </x:c>
      <x:c r="B89" s="69" t="str">
        <x:v>Dennis Geiger</x:v>
      </x:c>
      <x:c r="C89" s="69" t="str">
        <x:v>CDM</x:v>
      </x:c>
      <x:c r="D89" s="82" t="n">
        <x:f>IF(ISNUMBER('Transfer_Ratings'!K89),'Transfer_Ratings'!K89,"")</x:f>
        <x:v>7.3</x:v>
      </x:c>
      <x:c r="E89" s="86"/>
      <x:c r="F89" s="86"/>
      <x:c r="G89" s="86"/>
      <x:c r="H89" s="86"/>
      <x:c r="I89" s="86"/>
      <x:c r="J89" s="82" t="str">
        <x:f>IF(C89="","Choose position",IF(COUNT(E89:I89)&lt;5,"",IF(OR(MIN(E89:I89)&lt;0.1,MAX(E89:I89)&gt;10),"Invalid score",IF(INDEX('Position_Rubric'!$H$6:$H$14,M89)&lt;&gt;1,"Check weights",ROUND(E89*INDEX('Position_Rubric'!$C$6:$C$14,M89)+F89*INDEX('Position_Rubric'!$D$6:$D$14,M89)+G89*INDEX('Position_Rubric'!$E$6:$E$14,M89)+H89*INDEX('Position_Rubric'!$F$6:$F$14,M89)+I89*INDEX('Position_Rubric'!$G$6:$G$14,M89),1)))))</x:f>
      </x:c>
      <x:c r="K89" s="82" t="str">
        <x:f>IF(AND(ISNUMBER(J89),ISNUMBER(D89)),J89-D89,"")</x:f>
      </x:c>
      <x:c r="L89" s="69" t="str">
        <x:f>IF(COUNT(E89:I89)&lt;5,"Needs component scores",IF(ISNUMBER(J89),"Calculated",J89))</x:f>
        <x:v>Needs component scores</x:v>
      </x:c>
      <x:c r="M89" s="69" t="n">
        <x:f>IF(C89="","",MATCH(C89,'Position_Rubric'!$A$6:$A$14,0))</x:f>
        <x:v>1</x:v>
      </x:c>
      <x:c r="N89" s="69" t="str"/>
    </x:row>
    <x:row r="90" ht="25" customHeight="1">
      <x:c r="A90" s="69" t="str">
        <x:v>S26-1181</x:v>
      </x:c>
      <x:c r="B90" s="69" t="str">
        <x:v>Matteo Prati</x:v>
      </x:c>
      <x:c r="C90" s="69" t="str">
        <x:v>CDM</x:v>
      </x:c>
      <x:c r="D90" s="82" t="str">
        <x:f>IF(ISNUMBER('Transfer_Ratings'!K90),'Transfer_Ratings'!K90,"")</x:f>
      </x:c>
      <x:c r="E90" s="86"/>
      <x:c r="F90" s="86"/>
      <x:c r="G90" s="86"/>
      <x:c r="H90" s="86"/>
      <x:c r="I90" s="86"/>
      <x:c r="J90" s="82" t="str">
        <x:f>IF(C90="","Choose position",IF(COUNT(E90:I90)&lt;5,"",IF(OR(MIN(E90:I90)&lt;0.1,MAX(E90:I90)&gt;10),"Invalid score",IF(INDEX('Position_Rubric'!$H$6:$H$14,M90)&lt;&gt;1,"Check weights",ROUND(E90*INDEX('Position_Rubric'!$C$6:$C$14,M90)+F90*INDEX('Position_Rubric'!$D$6:$D$14,M90)+G90*INDEX('Position_Rubric'!$E$6:$E$14,M90)+H90*INDEX('Position_Rubric'!$F$6:$F$14,M90)+I90*INDEX('Position_Rubric'!$G$6:$G$14,M90),1)))))</x:f>
      </x:c>
      <x:c r="K90" s="82" t="str">
        <x:f>IF(AND(ISNUMBER(J90),ISNUMBER(D90)),J90-D90,"")</x:f>
      </x:c>
      <x:c r="L90" s="69" t="str">
        <x:f>IF(COUNT(E90:I90)&lt;5,"Needs component scores",IF(ISNUMBER(J90),"Calculated",J90))</x:f>
        <x:v>Needs component scores</x:v>
      </x:c>
      <x:c r="M90" s="69" t="n">
        <x:f>IF(C90="","",MATCH(C90,'Position_Rubric'!$A$6:$A$14,0))</x:f>
        <x:v>1</x:v>
      </x:c>
      <x:c r="N90" s="69" t="str"/>
    </x:row>
    <x:row r="91" ht="25" customHeight="1">
      <x:c r="A91" s="69" t="str">
        <x:v>S26-1190</x:v>
      </x:c>
      <x:c r="B91" s="69" t="str">
        <x:v>Samuele Ricci</x:v>
      </x:c>
      <x:c r="C91" s="69" t="str">
        <x:v>CDM</x:v>
      </x:c>
      <x:c r="D91" s="82" t="str">
        <x:f>IF(ISNUMBER('Transfer_Ratings'!K91),'Transfer_Ratings'!K91,"")</x:f>
      </x:c>
      <x:c r="E91" s="86"/>
      <x:c r="F91" s="86"/>
      <x:c r="G91" s="86"/>
      <x:c r="H91" s="86"/>
      <x:c r="I91" s="86"/>
      <x:c r="J91" s="82" t="str">
        <x:f>IF(C91="","Choose position",IF(COUNT(E91:I91)&lt;5,"",IF(OR(MIN(E91:I91)&lt;0.1,MAX(E91:I91)&gt;10),"Invalid score",IF(INDEX('Position_Rubric'!$H$6:$H$14,M91)&lt;&gt;1,"Check weights",ROUND(E91*INDEX('Position_Rubric'!$C$6:$C$14,M91)+F91*INDEX('Position_Rubric'!$D$6:$D$14,M91)+G91*INDEX('Position_Rubric'!$E$6:$E$14,M91)+H91*INDEX('Position_Rubric'!$F$6:$F$14,M91)+I91*INDEX('Position_Rubric'!$G$6:$G$14,M91),1)))))</x:f>
      </x:c>
      <x:c r="K91" s="82" t="str">
        <x:f>IF(AND(ISNUMBER(J91),ISNUMBER(D91)),J91-D91,"")</x:f>
      </x:c>
      <x:c r="L91" s="69" t="str">
        <x:f>IF(COUNT(E91:I91)&lt;5,"Needs component scores",IF(ISNUMBER(J91),"Calculated",J91))</x:f>
        <x:v>Needs component scores</x:v>
      </x:c>
      <x:c r="M91" s="69" t="n">
        <x:f>IF(C91="","",MATCH(C91,'Position_Rubric'!$A$6:$A$14,0))</x:f>
        <x:v>1</x:v>
      </x:c>
      <x:c r="N91" s="69" t="str"/>
    </x:row>
    <x:row r="92" ht="25" customHeight="1">
      <x:c r="A92" s="69" t="str">
        <x:v>S26-1191</x:v>
      </x:c>
      <x:c r="B92" s="69" t="str">
        <x:v>Kristjan Asllani</x:v>
      </x:c>
      <x:c r="C92" s="69" t="str">
        <x:v>CDM</x:v>
      </x:c>
      <x:c r="D92" s="82" t="str">
        <x:f>IF(ISNUMBER('Transfer_Ratings'!K92),'Transfer_Ratings'!K92,"")</x:f>
      </x:c>
      <x:c r="E92" s="86"/>
      <x:c r="F92" s="86"/>
      <x:c r="G92" s="86"/>
      <x:c r="H92" s="86"/>
      <x:c r="I92" s="86"/>
      <x:c r="J92" s="82" t="str">
        <x:f>IF(C92="","Choose position",IF(COUNT(E92:I92)&lt;5,"",IF(OR(MIN(E92:I92)&lt;0.1,MAX(E92:I92)&gt;10),"Invalid score",IF(INDEX('Position_Rubric'!$H$6:$H$14,M92)&lt;&gt;1,"Check weights",ROUND(E92*INDEX('Position_Rubric'!$C$6:$C$14,M92)+F92*INDEX('Position_Rubric'!$D$6:$D$14,M92)+G92*INDEX('Position_Rubric'!$E$6:$E$14,M92)+H92*INDEX('Position_Rubric'!$F$6:$F$14,M92)+I92*INDEX('Position_Rubric'!$G$6:$G$14,M92),1)))))</x:f>
      </x:c>
      <x:c r="K92" s="82" t="str">
        <x:f>IF(AND(ISNUMBER(J92),ISNUMBER(D92)),J92-D92,"")</x:f>
      </x:c>
      <x:c r="L92" s="69" t="str">
        <x:f>IF(COUNT(E92:I92)&lt;5,"Needs component scores",IF(ISNUMBER(J92),"Calculated",J92))</x:f>
        <x:v>Needs component scores</x:v>
      </x:c>
      <x:c r="M92" s="69" t="n">
        <x:f>IF(C92="","",MATCH(C92,'Position_Rubric'!$A$6:$A$14,0))</x:f>
        <x:v>1</x:v>
      </x:c>
      <x:c r="N92" s="69" t="str"/>
    </x:row>
    <x:row r="93" ht="25" customHeight="1">
      <x:c r="A93" s="69" t="str">
        <x:v>S26-1207</x:v>
      </x:c>
      <x:c r="B93" s="69" t="str">
        <x:v>Nemanja Gudelj</x:v>
      </x:c>
      <x:c r="C93" s="69" t="str">
        <x:v>CDM</x:v>
      </x:c>
      <x:c r="D93" s="82" t="n">
        <x:f>IF(ISNUMBER('Transfer_Ratings'!K93),'Transfer_Ratings'!K93,"")</x:f>
        <x:v>7.2</x:v>
      </x:c>
      <x:c r="E93" s="86"/>
      <x:c r="F93" s="86"/>
      <x:c r="G93" s="86"/>
      <x:c r="H93" s="86"/>
      <x:c r="I93" s="86"/>
      <x:c r="J93" s="82" t="str">
        <x:f>IF(C93="","Choose position",IF(COUNT(E93:I93)&lt;5,"",IF(OR(MIN(E93:I93)&lt;0.1,MAX(E93:I93)&gt;10),"Invalid score",IF(INDEX('Position_Rubric'!$H$6:$H$14,M93)&lt;&gt;1,"Check weights",ROUND(E93*INDEX('Position_Rubric'!$C$6:$C$14,M93)+F93*INDEX('Position_Rubric'!$D$6:$D$14,M93)+G93*INDEX('Position_Rubric'!$E$6:$E$14,M93)+H93*INDEX('Position_Rubric'!$F$6:$F$14,M93)+I93*INDEX('Position_Rubric'!$G$6:$G$14,M93),1)))))</x:f>
      </x:c>
      <x:c r="K93" s="82" t="str">
        <x:f>IF(AND(ISNUMBER(J93),ISNUMBER(D93)),J93-D93,"")</x:f>
      </x:c>
      <x:c r="L93" s="69" t="str">
        <x:f>IF(COUNT(E93:I93)&lt;5,"Needs component scores",IF(ISNUMBER(J93),"Calculated",J93))</x:f>
        <x:v>Needs component scores</x:v>
      </x:c>
      <x:c r="M93" s="69" t="n">
        <x:f>IF(C93="","",MATCH(C93,'Position_Rubric'!$A$6:$A$14,0))</x:f>
        <x:v>1</x:v>
      </x:c>
      <x:c r="N93" s="69" t="str"/>
    </x:row>
    <x:row r="94" ht="25" customHeight="1">
      <x:c r="A94" s="69" t="str">
        <x:v>S26-1212</x:v>
      </x:c>
      <x:c r="B94" s="69" t="str">
        <x:v>Toby Collyer</x:v>
      </x:c>
      <x:c r="C94" s="69" t="str">
        <x:v>CDM</x:v>
      </x:c>
      <x:c r="D94" s="82" t="str">
        <x:f>IF(ISNUMBER('Transfer_Ratings'!K94),'Transfer_Ratings'!K94,"")</x:f>
      </x:c>
      <x:c r="E94" s="86"/>
      <x:c r="F94" s="86"/>
      <x:c r="G94" s="86"/>
      <x:c r="H94" s="86"/>
      <x:c r="I94" s="86"/>
      <x:c r="J94" s="82" t="str">
        <x:f>IF(C94="","Choose position",IF(COUNT(E94:I94)&lt;5,"",IF(OR(MIN(E94:I94)&lt;0.1,MAX(E94:I94)&gt;10),"Invalid score",IF(INDEX('Position_Rubric'!$H$6:$H$14,M94)&lt;&gt;1,"Check weights",ROUND(E94*INDEX('Position_Rubric'!$C$6:$C$14,M94)+F94*INDEX('Position_Rubric'!$D$6:$D$14,M94)+G94*INDEX('Position_Rubric'!$E$6:$E$14,M94)+H94*INDEX('Position_Rubric'!$F$6:$F$14,M94)+I94*INDEX('Position_Rubric'!$G$6:$G$14,M94),1)))))</x:f>
      </x:c>
      <x:c r="K94" s="82" t="str">
        <x:f>IF(AND(ISNUMBER(J94),ISNUMBER(D94)),J94-D94,"")</x:f>
      </x:c>
      <x:c r="L94" s="69" t="str">
        <x:f>IF(COUNT(E94:I94)&lt;5,"Needs component scores",IF(ISNUMBER(J94),"Calculated",J94))</x:f>
        <x:v>Needs component scores</x:v>
      </x:c>
      <x:c r="M94" s="69" t="n">
        <x:f>IF(C94="","",MATCH(C94,'Position_Rubric'!$A$6:$A$14,0))</x:f>
        <x:v>1</x:v>
      </x:c>
      <x:c r="N94" s="69" t="str"/>
    </x:row>
    <x:row r="95" ht="25" customHeight="1">
      <x:c r="A95" s="69" t="str">
        <x:v>S26-1217</x:v>
      </x:c>
      <x:c r="B95" s="69" t="str">
        <x:v>Marten de Roon</x:v>
      </x:c>
      <x:c r="C95" s="69" t="str">
        <x:v>CDM</x:v>
      </x:c>
      <x:c r="D95" s="82" t="n">
        <x:f>IF(ISNUMBER('Transfer_Ratings'!K95),'Transfer_Ratings'!K95,"")</x:f>
        <x:v>8</x:v>
      </x:c>
      <x:c r="E95" s="86"/>
      <x:c r="F95" s="86"/>
      <x:c r="G95" s="86"/>
      <x:c r="H95" s="86"/>
      <x:c r="I95" s="86"/>
      <x:c r="J95" s="82" t="str">
        <x:f>IF(C95="","Choose position",IF(COUNT(E95:I95)&lt;5,"",IF(OR(MIN(E95:I95)&lt;0.1,MAX(E95:I95)&gt;10),"Invalid score",IF(INDEX('Position_Rubric'!$H$6:$H$14,M95)&lt;&gt;1,"Check weights",ROUND(E95*INDEX('Position_Rubric'!$C$6:$C$14,M95)+F95*INDEX('Position_Rubric'!$D$6:$D$14,M95)+G95*INDEX('Position_Rubric'!$E$6:$E$14,M95)+H95*INDEX('Position_Rubric'!$F$6:$F$14,M95)+I95*INDEX('Position_Rubric'!$G$6:$G$14,M95),1)))))</x:f>
      </x:c>
      <x:c r="K95" s="82" t="str">
        <x:f>IF(AND(ISNUMBER(J95),ISNUMBER(D95)),J95-D95,"")</x:f>
      </x:c>
      <x:c r="L95" s="69" t="str">
        <x:f>IF(COUNT(E95:I95)&lt;5,"Needs component scores",IF(ISNUMBER(J95),"Calculated",J95))</x:f>
        <x:v>Needs component scores</x:v>
      </x:c>
      <x:c r="M95" s="69" t="n">
        <x:f>IF(C95="","",MATCH(C95,'Position_Rubric'!$A$6:$A$14,0))</x:f>
        <x:v>1</x:v>
      </x:c>
      <x:c r="N95" s="69" t="str"/>
    </x:row>
    <x:row r="96" ht="25" customHeight="1">
      <x:c r="A96" s="69" t="str">
        <x:v>S26-1222</x:v>
      </x:c>
      <x:c r="B96" s="69" t="str">
        <x:v>Emil Bohinen</x:v>
      </x:c>
      <x:c r="C96" s="69" t="str">
        <x:v>CDM</x:v>
      </x:c>
      <x:c r="D96" s="82" t="str">
        <x:f>IF(ISNUMBER('Transfer_Ratings'!K96),'Transfer_Ratings'!K96,"")</x:f>
      </x:c>
      <x:c r="E96" s="86"/>
      <x:c r="F96" s="86"/>
      <x:c r="G96" s="86"/>
      <x:c r="H96" s="86"/>
      <x:c r="I96" s="86"/>
      <x:c r="J96" s="82" t="str">
        <x:f>IF(C96="","Choose position",IF(COUNT(E96:I96)&lt;5,"",IF(OR(MIN(E96:I96)&lt;0.1,MAX(E96:I96)&gt;10),"Invalid score",IF(INDEX('Position_Rubric'!$H$6:$H$14,M96)&lt;&gt;1,"Check weights",ROUND(E96*INDEX('Position_Rubric'!$C$6:$C$14,M96)+F96*INDEX('Position_Rubric'!$D$6:$D$14,M96)+G96*INDEX('Position_Rubric'!$E$6:$E$14,M96)+H96*INDEX('Position_Rubric'!$F$6:$F$14,M96)+I96*INDEX('Position_Rubric'!$G$6:$G$14,M96),1)))))</x:f>
      </x:c>
      <x:c r="K96" s="82" t="str">
        <x:f>IF(AND(ISNUMBER(J96),ISNUMBER(D96)),J96-D96,"")</x:f>
      </x:c>
      <x:c r="L96" s="69" t="str">
        <x:f>IF(COUNT(E96:I96)&lt;5,"Needs component scores",IF(ISNUMBER(J96),"Calculated",J96))</x:f>
        <x:v>Needs component scores</x:v>
      </x:c>
      <x:c r="M96" s="69" t="n">
        <x:f>IF(C96="","",MATCH(C96,'Position_Rubric'!$A$6:$A$14,0))</x:f>
        <x:v>1</x:v>
      </x:c>
      <x:c r="N96" s="69" t="str"/>
    </x:row>
    <x:row r="97" ht="25" customHeight="1">
      <x:c r="A97" s="69" t="str">
        <x:v>S26-1236</x:v>
      </x:c>
      <x:c r="B97" s="69" t="str">
        <x:v>Stefan Bajcetic</x:v>
      </x:c>
      <x:c r="C97" s="69" t="str">
        <x:v>CDM</x:v>
      </x:c>
      <x:c r="D97" s="82" t="str">
        <x:f>IF(ISNUMBER('Transfer_Ratings'!K97),'Transfer_Ratings'!K97,"")</x:f>
      </x:c>
      <x:c r="E97" s="86"/>
      <x:c r="F97" s="86"/>
      <x:c r="G97" s="86"/>
      <x:c r="H97" s="86"/>
      <x:c r="I97" s="86"/>
      <x:c r="J97" s="82" t="str">
        <x:f>IF(C97="","Choose position",IF(COUNT(E97:I97)&lt;5,"",IF(OR(MIN(E97:I97)&lt;0.1,MAX(E97:I97)&gt;10),"Invalid score",IF(INDEX('Position_Rubric'!$H$6:$H$14,M97)&lt;&gt;1,"Check weights",ROUND(E97*INDEX('Position_Rubric'!$C$6:$C$14,M97)+F97*INDEX('Position_Rubric'!$D$6:$D$14,M97)+G97*INDEX('Position_Rubric'!$E$6:$E$14,M97)+H97*INDEX('Position_Rubric'!$F$6:$F$14,M97)+I97*INDEX('Position_Rubric'!$G$6:$G$14,M97),1)))))</x:f>
      </x:c>
      <x:c r="K97" s="82" t="str">
        <x:f>IF(AND(ISNUMBER(J97),ISNUMBER(D97)),J97-D97,"")</x:f>
      </x:c>
      <x:c r="L97" s="69" t="str">
        <x:f>IF(COUNT(E97:I97)&lt;5,"Needs component scores",IF(ISNUMBER(J97),"Calculated",J97))</x:f>
        <x:v>Needs component scores</x:v>
      </x:c>
      <x:c r="M97" s="69" t="n">
        <x:f>IF(C97="","",MATCH(C97,'Position_Rubric'!$A$6:$A$14,0))</x:f>
        <x:v>1</x:v>
      </x:c>
      <x:c r="N97" s="69" t="str"/>
    </x:row>
    <x:row r="98" ht="25" customHeight="1">
      <x:c r="A98" s="69" t="str">
        <x:v>S26-1298</x:v>
      </x:c>
      <x:c r="B98" s="69" t="str">
        <x:v>Niko Sigur</x:v>
      </x:c>
      <x:c r="C98" s="69" t="str">
        <x:v>CDM</x:v>
      </x:c>
      <x:c r="D98" s="82" t="n">
        <x:f>IF(ISNUMBER('Transfer_Ratings'!K98),'Transfer_Ratings'!K98,"")</x:f>
        <x:v>7.9</x:v>
      </x:c>
      <x:c r="E98" s="86"/>
      <x:c r="F98" s="86"/>
      <x:c r="G98" s="86"/>
      <x:c r="H98" s="86"/>
      <x:c r="I98" s="86"/>
      <x:c r="J98" s="82" t="str">
        <x:f>IF(C98="","Choose position",IF(COUNT(E98:I98)&lt;5,"",IF(OR(MIN(E98:I98)&lt;0.1,MAX(E98:I98)&gt;10),"Invalid score",IF(INDEX('Position_Rubric'!$H$6:$H$14,M98)&lt;&gt;1,"Check weights",ROUND(E98*INDEX('Position_Rubric'!$C$6:$C$14,M98)+F98*INDEX('Position_Rubric'!$D$6:$D$14,M98)+G98*INDEX('Position_Rubric'!$E$6:$E$14,M98)+H98*INDEX('Position_Rubric'!$F$6:$F$14,M98)+I98*INDEX('Position_Rubric'!$G$6:$G$14,M98),1)))))</x:f>
      </x:c>
      <x:c r="K98" s="82" t="str">
        <x:f>IF(AND(ISNUMBER(J98),ISNUMBER(D98)),J98-D98,"")</x:f>
      </x:c>
      <x:c r="L98" s="69" t="str">
        <x:f>IF(COUNT(E98:I98)&lt;5,"Needs component scores",IF(ISNUMBER(J98),"Calculated",J98))</x:f>
        <x:v>Needs component scores</x:v>
      </x:c>
      <x:c r="M98" s="69" t="n">
        <x:f>IF(C98="","",MATCH(C98,'Position_Rubric'!$A$6:$A$14,0))</x:f>
        <x:v>1</x:v>
      </x:c>
      <x:c r="N98" s="69" t="str"/>
    </x:row>
    <x:row r="99" ht="25" customHeight="1">
      <x:c r="A99" s="69" t="str">
        <x:v>S26-1316</x:v>
      </x:c>
      <x:c r="B99" s="69" t="str">
        <x:v>Ibrahim Sulemana</x:v>
      </x:c>
      <x:c r="C99" s="69" t="str">
        <x:v>CDM</x:v>
      </x:c>
      <x:c r="D99" s="82" t="str">
        <x:f>IF(ISNUMBER('Transfer_Ratings'!K99),'Transfer_Ratings'!K99,"")</x:f>
      </x:c>
      <x:c r="E99" s="86"/>
      <x:c r="F99" s="86"/>
      <x:c r="G99" s="86"/>
      <x:c r="H99" s="86"/>
      <x:c r="I99" s="86"/>
      <x:c r="J99" s="82" t="str">
        <x:f>IF(C99="","Choose position",IF(COUNT(E99:I99)&lt;5,"",IF(OR(MIN(E99:I99)&lt;0.1,MAX(E99:I99)&gt;10),"Invalid score",IF(INDEX('Position_Rubric'!$H$6:$H$14,M99)&lt;&gt;1,"Check weights",ROUND(E99*INDEX('Position_Rubric'!$C$6:$C$14,M99)+F99*INDEX('Position_Rubric'!$D$6:$D$14,M99)+G99*INDEX('Position_Rubric'!$E$6:$E$14,M99)+H99*INDEX('Position_Rubric'!$F$6:$F$14,M99)+I99*INDEX('Position_Rubric'!$G$6:$G$14,M99),1)))))</x:f>
      </x:c>
      <x:c r="K99" s="82" t="str">
        <x:f>IF(AND(ISNUMBER(J99),ISNUMBER(D99)),J99-D99,"")</x:f>
      </x:c>
      <x:c r="L99" s="69" t="str">
        <x:f>IF(COUNT(E99:I99)&lt;5,"Needs component scores",IF(ISNUMBER(J99),"Calculated",J99))</x:f>
        <x:v>Needs component scores</x:v>
      </x:c>
      <x:c r="M99" s="69" t="n">
        <x:f>IF(C99="","",MATCH(C99,'Position_Rubric'!$A$6:$A$14,0))</x:f>
        <x:v>1</x:v>
      </x:c>
      <x:c r="N99" s="69" t="str"/>
    </x:row>
    <x:row r="100" ht="25" customHeight="1">
      <x:c r="A100" s="69" t="str">
        <x:v>S26-1343</x:v>
      </x:c>
      <x:c r="B100" s="69" t="str">
        <x:v>Dário Essugo</x:v>
      </x:c>
      <x:c r="C100" s="69" t="str">
        <x:v>CDM</x:v>
      </x:c>
      <x:c r="D100" s="82" t="str">
        <x:f>IF(ISNUMBER('Transfer_Ratings'!K100),'Transfer_Ratings'!K100,"")</x:f>
      </x:c>
      <x:c r="E100" s="86"/>
      <x:c r="F100" s="86"/>
      <x:c r="G100" s="86"/>
      <x:c r="H100" s="86"/>
      <x:c r="I100" s="86"/>
      <x:c r="J100" s="82" t="str">
        <x:f>IF(C100="","Choose position",IF(COUNT(E100:I100)&lt;5,"",IF(OR(MIN(E100:I100)&lt;0.1,MAX(E100:I100)&gt;10),"Invalid score",IF(INDEX('Position_Rubric'!$H$6:$H$14,M100)&lt;&gt;1,"Check weights",ROUND(E100*INDEX('Position_Rubric'!$C$6:$C$14,M100)+F100*INDEX('Position_Rubric'!$D$6:$D$14,M100)+G100*INDEX('Position_Rubric'!$E$6:$E$14,M100)+H100*INDEX('Position_Rubric'!$F$6:$F$14,M100)+I100*INDEX('Position_Rubric'!$G$6:$G$14,M100),1)))))</x:f>
      </x:c>
      <x:c r="K100" s="82" t="str">
        <x:f>IF(AND(ISNUMBER(J100),ISNUMBER(D100)),J100-D100,"")</x:f>
      </x:c>
      <x:c r="L100" s="69" t="str">
        <x:f>IF(COUNT(E100:I100)&lt;5,"Needs component scores",IF(ISNUMBER(J100),"Calculated",J100))</x:f>
        <x:v>Needs component scores</x:v>
      </x:c>
      <x:c r="M100" s="69" t="n">
        <x:f>IF(C100="","",MATCH(C100,'Position_Rubric'!$A$6:$A$14,0))</x:f>
        <x:v>1</x:v>
      </x:c>
      <x:c r="N100" s="69" t="str"/>
    </x:row>
    <x:row r="101" ht="25" customHeight="1">
      <x:c r="A101" s="69" t="str">
        <x:v>S26-1347</x:v>
      </x:c>
      <x:c r="B101" s="69" t="str">
        <x:v>Gustavo Puerta</x:v>
      </x:c>
      <x:c r="C101" s="69" t="str">
        <x:v>CDM</x:v>
      </x:c>
      <x:c r="D101" s="82" t="n">
        <x:f>IF(ISNUMBER('Transfer_Ratings'!K101),'Transfer_Ratings'!K101,"")</x:f>
        <x:v>7.8</x:v>
      </x:c>
      <x:c r="E101" s="86"/>
      <x:c r="F101" s="86"/>
      <x:c r="G101" s="86"/>
      <x:c r="H101" s="86"/>
      <x:c r="I101" s="86"/>
      <x:c r="J101" s="82" t="str">
        <x:f>IF(C101="","Choose position",IF(COUNT(E101:I101)&lt;5,"",IF(OR(MIN(E101:I101)&lt;0.1,MAX(E101:I101)&gt;10),"Invalid score",IF(INDEX('Position_Rubric'!$H$6:$H$14,M101)&lt;&gt;1,"Check weights",ROUND(E101*INDEX('Position_Rubric'!$C$6:$C$14,M101)+F101*INDEX('Position_Rubric'!$D$6:$D$14,M101)+G101*INDEX('Position_Rubric'!$E$6:$E$14,M101)+H101*INDEX('Position_Rubric'!$F$6:$F$14,M101)+I101*INDEX('Position_Rubric'!$G$6:$G$14,M101),1)))))</x:f>
      </x:c>
      <x:c r="K101" s="82" t="str">
        <x:f>IF(AND(ISNUMBER(J101),ISNUMBER(D101)),J101-D101,"")</x:f>
      </x:c>
      <x:c r="L101" s="69" t="str">
        <x:f>IF(COUNT(E101:I101)&lt;5,"Needs component scores",IF(ISNUMBER(J101),"Calculated",J101))</x:f>
        <x:v>Needs component scores</x:v>
      </x:c>
      <x:c r="M101" s="69" t="n">
        <x:f>IF(C101="","",MATCH(C101,'Position_Rubric'!$A$6:$A$14,0))</x:f>
        <x:v>1</x:v>
      </x:c>
      <x:c r="N101" s="69" t="str"/>
    </x:row>
    <x:row r="102" ht="25" customHeight="1">
      <x:c r="A102" s="69" t="str">
        <x:v>S26-1376</x:v>
      </x:c>
      <x:c r="B102" s="69" t="str">
        <x:v>Youri Regeer</x:v>
      </x:c>
      <x:c r="C102" s="69" t="str">
        <x:v>CDM</x:v>
      </x:c>
      <x:c r="D102" s="82" t="str">
        <x:f>IF(ISNUMBER('Transfer_Ratings'!K102),'Transfer_Ratings'!K102,"")</x:f>
      </x:c>
      <x:c r="E102" s="86"/>
      <x:c r="F102" s="86"/>
      <x:c r="G102" s="86"/>
      <x:c r="H102" s="86"/>
      <x:c r="I102" s="86"/>
      <x:c r="J102" s="82" t="str">
        <x:f>IF(C102="","Choose position",IF(COUNT(E102:I102)&lt;5,"",IF(OR(MIN(E102:I102)&lt;0.1,MAX(E102:I102)&gt;10),"Invalid score",IF(INDEX('Position_Rubric'!$H$6:$H$14,M102)&lt;&gt;1,"Check weights",ROUND(E102*INDEX('Position_Rubric'!$C$6:$C$14,M102)+F102*INDEX('Position_Rubric'!$D$6:$D$14,M102)+G102*INDEX('Position_Rubric'!$E$6:$E$14,M102)+H102*INDEX('Position_Rubric'!$F$6:$F$14,M102)+I102*INDEX('Position_Rubric'!$G$6:$G$14,M102),1)))))</x:f>
      </x:c>
      <x:c r="K102" s="82" t="str">
        <x:f>IF(AND(ISNUMBER(J102),ISNUMBER(D102)),J102-D102,"")</x:f>
      </x:c>
      <x:c r="L102" s="69" t="str">
        <x:f>IF(COUNT(E102:I102)&lt;5,"Needs component scores",IF(ISNUMBER(J102),"Calculated",J102))</x:f>
        <x:v>Needs component scores</x:v>
      </x:c>
      <x:c r="M102" s="69" t="n">
        <x:f>IF(C102="","",MATCH(C102,'Position_Rubric'!$A$6:$A$14,0))</x:f>
        <x:v>1</x:v>
      </x:c>
      <x:c r="N102" s="69" t="str"/>
    </x:row>
    <x:row r="103" ht="25" customHeight="1">
      <x:c r="A103" s="69" t="str">
        <x:v>S26-1382</x:v>
      </x:c>
      <x:c r="B103" s="69" t="str">
        <x:v>Tim Iroegbunam</x:v>
      </x:c>
      <x:c r="C103" s="69" t="str">
        <x:v>CDM</x:v>
      </x:c>
      <x:c r="D103" s="82" t="n">
        <x:f>IF(ISNUMBER('Transfer_Ratings'!K103),'Transfer_Ratings'!K103,"")</x:f>
        <x:v>7.6</x:v>
      </x:c>
      <x:c r="E103" s="86"/>
      <x:c r="F103" s="86"/>
      <x:c r="G103" s="86"/>
      <x:c r="H103" s="86"/>
      <x:c r="I103" s="86"/>
      <x:c r="J103" s="82" t="str">
        <x:f>IF(C103="","Choose position",IF(COUNT(E103:I103)&lt;5,"",IF(OR(MIN(E103:I103)&lt;0.1,MAX(E103:I103)&gt;10),"Invalid score",IF(INDEX('Position_Rubric'!$H$6:$H$14,M103)&lt;&gt;1,"Check weights",ROUND(E103*INDEX('Position_Rubric'!$C$6:$C$14,M103)+F103*INDEX('Position_Rubric'!$D$6:$D$14,M103)+G103*INDEX('Position_Rubric'!$E$6:$E$14,M103)+H103*INDEX('Position_Rubric'!$F$6:$F$14,M103)+I103*INDEX('Position_Rubric'!$G$6:$G$14,M103),1)))))</x:f>
      </x:c>
      <x:c r="K103" s="82" t="str">
        <x:f>IF(AND(ISNUMBER(J103),ISNUMBER(D103)),J103-D103,"")</x:f>
      </x:c>
      <x:c r="L103" s="69" t="str">
        <x:f>IF(COUNT(E103:I103)&lt;5,"Needs component scores",IF(ISNUMBER(J103),"Calculated",J103))</x:f>
        <x:v>Needs component scores</x:v>
      </x:c>
      <x:c r="M103" s="69" t="n">
        <x:f>IF(C103="","",MATCH(C103,'Position_Rubric'!$A$6:$A$14,0))</x:f>
        <x:v>1</x:v>
      </x:c>
      <x:c r="N103" s="69" t="str"/>
    </x:row>
    <x:row r="104" ht="25" customHeight="1">
      <x:c r="A104" s="69" t="str">
        <x:v>S26-1389</x:v>
      </x:c>
      <x:c r="B104" s="69" t="str">
        <x:v>Jens Cajuste</x:v>
      </x:c>
      <x:c r="C104" s="69" t="str">
        <x:v>CDM</x:v>
      </x:c>
      <x:c r="D104" s="82" t="str">
        <x:f>IF(ISNUMBER('Transfer_Ratings'!K104),'Transfer_Ratings'!K104,"")</x:f>
      </x:c>
      <x:c r="E104" s="86"/>
      <x:c r="F104" s="86"/>
      <x:c r="G104" s="86"/>
      <x:c r="H104" s="86"/>
      <x:c r="I104" s="86"/>
      <x:c r="J104" s="82" t="str">
        <x:f>IF(C104="","Choose position",IF(COUNT(E104:I104)&lt;5,"",IF(OR(MIN(E104:I104)&lt;0.1,MAX(E104:I104)&gt;10),"Invalid score",IF(INDEX('Position_Rubric'!$H$6:$H$14,M104)&lt;&gt;1,"Check weights",ROUND(E104*INDEX('Position_Rubric'!$C$6:$C$14,M104)+F104*INDEX('Position_Rubric'!$D$6:$D$14,M104)+G104*INDEX('Position_Rubric'!$E$6:$E$14,M104)+H104*INDEX('Position_Rubric'!$F$6:$F$14,M104)+I104*INDEX('Position_Rubric'!$G$6:$G$14,M104),1)))))</x:f>
      </x:c>
      <x:c r="K104" s="82" t="str">
        <x:f>IF(AND(ISNUMBER(J104),ISNUMBER(D104)),J104-D104,"")</x:f>
      </x:c>
      <x:c r="L104" s="69" t="str">
        <x:f>IF(COUNT(E104:I104)&lt;5,"Needs component scores",IF(ISNUMBER(J104),"Calculated",J104))</x:f>
        <x:v>Needs component scores</x:v>
      </x:c>
      <x:c r="M104" s="69" t="n">
        <x:f>IF(C104="","",MATCH(C104,'Position_Rubric'!$A$6:$A$14,0))</x:f>
        <x:v>1</x:v>
      </x:c>
      <x:c r="N104" s="69" t="str"/>
    </x:row>
    <x:row r="105" ht="25" customHeight="1">
      <x:c r="A105" s="69" t="str">
        <x:v>S26-1412</x:v>
      </x:c>
      <x:c r="B105" s="69" t="str">
        <x:v>Marc Casadó</x:v>
      </x:c>
      <x:c r="C105" s="69" t="str">
        <x:v>CDM</x:v>
      </x:c>
      <x:c r="D105" s="82" t="str">
        <x:f>IF(ISNUMBER('Transfer_Ratings'!K105),'Transfer_Ratings'!K105,"")</x:f>
      </x:c>
      <x:c r="E105" s="86"/>
      <x:c r="F105" s="86"/>
      <x:c r="G105" s="86"/>
      <x:c r="H105" s="86"/>
      <x:c r="I105" s="86"/>
      <x:c r="J105" s="82" t="str">
        <x:f>IF(C105="","Choose position",IF(COUNT(E105:I105)&lt;5,"",IF(OR(MIN(E105:I105)&lt;0.1,MAX(E105:I105)&gt;10),"Invalid score",IF(INDEX('Position_Rubric'!$H$6:$H$14,M105)&lt;&gt;1,"Check weights",ROUND(E105*INDEX('Position_Rubric'!$C$6:$C$14,M105)+F105*INDEX('Position_Rubric'!$D$6:$D$14,M105)+G105*INDEX('Position_Rubric'!$E$6:$E$14,M105)+H105*INDEX('Position_Rubric'!$F$6:$F$14,M105)+I105*INDEX('Position_Rubric'!$G$6:$G$14,M105),1)))))</x:f>
      </x:c>
      <x:c r="K105" s="82" t="str">
        <x:f>IF(AND(ISNUMBER(J105),ISNUMBER(D105)),J105-D105,"")</x:f>
      </x:c>
      <x:c r="L105" s="69" t="str">
        <x:f>IF(COUNT(E105:I105)&lt;5,"Needs component scores",IF(ISNUMBER(J105),"Calculated",J105))</x:f>
        <x:v>Needs component scores</x:v>
      </x:c>
      <x:c r="M105" s="69" t="n">
        <x:f>IF(C105="","",MATCH(C105,'Position_Rubric'!$A$6:$A$14,0))</x:f>
        <x:v>1</x:v>
      </x:c>
      <x:c r="N105" s="69" t="str"/>
    </x:row>
    <x:row r="106" ht="25" customHeight="1">
      <x:c r="A106" s="69" t="str">
        <x:v>S26-1418</x:v>
      </x:c>
      <x:c r="B106" s="69" t="str">
        <x:v>Youssouf Fofana</x:v>
      </x:c>
      <x:c r="C106" s="69" t="str">
        <x:v>CDM</x:v>
      </x:c>
      <x:c r="D106" s="82" t="str">
        <x:f>IF(ISNUMBER('Transfer_Ratings'!K106),'Transfer_Ratings'!K106,"")</x:f>
      </x:c>
      <x:c r="E106" s="86"/>
      <x:c r="F106" s="86"/>
      <x:c r="G106" s="86"/>
      <x:c r="H106" s="86"/>
      <x:c r="I106" s="86"/>
      <x:c r="J106" s="82" t="str">
        <x:f>IF(C106="","Choose position",IF(COUNT(E106:I106)&lt;5,"",IF(OR(MIN(E106:I106)&lt;0.1,MAX(E106:I106)&gt;10),"Invalid score",IF(INDEX('Position_Rubric'!$H$6:$H$14,M106)&lt;&gt;1,"Check weights",ROUND(E106*INDEX('Position_Rubric'!$C$6:$C$14,M106)+F106*INDEX('Position_Rubric'!$D$6:$D$14,M106)+G106*INDEX('Position_Rubric'!$E$6:$E$14,M106)+H106*INDEX('Position_Rubric'!$F$6:$F$14,M106)+I106*INDEX('Position_Rubric'!$G$6:$G$14,M106),1)))))</x:f>
      </x:c>
      <x:c r="K106" s="82" t="str">
        <x:f>IF(AND(ISNUMBER(J106),ISNUMBER(D106)),J106-D106,"")</x:f>
      </x:c>
      <x:c r="L106" s="69" t="str">
        <x:f>IF(COUNT(E106:I106)&lt;5,"Needs component scores",IF(ISNUMBER(J106),"Calculated",J106))</x:f>
        <x:v>Needs component scores</x:v>
      </x:c>
      <x:c r="M106" s="69" t="n">
        <x:f>IF(C106="","",MATCH(C106,'Position_Rubric'!$A$6:$A$14,0))</x:f>
        <x:v>1</x:v>
      </x:c>
      <x:c r="N106" s="69" t="str"/>
    </x:row>
    <x:row r="107" ht="25" customHeight="1">
      <x:c r="A107" s="69" t="str">
        <x:v>S26-1423</x:v>
      </x:c>
      <x:c r="B107" s="69" t="str">
        <x:v>Chema Andrés</x:v>
      </x:c>
      <x:c r="C107" s="69" t="str">
        <x:v>CDM</x:v>
      </x:c>
      <x:c r="D107" s="82" t="n">
        <x:f>IF(ISNUMBER('Transfer_Ratings'!K107),'Transfer_Ratings'!K107,"")</x:f>
        <x:v>8.1</x:v>
      </x:c>
      <x:c r="E107" s="86"/>
      <x:c r="F107" s="86"/>
      <x:c r="G107" s="86"/>
      <x:c r="H107" s="86"/>
      <x:c r="I107" s="86"/>
      <x:c r="J107" s="82" t="str">
        <x:f>IF(C107="","Choose position",IF(COUNT(E107:I107)&lt;5,"",IF(OR(MIN(E107:I107)&lt;0.1,MAX(E107:I107)&gt;10),"Invalid score",IF(INDEX('Position_Rubric'!$H$6:$H$14,M107)&lt;&gt;1,"Check weights",ROUND(E107*INDEX('Position_Rubric'!$C$6:$C$14,M107)+F107*INDEX('Position_Rubric'!$D$6:$D$14,M107)+G107*INDEX('Position_Rubric'!$E$6:$E$14,M107)+H107*INDEX('Position_Rubric'!$F$6:$F$14,M107)+I107*INDEX('Position_Rubric'!$G$6:$G$14,M107),1)))))</x:f>
      </x:c>
      <x:c r="K107" s="82" t="str">
        <x:f>IF(AND(ISNUMBER(J107),ISNUMBER(D107)),J107-D107,"")</x:f>
      </x:c>
      <x:c r="L107" s="69" t="str">
        <x:f>IF(COUNT(E107:I107)&lt;5,"Needs component scores",IF(ISNUMBER(J107),"Calculated",J107))</x:f>
        <x:v>Needs component scores</x:v>
      </x:c>
      <x:c r="M107" s="69" t="n">
        <x:f>IF(C107="","",MATCH(C107,'Position_Rubric'!$A$6:$A$14,0))</x:f>
        <x:v>1</x:v>
      </x:c>
      <x:c r="N107" s="69" t="str"/>
    </x:row>
    <x:row r="108" ht="25" customHeight="1">
      <x:c r="A108" s="69" t="str">
        <x:v>S26-1428</x:v>
      </x:c>
      <x:c r="B108" s="69" t="str">
        <x:v>Unai Vencedor</x:v>
      </x:c>
      <x:c r="C108" s="69" t="str">
        <x:v>CDM</x:v>
      </x:c>
      <x:c r="D108" s="82" t="n">
        <x:f>IF(ISNUMBER('Transfer_Ratings'!K108),'Transfer_Ratings'!K108,"")</x:f>
        <x:v>7.4</x:v>
      </x:c>
      <x:c r="E108" s="86"/>
      <x:c r="F108" s="86"/>
      <x:c r="G108" s="86"/>
      <x:c r="H108" s="86"/>
      <x:c r="I108" s="86"/>
      <x:c r="J108" s="82" t="str">
        <x:f>IF(C108="","Choose position",IF(COUNT(E108:I108)&lt;5,"",IF(OR(MIN(E108:I108)&lt;0.1,MAX(E108:I108)&gt;10),"Invalid score",IF(INDEX('Position_Rubric'!$H$6:$H$14,M108)&lt;&gt;1,"Check weights",ROUND(E108*INDEX('Position_Rubric'!$C$6:$C$14,M108)+F108*INDEX('Position_Rubric'!$D$6:$D$14,M108)+G108*INDEX('Position_Rubric'!$E$6:$E$14,M108)+H108*INDEX('Position_Rubric'!$F$6:$F$14,M108)+I108*INDEX('Position_Rubric'!$G$6:$G$14,M108),1)))))</x:f>
      </x:c>
      <x:c r="K108" s="82" t="str">
        <x:f>IF(AND(ISNUMBER(J108),ISNUMBER(D108)),J108-D108,"")</x:f>
      </x:c>
      <x:c r="L108" s="69" t="str">
        <x:f>IF(COUNT(E108:I108)&lt;5,"Needs component scores",IF(ISNUMBER(J108),"Calculated",J108))</x:f>
        <x:v>Needs component scores</x:v>
      </x:c>
      <x:c r="M108" s="69" t="n">
        <x:f>IF(C108="","",MATCH(C108,'Position_Rubric'!$A$6:$A$14,0))</x:f>
        <x:v>1</x:v>
      </x:c>
      <x:c r="N108" s="69" t="str"/>
    </x:row>
    <x:row r="109" ht="25" customHeight="1">
      <x:c r="A109" s="69" t="str">
        <x:v>S26-1432</x:v>
      </x:c>
      <x:c r="B109" s="69" t="str">
        <x:v>David Ozoh</x:v>
      </x:c>
      <x:c r="C109" s="69" t="str">
        <x:v>CDM</x:v>
      </x:c>
      <x:c r="D109" s="82" t="n">
        <x:f>IF(ISNUMBER('Transfer_Ratings'!K109),'Transfer_Ratings'!K109,"")</x:f>
        <x:v>7.8</x:v>
      </x:c>
      <x:c r="E109" s="86"/>
      <x:c r="F109" s="86"/>
      <x:c r="G109" s="86"/>
      <x:c r="H109" s="86"/>
      <x:c r="I109" s="86"/>
      <x:c r="J109" s="82" t="str">
        <x:f>IF(C109="","Choose position",IF(COUNT(E109:I109)&lt;5,"",IF(OR(MIN(E109:I109)&lt;0.1,MAX(E109:I109)&gt;10),"Invalid score",IF(INDEX('Position_Rubric'!$H$6:$H$14,M109)&lt;&gt;1,"Check weights",ROUND(E109*INDEX('Position_Rubric'!$C$6:$C$14,M109)+F109*INDEX('Position_Rubric'!$D$6:$D$14,M109)+G109*INDEX('Position_Rubric'!$E$6:$E$14,M109)+H109*INDEX('Position_Rubric'!$F$6:$F$14,M109)+I109*INDEX('Position_Rubric'!$G$6:$G$14,M109),1)))))</x:f>
      </x:c>
      <x:c r="K109" s="82" t="str">
        <x:f>IF(AND(ISNUMBER(J109),ISNUMBER(D109)),J109-D109,"")</x:f>
      </x:c>
      <x:c r="L109" s="69" t="str">
        <x:f>IF(COUNT(E109:I109)&lt;5,"Needs component scores",IF(ISNUMBER(J109),"Calculated",J109))</x:f>
        <x:v>Needs component scores</x:v>
      </x:c>
      <x:c r="M109" s="69" t="n">
        <x:f>IF(C109="","",MATCH(C109,'Position_Rubric'!$A$6:$A$14,0))</x:f>
        <x:v>1</x:v>
      </x:c>
      <x:c r="N109" s="69" t="str"/>
    </x:row>
    <x:row r="110" ht="25" customHeight="1">
      <x:c r="A110" s="69" t="str">
        <x:v>S26-1472</x:v>
      </x:c>
      <x:c r="B110" s="69" t="str">
        <x:v>Eric Martel</x:v>
      </x:c>
      <x:c r="C110" s="69" t="str">
        <x:v>CDM</x:v>
      </x:c>
      <x:c r="D110" s="82" t="n">
        <x:f>IF(ISNUMBER('Transfer_Ratings'!K110),'Transfer_Ratings'!K110,"")</x:f>
        <x:v>8.3</x:v>
      </x:c>
      <x:c r="E110" s="86"/>
      <x:c r="F110" s="86"/>
      <x:c r="G110" s="86"/>
      <x:c r="H110" s="86"/>
      <x:c r="I110" s="86"/>
      <x:c r="J110" s="82" t="str">
        <x:f>IF(C110="","Choose position",IF(COUNT(E110:I110)&lt;5,"",IF(OR(MIN(E110:I110)&lt;0.1,MAX(E110:I110)&gt;10),"Invalid score",IF(INDEX('Position_Rubric'!$H$6:$H$14,M110)&lt;&gt;1,"Check weights",ROUND(E110*INDEX('Position_Rubric'!$C$6:$C$14,M110)+F110*INDEX('Position_Rubric'!$D$6:$D$14,M110)+G110*INDEX('Position_Rubric'!$E$6:$E$14,M110)+H110*INDEX('Position_Rubric'!$F$6:$F$14,M110)+I110*INDEX('Position_Rubric'!$G$6:$G$14,M110),1)))))</x:f>
      </x:c>
      <x:c r="K110" s="82" t="str">
        <x:f>IF(AND(ISNUMBER(J110),ISNUMBER(D110)),J110-D110,"")</x:f>
      </x:c>
      <x:c r="L110" s="69" t="str">
        <x:f>IF(COUNT(E110:I110)&lt;5,"Needs component scores",IF(ISNUMBER(J110),"Calculated",J110))</x:f>
        <x:v>Needs component scores</x:v>
      </x:c>
      <x:c r="M110" s="69" t="n">
        <x:f>IF(C110="","",MATCH(C110,'Position_Rubric'!$A$6:$A$14,0))</x:f>
        <x:v>1</x:v>
      </x:c>
      <x:c r="N110" s="69" t="str"/>
    </x:row>
    <x:row r="111" ht="25" customHeight="1">
      <x:c r="A111" s="69" t="str">
        <x:v>S26-0200</x:v>
      </x:c>
      <x:c r="B111" s="69" t="str">
        <x:v>Elliot Anderson</x:v>
      </x:c>
      <x:c r="C111" s="69" t="str">
        <x:v>CDM</x:v>
      </x:c>
      <x:c r="D111" s="82" t="n">
        <x:f>IF(ISNUMBER('Transfer_Ratings'!K111),'Transfer_Ratings'!K111,"")</x:f>
        <x:v>9.2</x:v>
      </x:c>
      <x:c r="E111" s="86"/>
      <x:c r="F111" s="86"/>
      <x:c r="G111" s="86"/>
      <x:c r="H111" s="86"/>
      <x:c r="I111" s="86"/>
      <x:c r="J111" s="82" t="str">
        <x:f>IF(C111="","Choose position",IF(COUNT(E111:I111)&lt;5,"",IF(OR(MIN(E111:I111)&lt;0.1,MAX(E111:I111)&gt;10),"Invalid score",IF(INDEX('Position_Rubric'!$H$6:$H$14,M111)&lt;&gt;1,"Check weights",ROUND(E111*INDEX('Position_Rubric'!$C$6:$C$14,M111)+F111*INDEX('Position_Rubric'!$D$6:$D$14,M111)+G111*INDEX('Position_Rubric'!$E$6:$E$14,M111)+H111*INDEX('Position_Rubric'!$F$6:$F$14,M111)+I111*INDEX('Position_Rubric'!$G$6:$G$14,M111),1)))))</x:f>
      </x:c>
      <x:c r="K111" s="82" t="str">
        <x:f>IF(AND(ISNUMBER(J111),ISNUMBER(D111)),J111-D111,"")</x:f>
      </x:c>
      <x:c r="L111" s="69" t="str">
        <x:f>IF(COUNT(E111:I111)&lt;5,"Needs component scores",IF(ISNUMBER(J111),"Calculated",J111))</x:f>
        <x:v>Needs component scores</x:v>
      </x:c>
      <x:c r="M111" s="69" t="n">
        <x:f>IF(C111="","",MATCH(C111,'Position_Rubric'!$A$6:$A$14,0))</x:f>
        <x:v>1</x:v>
      </x:c>
      <x:c r="N111" s="69" t="str"/>
    </x:row>
    <x:row r="112" ht="25" customHeight="1">
      <x:c r="A112" s="69" t="str">
        <x:v>S26-0252</x:v>
      </x:c>
      <x:c r="B112" s="69" t="str">
        <x:v>Sandro Tonali</x:v>
      </x:c>
      <x:c r="C112" s="69" t="str">
        <x:v>CDM</x:v>
      </x:c>
      <x:c r="D112" s="82" t="n">
        <x:f>IF(ISNUMBER('Transfer_Ratings'!K112),'Transfer_Ratings'!K112,"")</x:f>
        <x:v>8.6</x:v>
      </x:c>
      <x:c r="E112" s="86"/>
      <x:c r="F112" s="86"/>
      <x:c r="G112" s="86"/>
      <x:c r="H112" s="86"/>
      <x:c r="I112" s="86"/>
      <x:c r="J112" s="82" t="str">
        <x:f>IF(C112="","Choose position",IF(COUNT(E112:I112)&lt;5,"",IF(OR(MIN(E112:I112)&lt;0.1,MAX(E112:I112)&gt;10),"Invalid score",IF(INDEX('Position_Rubric'!$H$6:$H$14,M112)&lt;&gt;1,"Check weights",ROUND(E112*INDEX('Position_Rubric'!$C$6:$C$14,M112)+F112*INDEX('Position_Rubric'!$D$6:$D$14,M112)+G112*INDEX('Position_Rubric'!$E$6:$E$14,M112)+H112*INDEX('Position_Rubric'!$F$6:$F$14,M112)+I112*INDEX('Position_Rubric'!$G$6:$G$14,M112),1)))))</x:f>
      </x:c>
      <x:c r="K112" s="82" t="str">
        <x:f>IF(AND(ISNUMBER(J112),ISNUMBER(D112)),J112-D112,"")</x:f>
      </x:c>
      <x:c r="L112" s="69" t="str">
        <x:f>IF(COUNT(E112:I112)&lt;5,"Needs component scores",IF(ISNUMBER(J112),"Calculated",J112))</x:f>
        <x:v>Needs component scores</x:v>
      </x:c>
      <x:c r="M112" s="69" t="n">
        <x:f>IF(C112="","",MATCH(C112,'Position_Rubric'!$A$6:$A$14,0))</x:f>
        <x:v>1</x:v>
      </x:c>
      <x:c r="N112" s="69" t="str"/>
    </x:row>
    <x:row r="113" ht="25" customHeight="1">
      <x:c r="A113" s="69" t="str">
        <x:v>S26-0843</x:v>
      </x:c>
      <x:c r="B113" s="69" t="str">
        <x:v>Bruno Guimarães</x:v>
      </x:c>
      <x:c r="C113" s="69" t="str">
        <x:v>CDM</x:v>
      </x:c>
      <x:c r="D113" s="82" t="n">
        <x:f>IF(ISNUMBER('Transfer_Ratings'!K113),'Transfer_Ratings'!K113,"")</x:f>
        <x:v>8.7</x:v>
      </x:c>
      <x:c r="E113" s="86"/>
      <x:c r="F113" s="86"/>
      <x:c r="G113" s="86"/>
      <x:c r="H113" s="86"/>
      <x:c r="I113" s="86"/>
      <x:c r="J113" s="82" t="str">
        <x:f>IF(C113="","Choose position",IF(COUNT(E113:I113)&lt;5,"",IF(OR(MIN(E113:I113)&lt;0.1,MAX(E113:I113)&gt;10),"Invalid score",IF(INDEX('Position_Rubric'!$H$6:$H$14,M113)&lt;&gt;1,"Check weights",ROUND(E113*INDEX('Position_Rubric'!$C$6:$C$14,M113)+F113*INDEX('Position_Rubric'!$D$6:$D$14,M113)+G113*INDEX('Position_Rubric'!$E$6:$E$14,M113)+H113*INDEX('Position_Rubric'!$F$6:$F$14,M113)+I113*INDEX('Position_Rubric'!$G$6:$G$14,M113),1)))))</x:f>
      </x:c>
      <x:c r="K113" s="82" t="str">
        <x:f>IF(AND(ISNUMBER(J113),ISNUMBER(D113)),J113-D113,"")</x:f>
      </x:c>
      <x:c r="L113" s="69" t="str">
        <x:f>IF(COUNT(E113:I113)&lt;5,"Needs component scores",IF(ISNUMBER(J113),"Calculated",J113))</x:f>
        <x:v>Needs component scores</x:v>
      </x:c>
      <x:c r="M113" s="69" t="n">
        <x:f>IF(C113="","",MATCH(C113,'Position_Rubric'!$A$6:$A$14,0))</x:f>
        <x:v>1</x:v>
      </x:c>
      <x:c r="N113" s="69" t="str"/>
    </x:row>
    <x:row r="114" ht="25" customHeight="1">
      <x:c r="A114" s="69" t="str">
        <x:v>S26-1012</x:v>
      </x:c>
      <x:c r="B114" s="69" t="str">
        <x:v>Rodri</x:v>
      </x:c>
      <x:c r="C114" s="69" t="str">
        <x:v>CDM</x:v>
      </x:c>
      <x:c r="D114" s="82" t="n">
        <x:f>IF(ISNUMBER('Transfer_Ratings'!K114),'Transfer_Ratings'!K114,"")</x:f>
        <x:v>8.8</x:v>
      </x:c>
      <x:c r="E114" s="86"/>
      <x:c r="F114" s="86"/>
      <x:c r="G114" s="86"/>
      <x:c r="H114" s="86"/>
      <x:c r="I114" s="86"/>
      <x:c r="J114" s="82" t="str">
        <x:f>IF(C114="","Choose position",IF(COUNT(E114:I114)&lt;5,"",IF(OR(MIN(E114:I114)&lt;0.1,MAX(E114:I114)&gt;10),"Invalid score",IF(INDEX('Position_Rubric'!$H$6:$H$14,M114)&lt;&gt;1,"Check weights",ROUND(E114*INDEX('Position_Rubric'!$C$6:$C$14,M114)+F114*INDEX('Position_Rubric'!$D$6:$D$14,M114)+G114*INDEX('Position_Rubric'!$E$6:$E$14,M114)+H114*INDEX('Position_Rubric'!$F$6:$F$14,M114)+I114*INDEX('Position_Rubric'!$G$6:$G$14,M114),1)))))</x:f>
      </x:c>
      <x:c r="K114" s="82" t="str">
        <x:f>IF(AND(ISNUMBER(J114),ISNUMBER(D114)),J114-D114,"")</x:f>
      </x:c>
      <x:c r="L114" s="69" t="str">
        <x:f>IF(COUNT(E114:I114)&lt;5,"Needs component scores",IF(ISNUMBER(J114),"Calculated",J114))</x:f>
        <x:v>Needs component scores</x:v>
      </x:c>
      <x:c r="M114" s="69" t="n">
        <x:f>IF(C114="","",MATCH(C114,'Position_Rubric'!$A$6:$A$14,0))</x:f>
        <x:v>1</x:v>
      </x:c>
      <x:c r="N114" s="69" t="str"/>
    </x:row>
    <x:row r="115" ht="25" customHeight="1">
      <x:c r="A115" s="69" t="str">
        <x:v>S26-1119</x:v>
      </x:c>
      <x:c r="B115" s="69" t="str">
        <x:v>Ayyoub Bouaddi</x:v>
      </x:c>
      <x:c r="C115" s="69" t="str">
        <x:v>CDM</x:v>
      </x:c>
      <x:c r="D115" s="82" t="n">
        <x:f>IF(ISNUMBER('Transfer_Ratings'!K115),'Transfer_Ratings'!K115,"")</x:f>
        <x:v>8.3</x:v>
      </x:c>
      <x:c r="E115" s="86"/>
      <x:c r="F115" s="86"/>
      <x:c r="G115" s="86"/>
      <x:c r="H115" s="86"/>
      <x:c r="I115" s="86"/>
      <x:c r="J115" s="82" t="str">
        <x:f>IF(C115="","Choose position",IF(COUNT(E115:I115)&lt;5,"",IF(OR(MIN(E115:I115)&lt;0.1,MAX(E115:I115)&gt;10),"Invalid score",IF(INDEX('Position_Rubric'!$H$6:$H$14,M115)&lt;&gt;1,"Check weights",ROUND(E115*INDEX('Position_Rubric'!$C$6:$C$14,M115)+F115*INDEX('Position_Rubric'!$D$6:$D$14,M115)+G115*INDEX('Position_Rubric'!$E$6:$E$14,M115)+H115*INDEX('Position_Rubric'!$F$6:$F$14,M115)+I115*INDEX('Position_Rubric'!$G$6:$G$14,M115),1)))))</x:f>
      </x:c>
      <x:c r="K115" s="82" t="str">
        <x:f>IF(AND(ISNUMBER(J115),ISNUMBER(D115)),J115-D115,"")</x:f>
      </x:c>
      <x:c r="L115" s="69" t="str">
        <x:f>IF(COUNT(E115:I115)&lt;5,"Needs component scores",IF(ISNUMBER(J115),"Calculated",J115))</x:f>
        <x:v>Needs component scores</x:v>
      </x:c>
      <x:c r="M115" s="69" t="n">
        <x:f>IF(C115="","",MATCH(C115,'Position_Rubric'!$A$6:$A$14,0))</x:f>
        <x:v>1</x:v>
      </x:c>
      <x:c r="N115" s="69" t="str"/>
    </x:row>
    <x:row r="116" ht="25" customHeight="1">
      <x:c r="A116" s="69" t="str">
        <x:v>S26-1420</x:v>
      </x:c>
      <x:c r="B116" s="69" t="str">
        <x:v>Enzo Fernández</x:v>
      </x:c>
      <x:c r="C116" s="69" t="str">
        <x:v>CDM</x:v>
      </x:c>
      <x:c r="D116" s="82" t="n">
        <x:f>IF(ISNUMBER('Transfer_Ratings'!K116),'Transfer_Ratings'!K116,"")</x:f>
        <x:v>8</x:v>
      </x:c>
      <x:c r="E116" s="86"/>
      <x:c r="F116" s="86"/>
      <x:c r="G116" s="86"/>
      <x:c r="H116" s="86"/>
      <x:c r="I116" s="86"/>
      <x:c r="J116" s="82" t="str">
        <x:f>IF(C116="","Choose position",IF(COUNT(E116:I116)&lt;5,"",IF(OR(MIN(E116:I116)&lt;0.1,MAX(E116:I116)&gt;10),"Invalid score",IF(INDEX('Position_Rubric'!$H$6:$H$14,M116)&lt;&gt;1,"Check weights",ROUND(E116*INDEX('Position_Rubric'!$C$6:$C$14,M116)+F116*INDEX('Position_Rubric'!$D$6:$D$14,M116)+G116*INDEX('Position_Rubric'!$E$6:$E$14,M116)+H116*INDEX('Position_Rubric'!$F$6:$F$14,M116)+I116*INDEX('Position_Rubric'!$G$6:$G$14,M116),1)))))</x:f>
      </x:c>
      <x:c r="K116" s="82" t="str">
        <x:f>IF(AND(ISNUMBER(J116),ISNUMBER(D116)),J116-D116,"")</x:f>
      </x:c>
      <x:c r="L116" s="69" t="str">
        <x:f>IF(COUNT(E116:I116)&lt;5,"Needs component scores",IF(ISNUMBER(J116),"Calculated",J116))</x:f>
        <x:v>Needs component scores</x:v>
      </x:c>
      <x:c r="M116" s="69" t="n">
        <x:f>IF(C116="","",MATCH(C116,'Position_Rubric'!$A$6:$A$14,0))</x:f>
        <x:v>1</x:v>
      </x:c>
      <x:c r="N116" s="69" t="str"/>
    </x:row>
    <x:row r="117" ht="25" customHeight="1">
      <x:c r="A117" s="69" t="str">
        <x:v>reference-gross-2026</x:v>
      </x:c>
      <x:c r="B117" s="69" t="str">
        <x:v>Pascal Groß</x:v>
      </x:c>
      <x:c r="C117" s="69" t="str">
        <x:v>CDM</x:v>
      </x:c>
      <x:c r="D117" s="82" t="n">
        <x:f>IF(ISNUMBER('Transfer_Ratings'!K117),'Transfer_Ratings'!K117,"")</x:f>
        <x:v>8.1</x:v>
      </x:c>
      <x:c r="E117" s="86"/>
      <x:c r="F117" s="86"/>
      <x:c r="G117" s="86"/>
      <x:c r="H117" s="86"/>
      <x:c r="I117" s="86"/>
      <x:c r="J117" s="82" t="str">
        <x:f>IF(C117="","Choose position",IF(COUNT(E117:I117)&lt;5,"",IF(OR(MIN(E117:I117)&lt;0.1,MAX(E117:I117)&gt;10),"Invalid score",IF(INDEX('Position_Rubric'!$H$6:$H$14,M117)&lt;&gt;1,"Check weights",ROUND(E117*INDEX('Position_Rubric'!$C$6:$C$14,M117)+F117*INDEX('Position_Rubric'!$D$6:$D$14,M117)+G117*INDEX('Position_Rubric'!$E$6:$E$14,M117)+H117*INDEX('Position_Rubric'!$F$6:$F$14,M117)+I117*INDEX('Position_Rubric'!$G$6:$G$14,M117),1)))))</x:f>
      </x:c>
      <x:c r="K117" s="82" t="str">
        <x:f>IF(AND(ISNUMBER(J117),ISNUMBER(D117)),J117-D117,"")</x:f>
      </x:c>
      <x:c r="L117" s="69" t="str">
        <x:f>IF(COUNT(E117:I117)&lt;5,"Needs component scores",IF(ISNUMBER(J117),"Calculated",J117))</x:f>
        <x:v>Needs component scores</x:v>
      </x:c>
      <x:c r="M117" s="69" t="n">
        <x:f>IF(C117="","",MATCH(C117,'Position_Rubric'!$A$6:$A$14,0))</x:f>
        <x:v>1</x:v>
      </x:c>
      <x:c r="N117" s="69" t="str"/>
    </x:row>
    <x:row r="118" ht="25" customHeight="1">
      <x:c r="A118" s="69" t="str">
        <x:v>historical-1</x:v>
      </x:c>
      <x:c r="B118" s="69" t="str">
        <x:v>Kylian Mbappé</x:v>
      </x:c>
      <x:c r="C118" s="69" t="str">
        <x:v>ST</x:v>
      </x:c>
      <x:c r="D118" s="82" t="n">
        <x:f>IF(ISNUMBER('Transfer_Ratings'!K118),'Transfer_Ratings'!K118,"")</x:f>
        <x:v>9.4</x:v>
      </x:c>
      <x:c r="E118" s="86"/>
      <x:c r="F118" s="86"/>
      <x:c r="G118" s="86"/>
      <x:c r="H118" s="86"/>
      <x:c r="I118" s="86"/>
      <x:c r="J118" s="82" t="str">
        <x:f>IF(C118="","Choose position",IF(COUNT(E118:I118)&lt;5,"",IF(OR(MIN(E118:I118)&lt;0.1,MAX(E118:I118)&gt;10),"Invalid score",IF(INDEX('Position_Rubric'!$H$6:$H$14,M118)&lt;&gt;1,"Check weights",ROUND(E118*INDEX('Position_Rubric'!$C$6:$C$14,M118)+F118*INDEX('Position_Rubric'!$D$6:$D$14,M118)+G118*INDEX('Position_Rubric'!$E$6:$E$14,M118)+H118*INDEX('Position_Rubric'!$F$6:$F$14,M118)+I118*INDEX('Position_Rubric'!$G$6:$G$14,M118),1)))))</x:f>
      </x:c>
      <x:c r="K118" s="82" t="str">
        <x:f>IF(AND(ISNUMBER(J118),ISNUMBER(D118)),J118-D118,"")</x:f>
      </x:c>
      <x:c r="L118" s="69" t="str">
        <x:f>IF(COUNT(E118:I118)&lt;5,"Needs component scores",IF(ISNUMBER(J118),"Calculated",J118))</x:f>
        <x:v>Needs component scores</x:v>
      </x:c>
      <x:c r="M118" s="69" t="n">
        <x:f>IF(C118="","",MATCH(C118,'Position_Rubric'!$A$6:$A$14,0))</x:f>
        <x:v>8</x:v>
      </x:c>
      <x:c r="N118" s="69" t="str"/>
    </x:row>
    <x:row r="119" ht="25" customHeight="1">
      <x:c r="A119" s="69" t="str">
        <x:v>historical-3</x:v>
      </x:c>
      <x:c r="B119" s="69" t="str">
        <x:v>Alexander Isak</x:v>
      </x:c>
      <x:c r="C119" s="69" t="str">
        <x:v>ST</x:v>
      </x:c>
      <x:c r="D119" s="82" t="n">
        <x:f>IF(ISNUMBER('Transfer_Ratings'!K119),'Transfer_Ratings'!K119,"")</x:f>
        <x:v>7.1</x:v>
      </x:c>
      <x:c r="E119" s="86"/>
      <x:c r="F119" s="86"/>
      <x:c r="G119" s="86"/>
      <x:c r="H119" s="86"/>
      <x:c r="I119" s="86"/>
      <x:c r="J119" s="82" t="str">
        <x:f>IF(C119="","Choose position",IF(COUNT(E119:I119)&lt;5,"",IF(OR(MIN(E119:I119)&lt;0.1,MAX(E119:I119)&gt;10),"Invalid score",IF(INDEX('Position_Rubric'!$H$6:$H$14,M119)&lt;&gt;1,"Check weights",ROUND(E119*INDEX('Position_Rubric'!$C$6:$C$14,M119)+F119*INDEX('Position_Rubric'!$D$6:$D$14,M119)+G119*INDEX('Position_Rubric'!$E$6:$E$14,M119)+H119*INDEX('Position_Rubric'!$F$6:$F$14,M119)+I119*INDEX('Position_Rubric'!$G$6:$G$14,M119),1)))))</x:f>
      </x:c>
      <x:c r="K119" s="82" t="str">
        <x:f>IF(AND(ISNUMBER(J119),ISNUMBER(D119)),J119-D119,"")</x:f>
      </x:c>
      <x:c r="L119" s="69" t="str">
        <x:f>IF(COUNT(E119:I119)&lt;5,"Needs component scores",IF(ISNUMBER(J119),"Calculated",J119))</x:f>
        <x:v>Needs component scores</x:v>
      </x:c>
      <x:c r="M119" s="69" t="n">
        <x:f>IF(C119="","",MATCH(C119,'Position_Rubric'!$A$6:$A$14,0))</x:f>
        <x:v>8</x:v>
      </x:c>
      <x:c r="N119" s="69" t="str"/>
    </x:row>
    <x:row r="120" ht="25" customHeight="1">
      <x:c r="A120" s="69" t="str">
        <x:v>historical-8</x:v>
      </x:c>
      <x:c r="B120" s="69" t="str">
        <x:v>João Félix</x:v>
      </x:c>
      <x:c r="C120" s="69" t="str">
        <x:v>ST</x:v>
      </x:c>
      <x:c r="D120" s="82" t="n">
        <x:f>IF(ISNUMBER('Transfer_Ratings'!K120),'Transfer_Ratings'!K120,"")</x:f>
        <x:v>5.9</x:v>
      </x:c>
      <x:c r="E120" s="86"/>
      <x:c r="F120" s="86"/>
      <x:c r="G120" s="86"/>
      <x:c r="H120" s="86"/>
      <x:c r="I120" s="86"/>
      <x:c r="J120" s="82" t="str">
        <x:f>IF(C120="","Choose position",IF(COUNT(E120:I120)&lt;5,"",IF(OR(MIN(E120:I120)&lt;0.1,MAX(E120:I120)&gt;10),"Invalid score",IF(INDEX('Position_Rubric'!$H$6:$H$14,M120)&lt;&gt;1,"Check weights",ROUND(E120*INDEX('Position_Rubric'!$C$6:$C$14,M120)+F120*INDEX('Position_Rubric'!$D$6:$D$14,M120)+G120*INDEX('Position_Rubric'!$E$6:$E$14,M120)+H120*INDEX('Position_Rubric'!$F$6:$F$14,M120)+I120*INDEX('Position_Rubric'!$G$6:$G$14,M120),1)))))</x:f>
      </x:c>
      <x:c r="K120" s="82" t="str">
        <x:f>IF(AND(ISNUMBER(J120),ISNUMBER(D120)),J120-D120,"")</x:f>
      </x:c>
      <x:c r="L120" s="69" t="str">
        <x:f>IF(COUNT(E120:I120)&lt;5,"Needs component scores",IF(ISNUMBER(J120),"Calculated",J120))</x:f>
        <x:v>Needs component scores</x:v>
      </x:c>
      <x:c r="M120" s="69" t="n">
        <x:f>IF(C120="","",MATCH(C120,'Position_Rubric'!$A$6:$A$14,0))</x:f>
        <x:v>8</x:v>
      </x:c>
      <x:c r="N120" s="69" t="str"/>
    </x:row>
    <x:row r="121" ht="25" customHeight="1">
      <x:c r="A121" s="69" t="str">
        <x:v>historical-14</x:v>
      </x:c>
      <x:c r="B121" s="69" t="str">
        <x:v>Antoine Griezmann</x:v>
      </x:c>
      <x:c r="C121" s="69" t="str">
        <x:v>ST</x:v>
      </x:c>
      <x:c r="D121" s="82" t="n">
        <x:f>IF(ISNUMBER('Transfer_Ratings'!K121),'Transfer_Ratings'!K121,"")</x:f>
        <x:v>6.3</x:v>
      </x:c>
      <x:c r="E121" s="86"/>
      <x:c r="F121" s="86"/>
      <x:c r="G121" s="86"/>
      <x:c r="H121" s="86"/>
      <x:c r="I121" s="86"/>
      <x:c r="J121" s="82" t="str">
        <x:f>IF(C121="","Choose position",IF(COUNT(E121:I121)&lt;5,"",IF(OR(MIN(E121:I121)&lt;0.1,MAX(E121:I121)&gt;10),"Invalid score",IF(INDEX('Position_Rubric'!$H$6:$H$14,M121)&lt;&gt;1,"Check weights",ROUND(E121*INDEX('Position_Rubric'!$C$6:$C$14,M121)+F121*INDEX('Position_Rubric'!$D$6:$D$14,M121)+G121*INDEX('Position_Rubric'!$E$6:$E$14,M121)+H121*INDEX('Position_Rubric'!$F$6:$F$14,M121)+I121*INDEX('Position_Rubric'!$G$6:$G$14,M121),1)))))</x:f>
      </x:c>
      <x:c r="K121" s="82" t="str">
        <x:f>IF(AND(ISNUMBER(J121),ISNUMBER(D121)),J121-D121,"")</x:f>
      </x:c>
      <x:c r="L121" s="69" t="str">
        <x:f>IF(COUNT(E121:I121)&lt;5,"Needs component scores",IF(ISNUMBER(J121),"Calculated",J121))</x:f>
        <x:v>Needs component scores</x:v>
      </x:c>
      <x:c r="M121" s="69" t="n">
        <x:f>IF(C121="","",MATCH(C121,'Position_Rubric'!$A$6:$A$14,0))</x:f>
        <x:v>8</x:v>
      </x:c>
      <x:c r="N121" s="69" t="str"/>
    </x:row>
    <x:row r="122" ht="25" customHeight="1">
      <x:c r="A122" s="69" t="str">
        <x:v>historical-16</x:v>
      </x:c>
      <x:c r="B122" s="69" t="str">
        <x:v>Cristiano Ronaldo</x:v>
      </x:c>
      <x:c r="C122" s="69" t="str">
        <x:v>ST</x:v>
      </x:c>
      <x:c r="D122" s="82" t="n">
        <x:f>IF(ISNUMBER('Transfer_Ratings'!K122),'Transfer_Ratings'!K122,"")</x:f>
        <x:v>8.5</x:v>
      </x:c>
      <x:c r="E122" s="86"/>
      <x:c r="F122" s="86"/>
      <x:c r="G122" s="86"/>
      <x:c r="H122" s="86"/>
      <x:c r="I122" s="86"/>
      <x:c r="J122" s="82" t="str">
        <x:f>IF(C122="","Choose position",IF(COUNT(E122:I122)&lt;5,"",IF(OR(MIN(E122:I122)&lt;0.1,MAX(E122:I122)&gt;10),"Invalid score",IF(INDEX('Position_Rubric'!$H$6:$H$14,M122)&lt;&gt;1,"Check weights",ROUND(E122*INDEX('Position_Rubric'!$C$6:$C$14,M122)+F122*INDEX('Position_Rubric'!$D$6:$D$14,M122)+G122*INDEX('Position_Rubric'!$E$6:$E$14,M122)+H122*INDEX('Position_Rubric'!$F$6:$F$14,M122)+I122*INDEX('Position_Rubric'!$G$6:$G$14,M122),1)))))</x:f>
      </x:c>
      <x:c r="K122" s="82" t="str">
        <x:f>IF(AND(ISNUMBER(J122),ISNUMBER(D122)),J122-D122,"")</x:f>
      </x:c>
      <x:c r="L122" s="69" t="str">
        <x:f>IF(COUNT(E122:I122)&lt;5,"Needs component scores",IF(ISNUMBER(J122),"Calculated",J122))</x:f>
        <x:v>Needs component scores</x:v>
      </x:c>
      <x:c r="M122" s="69" t="n">
        <x:f>IF(C122="","",MATCH(C122,'Position_Rubric'!$A$6:$A$14,0))</x:f>
        <x:v>8</x:v>
      </x:c>
      <x:c r="N122" s="69" t="str"/>
    </x:row>
    <x:row r="123" ht="25" customHeight="1">
      <x:c r="A123" s="69" t="str">
        <x:v>historical-19</x:v>
      </x:c>
      <x:c r="B123" s="69" t="str">
        <x:v>Romelu Lukaku</x:v>
      </x:c>
      <x:c r="C123" s="69" t="str">
        <x:v>ST</x:v>
      </x:c>
      <x:c r="D123" s="82" t="n">
        <x:f>IF(ISNUMBER('Transfer_Ratings'!K123),'Transfer_Ratings'!K123,"")</x:f>
        <x:v>4.9</x:v>
      </x:c>
      <x:c r="E123" s="86"/>
      <x:c r="F123" s="86"/>
      <x:c r="G123" s="86"/>
      <x:c r="H123" s="86"/>
      <x:c r="I123" s="86"/>
      <x:c r="J123" s="82" t="str">
        <x:f>IF(C123="","Choose position",IF(COUNT(E123:I123)&lt;5,"",IF(OR(MIN(E123:I123)&lt;0.1,MAX(E123:I123)&gt;10),"Invalid score",IF(INDEX('Position_Rubric'!$H$6:$H$14,M123)&lt;&gt;1,"Check weights",ROUND(E123*INDEX('Position_Rubric'!$C$6:$C$14,M123)+F123*INDEX('Position_Rubric'!$D$6:$D$14,M123)+G123*INDEX('Position_Rubric'!$E$6:$E$14,M123)+H123*INDEX('Position_Rubric'!$F$6:$F$14,M123)+I123*INDEX('Position_Rubric'!$G$6:$G$14,M123),1)))))</x:f>
      </x:c>
      <x:c r="K123" s="82" t="str">
        <x:f>IF(AND(ISNUMBER(J123),ISNUMBER(D123)),J123-D123,"")</x:f>
      </x:c>
      <x:c r="L123" s="69" t="str">
        <x:f>IF(COUNT(E123:I123)&lt;5,"Needs component scores",IF(ISNUMBER(J123),"Calculated",J123))</x:f>
        <x:v>Needs component scores</x:v>
      </x:c>
      <x:c r="M123" s="69" t="n">
        <x:f>IF(C123="","",MATCH(C123,'Position_Rubric'!$A$6:$A$14,0))</x:f>
        <x:v>8</x:v>
      </x:c>
      <x:c r="N123" s="69" t="str"/>
    </x:row>
    <x:row r="124" ht="25" customHeight="1">
      <x:c r="A124" s="69" t="str">
        <x:v>historical-22</x:v>
      </x:c>
      <x:c r="B124" s="69" t="str">
        <x:v>Kai Havertz</x:v>
      </x:c>
      <x:c r="C124" s="69" t="str">
        <x:v>ST</x:v>
      </x:c>
      <x:c r="D124" s="82" t="n">
        <x:f>IF(ISNUMBER('Transfer_Ratings'!K124),'Transfer_Ratings'!K124,"")</x:f>
        <x:v>6.8</x:v>
      </x:c>
      <x:c r="E124" s="86"/>
      <x:c r="F124" s="86"/>
      <x:c r="G124" s="86"/>
      <x:c r="H124" s="86"/>
      <x:c r="I124" s="86"/>
      <x:c r="J124" s="82" t="str">
        <x:f>IF(C124="","Choose position",IF(COUNT(E124:I124)&lt;5,"",IF(OR(MIN(E124:I124)&lt;0.1,MAX(E124:I124)&gt;10),"Invalid score",IF(INDEX('Position_Rubric'!$H$6:$H$14,M124)&lt;&gt;1,"Check weights",ROUND(E124*INDEX('Position_Rubric'!$C$6:$C$14,M124)+F124*INDEX('Position_Rubric'!$D$6:$D$14,M124)+G124*INDEX('Position_Rubric'!$E$6:$E$14,M124)+H124*INDEX('Position_Rubric'!$F$6:$F$14,M124)+I124*INDEX('Position_Rubric'!$G$6:$G$14,M124),1)))))</x:f>
      </x:c>
      <x:c r="K124" s="82" t="str">
        <x:f>IF(AND(ISNUMBER(J124),ISNUMBER(D124)),J124-D124,"")</x:f>
      </x:c>
      <x:c r="L124" s="69" t="str">
        <x:f>IF(COUNT(E124:I124)&lt;5,"Needs component scores",IF(ISNUMBER(J124),"Calculated",J124))</x:f>
        <x:v>Needs component scores</x:v>
      </x:c>
      <x:c r="M124" s="69" t="n">
        <x:f>IF(C124="","",MATCH(C124,'Position_Rubric'!$A$6:$A$14,0))</x:f>
        <x:v>8</x:v>
      </x:c>
      <x:c r="N124" s="69" t="str"/>
    </x:row>
    <x:row r="125" ht="25" customHeight="1">
      <x:c r="A125" s="69" t="str">
        <x:v>historical-25</x:v>
      </x:c>
      <x:c r="B125" s="69" t="str">
        <x:v>Hugo Ekitiké</x:v>
      </x:c>
      <x:c r="C125" s="69" t="str">
        <x:v>ST</x:v>
      </x:c>
      <x:c r="D125" s="82" t="n">
        <x:f>IF(ISNUMBER('Transfer_Ratings'!K125),'Transfer_Ratings'!K125,"")</x:f>
        <x:v>8.8</x:v>
      </x:c>
      <x:c r="E125" s="86"/>
      <x:c r="F125" s="86"/>
      <x:c r="G125" s="86"/>
      <x:c r="H125" s="86"/>
      <x:c r="I125" s="86"/>
      <x:c r="J125" s="82" t="str">
        <x:f>IF(C125="","Choose position",IF(COUNT(E125:I125)&lt;5,"",IF(OR(MIN(E125:I125)&lt;0.1,MAX(E125:I125)&gt;10),"Invalid score",IF(INDEX('Position_Rubric'!$H$6:$H$14,M125)&lt;&gt;1,"Check weights",ROUND(E125*INDEX('Position_Rubric'!$C$6:$C$14,M125)+F125*INDEX('Position_Rubric'!$D$6:$D$14,M125)+G125*INDEX('Position_Rubric'!$E$6:$E$14,M125)+H125*INDEX('Position_Rubric'!$F$6:$F$14,M125)+I125*INDEX('Position_Rubric'!$G$6:$G$14,M125),1)))))</x:f>
      </x:c>
      <x:c r="K125" s="82" t="str">
        <x:f>IF(AND(ISNUMBER(J125),ISNUMBER(D125)),J125-D125,"")</x:f>
      </x:c>
      <x:c r="L125" s="69" t="str">
        <x:f>IF(COUNT(E125:I125)&lt;5,"Needs component scores",IF(ISNUMBER(J125),"Calculated",J125))</x:f>
        <x:v>Needs component scores</x:v>
      </x:c>
      <x:c r="M125" s="69" t="n">
        <x:f>IF(C125="","",MATCH(C125,'Position_Rubric'!$A$6:$A$14,0))</x:f>
        <x:v>8</x:v>
      </x:c>
      <x:c r="N125" s="69" t="str"/>
    </x:row>
    <x:row r="126" ht="25" customHeight="1">
      <x:c r="A126" s="69" t="str">
        <x:v>historical-26</x:v>
      </x:c>
      <x:c r="B126" s="69" t="str">
        <x:v>Harry Kane</x:v>
      </x:c>
      <x:c r="C126" s="69" t="str">
        <x:v>ST</x:v>
      </x:c>
      <x:c r="D126" s="82" t="n">
        <x:f>IF(ISNUMBER('Transfer_Ratings'!K126),'Transfer_Ratings'!K126,"")</x:f>
        <x:v>9.5</x:v>
      </x:c>
      <x:c r="E126" s="86"/>
      <x:c r="F126" s="86"/>
      <x:c r="G126" s="86"/>
      <x:c r="H126" s="86"/>
      <x:c r="I126" s="86"/>
      <x:c r="J126" s="82" t="str">
        <x:f>IF(C126="","Choose position",IF(COUNT(E126:I126)&lt;5,"",IF(OR(MIN(E126:I126)&lt;0.1,MAX(E126:I126)&gt;10),"Invalid score",IF(INDEX('Position_Rubric'!$H$6:$H$14,M126)&lt;&gt;1,"Check weights",ROUND(E126*INDEX('Position_Rubric'!$C$6:$C$14,M126)+F126*INDEX('Position_Rubric'!$D$6:$D$14,M126)+G126*INDEX('Position_Rubric'!$E$6:$E$14,M126)+H126*INDEX('Position_Rubric'!$F$6:$F$14,M126)+I126*INDEX('Position_Rubric'!$G$6:$G$14,M126),1)))))</x:f>
      </x:c>
      <x:c r="K126" s="82" t="str">
        <x:f>IF(AND(ISNUMBER(J126),ISNUMBER(D126)),J126-D126,"")</x:f>
      </x:c>
      <x:c r="L126" s="69" t="str">
        <x:f>IF(COUNT(E126:I126)&lt;5,"Needs component scores",IF(ISNUMBER(J126),"Calculated",J126))</x:f>
        <x:v>Needs component scores</x:v>
      </x:c>
      <x:c r="M126" s="69" t="n">
        <x:f>IF(C126="","",MATCH(C126,'Position_Rubric'!$A$6:$A$14,0))</x:f>
        <x:v>8</x:v>
      </x:c>
      <x:c r="N126" s="69" t="str"/>
    </x:row>
    <x:row r="127" ht="25" customHeight="1">
      <x:c r="A127" s="69" t="str">
        <x:v>historical-28</x:v>
      </x:c>
      <x:c r="B127" s="69" t="str">
        <x:v>Randal Kolo Muani</x:v>
      </x:c>
      <x:c r="C127" s="69" t="str">
        <x:v>ST</x:v>
      </x:c>
      <x:c r="D127" s="82" t="n">
        <x:f>IF(ISNUMBER('Transfer_Ratings'!K127),'Transfer_Ratings'!K127,"")</x:f>
        <x:v>5.8</x:v>
      </x:c>
      <x:c r="E127" s="86"/>
      <x:c r="F127" s="86"/>
      <x:c r="G127" s="86"/>
      <x:c r="H127" s="86"/>
      <x:c r="I127" s="86"/>
      <x:c r="J127" s="82" t="str">
        <x:f>IF(C127="","Choose position",IF(COUNT(E127:I127)&lt;5,"",IF(OR(MIN(E127:I127)&lt;0.1,MAX(E127:I127)&gt;10),"Invalid score",IF(INDEX('Position_Rubric'!$H$6:$H$14,M127)&lt;&gt;1,"Check weights",ROUND(E127*INDEX('Position_Rubric'!$C$6:$C$14,M127)+F127*INDEX('Position_Rubric'!$D$6:$D$14,M127)+G127*INDEX('Position_Rubric'!$E$6:$E$14,M127)+H127*INDEX('Position_Rubric'!$F$6:$F$14,M127)+I127*INDEX('Position_Rubric'!$G$6:$G$14,M127),1)))))</x:f>
      </x:c>
      <x:c r="K127" s="82" t="str">
        <x:f>IF(AND(ISNUMBER(J127),ISNUMBER(D127)),J127-D127,"")</x:f>
      </x:c>
      <x:c r="L127" s="69" t="str">
        <x:f>IF(COUNT(E127:I127)&lt;5,"Needs component scores",IF(ISNUMBER(J127),"Calculated",J127))</x:f>
        <x:v>Needs component scores</x:v>
      </x:c>
      <x:c r="M127" s="69" t="n">
        <x:f>IF(C127="","",MATCH(C127,'Position_Rubric'!$A$6:$A$14,0))</x:f>
        <x:v>8</x:v>
      </x:c>
      <x:c r="N127" s="69" t="str"/>
    </x:row>
    <x:row r="128" ht="25" customHeight="1">
      <x:c r="A128" s="69" t="str">
        <x:v>historical-29</x:v>
      </x:c>
      <x:c r="B128" s="69" t="str">
        <x:v>Cristiano Ronaldo</x:v>
      </x:c>
      <x:c r="C128" s="69" t="str">
        <x:v>ST</x:v>
      </x:c>
      <x:c r="D128" s="82" t="n">
        <x:f>IF(ISNUMBER('Transfer_Ratings'!K128),'Transfer_Ratings'!K128,"")</x:f>
        <x:v>9.9</x:v>
      </x:c>
      <x:c r="E128" s="86"/>
      <x:c r="F128" s="86"/>
      <x:c r="G128" s="86"/>
      <x:c r="H128" s="86"/>
      <x:c r="I128" s="86"/>
      <x:c r="J128" s="82" t="str">
        <x:f>IF(C128="","Choose position",IF(COUNT(E128:I128)&lt;5,"",IF(OR(MIN(E128:I128)&lt;0.1,MAX(E128:I128)&gt;10),"Invalid score",IF(INDEX('Position_Rubric'!$H$6:$H$14,M128)&lt;&gt;1,"Check weights",ROUND(E128*INDEX('Position_Rubric'!$C$6:$C$14,M128)+F128*INDEX('Position_Rubric'!$D$6:$D$14,M128)+G128*INDEX('Position_Rubric'!$E$6:$E$14,M128)+H128*INDEX('Position_Rubric'!$F$6:$F$14,M128)+I128*INDEX('Position_Rubric'!$G$6:$G$14,M128),1)))))</x:f>
      </x:c>
      <x:c r="K128" s="82" t="str">
        <x:f>IF(AND(ISNUMBER(J128),ISNUMBER(D128)),J128-D128,"")</x:f>
      </x:c>
      <x:c r="L128" s="69" t="str">
        <x:f>IF(COUNT(E128:I128)&lt;5,"Needs component scores",IF(ISNUMBER(J128),"Calculated",J128))</x:f>
        <x:v>Needs component scores</x:v>
      </x:c>
      <x:c r="M128" s="69" t="n">
        <x:f>IF(C128="","",MATCH(C128,'Position_Rubric'!$A$6:$A$14,0))</x:f>
        <x:v>8</x:v>
      </x:c>
      <x:c r="N128" s="69" t="str"/>
    </x:row>
    <x:row r="129" ht="25" customHeight="1">
      <x:c r="A129" s="69" t="str">
        <x:v>historical-37</x:v>
      </x:c>
      <x:c r="B129" s="69" t="str">
        <x:v>Dušan Vlahović</x:v>
      </x:c>
      <x:c r="C129" s="69" t="str">
        <x:v>ST</x:v>
      </x:c>
      <x:c r="D129" s="82" t="n">
        <x:f>IF(ISNUMBER('Transfer_Ratings'!K129),'Transfer_Ratings'!K129,"")</x:f>
        <x:v>7.2</x:v>
      </x:c>
      <x:c r="E129" s="86"/>
      <x:c r="F129" s="86"/>
      <x:c r="G129" s="86"/>
      <x:c r="H129" s="86"/>
      <x:c r="I129" s="86"/>
      <x:c r="J129" s="82" t="str">
        <x:f>IF(C129="","Choose position",IF(COUNT(E129:I129)&lt;5,"",IF(OR(MIN(E129:I129)&lt;0.1,MAX(E129:I129)&gt;10),"Invalid score",IF(INDEX('Position_Rubric'!$H$6:$H$14,M129)&lt;&gt;1,"Check weights",ROUND(E129*INDEX('Position_Rubric'!$C$6:$C$14,M129)+F129*INDEX('Position_Rubric'!$D$6:$D$14,M129)+G129*INDEX('Position_Rubric'!$E$6:$E$14,M129)+H129*INDEX('Position_Rubric'!$F$6:$F$14,M129)+I129*INDEX('Position_Rubric'!$G$6:$G$14,M129),1)))))</x:f>
      </x:c>
      <x:c r="K129" s="82" t="str">
        <x:f>IF(AND(ISNUMBER(J129),ISNUMBER(D129)),J129-D129,"")</x:f>
      </x:c>
      <x:c r="L129" s="69" t="str">
        <x:f>IF(COUNT(E129:I129)&lt;5,"Needs component scores",IF(ISNUMBER(J129),"Calculated",J129))</x:f>
        <x:v>Needs component scores</x:v>
      </x:c>
      <x:c r="M129" s="69" t="n">
        <x:f>IF(C129="","",MATCH(C129,'Position_Rubric'!$A$6:$A$14,0))</x:f>
        <x:v>8</x:v>
      </x:c>
      <x:c r="N129" s="69" t="str"/>
    </x:row>
    <x:row r="130" ht="25" customHeight="1">
      <x:c r="A130" s="69" t="str">
        <x:v>historical-39</x:v>
      </x:c>
      <x:c r="B130" s="69" t="str">
        <x:v>Darwin Núñez</x:v>
      </x:c>
      <x:c r="C130" s="69" t="str">
        <x:v>ST</x:v>
      </x:c>
      <x:c r="D130" s="82" t="n">
        <x:f>IF(ISNUMBER('Transfer_Ratings'!K130),'Transfer_Ratings'!K130,"")</x:f>
        <x:v>6.8</x:v>
      </x:c>
      <x:c r="E130" s="86"/>
      <x:c r="F130" s="86"/>
      <x:c r="G130" s="86"/>
      <x:c r="H130" s="86"/>
      <x:c r="I130" s="86"/>
      <x:c r="J130" s="82" t="str">
        <x:f>IF(C130="","Choose position",IF(COUNT(E130:I130)&lt;5,"",IF(OR(MIN(E130:I130)&lt;0.1,MAX(E130:I130)&gt;10),"Invalid score",IF(INDEX('Position_Rubric'!$H$6:$H$14,M130)&lt;&gt;1,"Check weights",ROUND(E130*INDEX('Position_Rubric'!$C$6:$C$14,M130)+F130*INDEX('Position_Rubric'!$D$6:$D$14,M130)+G130*INDEX('Position_Rubric'!$E$6:$E$14,M130)+H130*INDEX('Position_Rubric'!$F$6:$F$14,M130)+I130*INDEX('Position_Rubric'!$G$6:$G$14,M130),1)))))</x:f>
      </x:c>
      <x:c r="K130" s="82" t="str">
        <x:f>IF(AND(ISNUMBER(J130),ISNUMBER(D130)),J130-D130,"")</x:f>
      </x:c>
      <x:c r="L130" s="69" t="str">
        <x:f>IF(COUNT(E130:I130)&lt;5,"Needs component scores",IF(ISNUMBER(J130),"Calculated",J130))</x:f>
        <x:v>Needs component scores</x:v>
      </x:c>
      <x:c r="M130" s="69" t="n">
        <x:f>IF(C130="","",MATCH(C130,'Position_Rubric'!$A$6:$A$14,0))</x:f>
        <x:v>8</x:v>
      </x:c>
      <x:c r="N130" s="69" t="str"/>
    </x:row>
    <x:row r="131" ht="25" customHeight="1">
      <x:c r="A131" s="69" t="str">
        <x:v>historical-40</x:v>
      </x:c>
      <x:c r="B131" s="69" t="str">
        <x:v>Romelu Lukaku</x:v>
      </x:c>
      <x:c r="C131" s="69" t="str">
        <x:v>ST</x:v>
      </x:c>
      <x:c r="D131" s="82" t="n">
        <x:f>IF(ISNUMBER('Transfer_Ratings'!K131),'Transfer_Ratings'!K131,"")</x:f>
        <x:v>7.2</x:v>
      </x:c>
      <x:c r="E131" s="86"/>
      <x:c r="F131" s="86"/>
      <x:c r="G131" s="86"/>
      <x:c r="H131" s="86"/>
      <x:c r="I131" s="86"/>
      <x:c r="J131" s="82" t="str">
        <x:f>IF(C131="","Choose position",IF(COUNT(E131:I131)&lt;5,"",IF(OR(MIN(E131:I131)&lt;0.1,MAX(E131:I131)&gt;10),"Invalid score",IF(INDEX('Position_Rubric'!$H$6:$H$14,M131)&lt;&gt;1,"Check weights",ROUND(E131*INDEX('Position_Rubric'!$C$6:$C$14,M131)+F131*INDEX('Position_Rubric'!$D$6:$D$14,M131)+G131*INDEX('Position_Rubric'!$E$6:$E$14,M131)+H131*INDEX('Position_Rubric'!$F$6:$F$14,M131)+I131*INDEX('Position_Rubric'!$G$6:$G$14,M131),1)))))</x:f>
      </x:c>
      <x:c r="K131" s="82" t="str">
        <x:f>IF(AND(ISNUMBER(J131),ISNUMBER(D131)),J131-D131,"")</x:f>
      </x:c>
      <x:c r="L131" s="69" t="str">
        <x:f>IF(COUNT(E131:I131)&lt;5,"Needs component scores",IF(ISNUMBER(J131),"Calculated",J131))</x:f>
        <x:v>Needs component scores</x:v>
      </x:c>
      <x:c r="M131" s="69" t="n">
        <x:f>IF(C131="","",MATCH(C131,'Position_Rubric'!$A$6:$A$14,0))</x:f>
        <x:v>8</x:v>
      </x:c>
      <x:c r="N131" s="69" t="str"/>
    </x:row>
    <x:row r="132" ht="25" customHeight="1">
      <x:c r="A132" s="69" t="str">
        <x:v>historical-42</x:v>
      </x:c>
      <x:c r="B132" s="69" t="str">
        <x:v>Luis Suárez</x:v>
      </x:c>
      <x:c r="C132" s="69" t="str">
        <x:v>ST</x:v>
      </x:c>
      <x:c r="D132" s="82" t="n">
        <x:f>IF(ISNUMBER('Transfer_Ratings'!K132),'Transfer_Ratings'!K132,"")</x:f>
        <x:v>9.8</x:v>
      </x:c>
      <x:c r="E132" s="86"/>
      <x:c r="F132" s="86"/>
      <x:c r="G132" s="86"/>
      <x:c r="H132" s="86"/>
      <x:c r="I132" s="86"/>
      <x:c r="J132" s="82" t="str">
        <x:f>IF(C132="","Choose position",IF(COUNT(E132:I132)&lt;5,"",IF(OR(MIN(E132:I132)&lt;0.1,MAX(E132:I132)&gt;10),"Invalid score",IF(INDEX('Position_Rubric'!$H$6:$H$14,M132)&lt;&gt;1,"Check weights",ROUND(E132*INDEX('Position_Rubric'!$C$6:$C$14,M132)+F132*INDEX('Position_Rubric'!$D$6:$D$14,M132)+G132*INDEX('Position_Rubric'!$E$6:$E$14,M132)+H132*INDEX('Position_Rubric'!$F$6:$F$14,M132)+I132*INDEX('Position_Rubric'!$G$6:$G$14,M132),1)))))</x:f>
      </x:c>
      <x:c r="K132" s="82" t="str">
        <x:f>IF(AND(ISNUMBER(J132),ISNUMBER(D132)),J132-D132,"")</x:f>
      </x:c>
      <x:c r="L132" s="69" t="str">
        <x:f>IF(COUNT(E132:I132)&lt;5,"Needs component scores",IF(ISNUMBER(J132),"Calculated",J132))</x:f>
        <x:v>Needs component scores</x:v>
      </x:c>
      <x:c r="M132" s="69" t="n">
        <x:f>IF(C132="","",MATCH(C132,'Position_Rubric'!$A$6:$A$14,0))</x:f>
        <x:v>8</x:v>
      </x:c>
      <x:c r="N132" s="69" t="str"/>
    </x:row>
    <x:row r="133" ht="25" customHeight="1">
      <x:c r="A133" s="69" t="str">
        <x:v>historical-51</x:v>
      </x:c>
      <x:c r="B133" s="69" t="str">
        <x:v>Rasmus Højlund</x:v>
      </x:c>
      <x:c r="C133" s="69" t="str">
        <x:v>ST</x:v>
      </x:c>
      <x:c r="D133" s="82" t="n">
        <x:f>IF(ISNUMBER('Transfer_Ratings'!K133),'Transfer_Ratings'!K133,"")</x:f>
        <x:v>6.2</x:v>
      </x:c>
      <x:c r="E133" s="86"/>
      <x:c r="F133" s="86"/>
      <x:c r="G133" s="86"/>
      <x:c r="H133" s="86"/>
      <x:c r="I133" s="86"/>
      <x:c r="J133" s="82" t="str">
        <x:f>IF(C133="","Choose position",IF(COUNT(E133:I133)&lt;5,"",IF(OR(MIN(E133:I133)&lt;0.1,MAX(E133:I133)&gt;10),"Invalid score",IF(INDEX('Position_Rubric'!$H$6:$H$14,M133)&lt;&gt;1,"Check weights",ROUND(E133*INDEX('Position_Rubric'!$C$6:$C$14,M133)+F133*INDEX('Position_Rubric'!$D$6:$D$14,M133)+G133*INDEX('Position_Rubric'!$E$6:$E$14,M133)+H133*INDEX('Position_Rubric'!$F$6:$F$14,M133)+I133*INDEX('Position_Rubric'!$G$6:$G$14,M133),1)))))</x:f>
      </x:c>
      <x:c r="K133" s="82" t="str">
        <x:f>IF(AND(ISNUMBER(J133),ISNUMBER(D133)),J133-D133,"")</x:f>
      </x:c>
      <x:c r="L133" s="69" t="str">
        <x:f>IF(COUNT(E133:I133)&lt;5,"Needs component scores",IF(ISNUMBER(J133),"Calculated",J133))</x:f>
        <x:v>Needs component scores</x:v>
      </x:c>
      <x:c r="M133" s="69" t="n">
        <x:f>IF(C133="","",MATCH(C133,'Position_Rubric'!$A$6:$A$14,0))</x:f>
        <x:v>8</x:v>
      </x:c>
      <x:c r="N133" s="69" t="str"/>
    </x:row>
    <x:row r="134" ht="25" customHeight="1">
      <x:c r="A134" s="69" t="str">
        <x:v>historical-52</x:v>
      </x:c>
      <x:c r="B134" s="69" t="str">
        <x:v>Victor Osimhen</x:v>
      </x:c>
      <x:c r="C134" s="69" t="str">
        <x:v>ST</x:v>
      </x:c>
      <x:c r="D134" s="82" t="n">
        <x:f>IF(ISNUMBER('Transfer_Ratings'!K134),'Transfer_Ratings'!K134,"")</x:f>
        <x:v>9.3</x:v>
      </x:c>
      <x:c r="E134" s="86"/>
      <x:c r="F134" s="86"/>
      <x:c r="G134" s="86"/>
      <x:c r="H134" s="86"/>
      <x:c r="I134" s="86"/>
      <x:c r="J134" s="82" t="str">
        <x:f>IF(C134="","Choose position",IF(COUNT(E134:I134)&lt;5,"",IF(OR(MIN(E134:I134)&lt;0.1,MAX(E134:I134)&gt;10),"Invalid score",IF(INDEX('Position_Rubric'!$H$6:$H$14,M134)&lt;&gt;1,"Check weights",ROUND(E134*INDEX('Position_Rubric'!$C$6:$C$14,M134)+F134*INDEX('Position_Rubric'!$D$6:$D$14,M134)+G134*INDEX('Position_Rubric'!$E$6:$E$14,M134)+H134*INDEX('Position_Rubric'!$F$6:$F$14,M134)+I134*INDEX('Position_Rubric'!$G$6:$G$14,M134),1)))))</x:f>
      </x:c>
      <x:c r="K134" s="82" t="str">
        <x:f>IF(AND(ISNUMBER(J134),ISNUMBER(D134)),J134-D134,"")</x:f>
      </x:c>
      <x:c r="L134" s="69" t="str">
        <x:f>IF(COUNT(E134:I134)&lt;5,"Needs component scores",IF(ISNUMBER(J134),"Calculated",J134))</x:f>
        <x:v>Needs component scores</x:v>
      </x:c>
      <x:c r="M134" s="69" t="n">
        <x:f>IF(C134="","",MATCH(C134,'Position_Rubric'!$A$6:$A$14,0))</x:f>
        <x:v>8</x:v>
      </x:c>
      <x:c r="N134" s="69" t="str"/>
    </x:row>
    <x:row r="135" ht="25" customHeight="1">
      <x:c r="A135" s="69" t="str">
        <x:v>historical-53</x:v>
      </x:c>
      <x:c r="B135" s="69" t="str">
        <x:v>Alexander Isak</x:v>
      </x:c>
      <x:c r="C135" s="69" t="str">
        <x:v>ST</x:v>
      </x:c>
      <x:c r="D135" s="82" t="n">
        <x:f>IF(ISNUMBER('Transfer_Ratings'!K135),'Transfer_Ratings'!K135,"")</x:f>
        <x:v>9</x:v>
      </x:c>
      <x:c r="E135" s="86"/>
      <x:c r="F135" s="86"/>
      <x:c r="G135" s="86"/>
      <x:c r="H135" s="86"/>
      <x:c r="I135" s="86"/>
      <x:c r="J135" s="82" t="str">
        <x:f>IF(C135="","Choose position",IF(COUNT(E135:I135)&lt;5,"",IF(OR(MIN(E135:I135)&lt;0.1,MAX(E135:I135)&gt;10),"Invalid score",IF(INDEX('Position_Rubric'!$H$6:$H$14,M135)&lt;&gt;1,"Check weights",ROUND(E135*INDEX('Position_Rubric'!$C$6:$C$14,M135)+F135*INDEX('Position_Rubric'!$D$6:$D$14,M135)+G135*INDEX('Position_Rubric'!$E$6:$E$14,M135)+H135*INDEX('Position_Rubric'!$F$6:$F$14,M135)+I135*INDEX('Position_Rubric'!$G$6:$G$14,M135),1)))))</x:f>
      </x:c>
      <x:c r="K135" s="82" t="str">
        <x:f>IF(AND(ISNUMBER(J135),ISNUMBER(D135)),J135-D135,"")</x:f>
      </x:c>
      <x:c r="L135" s="69" t="str">
        <x:f>IF(COUNT(E135:I135)&lt;5,"Needs component scores",IF(ISNUMBER(J135),"Calculated",J135))</x:f>
        <x:v>Needs component scores</x:v>
      </x:c>
      <x:c r="M135" s="69" t="n">
        <x:f>IF(C135="","",MATCH(C135,'Position_Rubric'!$A$6:$A$14,0))</x:f>
        <x:v>8</x:v>
      </x:c>
      <x:c r="N135" s="69" t="str"/>
    </x:row>
    <x:row r="136" ht="25" customHeight="1">
      <x:c r="A136" s="69" t="str">
        <x:v>historical-54</x:v>
      </x:c>
      <x:c r="B136" s="69" t="str">
        <x:v>Jhon Durán</x:v>
      </x:c>
      <x:c r="C136" s="69" t="str">
        <x:v>ST</x:v>
      </x:c>
      <x:c r="D136" s="82" t="n">
        <x:f>IF(ISNUMBER('Transfer_Ratings'!K136),'Transfer_Ratings'!K136,"")</x:f>
        <x:v>7</x:v>
      </x:c>
      <x:c r="E136" s="86"/>
      <x:c r="F136" s="86"/>
      <x:c r="G136" s="86"/>
      <x:c r="H136" s="86"/>
      <x:c r="I136" s="86"/>
      <x:c r="J136" s="82" t="str">
        <x:f>IF(C136="","Choose position",IF(COUNT(E136:I136)&lt;5,"",IF(OR(MIN(E136:I136)&lt;0.1,MAX(E136:I136)&gt;10),"Invalid score",IF(INDEX('Position_Rubric'!$H$6:$H$14,M136)&lt;&gt;1,"Check weights",ROUND(E136*INDEX('Position_Rubric'!$C$6:$C$14,M136)+F136*INDEX('Position_Rubric'!$D$6:$D$14,M136)+G136*INDEX('Position_Rubric'!$E$6:$E$14,M136)+H136*INDEX('Position_Rubric'!$F$6:$F$14,M136)+I136*INDEX('Position_Rubric'!$G$6:$G$14,M136),1)))))</x:f>
      </x:c>
      <x:c r="K136" s="82" t="str">
        <x:f>IF(AND(ISNUMBER(J136),ISNUMBER(D136)),J136-D136,"")</x:f>
      </x:c>
      <x:c r="L136" s="69" t="str">
        <x:f>IF(COUNT(E136:I136)&lt;5,"Needs component scores",IF(ISNUMBER(J136),"Calculated",J136))</x:f>
        <x:v>Needs component scores</x:v>
      </x:c>
      <x:c r="M136" s="69" t="n">
        <x:f>IF(C136="","",MATCH(C136,'Position_Rubric'!$A$6:$A$14,0))</x:f>
        <x:v>8</x:v>
      </x:c>
      <x:c r="N136" s="69" t="str"/>
    </x:row>
    <x:row r="137" ht="25" customHeight="1">
      <x:c r="A137" s="69" t="str">
        <x:v>historical-56</x:v>
      </x:c>
      <x:c r="B137" s="69" t="str">
        <x:v>Benjamin Sesko</x:v>
      </x:c>
      <x:c r="C137" s="69" t="str">
        <x:v>ST</x:v>
      </x:c>
      <x:c r="D137" s="82" t="n">
        <x:f>IF(ISNUMBER('Transfer_Ratings'!K137),'Transfer_Ratings'!K137,"")</x:f>
        <x:v>8</x:v>
      </x:c>
      <x:c r="E137" s="86"/>
      <x:c r="F137" s="86"/>
      <x:c r="G137" s="86"/>
      <x:c r="H137" s="86"/>
      <x:c r="I137" s="86"/>
      <x:c r="J137" s="82" t="str">
        <x:f>IF(C137="","Choose position",IF(COUNT(E137:I137)&lt;5,"",IF(OR(MIN(E137:I137)&lt;0.1,MAX(E137:I137)&gt;10),"Invalid score",IF(INDEX('Position_Rubric'!$H$6:$H$14,M137)&lt;&gt;1,"Check weights",ROUND(E137*INDEX('Position_Rubric'!$C$6:$C$14,M137)+F137*INDEX('Position_Rubric'!$D$6:$D$14,M137)+G137*INDEX('Position_Rubric'!$E$6:$E$14,M137)+H137*INDEX('Position_Rubric'!$F$6:$F$14,M137)+I137*INDEX('Position_Rubric'!$G$6:$G$14,M137),1)))))</x:f>
      </x:c>
      <x:c r="K137" s="82" t="str">
        <x:f>IF(AND(ISNUMBER(J137),ISNUMBER(D137)),J137-D137,"")</x:f>
      </x:c>
      <x:c r="L137" s="69" t="str">
        <x:f>IF(COUNT(E137:I137)&lt;5,"Needs component scores",IF(ISNUMBER(J137),"Calculated",J137))</x:f>
        <x:v>Needs component scores</x:v>
      </x:c>
      <x:c r="M137" s="69" t="n">
        <x:f>IF(C137="","",MATCH(C137,'Position_Rubric'!$A$6:$A$14,0))</x:f>
        <x:v>8</x:v>
      </x:c>
      <x:c r="N137" s="69" t="str"/>
    </x:row>
    <x:row r="138" ht="25" customHeight="1">
      <x:c r="A138" s="69" t="str">
        <x:v>historical-58</x:v>
      </x:c>
      <x:c r="B138" s="69" t="str">
        <x:v>Nick Woltemade</x:v>
      </x:c>
      <x:c r="C138" s="69" t="str">
        <x:v>ST</x:v>
      </x:c>
      <x:c r="D138" s="82" t="n">
        <x:f>IF(ISNUMBER('Transfer_Ratings'!K138),'Transfer_Ratings'!K138,"")</x:f>
        <x:v>6.9</x:v>
      </x:c>
      <x:c r="E138" s="86"/>
      <x:c r="F138" s="86"/>
      <x:c r="G138" s="86"/>
      <x:c r="H138" s="86"/>
      <x:c r="I138" s="86"/>
      <x:c r="J138" s="82" t="str">
        <x:f>IF(C138="","Choose position",IF(COUNT(E138:I138)&lt;5,"",IF(OR(MIN(E138:I138)&lt;0.1,MAX(E138:I138)&gt;10),"Invalid score",IF(INDEX('Position_Rubric'!$H$6:$H$14,M138)&lt;&gt;1,"Check weights",ROUND(E138*INDEX('Position_Rubric'!$C$6:$C$14,M138)+F138*INDEX('Position_Rubric'!$D$6:$D$14,M138)+G138*INDEX('Position_Rubric'!$E$6:$E$14,M138)+H138*INDEX('Position_Rubric'!$F$6:$F$14,M138)+I138*INDEX('Position_Rubric'!$G$6:$G$14,M138),1)))))</x:f>
      </x:c>
      <x:c r="K138" s="82" t="str">
        <x:f>IF(AND(ISNUMBER(J138),ISNUMBER(D138)),J138-D138,"")</x:f>
      </x:c>
      <x:c r="L138" s="69" t="str">
        <x:f>IF(COUNT(E138:I138)&lt;5,"Needs component scores",IF(ISNUMBER(J138),"Calculated",J138))</x:f>
        <x:v>Needs component scores</x:v>
      </x:c>
      <x:c r="M138" s="69" t="n">
        <x:f>IF(C138="","",MATCH(C138,'Position_Rubric'!$A$6:$A$14,0))</x:f>
        <x:v>8</x:v>
      </x:c>
      <x:c r="N138" s="69" t="str"/>
    </x:row>
    <x:row r="139" ht="25" customHeight="1">
      <x:c r="A139" s="69" t="str">
        <x:v>historical-59</x:v>
      </x:c>
      <x:c r="B139" s="69" t="str">
        <x:v>Omar Marmoush</x:v>
      </x:c>
      <x:c r="C139" s="69" t="str">
        <x:v>ST</x:v>
      </x:c>
      <x:c r="D139" s="82" t="n">
        <x:f>IF(ISNUMBER('Transfer_Ratings'!K139),'Transfer_Ratings'!K139,"")</x:f>
        <x:v>7.7</x:v>
      </x:c>
      <x:c r="E139" s="86"/>
      <x:c r="F139" s="86"/>
      <x:c r="G139" s="86"/>
      <x:c r="H139" s="86"/>
      <x:c r="I139" s="86"/>
      <x:c r="J139" s="82" t="str">
        <x:f>IF(C139="","Choose position",IF(COUNT(E139:I139)&lt;5,"",IF(OR(MIN(E139:I139)&lt;0.1,MAX(E139:I139)&gt;10),"Invalid score",IF(INDEX('Position_Rubric'!$H$6:$H$14,M139)&lt;&gt;1,"Check weights",ROUND(E139*INDEX('Position_Rubric'!$C$6:$C$14,M139)+F139*INDEX('Position_Rubric'!$D$6:$D$14,M139)+G139*INDEX('Position_Rubric'!$E$6:$E$14,M139)+H139*INDEX('Position_Rubric'!$F$6:$F$14,M139)+I139*INDEX('Position_Rubric'!$G$6:$G$14,M139),1)))))</x:f>
      </x:c>
      <x:c r="K139" s="82" t="str">
        <x:f>IF(AND(ISNUMBER(J139),ISNUMBER(D139)),J139-D139,"")</x:f>
      </x:c>
      <x:c r="L139" s="69" t="str">
        <x:f>IF(COUNT(E139:I139)&lt;5,"Needs component scores",IF(ISNUMBER(J139),"Calculated",J139))</x:f>
        <x:v>Needs component scores</x:v>
      </x:c>
      <x:c r="M139" s="69" t="n">
        <x:f>IF(C139="","",MATCH(C139,'Position_Rubric'!$A$6:$A$14,0))</x:f>
        <x:v>8</x:v>
      </x:c>
      <x:c r="N139" s="69" t="str"/>
    </x:row>
    <x:row r="140" ht="25" customHeight="1">
      <x:c r="A140" s="69" t="str">
        <x:v>historical-60</x:v>
      </x:c>
      <x:c r="B140" s="69" t="str">
        <x:v>Victor Osimhen</x:v>
      </x:c>
      <x:c r="C140" s="69" t="str">
        <x:v>ST</x:v>
      </x:c>
      <x:c r="D140" s="82" t="n">
        <x:f>IF(ISNUMBER('Transfer_Ratings'!K140),'Transfer_Ratings'!K140,"")</x:f>
        <x:v>8.7</x:v>
      </x:c>
      <x:c r="E140" s="86"/>
      <x:c r="F140" s="86"/>
      <x:c r="G140" s="86"/>
      <x:c r="H140" s="86"/>
      <x:c r="I140" s="86"/>
      <x:c r="J140" s="82" t="str">
        <x:f>IF(C140="","Choose position",IF(COUNT(E140:I140)&lt;5,"",IF(OR(MIN(E140:I140)&lt;0.1,MAX(E140:I140)&gt;10),"Invalid score",IF(INDEX('Position_Rubric'!$H$6:$H$14,M140)&lt;&gt;1,"Check weights",ROUND(E140*INDEX('Position_Rubric'!$C$6:$C$14,M140)+F140*INDEX('Position_Rubric'!$D$6:$D$14,M140)+G140*INDEX('Position_Rubric'!$E$6:$E$14,M140)+H140*INDEX('Position_Rubric'!$F$6:$F$14,M140)+I140*INDEX('Position_Rubric'!$G$6:$G$14,M140),1)))))</x:f>
      </x:c>
      <x:c r="K140" s="82" t="str">
        <x:f>IF(AND(ISNUMBER(J140),ISNUMBER(D140)),J140-D140,"")</x:f>
      </x:c>
      <x:c r="L140" s="69" t="str">
        <x:f>IF(COUNT(E140:I140)&lt;5,"Needs component scores",IF(ISNUMBER(J140),"Calculated",J140))</x:f>
        <x:v>Needs component scores</x:v>
      </x:c>
      <x:c r="M140" s="69" t="n">
        <x:f>IF(C140="","",MATCH(C140,'Position_Rubric'!$A$6:$A$14,0))</x:f>
        <x:v>8</x:v>
      </x:c>
      <x:c r="N140" s="69" t="str"/>
    </x:row>
    <x:row r="141" ht="25" customHeight="1">
      <x:c r="A141" s="69" t="str">
        <x:v>historical-62</x:v>
      </x:c>
      <x:c r="B141" s="69" t="str">
        <x:v>Julián Alvarez</x:v>
      </x:c>
      <x:c r="C141" s="69" t="str">
        <x:v>ST</x:v>
      </x:c>
      <x:c r="D141" s="82" t="n">
        <x:f>IF(ISNUMBER('Transfer_Ratings'!K141),'Transfer_Ratings'!K141,"")</x:f>
        <x:v>9</x:v>
      </x:c>
      <x:c r="E141" s="86"/>
      <x:c r="F141" s="86"/>
      <x:c r="G141" s="86"/>
      <x:c r="H141" s="86"/>
      <x:c r="I141" s="86"/>
      <x:c r="J141" s="82" t="str">
        <x:f>IF(C141="","Choose position",IF(COUNT(E141:I141)&lt;5,"",IF(OR(MIN(E141:I141)&lt;0.1,MAX(E141:I141)&gt;10),"Invalid score",IF(INDEX('Position_Rubric'!$H$6:$H$14,M141)&lt;&gt;1,"Check weights",ROUND(E141*INDEX('Position_Rubric'!$C$6:$C$14,M141)+F141*INDEX('Position_Rubric'!$D$6:$D$14,M141)+G141*INDEX('Position_Rubric'!$E$6:$E$14,M141)+H141*INDEX('Position_Rubric'!$F$6:$F$14,M141)+I141*INDEX('Position_Rubric'!$G$6:$G$14,M141),1)))))</x:f>
      </x:c>
      <x:c r="K141" s="82" t="str">
        <x:f>IF(AND(ISNUMBER(J141),ISNUMBER(D141)),J141-D141,"")</x:f>
      </x:c>
      <x:c r="L141" s="69" t="str">
        <x:f>IF(COUNT(E141:I141)&lt;5,"Needs component scores",IF(ISNUMBER(J141),"Calculated",J141))</x:f>
        <x:v>Needs component scores</x:v>
      </x:c>
      <x:c r="M141" s="69" t="n">
        <x:f>IF(C141="","",MATCH(C141,'Position_Rubric'!$A$6:$A$14,0))</x:f>
        <x:v>8</x:v>
      </x:c>
      <x:c r="N141" s="69" t="str"/>
    </x:row>
    <x:row r="142" ht="25" customHeight="1">
      <x:c r="A142" s="69" t="str">
        <x:v>historical-65</x:v>
      </x:c>
      <x:c r="B142" s="69" t="str">
        <x:v>Kai Havertz</x:v>
      </x:c>
      <x:c r="C142" s="69" t="str">
        <x:v>ST</x:v>
      </x:c>
      <x:c r="D142" s="82" t="n">
        <x:f>IF(ISNUMBER('Transfer_Ratings'!K142),'Transfer_Ratings'!K142,"")</x:f>
        <x:v>7.9</x:v>
      </x:c>
      <x:c r="E142" s="86"/>
      <x:c r="F142" s="86"/>
      <x:c r="G142" s="86"/>
      <x:c r="H142" s="86"/>
      <x:c r="I142" s="86"/>
      <x:c r="J142" s="82" t="str">
        <x:f>IF(C142="","Choose position",IF(COUNT(E142:I142)&lt;5,"",IF(OR(MIN(E142:I142)&lt;0.1,MAX(E142:I142)&gt;10),"Invalid score",IF(INDEX('Position_Rubric'!$H$6:$H$14,M142)&lt;&gt;1,"Check weights",ROUND(E142*INDEX('Position_Rubric'!$C$6:$C$14,M142)+F142*INDEX('Position_Rubric'!$D$6:$D$14,M142)+G142*INDEX('Position_Rubric'!$E$6:$E$14,M142)+H142*INDEX('Position_Rubric'!$F$6:$F$14,M142)+I142*INDEX('Position_Rubric'!$G$6:$G$14,M142),1)))))</x:f>
      </x:c>
      <x:c r="K142" s="82" t="str">
        <x:f>IF(AND(ISNUMBER(J142),ISNUMBER(D142)),J142-D142,"")</x:f>
      </x:c>
      <x:c r="L142" s="69" t="str">
        <x:f>IF(COUNT(E142:I142)&lt;5,"Needs component scores",IF(ISNUMBER(J142),"Calculated",J142))</x:f>
        <x:v>Needs component scores</x:v>
      </x:c>
      <x:c r="M142" s="69" t="n">
        <x:f>IF(C142="","",MATCH(C142,'Position_Rubric'!$A$6:$A$14,0))</x:f>
        <x:v>8</x:v>
      </x:c>
      <x:c r="N142" s="69" t="str"/>
    </x:row>
    <x:row r="143" ht="25" customHeight="1">
      <x:c r="A143" s="69" t="str">
        <x:v>historical-67</x:v>
      </x:c>
      <x:c r="B143" s="69" t="str">
        <x:v>Matheus Cunha</x:v>
      </x:c>
      <x:c r="C143" s="69" t="str">
        <x:v>ST</x:v>
      </x:c>
      <x:c r="D143" s="82" t="n">
        <x:f>IF(ISNUMBER('Transfer_Ratings'!K143),'Transfer_Ratings'!K143,"")</x:f>
        <x:v>8</x:v>
      </x:c>
      <x:c r="E143" s="86"/>
      <x:c r="F143" s="86"/>
      <x:c r="G143" s="86"/>
      <x:c r="H143" s="86"/>
      <x:c r="I143" s="86"/>
      <x:c r="J143" s="82" t="str">
        <x:f>IF(C143="","Choose position",IF(COUNT(E143:I143)&lt;5,"",IF(OR(MIN(E143:I143)&lt;0.1,MAX(E143:I143)&gt;10),"Invalid score",IF(INDEX('Position_Rubric'!$H$6:$H$14,M143)&lt;&gt;1,"Check weights",ROUND(E143*INDEX('Position_Rubric'!$C$6:$C$14,M143)+F143*INDEX('Position_Rubric'!$D$6:$D$14,M143)+G143*INDEX('Position_Rubric'!$E$6:$E$14,M143)+H143*INDEX('Position_Rubric'!$F$6:$F$14,M143)+I143*INDEX('Position_Rubric'!$G$6:$G$14,M143),1)))))</x:f>
      </x:c>
      <x:c r="K143" s="82" t="str">
        <x:f>IF(AND(ISNUMBER(J143),ISNUMBER(D143)),J143-D143,"")</x:f>
      </x:c>
      <x:c r="L143" s="69" t="str">
        <x:f>IF(COUNT(E143:I143)&lt;5,"Needs component scores",IF(ISNUMBER(J143),"Calculated",J143))</x:f>
        <x:v>Needs component scores</x:v>
      </x:c>
      <x:c r="M143" s="69" t="n">
        <x:f>IF(C143="","",MATCH(C143,'Position_Rubric'!$A$6:$A$14,0))</x:f>
        <x:v>8</x:v>
      </x:c>
      <x:c r="N143" s="69" t="str"/>
    </x:row>
    <x:row r="144" ht="25" customHeight="1">
      <x:c r="A144" s="69" t="str">
        <x:v>historical-68</x:v>
      </x:c>
      <x:c r="B144" s="69" t="str">
        <x:v>Romelu Lukaku</x:v>
      </x:c>
      <x:c r="C144" s="69" t="str">
        <x:v>ST</x:v>
      </x:c>
      <x:c r="D144" s="82" t="n">
        <x:f>IF(ISNUMBER('Transfer_Ratings'!K144),'Transfer_Ratings'!K144,"")</x:f>
        <x:v>9.2</x:v>
      </x:c>
      <x:c r="E144" s="86"/>
      <x:c r="F144" s="86"/>
      <x:c r="G144" s="86"/>
      <x:c r="H144" s="86"/>
      <x:c r="I144" s="86"/>
      <x:c r="J144" s="82" t="str">
        <x:f>IF(C144="","Choose position",IF(COUNT(E144:I144)&lt;5,"",IF(OR(MIN(E144:I144)&lt;0.1,MAX(E144:I144)&gt;10),"Invalid score",IF(INDEX('Position_Rubric'!$H$6:$H$14,M144)&lt;&gt;1,"Check weights",ROUND(E144*INDEX('Position_Rubric'!$C$6:$C$14,M144)+F144*INDEX('Position_Rubric'!$D$6:$D$14,M144)+G144*INDEX('Position_Rubric'!$E$6:$E$14,M144)+H144*INDEX('Position_Rubric'!$F$6:$F$14,M144)+I144*INDEX('Position_Rubric'!$G$6:$G$14,M144),1)))))</x:f>
      </x:c>
      <x:c r="K144" s="82" t="str">
        <x:f>IF(AND(ISNUMBER(J144),ISNUMBER(D144)),J144-D144,"")</x:f>
      </x:c>
      <x:c r="L144" s="69" t="str">
        <x:f>IF(COUNT(E144:I144)&lt;5,"Needs component scores",IF(ISNUMBER(J144),"Calculated",J144))</x:f>
        <x:v>Needs component scores</x:v>
      </x:c>
      <x:c r="M144" s="69" t="n">
        <x:f>IF(C144="","",MATCH(C144,'Position_Rubric'!$A$6:$A$14,0))</x:f>
        <x:v>8</x:v>
      </x:c>
      <x:c r="N144" s="69" t="str"/>
    </x:row>
    <x:row r="145" ht="25" customHeight="1">
      <x:c r="A145" s="69" t="str">
        <x:v>historical-84</x:v>
      </x:c>
      <x:c r="B145" s="69" t="str">
        <x:v>Viktor Gyökeres</x:v>
      </x:c>
      <x:c r="C145" s="69" t="str">
        <x:v>ST</x:v>
      </x:c>
      <x:c r="D145" s="82" t="n">
        <x:f>IF(ISNUMBER('Transfer_Ratings'!K145),'Transfer_Ratings'!K145,"")</x:f>
        <x:v>8.6</x:v>
      </x:c>
      <x:c r="E145" s="86"/>
      <x:c r="F145" s="86"/>
      <x:c r="G145" s="86"/>
      <x:c r="H145" s="86"/>
      <x:c r="I145" s="86"/>
      <x:c r="J145" s="82" t="str">
        <x:f>IF(C145="","Choose position",IF(COUNT(E145:I145)&lt;5,"",IF(OR(MIN(E145:I145)&lt;0.1,MAX(E145:I145)&gt;10),"Invalid score",IF(INDEX('Position_Rubric'!$H$6:$H$14,M145)&lt;&gt;1,"Check weights",ROUND(E145*INDEX('Position_Rubric'!$C$6:$C$14,M145)+F145*INDEX('Position_Rubric'!$D$6:$D$14,M145)+G145*INDEX('Position_Rubric'!$E$6:$E$14,M145)+H145*INDEX('Position_Rubric'!$F$6:$F$14,M145)+I145*INDEX('Position_Rubric'!$G$6:$G$14,M145),1)))))</x:f>
      </x:c>
      <x:c r="K145" s="82" t="str">
        <x:f>IF(AND(ISNUMBER(J145),ISNUMBER(D145)),J145-D145,"")</x:f>
      </x:c>
      <x:c r="L145" s="69" t="str">
        <x:f>IF(COUNT(E145:I145)&lt;5,"Needs component scores",IF(ISNUMBER(J145),"Calculated",J145))</x:f>
        <x:v>Needs component scores</x:v>
      </x:c>
      <x:c r="M145" s="69" t="n">
        <x:f>IF(C145="","",MATCH(C145,'Position_Rubric'!$A$6:$A$14,0))</x:f>
        <x:v>8</x:v>
      </x:c>
      <x:c r="N145" s="69" t="str"/>
    </x:row>
    <x:row r="146" ht="25" customHeight="1">
      <x:c r="A146" s="69" t="str">
        <x:v>historical-85</x:v>
      </x:c>
      <x:c r="B146" s="69" t="str">
        <x:v>Álvaro Morata</x:v>
      </x:c>
      <x:c r="C146" s="69" t="str">
        <x:v>ST</x:v>
      </x:c>
      <x:c r="D146" s="82" t="n">
        <x:f>IF(ISNUMBER('Transfer_Ratings'!K146),'Transfer_Ratings'!K146,"")</x:f>
        <x:v>5.9</x:v>
      </x:c>
      <x:c r="E146" s="86"/>
      <x:c r="F146" s="86"/>
      <x:c r="G146" s="86"/>
      <x:c r="H146" s="86"/>
      <x:c r="I146" s="86"/>
      <x:c r="J146" s="82" t="str">
        <x:f>IF(C146="","Choose position",IF(COUNT(E146:I146)&lt;5,"",IF(OR(MIN(E146:I146)&lt;0.1,MAX(E146:I146)&gt;10),"Invalid score",IF(INDEX('Position_Rubric'!$H$6:$H$14,M146)&lt;&gt;1,"Check weights",ROUND(E146*INDEX('Position_Rubric'!$C$6:$C$14,M146)+F146*INDEX('Position_Rubric'!$D$6:$D$14,M146)+G146*INDEX('Position_Rubric'!$E$6:$E$14,M146)+H146*INDEX('Position_Rubric'!$F$6:$F$14,M146)+I146*INDEX('Position_Rubric'!$G$6:$G$14,M146),1)))))</x:f>
      </x:c>
      <x:c r="K146" s="82" t="str">
        <x:f>IF(AND(ISNUMBER(J146),ISNUMBER(D146)),J146-D146,"")</x:f>
      </x:c>
      <x:c r="L146" s="69" t="str">
        <x:f>IF(COUNT(E146:I146)&lt;5,"Needs component scores",IF(ISNUMBER(J146),"Calculated",J146))</x:f>
        <x:v>Needs component scores</x:v>
      </x:c>
      <x:c r="M146" s="69" t="n">
        <x:f>IF(C146="","",MATCH(C146,'Position_Rubric'!$A$6:$A$14,0))</x:f>
        <x:v>8</x:v>
      </x:c>
      <x:c r="N146" s="69" t="str"/>
    </x:row>
    <x:row r="147" ht="25" customHeight="1">
      <x:c r="A147" s="69" t="str">
        <x:v>historical-88</x:v>
      </x:c>
      <x:c r="B147" s="69" t="str">
        <x:v>Gonçalo Ramos</x:v>
      </x:c>
      <x:c r="C147" s="69" t="str">
        <x:v>ST</x:v>
      </x:c>
      <x:c r="D147" s="82" t="n">
        <x:f>IF(ISNUMBER('Transfer_Ratings'!K147),'Transfer_Ratings'!K147,"")</x:f>
        <x:v>7.1</x:v>
      </x:c>
      <x:c r="E147" s="86"/>
      <x:c r="F147" s="86"/>
      <x:c r="G147" s="86"/>
      <x:c r="H147" s="86"/>
      <x:c r="I147" s="86"/>
      <x:c r="J147" s="82" t="str">
        <x:f>IF(C147="","Choose position",IF(COUNT(E147:I147)&lt;5,"",IF(OR(MIN(E147:I147)&lt;0.1,MAX(E147:I147)&gt;10),"Invalid score",IF(INDEX('Position_Rubric'!$H$6:$H$14,M147)&lt;&gt;1,"Check weights",ROUND(E147*INDEX('Position_Rubric'!$C$6:$C$14,M147)+F147*INDEX('Position_Rubric'!$D$6:$D$14,M147)+G147*INDEX('Position_Rubric'!$E$6:$E$14,M147)+H147*INDEX('Position_Rubric'!$F$6:$F$14,M147)+I147*INDEX('Position_Rubric'!$G$6:$G$14,M147),1)))))</x:f>
      </x:c>
      <x:c r="K147" s="82" t="str">
        <x:f>IF(AND(ISNUMBER(J147),ISNUMBER(D147)),J147-D147,"")</x:f>
      </x:c>
      <x:c r="L147" s="69" t="str">
        <x:f>IF(COUNT(E147:I147)&lt;5,"Needs component scores",IF(ISNUMBER(J147),"Calculated",J147))</x:f>
        <x:v>Needs component scores</x:v>
      </x:c>
      <x:c r="M147" s="69" t="n">
        <x:f>IF(C147="","",MATCH(C147,'Position_Rubric'!$A$6:$A$14,0))</x:f>
        <x:v>8</x:v>
      </x:c>
      <x:c r="N147" s="69" t="str"/>
    </x:row>
    <x:row r="148" ht="25" customHeight="1">
      <x:c r="A148" s="69" t="str">
        <x:v>historical-93</x:v>
      </x:c>
      <x:c r="B148" s="69" t="str">
        <x:v>Edinson Cavani</x:v>
      </x:c>
      <x:c r="C148" s="69" t="str">
        <x:v>ST</x:v>
      </x:c>
      <x:c r="D148" s="82" t="n">
        <x:f>IF(ISNUMBER('Transfer_Ratings'!K148),'Transfer_Ratings'!K148,"")</x:f>
        <x:v>9.6</x:v>
      </x:c>
      <x:c r="E148" s="86"/>
      <x:c r="F148" s="86"/>
      <x:c r="G148" s="86"/>
      <x:c r="H148" s="86"/>
      <x:c r="I148" s="86"/>
      <x:c r="J148" s="82" t="str">
        <x:f>IF(C148="","Choose position",IF(COUNT(E148:I148)&lt;5,"",IF(OR(MIN(E148:I148)&lt;0.1,MAX(E148:I148)&gt;10),"Invalid score",IF(INDEX('Position_Rubric'!$H$6:$H$14,M148)&lt;&gt;1,"Check weights",ROUND(E148*INDEX('Position_Rubric'!$C$6:$C$14,M148)+F148*INDEX('Position_Rubric'!$D$6:$D$14,M148)+G148*INDEX('Position_Rubric'!$E$6:$E$14,M148)+H148*INDEX('Position_Rubric'!$F$6:$F$14,M148)+I148*INDEX('Position_Rubric'!$G$6:$G$14,M148),1)))))</x:f>
      </x:c>
      <x:c r="K148" s="82" t="str">
        <x:f>IF(AND(ISNUMBER(J148),ISNUMBER(D148)),J148-D148,"")</x:f>
      </x:c>
      <x:c r="L148" s="69" t="str">
        <x:f>IF(COUNT(E148:I148)&lt;5,"Needs component scores",IF(ISNUMBER(J148),"Calculated",J148))</x:f>
        <x:v>Needs component scores</x:v>
      </x:c>
      <x:c r="M148" s="69" t="n">
        <x:f>IF(C148="","",MATCH(C148,'Position_Rubric'!$A$6:$A$14,0))</x:f>
        <x:v>8</x:v>
      </x:c>
      <x:c r="N148" s="69" t="str"/>
    </x:row>
    <x:row r="149" ht="25" customHeight="1">
      <x:c r="A149" s="69" t="str">
        <x:v>historical-94</x:v>
      </x:c>
      <x:c r="B149" s="69" t="str">
        <x:v>Dominic Solanke</x:v>
      </x:c>
      <x:c r="C149" s="69" t="str">
        <x:v>ST</x:v>
      </x:c>
      <x:c r="D149" s="82" t="n">
        <x:f>IF(ISNUMBER('Transfer_Ratings'!K149),'Transfer_Ratings'!K149,"")</x:f>
        <x:v>6.7</x:v>
      </x:c>
      <x:c r="E149" s="86"/>
      <x:c r="F149" s="86"/>
      <x:c r="G149" s="86"/>
      <x:c r="H149" s="86"/>
      <x:c r="I149" s="86"/>
      <x:c r="J149" s="82" t="str">
        <x:f>IF(C149="","Choose position",IF(COUNT(E149:I149)&lt;5,"",IF(OR(MIN(E149:I149)&lt;0.1,MAX(E149:I149)&gt;10),"Invalid score",IF(INDEX('Position_Rubric'!$H$6:$H$14,M149)&lt;&gt;1,"Check weights",ROUND(E149*INDEX('Position_Rubric'!$C$6:$C$14,M149)+F149*INDEX('Position_Rubric'!$D$6:$D$14,M149)+G149*INDEX('Position_Rubric'!$E$6:$E$14,M149)+H149*INDEX('Position_Rubric'!$F$6:$F$14,M149)+I149*INDEX('Position_Rubric'!$G$6:$G$14,M149),1)))))</x:f>
      </x:c>
      <x:c r="K149" s="82" t="str">
        <x:f>IF(AND(ISNUMBER(J149),ISNUMBER(D149)),J149-D149,"")</x:f>
      </x:c>
      <x:c r="L149" s="69" t="str">
        <x:f>IF(COUNT(E149:I149)&lt;5,"Needs component scores",IF(ISNUMBER(J149),"Calculated",J149))</x:f>
        <x:v>Needs component scores</x:v>
      </x:c>
      <x:c r="M149" s="69" t="n">
        <x:f>IF(C149="","",MATCH(C149,'Position_Rubric'!$A$6:$A$14,0))</x:f>
        <x:v>8</x:v>
      </x:c>
      <x:c r="N149" s="69" t="str"/>
    </x:row>
    <x:row r="150" ht="25" customHeight="1">
      <x:c r="A150" s="69" t="str">
        <x:v>historical-97</x:v>
      </x:c>
      <x:c r="B150" s="69" t="str">
        <x:v>Pierre-Emerick Aubameyang</x:v>
      </x:c>
      <x:c r="C150" s="69" t="str">
        <x:v>ST</x:v>
      </x:c>
      <x:c r="D150" s="82" t="n">
        <x:f>IF(ISNUMBER('Transfer_Ratings'!K150),'Transfer_Ratings'!K150,"")</x:f>
        <x:v>9.1</x:v>
      </x:c>
      <x:c r="E150" s="86"/>
      <x:c r="F150" s="86"/>
      <x:c r="G150" s="86"/>
      <x:c r="H150" s="86"/>
      <x:c r="I150" s="86"/>
      <x:c r="J150" s="82" t="str">
        <x:f>IF(C150="","Choose position",IF(COUNT(E150:I150)&lt;5,"",IF(OR(MIN(E150:I150)&lt;0.1,MAX(E150:I150)&gt;10),"Invalid score",IF(INDEX('Position_Rubric'!$H$6:$H$14,M150)&lt;&gt;1,"Check weights",ROUND(E150*INDEX('Position_Rubric'!$C$6:$C$14,M150)+F150*INDEX('Position_Rubric'!$D$6:$D$14,M150)+G150*INDEX('Position_Rubric'!$E$6:$E$14,M150)+H150*INDEX('Position_Rubric'!$F$6:$F$14,M150)+I150*INDEX('Position_Rubric'!$G$6:$G$14,M150),1)))))</x:f>
      </x:c>
      <x:c r="K150" s="82" t="str">
        <x:f>IF(AND(ISNUMBER(J150),ISNUMBER(D150)),J150-D150,"")</x:f>
      </x:c>
      <x:c r="L150" s="69" t="str">
        <x:f>IF(COUNT(E150:I150)&lt;5,"Needs component scores",IF(ISNUMBER(J150),"Calculated",J150))</x:f>
        <x:v>Needs component scores</x:v>
      </x:c>
      <x:c r="M150" s="69" t="n">
        <x:f>IF(C150="","",MATCH(C150,'Position_Rubric'!$A$6:$A$14,0))</x:f>
        <x:v>8</x:v>
      </x:c>
      <x:c r="N150" s="69" t="str"/>
    </x:row>
    <x:row r="151" ht="25" customHeight="1">
      <x:c r="A151" s="69" t="str">
        <x:v>historical-98</x:v>
      </x:c>
      <x:c r="B151" s="69" t="str">
        <x:v>João Pedro</x:v>
      </x:c>
      <x:c r="C151" s="69" t="str">
        <x:v>ST</x:v>
      </x:c>
      <x:c r="D151" s="82" t="n">
        <x:f>IF(ISNUMBER('Transfer_Ratings'!K151),'Transfer_Ratings'!K151,"")</x:f>
        <x:v>8.6</x:v>
      </x:c>
      <x:c r="E151" s="86"/>
      <x:c r="F151" s="86"/>
      <x:c r="G151" s="86"/>
      <x:c r="H151" s="86"/>
      <x:c r="I151" s="86"/>
      <x:c r="J151" s="82" t="str">
        <x:f>IF(C151="","Choose position",IF(COUNT(E151:I151)&lt;5,"",IF(OR(MIN(E151:I151)&lt;0.1,MAX(E151:I151)&gt;10),"Invalid score",IF(INDEX('Position_Rubric'!$H$6:$H$14,M151)&lt;&gt;1,"Check weights",ROUND(E151*INDEX('Position_Rubric'!$C$6:$C$14,M151)+F151*INDEX('Position_Rubric'!$D$6:$D$14,M151)+G151*INDEX('Position_Rubric'!$E$6:$E$14,M151)+H151*INDEX('Position_Rubric'!$F$6:$F$14,M151)+I151*INDEX('Position_Rubric'!$G$6:$G$14,M151),1)))))</x:f>
      </x:c>
      <x:c r="K151" s="82" t="str">
        <x:f>IF(AND(ISNUMBER(J151),ISNUMBER(D151)),J151-D151,"")</x:f>
      </x:c>
      <x:c r="L151" s="69" t="str">
        <x:f>IF(COUNT(E151:I151)&lt;5,"Needs component scores",IF(ISNUMBER(J151),"Calculated",J151))</x:f>
        <x:v>Needs component scores</x:v>
      </x:c>
      <x:c r="M151" s="69" t="n">
        <x:f>IF(C151="","",MATCH(C151,'Position_Rubric'!$A$6:$A$14,0))</x:f>
        <x:v>8</x:v>
      </x:c>
      <x:c r="N151" s="69" t="str"/>
    </x:row>
    <x:row r="152" ht="25" customHeight="1">
      <x:c r="A152" s="69" t="str">
        <x:v>historical-102</x:v>
      </x:c>
      <x:c r="B152" s="69" t="str">
        <x:v>Luka Jović</x:v>
      </x:c>
      <x:c r="C152" s="69" t="str">
        <x:v>ST</x:v>
      </x:c>
      <x:c r="D152" s="82" t="n">
        <x:f>IF(ISNUMBER('Transfer_Ratings'!K152),'Transfer_Ratings'!K152,"")</x:f>
        <x:v>4.3</x:v>
      </x:c>
      <x:c r="E152" s="86"/>
      <x:c r="F152" s="86"/>
      <x:c r="G152" s="86"/>
      <x:c r="H152" s="86"/>
      <x:c r="I152" s="86"/>
      <x:c r="J152" s="82" t="str">
        <x:f>IF(C152="","Choose position",IF(COUNT(E152:I152)&lt;5,"",IF(OR(MIN(E152:I152)&lt;0.1,MAX(E152:I152)&gt;10),"Invalid score",IF(INDEX('Position_Rubric'!$H$6:$H$14,M152)&lt;&gt;1,"Check weights",ROUND(E152*INDEX('Position_Rubric'!$C$6:$C$14,M152)+F152*INDEX('Position_Rubric'!$D$6:$D$14,M152)+G152*INDEX('Position_Rubric'!$E$6:$E$14,M152)+H152*INDEX('Position_Rubric'!$F$6:$F$14,M152)+I152*INDEX('Position_Rubric'!$G$6:$G$14,M152),1)))))</x:f>
      </x:c>
      <x:c r="K152" s="82" t="str">
        <x:f>IF(AND(ISNUMBER(J152),ISNUMBER(D152)),J152-D152,"")</x:f>
      </x:c>
      <x:c r="L152" s="69" t="str">
        <x:f>IF(COUNT(E152:I152)&lt;5,"Needs component scores",IF(ISNUMBER(J152),"Calculated",J152))</x:f>
        <x:v>Needs component scores</x:v>
      </x:c>
      <x:c r="M152" s="69" t="n">
        <x:f>IF(C152="","",MATCH(C152,'Position_Rubric'!$A$6:$A$14,0))</x:f>
        <x:v>8</x:v>
      </x:c>
      <x:c r="N152" s="69" t="str"/>
    </x:row>
    <x:row r="153" ht="25" customHeight="1">
      <x:c r="A153" s="69" t="str">
        <x:v>historical-109</x:v>
      </x:c>
      <x:c r="B153" s="69" t="str">
        <x:v>Mateo Retegui</x:v>
      </x:c>
      <x:c r="C153" s="69" t="str">
        <x:v>ST</x:v>
      </x:c>
      <x:c r="D153" s="82" t="n">
        <x:f>IF(ISNUMBER('Transfer_Ratings'!K153),'Transfer_Ratings'!K153,"")</x:f>
        <x:v>7.5</x:v>
      </x:c>
      <x:c r="E153" s="86"/>
      <x:c r="F153" s="86"/>
      <x:c r="G153" s="86"/>
      <x:c r="H153" s="86"/>
      <x:c r="I153" s="86"/>
      <x:c r="J153" s="82" t="str">
        <x:f>IF(C153="","Choose position",IF(COUNT(E153:I153)&lt;5,"",IF(OR(MIN(E153:I153)&lt;0.1,MAX(E153:I153)&gt;10),"Invalid score",IF(INDEX('Position_Rubric'!$H$6:$H$14,M153)&lt;&gt;1,"Check weights",ROUND(E153*INDEX('Position_Rubric'!$C$6:$C$14,M153)+F153*INDEX('Position_Rubric'!$D$6:$D$14,M153)+G153*INDEX('Position_Rubric'!$E$6:$E$14,M153)+H153*INDEX('Position_Rubric'!$F$6:$F$14,M153)+I153*INDEX('Position_Rubric'!$G$6:$G$14,M153),1)))))</x:f>
      </x:c>
      <x:c r="K153" s="82" t="str">
        <x:f>IF(AND(ISNUMBER(J153),ISNUMBER(D153)),J153-D153,"")</x:f>
      </x:c>
      <x:c r="L153" s="69" t="str">
        <x:f>IF(COUNT(E153:I153)&lt;5,"Needs component scores",IF(ISNUMBER(J153),"Calculated",J153))</x:f>
        <x:v>Needs component scores</x:v>
      </x:c>
      <x:c r="M153" s="69" t="n">
        <x:f>IF(C153="","",MATCH(C153,'Position_Rubric'!$A$6:$A$14,0))</x:f>
        <x:v>8</x:v>
      </x:c>
      <x:c r="N153" s="69" t="str"/>
    </x:row>
    <x:row r="154" ht="25" customHeight="1">
      <x:c r="A154" s="69" t="str">
        <x:v>historical-117</x:v>
      </x:c>
      <x:c r="B154" s="69" t="str">
        <x:v>Erling Haaland</x:v>
      </x:c>
      <x:c r="C154" s="69" t="str">
        <x:v>ST</x:v>
      </x:c>
      <x:c r="D154" s="82" t="n">
        <x:f>IF(ISNUMBER('Transfer_Ratings'!K154),'Transfer_Ratings'!K154,"")</x:f>
        <x:v>9.8</x:v>
      </x:c>
      <x:c r="E154" s="86"/>
      <x:c r="F154" s="86"/>
      <x:c r="G154" s="86"/>
      <x:c r="H154" s="86"/>
      <x:c r="I154" s="86"/>
      <x:c r="J154" s="82" t="str">
        <x:f>IF(C154="","Choose position",IF(COUNT(E154:I154)&lt;5,"",IF(OR(MIN(E154:I154)&lt;0.1,MAX(E154:I154)&gt;10),"Invalid score",IF(INDEX('Position_Rubric'!$H$6:$H$14,M154)&lt;&gt;1,"Check weights",ROUND(E154*INDEX('Position_Rubric'!$C$6:$C$14,M154)+F154*INDEX('Position_Rubric'!$D$6:$D$14,M154)+G154*INDEX('Position_Rubric'!$E$6:$E$14,M154)+H154*INDEX('Position_Rubric'!$F$6:$F$14,M154)+I154*INDEX('Position_Rubric'!$G$6:$G$14,M154),1)))))</x:f>
      </x:c>
      <x:c r="K154" s="82" t="str">
        <x:f>IF(AND(ISNUMBER(J154),ISNUMBER(D154)),J154-D154,"")</x:f>
      </x:c>
      <x:c r="L154" s="69" t="str">
        <x:f>IF(COUNT(E154:I154)&lt;5,"Needs component scores",IF(ISNUMBER(J154),"Calculated",J154))</x:f>
        <x:v>Needs component scores</x:v>
      </x:c>
      <x:c r="M154" s="69" t="n">
        <x:f>IF(C154="","",MATCH(C154,'Position_Rubric'!$A$6:$A$14,0))</x:f>
        <x:v>8</x:v>
      </x:c>
      <x:c r="N154" s="69" t="str"/>
    </x:row>
    <x:row r="155" ht="25" customHeight="1">
      <x:c r="A155" s="69" t="str">
        <x:v>historical-119</x:v>
      </x:c>
      <x:c r="B155" s="69" t="str">
        <x:v>Anthony Martial</x:v>
      </x:c>
      <x:c r="C155" s="69" t="str">
        <x:v>ST</x:v>
      </x:c>
      <x:c r="D155" s="82" t="n">
        <x:f>IF(ISNUMBER('Transfer_Ratings'!K155),'Transfer_Ratings'!K155,"")</x:f>
        <x:v>7</x:v>
      </x:c>
      <x:c r="E155" s="86"/>
      <x:c r="F155" s="86"/>
      <x:c r="G155" s="86"/>
      <x:c r="H155" s="86"/>
      <x:c r="I155" s="86"/>
      <x:c r="J155" s="82" t="str">
        <x:f>IF(C155="","Choose position",IF(COUNT(E155:I155)&lt;5,"",IF(OR(MIN(E155:I155)&lt;0.1,MAX(E155:I155)&gt;10),"Invalid score",IF(INDEX('Position_Rubric'!$H$6:$H$14,M155)&lt;&gt;1,"Check weights",ROUND(E155*INDEX('Position_Rubric'!$C$6:$C$14,M155)+F155*INDEX('Position_Rubric'!$D$6:$D$14,M155)+G155*INDEX('Position_Rubric'!$E$6:$E$14,M155)+H155*INDEX('Position_Rubric'!$F$6:$F$14,M155)+I155*INDEX('Position_Rubric'!$G$6:$G$14,M155),1)))))</x:f>
      </x:c>
      <x:c r="K155" s="82" t="str">
        <x:f>IF(AND(ISNUMBER(J155),ISNUMBER(D155)),J155-D155,"")</x:f>
      </x:c>
      <x:c r="L155" s="69" t="str">
        <x:f>IF(COUNT(E155:I155)&lt;5,"Needs component scores",IF(ISNUMBER(J155),"Calculated",J155))</x:f>
        <x:v>Needs component scores</x:v>
      </x:c>
      <x:c r="M155" s="69" t="n">
        <x:f>IF(C155="","",MATCH(C155,'Position_Rubric'!$A$6:$A$14,0))</x:f>
        <x:v>8</x:v>
      </x:c>
      <x:c r="N155" s="69" t="str"/>
    </x:row>
    <x:row r="156" ht="25" customHeight="1">
      <x:c r="A156" s="69" t="str">
        <x:v>historical-122</x:v>
      </x:c>
      <x:c r="B156" s="69" t="str">
        <x:v>Christopher Nkunku</x:v>
      </x:c>
      <x:c r="C156" s="69" t="str">
        <x:v>ST</x:v>
      </x:c>
      <x:c r="D156" s="82" t="n">
        <x:f>IF(ISNUMBER('Transfer_Ratings'!K156),'Transfer_Ratings'!K156,"")</x:f>
        <x:v>5.8</x:v>
      </x:c>
      <x:c r="E156" s="86"/>
      <x:c r="F156" s="86"/>
      <x:c r="G156" s="86"/>
      <x:c r="H156" s="86"/>
      <x:c r="I156" s="86"/>
      <x:c r="J156" s="82" t="str">
        <x:f>IF(C156="","Choose position",IF(COUNT(E156:I156)&lt;5,"",IF(OR(MIN(E156:I156)&lt;0.1,MAX(E156:I156)&gt;10),"Invalid score",IF(INDEX('Position_Rubric'!$H$6:$H$14,M156)&lt;&gt;1,"Check weights",ROUND(E156*INDEX('Position_Rubric'!$C$6:$C$14,M156)+F156*INDEX('Position_Rubric'!$D$6:$D$14,M156)+G156*INDEX('Position_Rubric'!$E$6:$E$14,M156)+H156*INDEX('Position_Rubric'!$F$6:$F$14,M156)+I156*INDEX('Position_Rubric'!$G$6:$G$14,M156),1)))))</x:f>
      </x:c>
      <x:c r="K156" s="82" t="str">
        <x:f>IF(AND(ISNUMBER(J156),ISNUMBER(D156)),J156-D156,"")</x:f>
      </x:c>
      <x:c r="L156" s="69" t="str">
        <x:f>IF(COUNT(E156:I156)&lt;5,"Needs component scores",IF(ISNUMBER(J156),"Calculated",J156))</x:f>
        <x:v>Needs component scores</x:v>
      </x:c>
      <x:c r="M156" s="69" t="n">
        <x:f>IF(C156="","",MATCH(C156,'Position_Rubric'!$A$6:$A$14,0))</x:f>
        <x:v>8</x:v>
      </x:c>
      <x:c r="N156" s="69" t="str"/>
    </x:row>
    <x:row r="157" ht="25" customHeight="1">
      <x:c r="A157" s="69" t="str">
        <x:v>historical-131</x:v>
      </x:c>
      <x:c r="B157" s="69" t="str">
        <x:v>Richarlison</x:v>
      </x:c>
      <x:c r="C157" s="69" t="str">
        <x:v>ST</x:v>
      </x:c>
      <x:c r="D157" s="82" t="n">
        <x:f>IF(ISNUMBER('Transfer_Ratings'!K157),'Transfer_Ratings'!K157,"")</x:f>
        <x:v>5.7</x:v>
      </x:c>
      <x:c r="E157" s="86"/>
      <x:c r="F157" s="86"/>
      <x:c r="G157" s="86"/>
      <x:c r="H157" s="86"/>
      <x:c r="I157" s="86"/>
      <x:c r="J157" s="82" t="str">
        <x:f>IF(C157="","Choose position",IF(COUNT(E157:I157)&lt;5,"",IF(OR(MIN(E157:I157)&lt;0.1,MAX(E157:I157)&gt;10),"Invalid score",IF(INDEX('Position_Rubric'!$H$6:$H$14,M157)&lt;&gt;1,"Check weights",ROUND(E157*INDEX('Position_Rubric'!$C$6:$C$14,M157)+F157*INDEX('Position_Rubric'!$D$6:$D$14,M157)+G157*INDEX('Position_Rubric'!$E$6:$E$14,M157)+H157*INDEX('Position_Rubric'!$F$6:$F$14,M157)+I157*INDEX('Position_Rubric'!$G$6:$G$14,M157),1)))))</x:f>
      </x:c>
      <x:c r="K157" s="82" t="str">
        <x:f>IF(AND(ISNUMBER(J157),ISNUMBER(D157)),J157-D157,"")</x:f>
      </x:c>
      <x:c r="L157" s="69" t="str">
        <x:f>IF(COUNT(E157:I157)&lt;5,"Needs component scores",IF(ISNUMBER(J157),"Calculated",J157))</x:f>
        <x:v>Needs component scores</x:v>
      </x:c>
      <x:c r="M157" s="69" t="n">
        <x:f>IF(C157="","",MATCH(C157,'Position_Rubric'!$A$6:$A$14,0))</x:f>
        <x:v>8</x:v>
      </x:c>
      <x:c r="N157" s="69" t="str"/>
    </x:row>
    <x:row r="158" ht="25" customHeight="1">
      <x:c r="A158" s="69" t="str">
        <x:v>historical-133</x:v>
      </x:c>
      <x:c r="B158" s="69" t="str">
        <x:v>Yoane Wissa</x:v>
      </x:c>
      <x:c r="C158" s="69" t="str">
        <x:v>ST</x:v>
      </x:c>
      <x:c r="D158" s="82" t="n">
        <x:f>IF(ISNUMBER('Transfer_Ratings'!K158),'Transfer_Ratings'!K158,"")</x:f>
        <x:v>7.2</x:v>
      </x:c>
      <x:c r="E158" s="86"/>
      <x:c r="F158" s="86"/>
      <x:c r="G158" s="86"/>
      <x:c r="H158" s="86"/>
      <x:c r="I158" s="86"/>
      <x:c r="J158" s="82" t="str">
        <x:f>IF(C158="","Choose position",IF(COUNT(E158:I158)&lt;5,"",IF(OR(MIN(E158:I158)&lt;0.1,MAX(E158:I158)&gt;10),"Invalid score",IF(INDEX('Position_Rubric'!$H$6:$H$14,M158)&lt;&gt;1,"Check weights",ROUND(E158*INDEX('Position_Rubric'!$C$6:$C$14,M158)+F158*INDEX('Position_Rubric'!$D$6:$D$14,M158)+G158*INDEX('Position_Rubric'!$E$6:$E$14,M158)+H158*INDEX('Position_Rubric'!$F$6:$F$14,M158)+I158*INDEX('Position_Rubric'!$G$6:$G$14,M158),1)))))</x:f>
      </x:c>
      <x:c r="K158" s="82" t="str">
        <x:f>IF(AND(ISNUMBER(J158),ISNUMBER(D158)),J158-D158,"")</x:f>
      </x:c>
      <x:c r="L158" s="69" t="str">
        <x:f>IF(COUNT(E158:I158)&lt;5,"Needs component scores",IF(ISNUMBER(J158),"Calculated",J158))</x:f>
        <x:v>Needs component scores</x:v>
      </x:c>
      <x:c r="M158" s="69" t="n">
        <x:f>IF(C158="","",MATCH(C158,'Position_Rubric'!$A$6:$A$14,0))</x:f>
        <x:v>8</x:v>
      </x:c>
      <x:c r="N158" s="69" t="str"/>
    </x:row>
    <x:row r="159" ht="25" customHeight="1">
      <x:c r="A159" s="69" t="str">
        <x:v>historical-147</x:v>
      </x:c>
      <x:c r="B159" s="69" t="str">
        <x:v>Ferran Torres</x:v>
      </x:c>
      <x:c r="C159" s="69" t="str">
        <x:v>ST</x:v>
      </x:c>
      <x:c r="D159" s="82" t="n">
        <x:f>IF(ISNUMBER('Transfer_Ratings'!K159),'Transfer_Ratings'!K159,"")</x:f>
        <x:v>7.4</x:v>
      </x:c>
      <x:c r="E159" s="86"/>
      <x:c r="F159" s="86"/>
      <x:c r="G159" s="86"/>
      <x:c r="H159" s="86"/>
      <x:c r="I159" s="86"/>
      <x:c r="J159" s="82" t="str">
        <x:f>IF(C159="","Choose position",IF(COUNT(E159:I159)&lt;5,"",IF(OR(MIN(E159:I159)&lt;0.1,MAX(E159:I159)&gt;10),"Invalid score",IF(INDEX('Position_Rubric'!$H$6:$H$14,M159)&lt;&gt;1,"Check weights",ROUND(E159*INDEX('Position_Rubric'!$C$6:$C$14,M159)+F159*INDEX('Position_Rubric'!$D$6:$D$14,M159)+G159*INDEX('Position_Rubric'!$E$6:$E$14,M159)+H159*INDEX('Position_Rubric'!$F$6:$F$14,M159)+I159*INDEX('Position_Rubric'!$G$6:$G$14,M159),1)))))</x:f>
      </x:c>
      <x:c r="K159" s="82" t="str">
        <x:f>IF(AND(ISNUMBER(J159),ISNUMBER(D159)),J159-D159,"")</x:f>
      </x:c>
      <x:c r="L159" s="69" t="str">
        <x:f>IF(COUNT(E159:I159)&lt;5,"Needs component scores",IF(ISNUMBER(J159),"Calculated",J159))</x:f>
        <x:v>Needs component scores</x:v>
      </x:c>
      <x:c r="M159" s="69" t="n">
        <x:f>IF(C159="","",MATCH(C159,'Position_Rubric'!$A$6:$A$14,0))</x:f>
        <x:v>8</x:v>
      </x:c>
      <x:c r="N159" s="69" t="str"/>
    </x:row>
    <x:row r="160" ht="25" customHeight="1">
      <x:c r="A160" s="69" t="str">
        <x:v>historical-149</x:v>
      </x:c>
      <x:c r="B160" s="69" t="str">
        <x:v>Antoine Griezmann</x:v>
      </x:c>
      <x:c r="C160" s="69" t="str">
        <x:v>ST</x:v>
      </x:c>
      <x:c r="D160" s="82" t="n">
        <x:f>IF(ISNUMBER('Transfer_Ratings'!K160),'Transfer_Ratings'!K160,"")</x:f>
        <x:v>9.2</x:v>
      </x:c>
      <x:c r="E160" s="86"/>
      <x:c r="F160" s="86"/>
      <x:c r="G160" s="86"/>
      <x:c r="H160" s="86"/>
      <x:c r="I160" s="86"/>
      <x:c r="J160" s="82" t="str">
        <x:f>IF(C160="","Choose position",IF(COUNT(E160:I160)&lt;5,"",IF(OR(MIN(E160:I160)&lt;0.1,MAX(E160:I160)&gt;10),"Invalid score",IF(INDEX('Position_Rubric'!$H$6:$H$14,M160)&lt;&gt;1,"Check weights",ROUND(E160*INDEX('Position_Rubric'!$C$6:$C$14,M160)+F160*INDEX('Position_Rubric'!$D$6:$D$14,M160)+G160*INDEX('Position_Rubric'!$E$6:$E$14,M160)+H160*INDEX('Position_Rubric'!$F$6:$F$14,M160)+I160*INDEX('Position_Rubric'!$G$6:$G$14,M160),1)))))</x:f>
      </x:c>
      <x:c r="K160" s="82" t="str">
        <x:f>IF(AND(ISNUMBER(J160),ISNUMBER(D160)),J160-D160,"")</x:f>
      </x:c>
      <x:c r="L160" s="69" t="str">
        <x:f>IF(COUNT(E160:I160)&lt;5,"Needs component scores",IF(ISNUMBER(J160),"Calculated",J160))</x:f>
        <x:v>Needs component scores</x:v>
      </x:c>
      <x:c r="M160" s="69" t="n">
        <x:f>IF(C160="","",MATCH(C160,'Position_Rubric'!$A$6:$A$14,0))</x:f>
        <x:v>8</x:v>
      </x:c>
      <x:c r="N160" s="69" t="str"/>
    </x:row>
    <x:row r="161" ht="25" customHeight="1">
      <x:c r="A161" s="69" t="str">
        <x:v>historical-151</x:v>
      </x:c>
      <x:c r="B161" s="69" t="str">
        <x:v>Alexandre Lacazette</x:v>
      </x:c>
      <x:c r="C161" s="69" t="str">
        <x:v>ST</x:v>
      </x:c>
      <x:c r="D161" s="82" t="n">
        <x:f>IF(ISNUMBER('Transfer_Ratings'!K161),'Transfer_Ratings'!K161,"")</x:f>
        <x:v>7.6</x:v>
      </x:c>
      <x:c r="E161" s="86"/>
      <x:c r="F161" s="86"/>
      <x:c r="G161" s="86"/>
      <x:c r="H161" s="86"/>
      <x:c r="I161" s="86"/>
      <x:c r="J161" s="82" t="str">
        <x:f>IF(C161="","Choose position",IF(COUNT(E161:I161)&lt;5,"",IF(OR(MIN(E161:I161)&lt;0.1,MAX(E161:I161)&gt;10),"Invalid score",IF(INDEX('Position_Rubric'!$H$6:$H$14,M161)&lt;&gt;1,"Check weights",ROUND(E161*INDEX('Position_Rubric'!$C$6:$C$14,M161)+F161*INDEX('Position_Rubric'!$D$6:$D$14,M161)+G161*INDEX('Position_Rubric'!$E$6:$E$14,M161)+H161*INDEX('Position_Rubric'!$F$6:$F$14,M161)+I161*INDEX('Position_Rubric'!$G$6:$G$14,M161),1)))))</x:f>
      </x:c>
      <x:c r="K161" s="82" t="str">
        <x:f>IF(AND(ISNUMBER(J161),ISNUMBER(D161)),J161-D161,"")</x:f>
      </x:c>
      <x:c r="L161" s="69" t="str">
        <x:f>IF(COUNT(E161:I161)&lt;5,"Needs component scores",IF(ISNUMBER(J161),"Calculated",J161))</x:f>
        <x:v>Needs component scores</x:v>
      </x:c>
      <x:c r="M161" s="69" t="n">
        <x:f>IF(C161="","",MATCH(C161,'Position_Rubric'!$A$6:$A$14,0))</x:f>
        <x:v>8</x:v>
      </x:c>
      <x:c r="N161" s="69" t="str"/>
    </x:row>
    <x:row r="162" ht="25" customHeight="1">
      <x:c r="A162" s="69" t="str">
        <x:v>historical-153</x:v>
      </x:c>
      <x:c r="B162" s="69" t="str">
        <x:v>Darwin Núñez</x:v>
      </x:c>
      <x:c r="C162" s="69" t="str">
        <x:v>ST</x:v>
      </x:c>
      <x:c r="D162" s="82" t="n">
        <x:f>IF(ISNUMBER('Transfer_Ratings'!K162),'Transfer_Ratings'!K162,"")</x:f>
        <x:v>7.3</x:v>
      </x:c>
      <x:c r="E162" s="86"/>
      <x:c r="F162" s="86"/>
      <x:c r="G162" s="86"/>
      <x:c r="H162" s="86"/>
      <x:c r="I162" s="86"/>
      <x:c r="J162" s="82" t="str">
        <x:f>IF(C162="","Choose position",IF(COUNT(E162:I162)&lt;5,"",IF(OR(MIN(E162:I162)&lt;0.1,MAX(E162:I162)&gt;10),"Invalid score",IF(INDEX('Position_Rubric'!$H$6:$H$14,M162)&lt;&gt;1,"Check weights",ROUND(E162*INDEX('Position_Rubric'!$C$6:$C$14,M162)+F162*INDEX('Position_Rubric'!$D$6:$D$14,M162)+G162*INDEX('Position_Rubric'!$E$6:$E$14,M162)+H162*INDEX('Position_Rubric'!$F$6:$F$14,M162)+I162*INDEX('Position_Rubric'!$G$6:$G$14,M162),1)))))</x:f>
      </x:c>
      <x:c r="K162" s="82" t="str">
        <x:f>IF(AND(ISNUMBER(J162),ISNUMBER(D162)),J162-D162,"")</x:f>
      </x:c>
      <x:c r="L162" s="69" t="str">
        <x:f>IF(COUNT(E162:I162)&lt;5,"Needs component scores",IF(ISNUMBER(J162),"Calculated",J162))</x:f>
        <x:v>Needs component scores</x:v>
      </x:c>
      <x:c r="M162" s="69" t="n">
        <x:f>IF(C162="","",MATCH(C162,'Position_Rubric'!$A$6:$A$14,0))</x:f>
        <x:v>8</x:v>
      </x:c>
      <x:c r="N162" s="69" t="str"/>
    </x:row>
    <x:row r="163" ht="25" customHeight="1">
      <x:c r="A163" s="69" t="str">
        <x:v>historical-154</x:v>
      </x:c>
      <x:c r="B163" s="69" t="str">
        <x:v>Timo Werner</x:v>
      </x:c>
      <x:c r="C163" s="69" t="str">
        <x:v>ST</x:v>
      </x:c>
      <x:c r="D163" s="82" t="n">
        <x:f>IF(ISNUMBER('Transfer_Ratings'!K163),'Transfer_Ratings'!K163,"")</x:f>
        <x:v>6.2</x:v>
      </x:c>
      <x:c r="E163" s="86"/>
      <x:c r="F163" s="86"/>
      <x:c r="G163" s="86"/>
      <x:c r="H163" s="86"/>
      <x:c r="I163" s="86"/>
      <x:c r="J163" s="82" t="str">
        <x:f>IF(C163="","Choose position",IF(COUNT(E163:I163)&lt;5,"",IF(OR(MIN(E163:I163)&lt;0.1,MAX(E163:I163)&gt;10),"Invalid score",IF(INDEX('Position_Rubric'!$H$6:$H$14,M163)&lt;&gt;1,"Check weights",ROUND(E163*INDEX('Position_Rubric'!$C$6:$C$14,M163)+F163*INDEX('Position_Rubric'!$D$6:$D$14,M163)+G163*INDEX('Position_Rubric'!$E$6:$E$14,M163)+H163*INDEX('Position_Rubric'!$F$6:$F$14,M163)+I163*INDEX('Position_Rubric'!$G$6:$G$14,M163),1)))))</x:f>
      </x:c>
      <x:c r="K163" s="82" t="str">
        <x:f>IF(AND(ISNUMBER(J163),ISNUMBER(D163)),J163-D163,"")</x:f>
      </x:c>
      <x:c r="L163" s="69" t="str">
        <x:f>IF(COUNT(E163:I163)&lt;5,"Needs component scores",IF(ISNUMBER(J163),"Calculated",J163))</x:f>
        <x:v>Needs component scores</x:v>
      </x:c>
      <x:c r="M163" s="69" t="n">
        <x:f>IF(C163="","",MATCH(C163,'Position_Rubric'!$A$6:$A$14,0))</x:f>
        <x:v>8</x:v>
      </x:c>
      <x:c r="N163" s="69" t="str"/>
    </x:row>
    <x:row r="164" ht="25" customHeight="1">
      <x:c r="A164" s="69" t="str">
        <x:v>historical-156</x:v>
      </x:c>
      <x:c r="B164" s="69" t="str">
        <x:v>Aleksandar Mitrović</x:v>
      </x:c>
      <x:c r="C164" s="69" t="str">
        <x:v>ST</x:v>
      </x:c>
      <x:c r="D164" s="82" t="n">
        <x:f>IF(ISNUMBER('Transfer_Ratings'!K164),'Transfer_Ratings'!K164,"")</x:f>
        <x:v>8.4</x:v>
      </x:c>
      <x:c r="E164" s="86"/>
      <x:c r="F164" s="86"/>
      <x:c r="G164" s="86"/>
      <x:c r="H164" s="86"/>
      <x:c r="I164" s="86"/>
      <x:c r="J164" s="82" t="str">
        <x:f>IF(C164="","Choose position",IF(COUNT(E164:I164)&lt;5,"",IF(OR(MIN(E164:I164)&lt;0.1,MAX(E164:I164)&gt;10),"Invalid score",IF(INDEX('Position_Rubric'!$H$6:$H$14,M164)&lt;&gt;1,"Check weights",ROUND(E164*INDEX('Position_Rubric'!$C$6:$C$14,M164)+F164*INDEX('Position_Rubric'!$D$6:$D$14,M164)+G164*INDEX('Position_Rubric'!$E$6:$E$14,M164)+H164*INDEX('Position_Rubric'!$F$6:$F$14,M164)+I164*INDEX('Position_Rubric'!$G$6:$G$14,M164),1)))))</x:f>
      </x:c>
      <x:c r="K164" s="82" t="str">
        <x:f>IF(AND(ISNUMBER(J164),ISNUMBER(D164)),J164-D164,"")</x:f>
      </x:c>
      <x:c r="L164" s="69" t="str">
        <x:f>IF(COUNT(E164:I164)&lt;5,"Needs component scores",IF(ISNUMBER(J164),"Calculated",J164))</x:f>
        <x:v>Needs component scores</x:v>
      </x:c>
      <x:c r="M164" s="69" t="n">
        <x:f>IF(C164="","",MATCH(C164,'Position_Rubric'!$A$6:$A$14,0))</x:f>
        <x:v>8</x:v>
      </x:c>
      <x:c r="N164" s="69" t="str"/>
    </x:row>
    <x:row r="165" ht="25" customHeight="1">
      <x:c r="A165" s="69" t="str">
        <x:v>historical-157</x:v>
      </x:c>
      <x:c r="B165" s="69" t="str">
        <x:v>Gabriel Jesus</x:v>
      </x:c>
      <x:c r="C165" s="69" t="str">
        <x:v>ST</x:v>
      </x:c>
      <x:c r="D165" s="82" t="n">
        <x:f>IF(ISNUMBER('Transfer_Ratings'!K165),'Transfer_Ratings'!K165,"")</x:f>
        <x:v>7.1</x:v>
      </x:c>
      <x:c r="E165" s="86"/>
      <x:c r="F165" s="86"/>
      <x:c r="G165" s="86"/>
      <x:c r="H165" s="86"/>
      <x:c r="I165" s="86"/>
      <x:c r="J165" s="82" t="str">
        <x:f>IF(C165="","Choose position",IF(COUNT(E165:I165)&lt;5,"",IF(OR(MIN(E165:I165)&lt;0.1,MAX(E165:I165)&gt;10),"Invalid score",IF(INDEX('Position_Rubric'!$H$6:$H$14,M165)&lt;&gt;1,"Check weights",ROUND(E165*INDEX('Position_Rubric'!$C$6:$C$14,M165)+F165*INDEX('Position_Rubric'!$D$6:$D$14,M165)+G165*INDEX('Position_Rubric'!$E$6:$E$14,M165)+H165*INDEX('Position_Rubric'!$F$6:$F$14,M165)+I165*INDEX('Position_Rubric'!$G$6:$G$14,M165),1)))))</x:f>
      </x:c>
      <x:c r="K165" s="82" t="str">
        <x:f>IF(AND(ISNUMBER(J165),ISNUMBER(D165)),J165-D165,"")</x:f>
      </x:c>
      <x:c r="L165" s="69" t="str">
        <x:f>IF(COUNT(E165:I165)&lt;5,"Needs component scores",IF(ISNUMBER(J165),"Calculated",J165))</x:f>
        <x:v>Needs component scores</x:v>
      </x:c>
      <x:c r="M165" s="69" t="n">
        <x:f>IF(C165="","",MATCH(C165,'Position_Rubric'!$A$6:$A$14,0))</x:f>
        <x:v>8</x:v>
      </x:c>
      <x:c r="N165" s="69" t="str"/>
    </x:row>
    <x:row r="166" ht="25" customHeight="1">
      <x:c r="A166" s="69" t="str">
        <x:v>historical-158</x:v>
      </x:c>
      <x:c r="B166" s="69" t="str">
        <x:v>João Félix</x:v>
      </x:c>
      <x:c r="C166" s="69" t="str">
        <x:v>ST</x:v>
      </x:c>
      <x:c r="D166" s="82" t="n">
        <x:f>IF(ISNUMBER('Transfer_Ratings'!K166),'Transfer_Ratings'!K166,"")</x:f>
        <x:v>5.8</x:v>
      </x:c>
      <x:c r="E166" s="86"/>
      <x:c r="F166" s="86"/>
      <x:c r="G166" s="86"/>
      <x:c r="H166" s="86"/>
      <x:c r="I166" s="86"/>
      <x:c r="J166" s="82" t="str">
        <x:f>IF(C166="","Choose position",IF(COUNT(E166:I166)&lt;5,"",IF(OR(MIN(E166:I166)&lt;0.1,MAX(E166:I166)&gt;10),"Invalid score",IF(INDEX('Position_Rubric'!$H$6:$H$14,M166)&lt;&gt;1,"Check weights",ROUND(E166*INDEX('Position_Rubric'!$C$6:$C$14,M166)+F166*INDEX('Position_Rubric'!$D$6:$D$14,M166)+G166*INDEX('Position_Rubric'!$E$6:$E$14,M166)+H166*INDEX('Position_Rubric'!$F$6:$F$14,M166)+I166*INDEX('Position_Rubric'!$G$6:$G$14,M166),1)))))</x:f>
      </x:c>
      <x:c r="K166" s="82" t="str">
        <x:f>IF(AND(ISNUMBER(J166),ISNUMBER(D166)),J166-D166,"")</x:f>
      </x:c>
      <x:c r="L166" s="69" t="str">
        <x:f>IF(COUNT(E166:I166)&lt;5,"Needs component scores",IF(ISNUMBER(J166),"Calculated",J166))</x:f>
        <x:v>Needs component scores</x:v>
      </x:c>
      <x:c r="M166" s="69" t="n">
        <x:f>IF(C166="","",MATCH(C166,'Position_Rubric'!$A$6:$A$14,0))</x:f>
        <x:v>8</x:v>
      </x:c>
      <x:c r="N166" s="69" t="str"/>
    </x:row>
    <x:row r="167" ht="25" customHeight="1">
      <x:c r="A167" s="69" t="str">
        <x:v>historical-173</x:v>
      </x:c>
      <x:c r="B167" s="69" t="str">
        <x:v>Mauro Icardi</x:v>
      </x:c>
      <x:c r="C167" s="69" t="str">
        <x:v>ST</x:v>
      </x:c>
      <x:c r="D167" s="82" t="n">
        <x:f>IF(ISNUMBER('Transfer_Ratings'!K167),'Transfer_Ratings'!K167,"")</x:f>
        <x:v>6.1</x:v>
      </x:c>
      <x:c r="E167" s="86"/>
      <x:c r="F167" s="86"/>
      <x:c r="G167" s="86"/>
      <x:c r="H167" s="86"/>
      <x:c r="I167" s="86"/>
      <x:c r="J167" s="82" t="str">
        <x:f>IF(C167="","Choose position",IF(COUNT(E167:I167)&lt;5,"",IF(OR(MIN(E167:I167)&lt;0.1,MAX(E167:I167)&gt;10),"Invalid score",IF(INDEX('Position_Rubric'!$H$6:$H$14,M167)&lt;&gt;1,"Check weights",ROUND(E167*INDEX('Position_Rubric'!$C$6:$C$14,M167)+F167*INDEX('Position_Rubric'!$D$6:$D$14,M167)+G167*INDEX('Position_Rubric'!$E$6:$E$14,M167)+H167*INDEX('Position_Rubric'!$F$6:$F$14,M167)+I167*INDEX('Position_Rubric'!$G$6:$G$14,M167),1)))))</x:f>
      </x:c>
      <x:c r="K167" s="82" t="str">
        <x:f>IF(AND(ISNUMBER(J167),ISNUMBER(D167)),J167-D167,"")</x:f>
      </x:c>
      <x:c r="L167" s="69" t="str">
        <x:f>IF(COUNT(E167:I167)&lt;5,"Needs component scores",IF(ISNUMBER(J167),"Calculated",J167))</x:f>
        <x:v>Needs component scores</x:v>
      </x:c>
      <x:c r="M167" s="69" t="n">
        <x:f>IF(C167="","",MATCH(C167,'Position_Rubric'!$A$6:$A$14,0))</x:f>
        <x:v>8</x:v>
      </x:c>
      <x:c r="N167" s="69" t="str"/>
    </x:row>
    <x:row r="168" ht="25" customHeight="1">
      <x:c r="A168" s="69" t="str">
        <x:v>historical-175</x:v>
      </x:c>
      <x:c r="B168" s="69" t="str">
        <x:v>Sébastien Haller</x:v>
      </x:c>
      <x:c r="C168" s="69" t="str">
        <x:v>ST</x:v>
      </x:c>
      <x:c r="D168" s="82" t="n">
        <x:f>IF(ISNUMBER('Transfer_Ratings'!K168),'Transfer_Ratings'!K168,"")</x:f>
        <x:v>5.6</x:v>
      </x:c>
      <x:c r="E168" s="86"/>
      <x:c r="F168" s="86"/>
      <x:c r="G168" s="86"/>
      <x:c r="H168" s="86"/>
      <x:c r="I168" s="86"/>
      <x:c r="J168" s="82" t="str">
        <x:f>IF(C168="","Choose position",IF(COUNT(E168:I168)&lt;5,"",IF(OR(MIN(E168:I168)&lt;0.1,MAX(E168:I168)&gt;10),"Invalid score",IF(INDEX('Position_Rubric'!$H$6:$H$14,M168)&lt;&gt;1,"Check weights",ROUND(E168*INDEX('Position_Rubric'!$C$6:$C$14,M168)+F168*INDEX('Position_Rubric'!$D$6:$D$14,M168)+G168*INDEX('Position_Rubric'!$E$6:$E$14,M168)+H168*INDEX('Position_Rubric'!$F$6:$F$14,M168)+I168*INDEX('Position_Rubric'!$G$6:$G$14,M168),1)))))</x:f>
      </x:c>
      <x:c r="K168" s="82" t="str">
        <x:f>IF(AND(ISNUMBER(J168),ISNUMBER(D168)),J168-D168,"")</x:f>
      </x:c>
      <x:c r="L168" s="69" t="str">
        <x:f>IF(COUNT(E168:I168)&lt;5,"Needs component scores",IF(ISNUMBER(J168),"Calculated",J168))</x:f>
        <x:v>Needs component scores</x:v>
      </x:c>
      <x:c r="M168" s="69" t="n">
        <x:f>IF(C168="","",MATCH(C168,'Position_Rubric'!$A$6:$A$14,0))</x:f>
        <x:v>8</x:v>
      </x:c>
      <x:c r="N168" s="69" t="str"/>
    </x:row>
    <x:row r="169" ht="25" customHeight="1">
      <x:c r="A169" s="69" t="str">
        <x:v>historical-177</x:v>
      </x:c>
      <x:c r="B169" s="69" t="str">
        <x:v>Matheus Cunha</x:v>
      </x:c>
      <x:c r="C169" s="69" t="str">
        <x:v>ST</x:v>
      </x:c>
      <x:c r="D169" s="82" t="n">
        <x:f>IF(ISNUMBER('Transfer_Ratings'!K169),'Transfer_Ratings'!K169,"")</x:f>
        <x:v>8.8</x:v>
      </x:c>
      <x:c r="E169" s="86"/>
      <x:c r="F169" s="86"/>
      <x:c r="G169" s="86"/>
      <x:c r="H169" s="86"/>
      <x:c r="I169" s="86"/>
      <x:c r="J169" s="82" t="str">
        <x:f>IF(C169="","Choose position",IF(COUNT(E169:I169)&lt;5,"",IF(OR(MIN(E169:I169)&lt;0.1,MAX(E169:I169)&gt;10),"Invalid score",IF(INDEX('Position_Rubric'!$H$6:$H$14,M169)&lt;&gt;1,"Check weights",ROUND(E169*INDEX('Position_Rubric'!$C$6:$C$14,M169)+F169*INDEX('Position_Rubric'!$D$6:$D$14,M169)+G169*INDEX('Position_Rubric'!$E$6:$E$14,M169)+H169*INDEX('Position_Rubric'!$F$6:$F$14,M169)+I169*INDEX('Position_Rubric'!$G$6:$G$14,M169),1)))))</x:f>
      </x:c>
      <x:c r="K169" s="82" t="str">
        <x:f>IF(AND(ISNUMBER(J169),ISNUMBER(D169)),J169-D169,"")</x:f>
      </x:c>
      <x:c r="L169" s="69" t="str">
        <x:f>IF(COUNT(E169:I169)&lt;5,"Needs component scores",IF(ISNUMBER(J169),"Calculated",J169))</x:f>
        <x:v>Needs component scores</x:v>
      </x:c>
      <x:c r="M169" s="69" t="n">
        <x:f>IF(C169="","",MATCH(C169,'Position_Rubric'!$A$6:$A$14,0))</x:f>
        <x:v>8</x:v>
      </x:c>
      <x:c r="N169" s="69" t="str"/>
    </x:row>
    <x:row r="170" ht="25" customHeight="1">
      <x:c r="A170" s="69" t="str">
        <x:v>historical-183</x:v>
      </x:c>
      <x:c r="B170" s="69" t="str">
        <x:v>Jørgen Strand Larsen</x:v>
      </x:c>
      <x:c r="C170" s="69" t="str">
        <x:v>ST</x:v>
      </x:c>
      <x:c r="D170" s="82" t="n">
        <x:f>IF(ISNUMBER('Transfer_Ratings'!K170),'Transfer_Ratings'!K170,"")</x:f>
        <x:v>7.3</x:v>
      </x:c>
      <x:c r="E170" s="86"/>
      <x:c r="F170" s="86"/>
      <x:c r="G170" s="86"/>
      <x:c r="H170" s="86"/>
      <x:c r="I170" s="86"/>
      <x:c r="J170" s="82" t="str">
        <x:f>IF(C170="","Choose position",IF(COUNT(E170:I170)&lt;5,"",IF(OR(MIN(E170:I170)&lt;0.1,MAX(E170:I170)&gt;10),"Invalid score",IF(INDEX('Position_Rubric'!$H$6:$H$14,M170)&lt;&gt;1,"Check weights",ROUND(E170*INDEX('Position_Rubric'!$C$6:$C$14,M170)+F170*INDEX('Position_Rubric'!$D$6:$D$14,M170)+G170*INDEX('Position_Rubric'!$E$6:$E$14,M170)+H170*INDEX('Position_Rubric'!$F$6:$F$14,M170)+I170*INDEX('Position_Rubric'!$G$6:$G$14,M170),1)))))</x:f>
      </x:c>
      <x:c r="K170" s="82" t="str">
        <x:f>IF(AND(ISNUMBER(J170),ISNUMBER(D170)),J170-D170,"")</x:f>
      </x:c>
      <x:c r="L170" s="69" t="str">
        <x:f>IF(COUNT(E170:I170)&lt;5,"Needs component scores",IF(ISNUMBER(J170),"Calculated",J170))</x:f>
        <x:v>Needs component scores</x:v>
      </x:c>
      <x:c r="M170" s="69" t="n">
        <x:f>IF(C170="","",MATCH(C170,'Position_Rubric'!$A$6:$A$14,0))</x:f>
        <x:v>8</x:v>
      </x:c>
      <x:c r="N170" s="69" t="str"/>
    </x:row>
    <x:row r="171" ht="25" customHeight="1">
      <x:c r="A171" s="69" t="str">
        <x:v>historical-190</x:v>
      </x:c>
      <x:c r="B171" s="69" t="str">
        <x:v>Endrick</x:v>
      </x:c>
      <x:c r="C171" s="69" t="str">
        <x:v>ST</x:v>
      </x:c>
      <x:c r="D171" s="82" t="n">
        <x:f>IF(ISNUMBER('Transfer_Ratings'!K171),'Transfer_Ratings'!K171,"")</x:f>
        <x:v>7</x:v>
      </x:c>
      <x:c r="E171" s="86"/>
      <x:c r="F171" s="86"/>
      <x:c r="G171" s="86"/>
      <x:c r="H171" s="86"/>
      <x:c r="I171" s="86"/>
      <x:c r="J171" s="82" t="str">
        <x:f>IF(C171="","Choose position",IF(COUNT(E171:I171)&lt;5,"",IF(OR(MIN(E171:I171)&lt;0.1,MAX(E171:I171)&gt;10),"Invalid score",IF(INDEX('Position_Rubric'!$H$6:$H$14,M171)&lt;&gt;1,"Check weights",ROUND(E171*INDEX('Position_Rubric'!$C$6:$C$14,M171)+F171*INDEX('Position_Rubric'!$D$6:$D$14,M171)+G171*INDEX('Position_Rubric'!$E$6:$E$14,M171)+H171*INDEX('Position_Rubric'!$F$6:$F$14,M171)+I171*INDEX('Position_Rubric'!$G$6:$G$14,M171),1)))))</x:f>
      </x:c>
      <x:c r="K171" s="82" t="str">
        <x:f>IF(AND(ISNUMBER(J171),ISNUMBER(D171)),J171-D171,"")</x:f>
      </x:c>
      <x:c r="L171" s="69" t="str">
        <x:f>IF(COUNT(E171:I171)&lt;5,"Needs component scores",IF(ISNUMBER(J171),"Calculated",J171))</x:f>
        <x:v>Needs component scores</x:v>
      </x:c>
      <x:c r="M171" s="69" t="n">
        <x:f>IF(C171="","",MATCH(C171,'Position_Rubric'!$A$6:$A$14,0))</x:f>
        <x:v>8</x:v>
      </x:c>
      <x:c r="N171" s="69" t="str"/>
    </x:row>
    <x:row r="172" ht="25" customHeight="1">
      <x:c r="A172" s="69" t="str">
        <x:v>historical-196</x:v>
      </x:c>
      <x:c r="B172" s="69" t="str">
        <x:v>Georginio Rutter</x:v>
      </x:c>
      <x:c r="C172" s="69" t="str">
        <x:v>ST</x:v>
      </x:c>
      <x:c r="D172" s="82" t="n">
        <x:f>IF(ISNUMBER('Transfer_Ratings'!K172),'Transfer_Ratings'!K172,"")</x:f>
        <x:v>7.6</x:v>
      </x:c>
      <x:c r="E172" s="86"/>
      <x:c r="F172" s="86"/>
      <x:c r="G172" s="86"/>
      <x:c r="H172" s="86"/>
      <x:c r="I172" s="86"/>
      <x:c r="J172" s="82" t="str">
        <x:f>IF(C172="","Choose position",IF(COUNT(E172:I172)&lt;5,"",IF(OR(MIN(E172:I172)&lt;0.1,MAX(E172:I172)&gt;10),"Invalid score",IF(INDEX('Position_Rubric'!$H$6:$H$14,M172)&lt;&gt;1,"Check weights",ROUND(E172*INDEX('Position_Rubric'!$C$6:$C$14,M172)+F172*INDEX('Position_Rubric'!$D$6:$D$14,M172)+G172*INDEX('Position_Rubric'!$E$6:$E$14,M172)+H172*INDEX('Position_Rubric'!$F$6:$F$14,M172)+I172*INDEX('Position_Rubric'!$G$6:$G$14,M172),1)))))</x:f>
      </x:c>
      <x:c r="K172" s="82" t="str">
        <x:f>IF(AND(ISNUMBER(J172),ISNUMBER(D172)),J172-D172,"")</x:f>
      </x:c>
      <x:c r="L172" s="69" t="str">
        <x:f>IF(COUNT(E172:I172)&lt;5,"Needs component scores",IF(ISNUMBER(J172),"Calculated",J172))</x:f>
        <x:v>Needs component scores</x:v>
      </x:c>
      <x:c r="M172" s="69" t="n">
        <x:f>IF(C172="","",MATCH(C172,'Position_Rubric'!$A$6:$A$14,0))</x:f>
        <x:v>8</x:v>
      </x:c>
      <x:c r="N172" s="69" t="str"/>
    </x:row>
    <x:row r="173" ht="25" customHeight="1">
      <x:c r="A173" s="69" t="str">
        <x:v>summer-S26-0021</x:v>
      </x:c>
      <x:c r="B173" s="69" t="str">
        <x:v>Emmanuel Emegha</x:v>
      </x:c>
      <x:c r="C173" s="69" t="str">
        <x:v>ST</x:v>
      </x:c>
      <x:c r="D173" s="82" t="str">
        <x:f>IF(ISNUMBER('Transfer_Ratings'!K173),'Transfer_Ratings'!K173,"")</x:f>
      </x:c>
      <x:c r="E173" s="86"/>
      <x:c r="F173" s="86"/>
      <x:c r="G173" s="86"/>
      <x:c r="H173" s="86"/>
      <x:c r="I173" s="86"/>
      <x:c r="J173" s="82" t="str">
        <x:f>IF(C173="","Choose position",IF(COUNT(E173:I173)&lt;5,"",IF(OR(MIN(E173:I173)&lt;0.1,MAX(E173:I173)&gt;10),"Invalid score",IF(INDEX('Position_Rubric'!$H$6:$H$14,M173)&lt;&gt;1,"Check weights",ROUND(E173*INDEX('Position_Rubric'!$C$6:$C$14,M173)+F173*INDEX('Position_Rubric'!$D$6:$D$14,M173)+G173*INDEX('Position_Rubric'!$E$6:$E$14,M173)+H173*INDEX('Position_Rubric'!$F$6:$F$14,M173)+I173*INDEX('Position_Rubric'!$G$6:$G$14,M173),1)))))</x:f>
      </x:c>
      <x:c r="K173" s="82" t="str">
        <x:f>IF(AND(ISNUMBER(J173),ISNUMBER(D173)),J173-D173,"")</x:f>
      </x:c>
      <x:c r="L173" s="69" t="str">
        <x:f>IF(COUNT(E173:I173)&lt;5,"Needs component scores",IF(ISNUMBER(J173),"Calculated",J173))</x:f>
        <x:v>Needs component scores</x:v>
      </x:c>
      <x:c r="M173" s="69" t="n">
        <x:f>IF(C173="","",MATCH(C173,'Position_Rubric'!$A$6:$A$14,0))</x:f>
        <x:v>8</x:v>
      </x:c>
      <x:c r="N173" s="69" t="str"/>
    </x:row>
    <x:row r="174" ht="25" customHeight="1">
      <x:c r="A174" s="69" t="str">
        <x:v>summer-S26-0028</x:v>
      </x:c>
      <x:c r="B174" s="69" t="str">
        <x:v>Kingstone Mutandwa</x:v>
      </x:c>
      <x:c r="C174" s="69" t="str">
        <x:v>ST</x:v>
      </x:c>
      <x:c r="D174" s="82" t="str">
        <x:f>IF(ISNUMBER('Transfer_Ratings'!K174),'Transfer_Ratings'!K174,"")</x:f>
      </x:c>
      <x:c r="E174" s="86"/>
      <x:c r="F174" s="86"/>
      <x:c r="G174" s="86"/>
      <x:c r="H174" s="86"/>
      <x:c r="I174" s="86"/>
      <x:c r="J174" s="82" t="str">
        <x:f>IF(C174="","Choose position",IF(COUNT(E174:I174)&lt;5,"",IF(OR(MIN(E174:I174)&lt;0.1,MAX(E174:I174)&gt;10),"Invalid score",IF(INDEX('Position_Rubric'!$H$6:$H$14,M174)&lt;&gt;1,"Check weights",ROUND(E174*INDEX('Position_Rubric'!$C$6:$C$14,M174)+F174*INDEX('Position_Rubric'!$D$6:$D$14,M174)+G174*INDEX('Position_Rubric'!$E$6:$E$14,M174)+H174*INDEX('Position_Rubric'!$F$6:$F$14,M174)+I174*INDEX('Position_Rubric'!$G$6:$G$14,M174),1)))))</x:f>
      </x:c>
      <x:c r="K174" s="82" t="str">
        <x:f>IF(AND(ISNUMBER(J174),ISNUMBER(D174)),J174-D174,"")</x:f>
      </x:c>
      <x:c r="L174" s="69" t="str">
        <x:f>IF(COUNT(E174:I174)&lt;5,"Needs component scores",IF(ISNUMBER(J174),"Calculated",J174))</x:f>
        <x:v>Needs component scores</x:v>
      </x:c>
      <x:c r="M174" s="69" t="n">
        <x:f>IF(C174="","",MATCH(C174,'Position_Rubric'!$A$6:$A$14,0))</x:f>
        <x:v>8</x:v>
      </x:c>
      <x:c r="N174" s="69" t="str"/>
    </x:row>
    <x:row r="175" ht="25" customHeight="1">
      <x:c r="A175" s="69" t="str">
        <x:v>summer-S26-0031</x:v>
      </x:c>
      <x:c r="B175" s="69" t="str">
        <x:v>Raúl Jiménez</x:v>
      </x:c>
      <x:c r="C175" s="69" t="str">
        <x:v>ST</x:v>
      </x:c>
      <x:c r="D175" s="82" t="str">
        <x:f>IF(ISNUMBER('Transfer_Ratings'!K175),'Transfer_Ratings'!K175,"")</x:f>
      </x:c>
      <x:c r="E175" s="86"/>
      <x:c r="F175" s="86"/>
      <x:c r="G175" s="86"/>
      <x:c r="H175" s="86"/>
      <x:c r="I175" s="86"/>
      <x:c r="J175" s="82" t="str">
        <x:f>IF(C175="","Choose position",IF(COUNT(E175:I175)&lt;5,"",IF(OR(MIN(E175:I175)&lt;0.1,MAX(E175:I175)&gt;10),"Invalid score",IF(INDEX('Position_Rubric'!$H$6:$H$14,M175)&lt;&gt;1,"Check weights",ROUND(E175*INDEX('Position_Rubric'!$C$6:$C$14,M175)+F175*INDEX('Position_Rubric'!$D$6:$D$14,M175)+G175*INDEX('Position_Rubric'!$E$6:$E$14,M175)+H175*INDEX('Position_Rubric'!$F$6:$F$14,M175)+I175*INDEX('Position_Rubric'!$G$6:$G$14,M175),1)))))</x:f>
      </x:c>
      <x:c r="K175" s="82" t="str">
        <x:f>IF(AND(ISNUMBER(J175),ISNUMBER(D175)),J175-D175,"")</x:f>
      </x:c>
      <x:c r="L175" s="69" t="str">
        <x:f>IF(COUNT(E175:I175)&lt;5,"Needs component scores",IF(ISNUMBER(J175),"Calculated",J175))</x:f>
        <x:v>Needs component scores</x:v>
      </x:c>
      <x:c r="M175" s="69" t="n">
        <x:f>IF(C175="","",MATCH(C175,'Position_Rubric'!$A$6:$A$14,0))</x:f>
        <x:v>8</x:v>
      </x:c>
      <x:c r="N175" s="69" t="str"/>
    </x:row>
    <x:row r="176" ht="25" customHeight="1">
      <x:c r="A176" s="69" t="str">
        <x:v>summer-S26-0032</x:v>
      </x:c>
      <x:c r="B176" s="69" t="str">
        <x:v>Rasmus Højlund</x:v>
      </x:c>
      <x:c r="C176" s="69" t="str">
        <x:v>ST</x:v>
      </x:c>
      <x:c r="D176" s="82" t="str">
        <x:f>IF(ISNUMBER('Transfer_Ratings'!K176),'Transfer_Ratings'!K176,"")</x:f>
      </x:c>
      <x:c r="E176" s="86"/>
      <x:c r="F176" s="86"/>
      <x:c r="G176" s="86"/>
      <x:c r="H176" s="86"/>
      <x:c r="I176" s="86"/>
      <x:c r="J176" s="82" t="str">
        <x:f>IF(C176="","Choose position",IF(COUNT(E176:I176)&lt;5,"",IF(OR(MIN(E176:I176)&lt;0.1,MAX(E176:I176)&gt;10),"Invalid score",IF(INDEX('Position_Rubric'!$H$6:$H$14,M176)&lt;&gt;1,"Check weights",ROUND(E176*INDEX('Position_Rubric'!$C$6:$C$14,M176)+F176*INDEX('Position_Rubric'!$D$6:$D$14,M176)+G176*INDEX('Position_Rubric'!$E$6:$E$14,M176)+H176*INDEX('Position_Rubric'!$F$6:$F$14,M176)+I176*INDEX('Position_Rubric'!$G$6:$G$14,M176),1)))))</x:f>
      </x:c>
      <x:c r="K176" s="82" t="str">
        <x:f>IF(AND(ISNUMBER(J176),ISNUMBER(D176)),J176-D176,"")</x:f>
      </x:c>
      <x:c r="L176" s="69" t="str">
        <x:f>IF(COUNT(E176:I176)&lt;5,"Needs component scores",IF(ISNUMBER(J176),"Calculated",J176))</x:f>
        <x:v>Needs component scores</x:v>
      </x:c>
      <x:c r="M176" s="69" t="n">
        <x:f>IF(C176="","",MATCH(C176,'Position_Rubric'!$A$6:$A$14,0))</x:f>
        <x:v>8</x:v>
      </x:c>
      <x:c r="N176" s="69" t="str"/>
    </x:row>
    <x:row r="177" ht="25" customHeight="1">
      <x:c r="A177" s="69" t="str">
        <x:v>summer-S26-0033</x:v>
      </x:c>
      <x:c r="B177" s="69" t="str">
        <x:v>Donyell Malen</x:v>
      </x:c>
      <x:c r="C177" s="69" t="str">
        <x:v>ST</x:v>
      </x:c>
      <x:c r="D177" s="82" t="str">
        <x:f>IF(ISNUMBER('Transfer_Ratings'!K177),'Transfer_Ratings'!K177,"")</x:f>
      </x:c>
      <x:c r="E177" s="86"/>
      <x:c r="F177" s="86"/>
      <x:c r="G177" s="86"/>
      <x:c r="H177" s="86"/>
      <x:c r="I177" s="86"/>
      <x:c r="J177" s="82" t="str">
        <x:f>IF(C177="","Choose position",IF(COUNT(E177:I177)&lt;5,"",IF(OR(MIN(E177:I177)&lt;0.1,MAX(E177:I177)&gt;10),"Invalid score",IF(INDEX('Position_Rubric'!$H$6:$H$14,M177)&lt;&gt;1,"Check weights",ROUND(E177*INDEX('Position_Rubric'!$C$6:$C$14,M177)+F177*INDEX('Position_Rubric'!$D$6:$D$14,M177)+G177*INDEX('Position_Rubric'!$E$6:$E$14,M177)+H177*INDEX('Position_Rubric'!$F$6:$F$14,M177)+I177*INDEX('Position_Rubric'!$G$6:$G$14,M177),1)))))</x:f>
      </x:c>
      <x:c r="K177" s="82" t="str">
        <x:f>IF(AND(ISNUMBER(J177),ISNUMBER(D177)),J177-D177,"")</x:f>
      </x:c>
      <x:c r="L177" s="69" t="str">
        <x:f>IF(COUNT(E177:I177)&lt;5,"Needs component scores",IF(ISNUMBER(J177),"Calculated",J177))</x:f>
        <x:v>Needs component scores</x:v>
      </x:c>
      <x:c r="M177" s="69" t="n">
        <x:f>IF(C177="","",MATCH(C177,'Position_Rubric'!$A$6:$A$14,0))</x:f>
        <x:v>8</x:v>
      </x:c>
      <x:c r="N177" s="69" t="str"/>
    </x:row>
    <x:row r="178" ht="25" customHeight="1">
      <x:c r="A178" s="69" t="str">
        <x:v>summer-S26-0042</x:v>
      </x:c>
      <x:c r="B178" s="69" t="str">
        <x:v>Isac Lidberg</x:v>
      </x:c>
      <x:c r="C178" s="69" t="str">
        <x:v>ST</x:v>
      </x:c>
      <x:c r="D178" s="82" t="str">
        <x:f>IF(ISNUMBER('Transfer_Ratings'!K178),'Transfer_Ratings'!K178,"")</x:f>
      </x:c>
      <x:c r="E178" s="86"/>
      <x:c r="F178" s="86"/>
      <x:c r="G178" s="86"/>
      <x:c r="H178" s="86"/>
      <x:c r="I178" s="86"/>
      <x:c r="J178" s="82" t="str">
        <x:f>IF(C178="","Choose position",IF(COUNT(E178:I178)&lt;5,"",IF(OR(MIN(E178:I178)&lt;0.1,MAX(E178:I178)&gt;10),"Invalid score",IF(INDEX('Position_Rubric'!$H$6:$H$14,M178)&lt;&gt;1,"Check weights",ROUND(E178*INDEX('Position_Rubric'!$C$6:$C$14,M178)+F178*INDEX('Position_Rubric'!$D$6:$D$14,M178)+G178*INDEX('Position_Rubric'!$E$6:$E$14,M178)+H178*INDEX('Position_Rubric'!$F$6:$F$14,M178)+I178*INDEX('Position_Rubric'!$G$6:$G$14,M178),1)))))</x:f>
      </x:c>
      <x:c r="K178" s="82" t="str">
        <x:f>IF(AND(ISNUMBER(J178),ISNUMBER(D178)),J178-D178,"")</x:f>
      </x:c>
      <x:c r="L178" s="69" t="str">
        <x:f>IF(COUNT(E178:I178)&lt;5,"Needs component scores",IF(ISNUMBER(J178),"Calculated",J178))</x:f>
        <x:v>Needs component scores</x:v>
      </x:c>
      <x:c r="M178" s="69" t="n">
        <x:f>IF(C178="","",MATCH(C178,'Position_Rubric'!$A$6:$A$14,0))</x:f>
        <x:v>8</x:v>
      </x:c>
      <x:c r="N178" s="69" t="str"/>
    </x:row>
    <x:row r="179" ht="25" customHeight="1">
      <x:c r="A179" s="69" t="str">
        <x:v>summer-S26-0052</x:v>
      </x:c>
      <x:c r="B179" s="69" t="str">
        <x:v>Hamza Abdelkarim</x:v>
      </x:c>
      <x:c r="C179" s="69" t="str">
        <x:v>ST</x:v>
      </x:c>
      <x:c r="D179" s="82" t="str">
        <x:f>IF(ISNUMBER('Transfer_Ratings'!K179),'Transfer_Ratings'!K179,"")</x:f>
      </x:c>
      <x:c r="E179" s="86"/>
      <x:c r="F179" s="86"/>
      <x:c r="G179" s="86"/>
      <x:c r="H179" s="86"/>
      <x:c r="I179" s="86"/>
      <x:c r="J179" s="82" t="str">
        <x:f>IF(C179="","Choose position",IF(COUNT(E179:I179)&lt;5,"",IF(OR(MIN(E179:I179)&lt;0.1,MAX(E179:I179)&gt;10),"Invalid score",IF(INDEX('Position_Rubric'!$H$6:$H$14,M179)&lt;&gt;1,"Check weights",ROUND(E179*INDEX('Position_Rubric'!$C$6:$C$14,M179)+F179*INDEX('Position_Rubric'!$D$6:$D$14,M179)+G179*INDEX('Position_Rubric'!$E$6:$E$14,M179)+H179*INDEX('Position_Rubric'!$F$6:$F$14,M179)+I179*INDEX('Position_Rubric'!$G$6:$G$14,M179),1)))))</x:f>
      </x:c>
      <x:c r="K179" s="82" t="str">
        <x:f>IF(AND(ISNUMBER(J179),ISNUMBER(D179)),J179-D179,"")</x:f>
      </x:c>
      <x:c r="L179" s="69" t="str">
        <x:f>IF(COUNT(E179:I179)&lt;5,"Needs component scores",IF(ISNUMBER(J179),"Calculated",J179))</x:f>
        <x:v>Needs component scores</x:v>
      </x:c>
      <x:c r="M179" s="69" t="n">
        <x:f>IF(C179="","",MATCH(C179,'Position_Rubric'!$A$6:$A$14,0))</x:f>
        <x:v>8</x:v>
      </x:c>
      <x:c r="N179" s="69" t="str"/>
    </x:row>
    <x:row r="180" ht="25" customHeight="1">
      <x:c r="A180" s="69" t="str">
        <x:v>summer-S26-0053</x:v>
      </x:c>
      <x:c r="B180" s="69" t="str">
        <x:v>Keisuke Goto</x:v>
      </x:c>
      <x:c r="C180" s="69" t="str">
        <x:v>ST</x:v>
      </x:c>
      <x:c r="D180" s="82" t="str">
        <x:f>IF(ISNUMBER('Transfer_Ratings'!K180),'Transfer_Ratings'!K180,"")</x:f>
      </x:c>
      <x:c r="E180" s="86"/>
      <x:c r="F180" s="86"/>
      <x:c r="G180" s="86"/>
      <x:c r="H180" s="86"/>
      <x:c r="I180" s="86"/>
      <x:c r="J180" s="82" t="str">
        <x:f>IF(C180="","Choose position",IF(COUNT(E180:I180)&lt;5,"",IF(OR(MIN(E180:I180)&lt;0.1,MAX(E180:I180)&gt;10),"Invalid score",IF(INDEX('Position_Rubric'!$H$6:$H$14,M180)&lt;&gt;1,"Check weights",ROUND(E180*INDEX('Position_Rubric'!$C$6:$C$14,M180)+F180*INDEX('Position_Rubric'!$D$6:$D$14,M180)+G180*INDEX('Position_Rubric'!$E$6:$E$14,M180)+H180*INDEX('Position_Rubric'!$F$6:$F$14,M180)+I180*INDEX('Position_Rubric'!$G$6:$G$14,M180),1)))))</x:f>
      </x:c>
      <x:c r="K180" s="82" t="str">
        <x:f>IF(AND(ISNUMBER(J180),ISNUMBER(D180)),J180-D180,"")</x:f>
      </x:c>
      <x:c r="L180" s="69" t="str">
        <x:f>IF(COUNT(E180:I180)&lt;5,"Needs component scores",IF(ISNUMBER(J180),"Calculated",J180))</x:f>
        <x:v>Needs component scores</x:v>
      </x:c>
      <x:c r="M180" s="69" t="n">
        <x:f>IF(C180="","",MATCH(C180,'Position_Rubric'!$A$6:$A$14,0))</x:f>
        <x:v>8</x:v>
      </x:c>
      <x:c r="N180" s="69" t="str"/>
    </x:row>
    <x:row r="181" ht="25" customHeight="1">
      <x:c r="A181" s="69" t="str">
        <x:v>summer-S26-0056</x:v>
      </x:c>
      <x:c r="B181" s="69" t="str">
        <x:v>Shio Fukuda</x:v>
      </x:c>
      <x:c r="C181" s="69" t="str">
        <x:v>ST</x:v>
      </x:c>
      <x:c r="D181" s="82" t="str">
        <x:f>IF(ISNUMBER('Transfer_Ratings'!K181),'Transfer_Ratings'!K181,"")</x:f>
      </x:c>
      <x:c r="E181" s="86"/>
      <x:c r="F181" s="86"/>
      <x:c r="G181" s="86"/>
      <x:c r="H181" s="86"/>
      <x:c r="I181" s="86"/>
      <x:c r="J181" s="82" t="str">
        <x:f>IF(C181="","Choose position",IF(COUNT(E181:I181)&lt;5,"",IF(OR(MIN(E181:I181)&lt;0.1,MAX(E181:I181)&gt;10),"Invalid score",IF(INDEX('Position_Rubric'!$H$6:$H$14,M181)&lt;&gt;1,"Check weights",ROUND(E181*INDEX('Position_Rubric'!$C$6:$C$14,M181)+F181*INDEX('Position_Rubric'!$D$6:$D$14,M181)+G181*INDEX('Position_Rubric'!$E$6:$E$14,M181)+H181*INDEX('Position_Rubric'!$F$6:$F$14,M181)+I181*INDEX('Position_Rubric'!$G$6:$G$14,M181),1)))))</x:f>
      </x:c>
      <x:c r="K181" s="82" t="str">
        <x:f>IF(AND(ISNUMBER(J181),ISNUMBER(D181)),J181-D181,"")</x:f>
      </x:c>
      <x:c r="L181" s="69" t="str">
        <x:f>IF(COUNT(E181:I181)&lt;5,"Needs component scores",IF(ISNUMBER(J181),"Calculated",J181))</x:f>
        <x:v>Needs component scores</x:v>
      </x:c>
      <x:c r="M181" s="69" t="n">
        <x:f>IF(C181="","",MATCH(C181,'Position_Rubric'!$A$6:$A$14,0))</x:f>
        <x:v>8</x:v>
      </x:c>
      <x:c r="N181" s="69" t="str"/>
    </x:row>
    <x:row r="182" ht="25" customHeight="1">
      <x:c r="A182" s="69" t="str">
        <x:v>summer-S26-0058</x:v>
      </x:c>
      <x:c r="B182" s="69" t="str">
        <x:v>Junior Adamu</x:v>
      </x:c>
      <x:c r="C182" s="69" t="str">
        <x:v>ST</x:v>
      </x:c>
      <x:c r="D182" s="82" t="str">
        <x:f>IF(ISNUMBER('Transfer_Ratings'!K182),'Transfer_Ratings'!K182,"")</x:f>
      </x:c>
      <x:c r="E182" s="86"/>
      <x:c r="F182" s="86"/>
      <x:c r="G182" s="86"/>
      <x:c r="H182" s="86"/>
      <x:c r="I182" s="86"/>
      <x:c r="J182" s="82" t="str">
        <x:f>IF(C182="","Choose position",IF(COUNT(E182:I182)&lt;5,"",IF(OR(MIN(E182:I182)&lt;0.1,MAX(E182:I182)&gt;10),"Invalid score",IF(INDEX('Position_Rubric'!$H$6:$H$14,M182)&lt;&gt;1,"Check weights",ROUND(E182*INDEX('Position_Rubric'!$C$6:$C$14,M182)+F182*INDEX('Position_Rubric'!$D$6:$D$14,M182)+G182*INDEX('Position_Rubric'!$E$6:$E$14,M182)+H182*INDEX('Position_Rubric'!$F$6:$F$14,M182)+I182*INDEX('Position_Rubric'!$G$6:$G$14,M182),1)))))</x:f>
      </x:c>
      <x:c r="K182" s="82" t="str">
        <x:f>IF(AND(ISNUMBER(J182),ISNUMBER(D182)),J182-D182,"")</x:f>
      </x:c>
      <x:c r="L182" s="69" t="str">
        <x:f>IF(COUNT(E182:I182)&lt;5,"Needs component scores",IF(ISNUMBER(J182),"Calculated",J182))</x:f>
        <x:v>Needs component scores</x:v>
      </x:c>
      <x:c r="M182" s="69" t="n">
        <x:f>IF(C182="","",MATCH(C182,'Position_Rubric'!$A$6:$A$14,0))</x:f>
        <x:v>8</x:v>
      </x:c>
      <x:c r="N182" s="69" t="str"/>
    </x:row>
    <x:row r="183" ht="25" customHeight="1">
      <x:c r="A183" s="69" t="str">
        <x:v>summer-S26-0059</x:v>
      </x:c>
      <x:c r="B183" s="69" t="str">
        <x:v>Michael Gregoritsch</x:v>
      </x:c>
      <x:c r="C183" s="69" t="str">
        <x:v>ST</x:v>
      </x:c>
      <x:c r="D183" s="82" t="str">
        <x:f>IF(ISNUMBER('Transfer_Ratings'!K183),'Transfer_Ratings'!K183,"")</x:f>
      </x:c>
      <x:c r="E183" s="86"/>
      <x:c r="F183" s="86"/>
      <x:c r="G183" s="86"/>
      <x:c r="H183" s="86"/>
      <x:c r="I183" s="86"/>
      <x:c r="J183" s="82" t="str">
        <x:f>IF(C183="","Choose position",IF(COUNT(E183:I183)&lt;5,"",IF(OR(MIN(E183:I183)&lt;0.1,MAX(E183:I183)&gt;10),"Invalid score",IF(INDEX('Position_Rubric'!$H$6:$H$14,M183)&lt;&gt;1,"Check weights",ROUND(E183*INDEX('Position_Rubric'!$C$6:$C$14,M183)+F183*INDEX('Position_Rubric'!$D$6:$D$14,M183)+G183*INDEX('Position_Rubric'!$E$6:$E$14,M183)+H183*INDEX('Position_Rubric'!$F$6:$F$14,M183)+I183*INDEX('Position_Rubric'!$G$6:$G$14,M183),1)))))</x:f>
      </x:c>
      <x:c r="K183" s="82" t="str">
        <x:f>IF(AND(ISNUMBER(J183),ISNUMBER(D183)),J183-D183,"")</x:f>
      </x:c>
      <x:c r="L183" s="69" t="str">
        <x:f>IF(COUNT(E183:I183)&lt;5,"Needs component scores",IF(ISNUMBER(J183),"Calculated",J183))</x:f>
        <x:v>Needs component scores</x:v>
      </x:c>
      <x:c r="M183" s="69" t="n">
        <x:f>IF(C183="","",MATCH(C183,'Position_Rubric'!$A$6:$A$14,0))</x:f>
        <x:v>8</x:v>
      </x:c>
      <x:c r="N183" s="69" t="str"/>
    </x:row>
    <x:row r="184" ht="25" customHeight="1">
      <x:c r="A184" s="69" t="str">
        <x:v>summer-S26-0063</x:v>
      </x:c>
      <x:c r="B184" s="69" t="str">
        <x:v>André Silva</x:v>
      </x:c>
      <x:c r="C184" s="69" t="str">
        <x:v>ST</x:v>
      </x:c>
      <x:c r="D184" s="82" t="str">
        <x:f>IF(ISNUMBER('Transfer_Ratings'!K184),'Transfer_Ratings'!K184,"")</x:f>
      </x:c>
      <x:c r="E184" s="86"/>
      <x:c r="F184" s="86"/>
      <x:c r="G184" s="86"/>
      <x:c r="H184" s="86"/>
      <x:c r="I184" s="86"/>
      <x:c r="J184" s="82" t="str">
        <x:f>IF(C184="","Choose position",IF(COUNT(E184:I184)&lt;5,"",IF(OR(MIN(E184:I184)&lt;0.1,MAX(E184:I184)&gt;10),"Invalid score",IF(INDEX('Position_Rubric'!$H$6:$H$14,M184)&lt;&gt;1,"Check weights",ROUND(E184*INDEX('Position_Rubric'!$C$6:$C$14,M184)+F184*INDEX('Position_Rubric'!$D$6:$D$14,M184)+G184*INDEX('Position_Rubric'!$E$6:$E$14,M184)+H184*INDEX('Position_Rubric'!$F$6:$F$14,M184)+I184*INDEX('Position_Rubric'!$G$6:$G$14,M184),1)))))</x:f>
      </x:c>
      <x:c r="K184" s="82" t="str">
        <x:f>IF(AND(ISNUMBER(J184),ISNUMBER(D184)),J184-D184,"")</x:f>
      </x:c>
      <x:c r="L184" s="69" t="str">
        <x:f>IF(COUNT(E184:I184)&lt;5,"Needs component scores",IF(ISNUMBER(J184),"Calculated",J184))</x:f>
        <x:v>Needs component scores</x:v>
      </x:c>
      <x:c r="M184" s="69" t="n">
        <x:f>IF(C184="","",MATCH(C184,'Position_Rubric'!$A$6:$A$14,0))</x:f>
        <x:v>8</x:v>
      </x:c>
      <x:c r="N184" s="69" t="str"/>
    </x:row>
    <x:row r="185" ht="25" customHeight="1">
      <x:c r="A185" s="69" t="str">
        <x:v>summer-S26-0064</x:v>
      </x:c>
      <x:c r="B185" s="69" t="str">
        <x:v>Olly Sanderson</x:v>
      </x:c>
      <x:c r="C185" s="69" t="str">
        <x:v>ST</x:v>
      </x:c>
      <x:c r="D185" s="82" t="str">
        <x:f>IF(ISNUMBER('Transfer_Ratings'!K185),'Transfer_Ratings'!K185,"")</x:f>
      </x:c>
      <x:c r="E185" s="86"/>
      <x:c r="F185" s="86"/>
      <x:c r="G185" s="86"/>
      <x:c r="H185" s="86"/>
      <x:c r="I185" s="86"/>
      <x:c r="J185" s="82" t="str">
        <x:f>IF(C185="","Choose position",IF(COUNT(E185:I185)&lt;5,"",IF(OR(MIN(E185:I185)&lt;0.1,MAX(E185:I185)&gt;10),"Invalid score",IF(INDEX('Position_Rubric'!$H$6:$H$14,M185)&lt;&gt;1,"Check weights",ROUND(E185*INDEX('Position_Rubric'!$C$6:$C$14,M185)+F185*INDEX('Position_Rubric'!$D$6:$D$14,M185)+G185*INDEX('Position_Rubric'!$E$6:$E$14,M185)+H185*INDEX('Position_Rubric'!$F$6:$F$14,M185)+I185*INDEX('Position_Rubric'!$G$6:$G$14,M185),1)))))</x:f>
      </x:c>
      <x:c r="K185" s="82" t="str">
        <x:f>IF(AND(ISNUMBER(J185),ISNUMBER(D185)),J185-D185,"")</x:f>
      </x:c>
      <x:c r="L185" s="69" t="str">
        <x:f>IF(COUNT(E185:I185)&lt;5,"Needs component scores",IF(ISNUMBER(J185),"Calculated",J185))</x:f>
        <x:v>Needs component scores</x:v>
      </x:c>
      <x:c r="M185" s="69" t="n">
        <x:f>IF(C185="","",MATCH(C185,'Position_Rubric'!$A$6:$A$14,0))</x:f>
        <x:v>8</x:v>
      </x:c>
      <x:c r="N185" s="69" t="str"/>
    </x:row>
    <x:row r="186" ht="25" customHeight="1">
      <x:c r="A186" s="69" t="str">
        <x:v>summer-S26-0077</x:v>
      </x:c>
      <x:c r="B186" s="69" t="str">
        <x:v>Francesco Camarda</x:v>
      </x:c>
      <x:c r="C186" s="69" t="str">
        <x:v>ST</x:v>
      </x:c>
      <x:c r="D186" s="82" t="str">
        <x:f>IF(ISNUMBER('Transfer_Ratings'!K186),'Transfer_Ratings'!K186,"")</x:f>
      </x:c>
      <x:c r="E186" s="86"/>
      <x:c r="F186" s="86"/>
      <x:c r="G186" s="86"/>
      <x:c r="H186" s="86"/>
      <x:c r="I186" s="86"/>
      <x:c r="J186" s="82" t="str">
        <x:f>IF(C186="","Choose position",IF(COUNT(E186:I186)&lt;5,"",IF(OR(MIN(E186:I186)&lt;0.1,MAX(E186:I186)&gt;10),"Invalid score",IF(INDEX('Position_Rubric'!$H$6:$H$14,M186)&lt;&gt;1,"Check weights",ROUND(E186*INDEX('Position_Rubric'!$C$6:$C$14,M186)+F186*INDEX('Position_Rubric'!$D$6:$D$14,M186)+G186*INDEX('Position_Rubric'!$E$6:$E$14,M186)+H186*INDEX('Position_Rubric'!$F$6:$F$14,M186)+I186*INDEX('Position_Rubric'!$G$6:$G$14,M186),1)))))</x:f>
      </x:c>
      <x:c r="K186" s="82" t="str">
        <x:f>IF(AND(ISNUMBER(J186),ISNUMBER(D186)),J186-D186,"")</x:f>
      </x:c>
      <x:c r="L186" s="69" t="str">
        <x:f>IF(COUNT(E186:I186)&lt;5,"Needs component scores",IF(ISNUMBER(J186),"Calculated",J186))</x:f>
        <x:v>Needs component scores</x:v>
      </x:c>
      <x:c r="M186" s="69" t="n">
        <x:f>IF(C186="","",MATCH(C186,'Position_Rubric'!$A$6:$A$14,0))</x:f>
        <x:v>8</x:v>
      </x:c>
      <x:c r="N186" s="69" t="str"/>
    </x:row>
    <x:row r="187" ht="25" customHeight="1">
      <x:c r="A187" s="69" t="str">
        <x:v>summer-S26-0092</x:v>
      </x:c>
      <x:c r="B187" s="69" t="str">
        <x:v>Chaka Traorè</x:v>
      </x:c>
      <x:c r="C187" s="69" t="str">
        <x:v>ST</x:v>
      </x:c>
      <x:c r="D187" s="82" t="str">
        <x:f>IF(ISNUMBER('Transfer_Ratings'!K187),'Transfer_Ratings'!K187,"")</x:f>
      </x:c>
      <x:c r="E187" s="86"/>
      <x:c r="F187" s="86"/>
      <x:c r="G187" s="86"/>
      <x:c r="H187" s="86"/>
      <x:c r="I187" s="86"/>
      <x:c r="J187" s="82" t="str">
        <x:f>IF(C187="","Choose position",IF(COUNT(E187:I187)&lt;5,"",IF(OR(MIN(E187:I187)&lt;0.1,MAX(E187:I187)&gt;10),"Invalid score",IF(INDEX('Position_Rubric'!$H$6:$H$14,M187)&lt;&gt;1,"Check weights",ROUND(E187*INDEX('Position_Rubric'!$C$6:$C$14,M187)+F187*INDEX('Position_Rubric'!$D$6:$D$14,M187)+G187*INDEX('Position_Rubric'!$E$6:$E$14,M187)+H187*INDEX('Position_Rubric'!$F$6:$F$14,M187)+I187*INDEX('Position_Rubric'!$G$6:$G$14,M187),1)))))</x:f>
      </x:c>
      <x:c r="K187" s="82" t="str">
        <x:f>IF(AND(ISNUMBER(J187),ISNUMBER(D187)),J187-D187,"")</x:f>
      </x:c>
      <x:c r="L187" s="69" t="str">
        <x:f>IF(COUNT(E187:I187)&lt;5,"Needs component scores",IF(ISNUMBER(J187),"Calculated",J187))</x:f>
        <x:v>Needs component scores</x:v>
      </x:c>
      <x:c r="M187" s="69" t="n">
        <x:f>IF(C187="","",MATCH(C187,'Position_Rubric'!$A$6:$A$14,0))</x:f>
        <x:v>8</x:v>
      </x:c>
      <x:c r="N187" s="69" t="str"/>
    </x:row>
    <x:row r="188" ht="25" customHeight="1">
      <x:c r="A188" s="69" t="str">
        <x:v>summer-S26-0094</x:v>
      </x:c>
      <x:c r="B188" s="69" t="str">
        <x:v>Víctor Muñoz</x:v>
      </x:c>
      <x:c r="C188" s="69" t="str">
        <x:v>ST</x:v>
      </x:c>
      <x:c r="D188" s="82" t="str">
        <x:f>IF(ISNUMBER('Transfer_Ratings'!K188),'Transfer_Ratings'!K188,"")</x:f>
      </x:c>
      <x:c r="E188" s="86"/>
      <x:c r="F188" s="86"/>
      <x:c r="G188" s="86"/>
      <x:c r="H188" s="86"/>
      <x:c r="I188" s="86"/>
      <x:c r="J188" s="82" t="str">
        <x:f>IF(C188="","Choose position",IF(COUNT(E188:I188)&lt;5,"",IF(OR(MIN(E188:I188)&lt;0.1,MAX(E188:I188)&gt;10),"Invalid score",IF(INDEX('Position_Rubric'!$H$6:$H$14,M188)&lt;&gt;1,"Check weights",ROUND(E188*INDEX('Position_Rubric'!$C$6:$C$14,M188)+F188*INDEX('Position_Rubric'!$D$6:$D$14,M188)+G188*INDEX('Position_Rubric'!$E$6:$E$14,M188)+H188*INDEX('Position_Rubric'!$F$6:$F$14,M188)+I188*INDEX('Position_Rubric'!$G$6:$G$14,M188),1)))))</x:f>
      </x:c>
      <x:c r="K188" s="82" t="str">
        <x:f>IF(AND(ISNUMBER(J188),ISNUMBER(D188)),J188-D188,"")</x:f>
      </x:c>
      <x:c r="L188" s="69" t="str">
        <x:f>IF(COUNT(E188:I188)&lt;5,"Needs component scores",IF(ISNUMBER(J188),"Calculated",J188))</x:f>
        <x:v>Needs component scores</x:v>
      </x:c>
      <x:c r="M188" s="69" t="n">
        <x:f>IF(C188="","",MATCH(C188,'Position_Rubric'!$A$6:$A$14,0))</x:f>
        <x:v>8</x:v>
      </x:c>
      <x:c r="N188" s="69" t="str"/>
    </x:row>
    <x:row r="189" ht="25" customHeight="1">
      <x:c r="A189" s="69" t="str">
        <x:v>summer-S26-0109</x:v>
      </x:c>
      <x:c r="B189" s="69" t="str">
        <x:v>Jimmy-Jay Morgan</x:v>
      </x:c>
      <x:c r="C189" s="69" t="str">
        <x:v>ST</x:v>
      </x:c>
      <x:c r="D189" s="82" t="str">
        <x:f>IF(ISNUMBER('Transfer_Ratings'!K189),'Transfer_Ratings'!K189,"")</x:f>
      </x:c>
      <x:c r="E189" s="86"/>
      <x:c r="F189" s="86"/>
      <x:c r="G189" s="86"/>
      <x:c r="H189" s="86"/>
      <x:c r="I189" s="86"/>
      <x:c r="J189" s="82" t="str">
        <x:f>IF(C189="","Choose position",IF(COUNT(E189:I189)&lt;5,"",IF(OR(MIN(E189:I189)&lt;0.1,MAX(E189:I189)&gt;10),"Invalid score",IF(INDEX('Position_Rubric'!$H$6:$H$14,M189)&lt;&gt;1,"Check weights",ROUND(E189*INDEX('Position_Rubric'!$C$6:$C$14,M189)+F189*INDEX('Position_Rubric'!$D$6:$D$14,M189)+G189*INDEX('Position_Rubric'!$E$6:$E$14,M189)+H189*INDEX('Position_Rubric'!$F$6:$F$14,M189)+I189*INDEX('Position_Rubric'!$G$6:$G$14,M189),1)))))</x:f>
      </x:c>
      <x:c r="K189" s="82" t="str">
        <x:f>IF(AND(ISNUMBER(J189),ISNUMBER(D189)),J189-D189,"")</x:f>
      </x:c>
      <x:c r="L189" s="69" t="str">
        <x:f>IF(COUNT(E189:I189)&lt;5,"Needs component scores",IF(ISNUMBER(J189),"Calculated",J189))</x:f>
        <x:v>Needs component scores</x:v>
      </x:c>
      <x:c r="M189" s="69" t="n">
        <x:f>IF(C189="","",MATCH(C189,'Position_Rubric'!$A$6:$A$14,0))</x:f>
        <x:v>8</x:v>
      </x:c>
      <x:c r="N189" s="69" t="str"/>
    </x:row>
    <x:row r="190" ht="25" customHeight="1">
      <x:c r="A190" s="69" t="str">
        <x:v>summer-S26-0110</x:v>
      </x:c>
      <x:c r="B190" s="69" t="str">
        <x:v>Cedric Itten</x:v>
      </x:c>
      <x:c r="C190" s="69" t="str">
        <x:v>ST</x:v>
      </x:c>
      <x:c r="D190" s="82" t="str">
        <x:f>IF(ISNUMBER('Transfer_Ratings'!K190),'Transfer_Ratings'!K190,"")</x:f>
      </x:c>
      <x:c r="E190" s="86"/>
      <x:c r="F190" s="86"/>
      <x:c r="G190" s="86"/>
      <x:c r="H190" s="86"/>
      <x:c r="I190" s="86"/>
      <x:c r="J190" s="82" t="str">
        <x:f>IF(C190="","Choose position",IF(COUNT(E190:I190)&lt;5,"",IF(OR(MIN(E190:I190)&lt;0.1,MAX(E190:I190)&gt;10),"Invalid score",IF(INDEX('Position_Rubric'!$H$6:$H$14,M190)&lt;&gt;1,"Check weights",ROUND(E190*INDEX('Position_Rubric'!$C$6:$C$14,M190)+F190*INDEX('Position_Rubric'!$D$6:$D$14,M190)+G190*INDEX('Position_Rubric'!$E$6:$E$14,M190)+H190*INDEX('Position_Rubric'!$F$6:$F$14,M190)+I190*INDEX('Position_Rubric'!$G$6:$G$14,M190),1)))))</x:f>
      </x:c>
      <x:c r="K190" s="82" t="str">
        <x:f>IF(AND(ISNUMBER(J190),ISNUMBER(D190)),J190-D190,"")</x:f>
      </x:c>
      <x:c r="L190" s="69" t="str">
        <x:f>IF(COUNT(E190:I190)&lt;5,"Needs component scores",IF(ISNUMBER(J190),"Calculated",J190))</x:f>
        <x:v>Needs component scores</x:v>
      </x:c>
      <x:c r="M190" s="69" t="n">
        <x:f>IF(C190="","",MATCH(C190,'Position_Rubric'!$A$6:$A$14,0))</x:f>
        <x:v>8</x:v>
      </x:c>
      <x:c r="N190" s="69" t="str"/>
    </x:row>
    <x:row r="191" ht="25" customHeight="1">
      <x:c r="A191" s="69" t="str">
        <x:v>summer-S26-0118</x:v>
      </x:c>
      <x:c r="B191" s="69" t="str">
        <x:v>Chuba Akpom</x:v>
      </x:c>
      <x:c r="C191" s="69" t="str">
        <x:v>ST</x:v>
      </x:c>
      <x:c r="D191" s="82" t="str">
        <x:f>IF(ISNUMBER('Transfer_Ratings'!K191),'Transfer_Ratings'!K191,"")</x:f>
      </x:c>
      <x:c r="E191" s="86"/>
      <x:c r="F191" s="86"/>
      <x:c r="G191" s="86"/>
      <x:c r="H191" s="86"/>
      <x:c r="I191" s="86"/>
      <x:c r="J191" s="82" t="str">
        <x:f>IF(C191="","Choose position",IF(COUNT(E191:I191)&lt;5,"",IF(OR(MIN(E191:I191)&lt;0.1,MAX(E191:I191)&gt;10),"Invalid score",IF(INDEX('Position_Rubric'!$H$6:$H$14,M191)&lt;&gt;1,"Check weights",ROUND(E191*INDEX('Position_Rubric'!$C$6:$C$14,M191)+F191*INDEX('Position_Rubric'!$D$6:$D$14,M191)+G191*INDEX('Position_Rubric'!$E$6:$E$14,M191)+H191*INDEX('Position_Rubric'!$F$6:$F$14,M191)+I191*INDEX('Position_Rubric'!$G$6:$G$14,M191),1)))))</x:f>
      </x:c>
      <x:c r="K191" s="82" t="str">
        <x:f>IF(AND(ISNUMBER(J191),ISNUMBER(D191)),J191-D191,"")</x:f>
      </x:c>
      <x:c r="L191" s="69" t="str">
        <x:f>IF(COUNT(E191:I191)&lt;5,"Needs component scores",IF(ISNUMBER(J191),"Calculated",J191))</x:f>
        <x:v>Needs component scores</x:v>
      </x:c>
      <x:c r="M191" s="69" t="n">
        <x:f>IF(C191="","",MATCH(C191,'Position_Rubric'!$A$6:$A$14,0))</x:f>
        <x:v>8</x:v>
      </x:c>
      <x:c r="N191" s="69" t="str"/>
    </x:row>
    <x:row r="192" ht="25" customHeight="1">
      <x:c r="A192" s="69" t="str">
        <x:v>summer-S26-0124</x:v>
      </x:c>
      <x:c r="B192" s="69" t="str">
        <x:v>Robert Glatzel</x:v>
      </x:c>
      <x:c r="C192" s="69" t="str">
        <x:v>ST</x:v>
      </x:c>
      <x:c r="D192" s="82" t="str">
        <x:f>IF(ISNUMBER('Transfer_Ratings'!K192),'Transfer_Ratings'!K192,"")</x:f>
      </x:c>
      <x:c r="E192" s="86"/>
      <x:c r="F192" s="86"/>
      <x:c r="G192" s="86"/>
      <x:c r="H192" s="86"/>
      <x:c r="I192" s="86"/>
      <x:c r="J192" s="82" t="str">
        <x:f>IF(C192="","Choose position",IF(COUNT(E192:I192)&lt;5,"",IF(OR(MIN(E192:I192)&lt;0.1,MAX(E192:I192)&gt;10),"Invalid score",IF(INDEX('Position_Rubric'!$H$6:$H$14,M192)&lt;&gt;1,"Check weights",ROUND(E192*INDEX('Position_Rubric'!$C$6:$C$14,M192)+F192*INDEX('Position_Rubric'!$D$6:$D$14,M192)+G192*INDEX('Position_Rubric'!$E$6:$E$14,M192)+H192*INDEX('Position_Rubric'!$F$6:$F$14,M192)+I192*INDEX('Position_Rubric'!$G$6:$G$14,M192),1)))))</x:f>
      </x:c>
      <x:c r="K192" s="82" t="str">
        <x:f>IF(AND(ISNUMBER(J192),ISNUMBER(D192)),J192-D192,"")</x:f>
      </x:c>
      <x:c r="L192" s="69" t="str">
        <x:f>IF(COUNT(E192:I192)&lt;5,"Needs component scores",IF(ISNUMBER(J192),"Calculated",J192))</x:f>
        <x:v>Needs component scores</x:v>
      </x:c>
      <x:c r="M192" s="69" t="n">
        <x:f>IF(C192="","",MATCH(C192,'Position_Rubric'!$A$6:$A$14,0))</x:f>
        <x:v>8</x:v>
      </x:c>
      <x:c r="N192" s="69" t="str"/>
    </x:row>
    <x:row r="193" ht="25" customHeight="1">
      <x:c r="A193" s="69" t="str">
        <x:v>summer-S26-0127</x:v>
      </x:c>
      <x:c r="B193" s="69" t="str">
        <x:v>Pierre Mounguengue</x:v>
      </x:c>
      <x:c r="C193" s="69" t="str">
        <x:v>ST</x:v>
      </x:c>
      <x:c r="D193" s="82" t="str">
        <x:f>IF(ISNUMBER('Transfer_Ratings'!K193),'Transfer_Ratings'!K193,"")</x:f>
      </x:c>
      <x:c r="E193" s="86"/>
      <x:c r="F193" s="86"/>
      <x:c r="G193" s="86"/>
      <x:c r="H193" s="86"/>
      <x:c r="I193" s="86"/>
      <x:c r="J193" s="82" t="str">
        <x:f>IF(C193="","Choose position",IF(COUNT(E193:I193)&lt;5,"",IF(OR(MIN(E193:I193)&lt;0.1,MAX(E193:I193)&gt;10),"Invalid score",IF(INDEX('Position_Rubric'!$H$6:$H$14,M193)&lt;&gt;1,"Check weights",ROUND(E193*INDEX('Position_Rubric'!$C$6:$C$14,M193)+F193*INDEX('Position_Rubric'!$D$6:$D$14,M193)+G193*INDEX('Position_Rubric'!$E$6:$E$14,M193)+H193*INDEX('Position_Rubric'!$F$6:$F$14,M193)+I193*INDEX('Position_Rubric'!$G$6:$G$14,M193),1)))))</x:f>
      </x:c>
      <x:c r="K193" s="82" t="str">
        <x:f>IF(AND(ISNUMBER(J193),ISNUMBER(D193)),J193-D193,"")</x:f>
      </x:c>
      <x:c r="L193" s="69" t="str">
        <x:f>IF(COUNT(E193:I193)&lt;5,"Needs component scores",IF(ISNUMBER(J193),"Calculated",J193))</x:f>
        <x:v>Needs component scores</x:v>
      </x:c>
      <x:c r="M193" s="69" t="n">
        <x:f>IF(C193="","",MATCH(C193,'Position_Rubric'!$A$6:$A$14,0))</x:f>
        <x:v>8</x:v>
      </x:c>
      <x:c r="N193" s="69" t="str"/>
    </x:row>
    <x:row r="194" ht="25" customHeight="1">
      <x:c r="A194" s="69" t="str">
        <x:v>summer-S26-0129</x:v>
      </x:c>
      <x:c r="B194" s="69" t="str">
        <x:v>Ilyes Housni</x:v>
      </x:c>
      <x:c r="C194" s="69" t="str">
        <x:v>ST</x:v>
      </x:c>
      <x:c r="D194" s="82" t="str">
        <x:f>IF(ISNUMBER('Transfer_Ratings'!K194),'Transfer_Ratings'!K194,"")</x:f>
      </x:c>
      <x:c r="E194" s="86"/>
      <x:c r="F194" s="86"/>
      <x:c r="G194" s="86"/>
      <x:c r="H194" s="86"/>
      <x:c r="I194" s="86"/>
      <x:c r="J194" s="82" t="str">
        <x:f>IF(C194="","Choose position",IF(COUNT(E194:I194)&lt;5,"",IF(OR(MIN(E194:I194)&lt;0.1,MAX(E194:I194)&gt;10),"Invalid score",IF(INDEX('Position_Rubric'!$H$6:$H$14,M194)&lt;&gt;1,"Check weights",ROUND(E194*INDEX('Position_Rubric'!$C$6:$C$14,M194)+F194*INDEX('Position_Rubric'!$D$6:$D$14,M194)+G194*INDEX('Position_Rubric'!$E$6:$E$14,M194)+H194*INDEX('Position_Rubric'!$F$6:$F$14,M194)+I194*INDEX('Position_Rubric'!$G$6:$G$14,M194),1)))))</x:f>
      </x:c>
      <x:c r="K194" s="82" t="str">
        <x:f>IF(AND(ISNUMBER(J194),ISNUMBER(D194)),J194-D194,"")</x:f>
      </x:c>
      <x:c r="L194" s="69" t="str">
        <x:f>IF(COUNT(E194:I194)&lt;5,"Needs component scores",IF(ISNUMBER(J194),"Calculated",J194))</x:f>
        <x:v>Needs component scores</x:v>
      </x:c>
      <x:c r="M194" s="69" t="n">
        <x:f>IF(C194="","",MATCH(C194,'Position_Rubric'!$A$6:$A$14,0))</x:f>
        <x:v>8</x:v>
      </x:c>
      <x:c r="N194" s="69" t="str"/>
    </x:row>
    <x:row r="195" ht="25" customHeight="1">
      <x:c r="A195" s="69" t="str">
        <x:v>summer-S26-0138</x:v>
      </x:c>
      <x:c r="B195" s="69" t="str">
        <x:v>Frankie Okoronkwo</x:v>
      </x:c>
      <x:c r="C195" s="69" t="str">
        <x:v>ST</x:v>
      </x:c>
      <x:c r="D195" s="82" t="str">
        <x:f>IF(ISNUMBER('Transfer_Ratings'!K195),'Transfer_Ratings'!K195,"")</x:f>
      </x:c>
      <x:c r="E195" s="86"/>
      <x:c r="F195" s="86"/>
      <x:c r="G195" s="86"/>
      <x:c r="H195" s="86"/>
      <x:c r="I195" s="86"/>
      <x:c r="J195" s="82" t="str">
        <x:f>IF(C195="","Choose position",IF(COUNT(E195:I195)&lt;5,"",IF(OR(MIN(E195:I195)&lt;0.1,MAX(E195:I195)&gt;10),"Invalid score",IF(INDEX('Position_Rubric'!$H$6:$H$14,M195)&lt;&gt;1,"Check weights",ROUND(E195*INDEX('Position_Rubric'!$C$6:$C$14,M195)+F195*INDEX('Position_Rubric'!$D$6:$D$14,M195)+G195*INDEX('Position_Rubric'!$E$6:$E$14,M195)+H195*INDEX('Position_Rubric'!$F$6:$F$14,M195)+I195*INDEX('Position_Rubric'!$G$6:$G$14,M195),1)))))</x:f>
      </x:c>
      <x:c r="K195" s="82" t="str">
        <x:f>IF(AND(ISNUMBER(J195),ISNUMBER(D195)),J195-D195,"")</x:f>
      </x:c>
      <x:c r="L195" s="69" t="str">
        <x:f>IF(COUNT(E195:I195)&lt;5,"Needs component scores",IF(ISNUMBER(J195),"Calculated",J195))</x:f>
        <x:v>Needs component scores</x:v>
      </x:c>
      <x:c r="M195" s="69" t="n">
        <x:f>IF(C195="","",MATCH(C195,'Position_Rubric'!$A$6:$A$14,0))</x:f>
        <x:v>8</x:v>
      </x:c>
      <x:c r="N195" s="69" t="str"/>
    </x:row>
    <x:row r="196" ht="25" customHeight="1">
      <x:c r="A196" s="69" t="str">
        <x:v>summer-S26-0145</x:v>
      </x:c>
      <x:c r="B196" s="69" t="str">
        <x:v>Alejo Véliz</x:v>
      </x:c>
      <x:c r="C196" s="69" t="str">
        <x:v>ST</x:v>
      </x:c>
      <x:c r="D196" s="82" t="str">
        <x:f>IF(ISNUMBER('Transfer_Ratings'!K196),'Transfer_Ratings'!K196,"")</x:f>
      </x:c>
      <x:c r="E196" s="86"/>
      <x:c r="F196" s="86"/>
      <x:c r="G196" s="86"/>
      <x:c r="H196" s="86"/>
      <x:c r="I196" s="86"/>
      <x:c r="J196" s="82" t="str">
        <x:f>IF(C196="","Choose position",IF(COUNT(E196:I196)&lt;5,"",IF(OR(MIN(E196:I196)&lt;0.1,MAX(E196:I196)&gt;10),"Invalid score",IF(INDEX('Position_Rubric'!$H$6:$H$14,M196)&lt;&gt;1,"Check weights",ROUND(E196*INDEX('Position_Rubric'!$C$6:$C$14,M196)+F196*INDEX('Position_Rubric'!$D$6:$D$14,M196)+G196*INDEX('Position_Rubric'!$E$6:$E$14,M196)+H196*INDEX('Position_Rubric'!$F$6:$F$14,M196)+I196*INDEX('Position_Rubric'!$G$6:$G$14,M196),1)))))</x:f>
      </x:c>
      <x:c r="K196" s="82" t="str">
        <x:f>IF(AND(ISNUMBER(J196),ISNUMBER(D196)),J196-D196,"")</x:f>
      </x:c>
      <x:c r="L196" s="69" t="str">
        <x:f>IF(COUNT(E196:I196)&lt;5,"Needs component scores",IF(ISNUMBER(J196),"Calculated",J196))</x:f>
        <x:v>Needs component scores</x:v>
      </x:c>
      <x:c r="M196" s="69" t="n">
        <x:f>IF(C196="","",MATCH(C196,'Position_Rubric'!$A$6:$A$14,0))</x:f>
        <x:v>8</x:v>
      </x:c>
      <x:c r="N196" s="69" t="str"/>
    </x:row>
    <x:row r="197" ht="25" customHeight="1">
      <x:c r="A197" s="69" t="str">
        <x:v>summer-S26-0146</x:v>
      </x:c>
      <x:c r="B197" s="69" t="str">
        <x:v>Jonah Kusi-Asare</x:v>
      </x:c>
      <x:c r="C197" s="69" t="str">
        <x:v>ST</x:v>
      </x:c>
      <x:c r="D197" s="82" t="str">
        <x:f>IF(ISNUMBER('Transfer_Ratings'!K197),'Transfer_Ratings'!K197,"")</x:f>
      </x:c>
      <x:c r="E197" s="86"/>
      <x:c r="F197" s="86"/>
      <x:c r="G197" s="86"/>
      <x:c r="H197" s="86"/>
      <x:c r="I197" s="86"/>
      <x:c r="J197" s="82" t="str">
        <x:f>IF(C197="","Choose position",IF(COUNT(E197:I197)&lt;5,"",IF(OR(MIN(E197:I197)&lt;0.1,MAX(E197:I197)&gt;10),"Invalid score",IF(INDEX('Position_Rubric'!$H$6:$H$14,M197)&lt;&gt;1,"Check weights",ROUND(E197*INDEX('Position_Rubric'!$C$6:$C$14,M197)+F197*INDEX('Position_Rubric'!$D$6:$D$14,M197)+G197*INDEX('Position_Rubric'!$E$6:$E$14,M197)+H197*INDEX('Position_Rubric'!$F$6:$F$14,M197)+I197*INDEX('Position_Rubric'!$G$6:$G$14,M197),1)))))</x:f>
      </x:c>
      <x:c r="K197" s="82" t="str">
        <x:f>IF(AND(ISNUMBER(J197),ISNUMBER(D197)),J197-D197,"")</x:f>
      </x:c>
      <x:c r="L197" s="69" t="str">
        <x:f>IF(COUNT(E197:I197)&lt;5,"Needs component scores",IF(ISNUMBER(J197),"Calculated",J197))</x:f>
        <x:v>Needs component scores</x:v>
      </x:c>
      <x:c r="M197" s="69" t="n">
        <x:f>IF(C197="","",MATCH(C197,'Position_Rubric'!$A$6:$A$14,0))</x:f>
        <x:v>8</x:v>
      </x:c>
      <x:c r="N197" s="69" t="str"/>
    </x:row>
    <x:row r="198" ht="25" customHeight="1">
      <x:c r="A198" s="69" t="str">
        <x:v>summer-S26-0147</x:v>
      </x:c>
      <x:c r="B198" s="69" t="str">
        <x:v>Alexander Staff</x:v>
      </x:c>
      <x:c r="C198" s="69" t="str">
        <x:v>ST</x:v>
      </x:c>
      <x:c r="D198" s="82" t="str">
        <x:f>IF(ISNUMBER('Transfer_Ratings'!K198),'Transfer_Ratings'!K198,"")</x:f>
      </x:c>
      <x:c r="E198" s="86"/>
      <x:c r="F198" s="86"/>
      <x:c r="G198" s="86"/>
      <x:c r="H198" s="86"/>
      <x:c r="I198" s="86"/>
      <x:c r="J198" s="82" t="str">
        <x:f>IF(C198="","Choose position",IF(COUNT(E198:I198)&lt;5,"",IF(OR(MIN(E198:I198)&lt;0.1,MAX(E198:I198)&gt;10),"Invalid score",IF(INDEX('Position_Rubric'!$H$6:$H$14,M198)&lt;&gt;1,"Check weights",ROUND(E198*INDEX('Position_Rubric'!$C$6:$C$14,M198)+F198*INDEX('Position_Rubric'!$D$6:$D$14,M198)+G198*INDEX('Position_Rubric'!$E$6:$E$14,M198)+H198*INDEX('Position_Rubric'!$F$6:$F$14,M198)+I198*INDEX('Position_Rubric'!$G$6:$G$14,M198),1)))))</x:f>
      </x:c>
      <x:c r="K198" s="82" t="str">
        <x:f>IF(AND(ISNUMBER(J198),ISNUMBER(D198)),J198-D198,"")</x:f>
      </x:c>
      <x:c r="L198" s="69" t="str">
        <x:f>IF(COUNT(E198:I198)&lt;5,"Needs component scores",IF(ISNUMBER(J198),"Calculated",J198))</x:f>
        <x:v>Needs component scores</x:v>
      </x:c>
      <x:c r="M198" s="69" t="n">
        <x:f>IF(C198="","",MATCH(C198,'Position_Rubric'!$A$6:$A$14,0))</x:f>
        <x:v>8</x:v>
      </x:c>
      <x:c r="N198" s="69" t="str"/>
    </x:row>
    <x:row r="199" ht="25" customHeight="1">
      <x:c r="A199" s="69" t="str">
        <x:v>summer-S26-0159</x:v>
      </x:c>
      <x:c r="B199" s="69" t="str">
        <x:v>Gonçalo Ramos</x:v>
      </x:c>
      <x:c r="C199" s="69" t="str">
        <x:v>ST</x:v>
      </x:c>
      <x:c r="D199" s="82" t="str">
        <x:f>IF(ISNUMBER('Transfer_Ratings'!K199),'Transfer_Ratings'!K199,"")</x:f>
      </x:c>
      <x:c r="E199" s="86"/>
      <x:c r="F199" s="86"/>
      <x:c r="G199" s="86"/>
      <x:c r="H199" s="86"/>
      <x:c r="I199" s="86"/>
      <x:c r="J199" s="82" t="str">
        <x:f>IF(C199="","Choose position",IF(COUNT(E199:I199)&lt;5,"",IF(OR(MIN(E199:I199)&lt;0.1,MAX(E199:I199)&gt;10),"Invalid score",IF(INDEX('Position_Rubric'!$H$6:$H$14,M199)&lt;&gt;1,"Check weights",ROUND(E199*INDEX('Position_Rubric'!$C$6:$C$14,M199)+F199*INDEX('Position_Rubric'!$D$6:$D$14,M199)+G199*INDEX('Position_Rubric'!$E$6:$E$14,M199)+H199*INDEX('Position_Rubric'!$F$6:$F$14,M199)+I199*INDEX('Position_Rubric'!$G$6:$G$14,M199),1)))))</x:f>
      </x:c>
      <x:c r="K199" s="82" t="str">
        <x:f>IF(AND(ISNUMBER(J199),ISNUMBER(D199)),J199-D199,"")</x:f>
      </x:c>
      <x:c r="L199" s="69" t="str">
        <x:f>IF(COUNT(E199:I199)&lt;5,"Needs component scores",IF(ISNUMBER(J199),"Calculated",J199))</x:f>
        <x:v>Needs component scores</x:v>
      </x:c>
      <x:c r="M199" s="69" t="n">
        <x:f>IF(C199="","",MATCH(C199,'Position_Rubric'!$A$6:$A$14,0))</x:f>
        <x:v>8</x:v>
      </x:c>
      <x:c r="N199" s="69" t="str"/>
    </x:row>
    <x:row r="200" ht="25" customHeight="1">
      <x:c r="A200" s="69" t="str">
        <x:v>summer-S26-0162</x:v>
      </x:c>
      <x:c r="B200" s="69" t="str">
        <x:v>Peter Remmert</x:v>
      </x:c>
      <x:c r="C200" s="69" t="str">
        <x:v>ST</x:v>
      </x:c>
      <x:c r="D200" s="82" t="str">
        <x:f>IF(ISNUMBER('Transfer_Ratings'!K200),'Transfer_Ratings'!K200,"")</x:f>
      </x:c>
      <x:c r="E200" s="86"/>
      <x:c r="F200" s="86"/>
      <x:c r="G200" s="86"/>
      <x:c r="H200" s="86"/>
      <x:c r="I200" s="86"/>
      <x:c r="J200" s="82" t="str">
        <x:f>IF(C200="","Choose position",IF(COUNT(E200:I200)&lt;5,"",IF(OR(MIN(E200:I200)&lt;0.1,MAX(E200:I200)&gt;10),"Invalid score",IF(INDEX('Position_Rubric'!$H$6:$H$14,M200)&lt;&gt;1,"Check weights",ROUND(E200*INDEX('Position_Rubric'!$C$6:$C$14,M200)+F200*INDEX('Position_Rubric'!$D$6:$D$14,M200)+G200*INDEX('Position_Rubric'!$E$6:$E$14,M200)+H200*INDEX('Position_Rubric'!$F$6:$F$14,M200)+I200*INDEX('Position_Rubric'!$G$6:$G$14,M200),1)))))</x:f>
      </x:c>
      <x:c r="K200" s="82" t="str">
        <x:f>IF(AND(ISNUMBER(J200),ISNUMBER(D200)),J200-D200,"")</x:f>
      </x:c>
      <x:c r="L200" s="69" t="str">
        <x:f>IF(COUNT(E200:I200)&lt;5,"Needs component scores",IF(ISNUMBER(J200),"Calculated",J200))</x:f>
        <x:v>Needs component scores</x:v>
      </x:c>
      <x:c r="M200" s="69" t="n">
        <x:f>IF(C200="","",MATCH(C200,'Position_Rubric'!$A$6:$A$14,0))</x:f>
        <x:v>8</x:v>
      </x:c>
      <x:c r="N200" s="69" t="str"/>
    </x:row>
    <x:row r="201" ht="25" customHeight="1">
      <x:c r="A201" s="69" t="str">
        <x:v>summer-S26-0168</x:v>
      </x:c>
      <x:c r="B201" s="69" t="str">
        <x:v>Ismael Saibari</x:v>
      </x:c>
      <x:c r="C201" s="69" t="str">
        <x:v>ST</x:v>
      </x:c>
      <x:c r="D201" s="82" t="str">
        <x:f>IF(ISNUMBER('Transfer_Ratings'!K201),'Transfer_Ratings'!K201,"")</x:f>
      </x:c>
      <x:c r="E201" s="86"/>
      <x:c r="F201" s="86"/>
      <x:c r="G201" s="86"/>
      <x:c r="H201" s="86"/>
      <x:c r="I201" s="86"/>
      <x:c r="J201" s="82" t="str">
        <x:f>IF(C201="","Choose position",IF(COUNT(E201:I201)&lt;5,"",IF(OR(MIN(E201:I201)&lt;0.1,MAX(E201:I201)&gt;10),"Invalid score",IF(INDEX('Position_Rubric'!$H$6:$H$14,M201)&lt;&gt;1,"Check weights",ROUND(E201*INDEX('Position_Rubric'!$C$6:$C$14,M201)+F201*INDEX('Position_Rubric'!$D$6:$D$14,M201)+G201*INDEX('Position_Rubric'!$E$6:$E$14,M201)+H201*INDEX('Position_Rubric'!$F$6:$F$14,M201)+I201*INDEX('Position_Rubric'!$G$6:$G$14,M201),1)))))</x:f>
      </x:c>
      <x:c r="K201" s="82" t="str">
        <x:f>IF(AND(ISNUMBER(J201),ISNUMBER(D201)),J201-D201,"")</x:f>
      </x:c>
      <x:c r="L201" s="69" t="str">
        <x:f>IF(COUNT(E201:I201)&lt;5,"Needs component scores",IF(ISNUMBER(J201),"Calculated",J201))</x:f>
        <x:v>Needs component scores</x:v>
      </x:c>
      <x:c r="M201" s="69" t="n">
        <x:f>IF(C201="","",MATCH(C201,'Position_Rubric'!$A$6:$A$14,0))</x:f>
        <x:v>8</x:v>
      </x:c>
      <x:c r="N201" s="69" t="str"/>
    </x:row>
    <x:row r="202" ht="25" customHeight="1">
      <x:c r="A202" s="69" t="str">
        <x:v>summer-S26-0171</x:v>
      </x:c>
      <x:c r="B202" s="69" t="str">
        <x:v>Jeff Ekhator</x:v>
      </x:c>
      <x:c r="C202" s="69" t="str">
        <x:v>ST</x:v>
      </x:c>
      <x:c r="D202" s="82" t="str">
        <x:f>IF(ISNUMBER('Transfer_Ratings'!K202),'Transfer_Ratings'!K202,"")</x:f>
      </x:c>
      <x:c r="E202" s="86"/>
      <x:c r="F202" s="86"/>
      <x:c r="G202" s="86"/>
      <x:c r="H202" s="86"/>
      <x:c r="I202" s="86"/>
      <x:c r="J202" s="82" t="str">
        <x:f>IF(C202="","Choose position",IF(COUNT(E202:I202)&lt;5,"",IF(OR(MIN(E202:I202)&lt;0.1,MAX(E202:I202)&gt;10),"Invalid score",IF(INDEX('Position_Rubric'!$H$6:$H$14,M202)&lt;&gt;1,"Check weights",ROUND(E202*INDEX('Position_Rubric'!$C$6:$C$14,M202)+F202*INDEX('Position_Rubric'!$D$6:$D$14,M202)+G202*INDEX('Position_Rubric'!$E$6:$E$14,M202)+H202*INDEX('Position_Rubric'!$F$6:$F$14,M202)+I202*INDEX('Position_Rubric'!$G$6:$G$14,M202),1)))))</x:f>
      </x:c>
      <x:c r="K202" s="82" t="str">
        <x:f>IF(AND(ISNUMBER(J202),ISNUMBER(D202)),J202-D202,"")</x:f>
      </x:c>
      <x:c r="L202" s="69" t="str">
        <x:f>IF(COUNT(E202:I202)&lt;5,"Needs component scores",IF(ISNUMBER(J202),"Calculated",J202))</x:f>
        <x:v>Needs component scores</x:v>
      </x:c>
      <x:c r="M202" s="69" t="n">
        <x:f>IF(C202="","",MATCH(C202,'Position_Rubric'!$A$6:$A$14,0))</x:f>
        <x:v>8</x:v>
      </x:c>
      <x:c r="N202" s="69" t="str"/>
    </x:row>
    <x:row r="203" ht="25" customHeight="1">
      <x:c r="A203" s="69" t="str">
        <x:v>summer-S26-0173</x:v>
      </x:c>
      <x:c r="B203" s="69" t="str">
        <x:v>Nazariy Rusyn</x:v>
      </x:c>
      <x:c r="C203" s="69" t="str">
        <x:v>ST</x:v>
      </x:c>
      <x:c r="D203" s="82" t="str">
        <x:f>IF(ISNUMBER('Transfer_Ratings'!K203),'Transfer_Ratings'!K203,"")</x:f>
      </x:c>
      <x:c r="E203" s="86"/>
      <x:c r="F203" s="86"/>
      <x:c r="G203" s="86"/>
      <x:c r="H203" s="86"/>
      <x:c r="I203" s="86"/>
      <x:c r="J203" s="82" t="str">
        <x:f>IF(C203="","Choose position",IF(COUNT(E203:I203)&lt;5,"",IF(OR(MIN(E203:I203)&lt;0.1,MAX(E203:I203)&gt;10),"Invalid score",IF(INDEX('Position_Rubric'!$H$6:$H$14,M203)&lt;&gt;1,"Check weights",ROUND(E203*INDEX('Position_Rubric'!$C$6:$C$14,M203)+F203*INDEX('Position_Rubric'!$D$6:$D$14,M203)+G203*INDEX('Position_Rubric'!$E$6:$E$14,M203)+H203*INDEX('Position_Rubric'!$F$6:$F$14,M203)+I203*INDEX('Position_Rubric'!$G$6:$G$14,M203),1)))))</x:f>
      </x:c>
      <x:c r="K203" s="82" t="str">
        <x:f>IF(AND(ISNUMBER(J203),ISNUMBER(D203)),J203-D203,"")</x:f>
      </x:c>
      <x:c r="L203" s="69" t="str">
        <x:f>IF(COUNT(E203:I203)&lt;5,"Needs component scores",IF(ISNUMBER(J203),"Calculated",J203))</x:f>
        <x:v>Needs component scores</x:v>
      </x:c>
      <x:c r="M203" s="69" t="n">
        <x:f>IF(C203="","",MATCH(C203,'Position_Rubric'!$A$6:$A$14,0))</x:f>
        <x:v>8</x:v>
      </x:c>
      <x:c r="N203" s="69" t="str"/>
    </x:row>
    <x:row r="204" ht="25" customHeight="1">
      <x:c r="A204" s="69" t="str">
        <x:v>summer-S26-0183</x:v>
      </x:c>
      <x:c r="B204" s="69" t="str">
        <x:v>Robert Lewandowski</x:v>
      </x:c>
      <x:c r="C204" s="69" t="str">
        <x:v>ST</x:v>
      </x:c>
      <x:c r="D204" s="82" t="str">
        <x:f>IF(ISNUMBER('Transfer_Ratings'!K204),'Transfer_Ratings'!K204,"")</x:f>
      </x:c>
      <x:c r="E204" s="86"/>
      <x:c r="F204" s="86"/>
      <x:c r="G204" s="86"/>
      <x:c r="H204" s="86"/>
      <x:c r="I204" s="86"/>
      <x:c r="J204" s="82" t="str">
        <x:f>IF(C204="","Choose position",IF(COUNT(E204:I204)&lt;5,"",IF(OR(MIN(E204:I204)&lt;0.1,MAX(E204:I204)&gt;10),"Invalid score",IF(INDEX('Position_Rubric'!$H$6:$H$14,M204)&lt;&gt;1,"Check weights",ROUND(E204*INDEX('Position_Rubric'!$C$6:$C$14,M204)+F204*INDEX('Position_Rubric'!$D$6:$D$14,M204)+G204*INDEX('Position_Rubric'!$E$6:$E$14,M204)+H204*INDEX('Position_Rubric'!$F$6:$F$14,M204)+I204*INDEX('Position_Rubric'!$G$6:$G$14,M204),1)))))</x:f>
      </x:c>
      <x:c r="K204" s="82" t="str">
        <x:f>IF(AND(ISNUMBER(J204),ISNUMBER(D204)),J204-D204,"")</x:f>
      </x:c>
      <x:c r="L204" s="69" t="str">
        <x:f>IF(COUNT(E204:I204)&lt;5,"Needs component scores",IF(ISNUMBER(J204),"Calculated",J204))</x:f>
        <x:v>Needs component scores</x:v>
      </x:c>
      <x:c r="M204" s="69" t="n">
        <x:f>IF(C204="","",MATCH(C204,'Position_Rubric'!$A$6:$A$14,0))</x:f>
        <x:v>8</x:v>
      </x:c>
      <x:c r="N204" s="69" t="str"/>
    </x:row>
    <x:row r="205" ht="25" customHeight="1">
      <x:c r="A205" s="69" t="str">
        <x:v>summer-S26-0199</x:v>
      </x:c>
      <x:c r="B205" s="69" t="str">
        <x:v>Jan Urbich</x:v>
      </x:c>
      <x:c r="C205" s="69" t="str">
        <x:v>ST</x:v>
      </x:c>
      <x:c r="D205" s="82" t="str">
        <x:f>IF(ISNUMBER('Transfer_Ratings'!K205),'Transfer_Ratings'!K205,"")</x:f>
      </x:c>
      <x:c r="E205" s="86"/>
      <x:c r="F205" s="86"/>
      <x:c r="G205" s="86"/>
      <x:c r="H205" s="86"/>
      <x:c r="I205" s="86"/>
      <x:c r="J205" s="82" t="str">
        <x:f>IF(C205="","Choose position",IF(COUNT(E205:I205)&lt;5,"",IF(OR(MIN(E205:I205)&lt;0.1,MAX(E205:I205)&gt;10),"Invalid score",IF(INDEX('Position_Rubric'!$H$6:$H$14,M205)&lt;&gt;1,"Check weights",ROUND(E205*INDEX('Position_Rubric'!$C$6:$C$14,M205)+F205*INDEX('Position_Rubric'!$D$6:$D$14,M205)+G205*INDEX('Position_Rubric'!$E$6:$E$14,M205)+H205*INDEX('Position_Rubric'!$F$6:$F$14,M205)+I205*INDEX('Position_Rubric'!$G$6:$G$14,M205),1)))))</x:f>
      </x:c>
      <x:c r="K205" s="82" t="str">
        <x:f>IF(AND(ISNUMBER(J205),ISNUMBER(D205)),J205-D205,"")</x:f>
      </x:c>
      <x:c r="L205" s="69" t="str">
        <x:f>IF(COUNT(E205:I205)&lt;5,"Needs component scores",IF(ISNUMBER(J205),"Calculated",J205))</x:f>
        <x:v>Needs component scores</x:v>
      </x:c>
      <x:c r="M205" s="69" t="n">
        <x:f>IF(C205="","",MATCH(C205,'Position_Rubric'!$A$6:$A$14,0))</x:f>
        <x:v>8</x:v>
      </x:c>
      <x:c r="N205" s="69" t="str"/>
    </x:row>
    <x:row r="206" ht="25" customHeight="1">
      <x:c r="A206" s="69" t="str">
        <x:v>summer-S26-0206</x:v>
      </x:c>
      <x:c r="B206" s="69" t="str">
        <x:v>Lucas Copado</x:v>
      </x:c>
      <x:c r="C206" s="69" t="str">
        <x:v>ST</x:v>
      </x:c>
      <x:c r="D206" s="82" t="str">
        <x:f>IF(ISNUMBER('Transfer_Ratings'!K206),'Transfer_Ratings'!K206,"")</x:f>
      </x:c>
      <x:c r="E206" s="86"/>
      <x:c r="F206" s="86"/>
      <x:c r="G206" s="86"/>
      <x:c r="H206" s="86"/>
      <x:c r="I206" s="86"/>
      <x:c r="J206" s="82" t="str">
        <x:f>IF(C206="","Choose position",IF(COUNT(E206:I206)&lt;5,"",IF(OR(MIN(E206:I206)&lt;0.1,MAX(E206:I206)&gt;10),"Invalid score",IF(INDEX('Position_Rubric'!$H$6:$H$14,M206)&lt;&gt;1,"Check weights",ROUND(E206*INDEX('Position_Rubric'!$C$6:$C$14,M206)+F206*INDEX('Position_Rubric'!$D$6:$D$14,M206)+G206*INDEX('Position_Rubric'!$E$6:$E$14,M206)+H206*INDEX('Position_Rubric'!$F$6:$F$14,M206)+I206*INDEX('Position_Rubric'!$G$6:$G$14,M206),1)))))</x:f>
      </x:c>
      <x:c r="K206" s="82" t="str">
        <x:f>IF(AND(ISNUMBER(J206),ISNUMBER(D206)),J206-D206,"")</x:f>
      </x:c>
      <x:c r="L206" s="69" t="str">
        <x:f>IF(COUNT(E206:I206)&lt;5,"Needs component scores",IF(ISNUMBER(J206),"Calculated",J206))</x:f>
        <x:v>Needs component scores</x:v>
      </x:c>
      <x:c r="M206" s="69" t="n">
        <x:f>IF(C206="","",MATCH(C206,'Position_Rubric'!$A$6:$A$14,0))</x:f>
        <x:v>8</x:v>
      </x:c>
      <x:c r="N206" s="69" t="str"/>
    </x:row>
    <x:row r="207" ht="25" customHeight="1">
      <x:c r="A207" s="69" t="str">
        <x:v>summer-S26-0207</x:v>
      </x:c>
      <x:c r="B207" s="69" t="str">
        <x:v>Lucas Beltrán</x:v>
      </x:c>
      <x:c r="C207" s="69" t="str">
        <x:v>ST</x:v>
      </x:c>
      <x:c r="D207" s="82" t="str">
        <x:f>IF(ISNUMBER('Transfer_Ratings'!K207),'Transfer_Ratings'!K207,"")</x:f>
      </x:c>
      <x:c r="E207" s="86"/>
      <x:c r="F207" s="86"/>
      <x:c r="G207" s="86"/>
      <x:c r="H207" s="86"/>
      <x:c r="I207" s="86"/>
      <x:c r="J207" s="82" t="str">
        <x:f>IF(C207="","Choose position",IF(COUNT(E207:I207)&lt;5,"",IF(OR(MIN(E207:I207)&lt;0.1,MAX(E207:I207)&gt;10),"Invalid score",IF(INDEX('Position_Rubric'!$H$6:$H$14,M207)&lt;&gt;1,"Check weights",ROUND(E207*INDEX('Position_Rubric'!$C$6:$C$14,M207)+F207*INDEX('Position_Rubric'!$D$6:$D$14,M207)+G207*INDEX('Position_Rubric'!$E$6:$E$14,M207)+H207*INDEX('Position_Rubric'!$F$6:$F$14,M207)+I207*INDEX('Position_Rubric'!$G$6:$G$14,M207),1)))))</x:f>
      </x:c>
      <x:c r="K207" s="82" t="str">
        <x:f>IF(AND(ISNUMBER(J207),ISNUMBER(D207)),J207-D207,"")</x:f>
      </x:c>
      <x:c r="L207" s="69" t="str">
        <x:f>IF(COUNT(E207:I207)&lt;5,"Needs component scores",IF(ISNUMBER(J207),"Calculated",J207))</x:f>
        <x:v>Needs component scores</x:v>
      </x:c>
      <x:c r="M207" s="69" t="n">
        <x:f>IF(C207="","",MATCH(C207,'Position_Rubric'!$A$6:$A$14,0))</x:f>
        <x:v>8</x:v>
      </x:c>
      <x:c r="N207" s="69" t="str"/>
    </x:row>
    <x:row r="208" ht="25" customHeight="1">
      <x:c r="A208" s="69" t="str">
        <x:v>summer-S26-0208</x:v>
      </x:c>
      <x:c r="B208" s="69" t="str">
        <x:v>Julien Duranville</x:v>
      </x:c>
      <x:c r="C208" s="69" t="str">
        <x:v>ST</x:v>
      </x:c>
      <x:c r="D208" s="82" t="str">
        <x:f>IF(ISNUMBER('Transfer_Ratings'!K208),'Transfer_Ratings'!K208,"")</x:f>
      </x:c>
      <x:c r="E208" s="86"/>
      <x:c r="F208" s="86"/>
      <x:c r="G208" s="86"/>
      <x:c r="H208" s="86"/>
      <x:c r="I208" s="86"/>
      <x:c r="J208" s="82" t="str">
        <x:f>IF(C208="","Choose position",IF(COUNT(E208:I208)&lt;5,"",IF(OR(MIN(E208:I208)&lt;0.1,MAX(E208:I208)&gt;10),"Invalid score",IF(INDEX('Position_Rubric'!$H$6:$H$14,M208)&lt;&gt;1,"Check weights",ROUND(E208*INDEX('Position_Rubric'!$C$6:$C$14,M208)+F208*INDEX('Position_Rubric'!$D$6:$D$14,M208)+G208*INDEX('Position_Rubric'!$E$6:$E$14,M208)+H208*INDEX('Position_Rubric'!$F$6:$F$14,M208)+I208*INDEX('Position_Rubric'!$G$6:$G$14,M208),1)))))</x:f>
      </x:c>
      <x:c r="K208" s="82" t="str">
        <x:f>IF(AND(ISNUMBER(J208),ISNUMBER(D208)),J208-D208,"")</x:f>
      </x:c>
      <x:c r="L208" s="69" t="str">
        <x:f>IF(COUNT(E208:I208)&lt;5,"Needs component scores",IF(ISNUMBER(J208),"Calculated",J208))</x:f>
        <x:v>Needs component scores</x:v>
      </x:c>
      <x:c r="M208" s="69" t="n">
        <x:f>IF(C208="","",MATCH(C208,'Position_Rubric'!$A$6:$A$14,0))</x:f>
        <x:v>8</x:v>
      </x:c>
      <x:c r="N208" s="69" t="str"/>
    </x:row>
    <x:row r="209" ht="25" customHeight="1">
      <x:c r="A209" s="69" t="str">
        <x:v>summer-S26-0228</x:v>
      </x:c>
      <x:c r="B209" s="69" t="str">
        <x:v>Danny Namaso</x:v>
      </x:c>
      <x:c r="C209" s="69" t="str">
        <x:v>ST</x:v>
      </x:c>
      <x:c r="D209" s="82" t="str">
        <x:f>IF(ISNUMBER('Transfer_Ratings'!K209),'Transfer_Ratings'!K209,"")</x:f>
      </x:c>
      <x:c r="E209" s="86"/>
      <x:c r="F209" s="86"/>
      <x:c r="G209" s="86"/>
      <x:c r="H209" s="86"/>
      <x:c r="I209" s="86"/>
      <x:c r="J209" s="82" t="str">
        <x:f>IF(C209="","Choose position",IF(COUNT(E209:I209)&lt;5,"",IF(OR(MIN(E209:I209)&lt;0.1,MAX(E209:I209)&gt;10),"Invalid score",IF(INDEX('Position_Rubric'!$H$6:$H$14,M209)&lt;&gt;1,"Check weights",ROUND(E209*INDEX('Position_Rubric'!$C$6:$C$14,M209)+F209*INDEX('Position_Rubric'!$D$6:$D$14,M209)+G209*INDEX('Position_Rubric'!$E$6:$E$14,M209)+H209*INDEX('Position_Rubric'!$F$6:$F$14,M209)+I209*INDEX('Position_Rubric'!$G$6:$G$14,M209),1)))))</x:f>
      </x:c>
      <x:c r="K209" s="82" t="str">
        <x:f>IF(AND(ISNUMBER(J209),ISNUMBER(D209)),J209-D209,"")</x:f>
      </x:c>
      <x:c r="L209" s="69" t="str">
        <x:f>IF(COUNT(E209:I209)&lt;5,"Needs component scores",IF(ISNUMBER(J209),"Calculated",J209))</x:f>
        <x:v>Needs component scores</x:v>
      </x:c>
      <x:c r="M209" s="69" t="n">
        <x:f>IF(C209="","",MATCH(C209,'Position_Rubric'!$A$6:$A$14,0))</x:f>
        <x:v>8</x:v>
      </x:c>
      <x:c r="N209" s="69" t="str"/>
    </x:row>
    <x:row r="210" ht="25" customHeight="1">
      <x:c r="A210" s="69" t="str">
        <x:v>summer-S26-0229</x:v>
      </x:c>
      <x:c r="B210" s="69" t="str">
        <x:v>Víctor Barberá</x:v>
      </x:c>
      <x:c r="C210" s="69" t="str">
        <x:v>ST</x:v>
      </x:c>
      <x:c r="D210" s="82" t="str">
        <x:f>IF(ISNUMBER('Transfer_Ratings'!K210),'Transfer_Ratings'!K210,"")</x:f>
      </x:c>
      <x:c r="E210" s="86"/>
      <x:c r="F210" s="86"/>
      <x:c r="G210" s="86"/>
      <x:c r="H210" s="86"/>
      <x:c r="I210" s="86"/>
      <x:c r="J210" s="82" t="str">
        <x:f>IF(C210="","Choose position",IF(COUNT(E210:I210)&lt;5,"",IF(OR(MIN(E210:I210)&lt;0.1,MAX(E210:I210)&gt;10),"Invalid score",IF(INDEX('Position_Rubric'!$H$6:$H$14,M210)&lt;&gt;1,"Check weights",ROUND(E210*INDEX('Position_Rubric'!$C$6:$C$14,M210)+F210*INDEX('Position_Rubric'!$D$6:$D$14,M210)+G210*INDEX('Position_Rubric'!$E$6:$E$14,M210)+H210*INDEX('Position_Rubric'!$F$6:$F$14,M210)+I210*INDEX('Position_Rubric'!$G$6:$G$14,M210),1)))))</x:f>
      </x:c>
      <x:c r="K210" s="82" t="str">
        <x:f>IF(AND(ISNUMBER(J210),ISNUMBER(D210)),J210-D210,"")</x:f>
      </x:c>
      <x:c r="L210" s="69" t="str">
        <x:f>IF(COUNT(E210:I210)&lt;5,"Needs component scores",IF(ISNUMBER(J210),"Calculated",J210))</x:f>
        <x:v>Needs component scores</x:v>
      </x:c>
      <x:c r="M210" s="69" t="n">
        <x:f>IF(C210="","",MATCH(C210,'Position_Rubric'!$A$6:$A$14,0))</x:f>
        <x:v>8</x:v>
      </x:c>
      <x:c r="N210" s="69" t="str"/>
    </x:row>
    <x:row r="211" ht="25" customHeight="1">
      <x:c r="A211" s="69" t="str">
        <x:v>summer-S26-0237</x:v>
      </x:c>
      <x:c r="B211" s="69" t="str">
        <x:v>Usman Simbakoli</x:v>
      </x:c>
      <x:c r="C211" s="69" t="str">
        <x:v>ST</x:v>
      </x:c>
      <x:c r="D211" s="82" t="str">
        <x:f>IF(ISNUMBER('Transfer_Ratings'!K211),'Transfer_Ratings'!K211,"")</x:f>
      </x:c>
      <x:c r="E211" s="86"/>
      <x:c r="F211" s="86"/>
      <x:c r="G211" s="86"/>
      <x:c r="H211" s="86"/>
      <x:c r="I211" s="86"/>
      <x:c r="J211" s="82" t="str">
        <x:f>IF(C211="","Choose position",IF(COUNT(E211:I211)&lt;5,"",IF(OR(MIN(E211:I211)&lt;0.1,MAX(E211:I211)&gt;10),"Invalid score",IF(INDEX('Position_Rubric'!$H$6:$H$14,M211)&lt;&gt;1,"Check weights",ROUND(E211*INDEX('Position_Rubric'!$C$6:$C$14,M211)+F211*INDEX('Position_Rubric'!$D$6:$D$14,M211)+G211*INDEX('Position_Rubric'!$E$6:$E$14,M211)+H211*INDEX('Position_Rubric'!$F$6:$F$14,M211)+I211*INDEX('Position_Rubric'!$G$6:$G$14,M211),1)))))</x:f>
      </x:c>
      <x:c r="K211" s="82" t="str">
        <x:f>IF(AND(ISNUMBER(J211),ISNUMBER(D211)),J211-D211,"")</x:f>
      </x:c>
      <x:c r="L211" s="69" t="str">
        <x:f>IF(COUNT(E211:I211)&lt;5,"Needs component scores",IF(ISNUMBER(J211),"Calculated",J211))</x:f>
        <x:v>Needs component scores</x:v>
      </x:c>
      <x:c r="M211" s="69" t="n">
        <x:f>IF(C211="","",MATCH(C211,'Position_Rubric'!$A$6:$A$14,0))</x:f>
        <x:v>8</x:v>
      </x:c>
      <x:c r="N211" s="69" t="str"/>
    </x:row>
    <x:row r="212" ht="25" customHeight="1">
      <x:c r="A212" s="69" t="str">
        <x:v>summer-S26-0246</x:v>
      </x:c>
      <x:c r="B212" s="69" t="str">
        <x:v>Hindolo Mustapha</x:v>
      </x:c>
      <x:c r="C212" s="69" t="str">
        <x:v>ST</x:v>
      </x:c>
      <x:c r="D212" s="82" t="str">
        <x:f>IF(ISNUMBER('Transfer_Ratings'!K212),'Transfer_Ratings'!K212,"")</x:f>
      </x:c>
      <x:c r="E212" s="86"/>
      <x:c r="F212" s="86"/>
      <x:c r="G212" s="86"/>
      <x:c r="H212" s="86"/>
      <x:c r="I212" s="86"/>
      <x:c r="J212" s="82" t="str">
        <x:f>IF(C212="","Choose position",IF(COUNT(E212:I212)&lt;5,"",IF(OR(MIN(E212:I212)&lt;0.1,MAX(E212:I212)&gt;10),"Invalid score",IF(INDEX('Position_Rubric'!$H$6:$H$14,M212)&lt;&gt;1,"Check weights",ROUND(E212*INDEX('Position_Rubric'!$C$6:$C$14,M212)+F212*INDEX('Position_Rubric'!$D$6:$D$14,M212)+G212*INDEX('Position_Rubric'!$E$6:$E$14,M212)+H212*INDEX('Position_Rubric'!$F$6:$F$14,M212)+I212*INDEX('Position_Rubric'!$G$6:$G$14,M212),1)))))</x:f>
      </x:c>
      <x:c r="K212" s="82" t="str">
        <x:f>IF(AND(ISNUMBER(J212),ISNUMBER(D212)),J212-D212,"")</x:f>
      </x:c>
      <x:c r="L212" s="69" t="str">
        <x:f>IF(COUNT(E212:I212)&lt;5,"Needs component scores",IF(ISNUMBER(J212),"Calculated",J212))</x:f>
        <x:v>Needs component scores</x:v>
      </x:c>
      <x:c r="M212" s="69" t="n">
        <x:f>IF(C212="","",MATCH(C212,'Position_Rubric'!$A$6:$A$14,0))</x:f>
        <x:v>8</x:v>
      </x:c>
      <x:c r="N212" s="69" t="str"/>
    </x:row>
    <x:row r="213" ht="25" customHeight="1">
      <x:c r="A213" s="69" t="str">
        <x:v>summer-S26-0253</x:v>
      </x:c>
      <x:c r="B213" s="69" t="str">
        <x:v>Eliezer Mayenda</x:v>
      </x:c>
      <x:c r="C213" s="69" t="str">
        <x:v>ST</x:v>
      </x:c>
      <x:c r="D213" s="82" t="str">
        <x:f>IF(ISNUMBER('Transfer_Ratings'!K213),'Transfer_Ratings'!K213,"")</x:f>
      </x:c>
      <x:c r="E213" s="86"/>
      <x:c r="F213" s="86"/>
      <x:c r="G213" s="86"/>
      <x:c r="H213" s="86"/>
      <x:c r="I213" s="86"/>
      <x:c r="J213" s="82" t="str">
        <x:f>IF(C213="","Choose position",IF(COUNT(E213:I213)&lt;5,"",IF(OR(MIN(E213:I213)&lt;0.1,MAX(E213:I213)&gt;10),"Invalid score",IF(INDEX('Position_Rubric'!$H$6:$H$14,M213)&lt;&gt;1,"Check weights",ROUND(E213*INDEX('Position_Rubric'!$C$6:$C$14,M213)+F213*INDEX('Position_Rubric'!$D$6:$D$14,M213)+G213*INDEX('Position_Rubric'!$E$6:$E$14,M213)+H213*INDEX('Position_Rubric'!$F$6:$F$14,M213)+I213*INDEX('Position_Rubric'!$G$6:$G$14,M213),1)))))</x:f>
      </x:c>
      <x:c r="K213" s="82" t="str">
        <x:f>IF(AND(ISNUMBER(J213),ISNUMBER(D213)),J213-D213,"")</x:f>
      </x:c>
      <x:c r="L213" s="69" t="str">
        <x:f>IF(COUNT(E213:I213)&lt;5,"Needs component scores",IF(ISNUMBER(J213),"Calculated",J213))</x:f>
        <x:v>Needs component scores</x:v>
      </x:c>
      <x:c r="M213" s="69" t="n">
        <x:f>IF(C213="","",MATCH(C213,'Position_Rubric'!$A$6:$A$14,0))</x:f>
        <x:v>8</x:v>
      </x:c>
      <x:c r="N213" s="69" t="str"/>
    </x:row>
    <x:row r="214" ht="25" customHeight="1">
      <x:c r="A214" s="69" t="str">
        <x:v>summer-S26-0268</x:v>
      </x:c>
      <x:c r="B214" s="69" t="str">
        <x:v>Sambou Soumano</x:v>
      </x:c>
      <x:c r="C214" s="69" t="str">
        <x:v>ST</x:v>
      </x:c>
      <x:c r="D214" s="82" t="str">
        <x:f>IF(ISNUMBER('Transfer_Ratings'!K214),'Transfer_Ratings'!K214,"")</x:f>
      </x:c>
      <x:c r="E214" s="86"/>
      <x:c r="F214" s="86"/>
      <x:c r="G214" s="86"/>
      <x:c r="H214" s="86"/>
      <x:c r="I214" s="86"/>
      <x:c r="J214" s="82" t="str">
        <x:f>IF(C214="","Choose position",IF(COUNT(E214:I214)&lt;5,"",IF(OR(MIN(E214:I214)&lt;0.1,MAX(E214:I214)&gt;10),"Invalid score",IF(INDEX('Position_Rubric'!$H$6:$H$14,M214)&lt;&gt;1,"Check weights",ROUND(E214*INDEX('Position_Rubric'!$C$6:$C$14,M214)+F214*INDEX('Position_Rubric'!$D$6:$D$14,M214)+G214*INDEX('Position_Rubric'!$E$6:$E$14,M214)+H214*INDEX('Position_Rubric'!$F$6:$F$14,M214)+I214*INDEX('Position_Rubric'!$G$6:$G$14,M214),1)))))</x:f>
      </x:c>
      <x:c r="K214" s="82" t="str">
        <x:f>IF(AND(ISNUMBER(J214),ISNUMBER(D214)),J214-D214,"")</x:f>
      </x:c>
      <x:c r="L214" s="69" t="str">
        <x:f>IF(COUNT(E214:I214)&lt;5,"Needs component scores",IF(ISNUMBER(J214),"Calculated",J214))</x:f>
        <x:v>Needs component scores</x:v>
      </x:c>
      <x:c r="M214" s="69" t="n">
        <x:f>IF(C214="","",MATCH(C214,'Position_Rubric'!$A$6:$A$14,0))</x:f>
        <x:v>8</x:v>
      </x:c>
      <x:c r="N214" s="69" t="str"/>
    </x:row>
    <x:row r="215" ht="25" customHeight="1">
      <x:c r="A215" s="69" t="str">
        <x:v>summer-S26-0269</x:v>
      </x:c>
      <x:c r="B215" s="69" t="str">
        <x:v>Harry Gray</x:v>
      </x:c>
      <x:c r="C215" s="69" t="str">
        <x:v>ST</x:v>
      </x:c>
      <x:c r="D215" s="82" t="str">
        <x:f>IF(ISNUMBER('Transfer_Ratings'!K215),'Transfer_Ratings'!K215,"")</x:f>
      </x:c>
      <x:c r="E215" s="86"/>
      <x:c r="F215" s="86"/>
      <x:c r="G215" s="86"/>
      <x:c r="H215" s="86"/>
      <x:c r="I215" s="86"/>
      <x:c r="J215" s="82" t="str">
        <x:f>IF(C215="","Choose position",IF(COUNT(E215:I215)&lt;5,"",IF(OR(MIN(E215:I215)&lt;0.1,MAX(E215:I215)&gt;10),"Invalid score",IF(INDEX('Position_Rubric'!$H$6:$H$14,M215)&lt;&gt;1,"Check weights",ROUND(E215*INDEX('Position_Rubric'!$C$6:$C$14,M215)+F215*INDEX('Position_Rubric'!$D$6:$D$14,M215)+G215*INDEX('Position_Rubric'!$E$6:$E$14,M215)+H215*INDEX('Position_Rubric'!$F$6:$F$14,M215)+I215*INDEX('Position_Rubric'!$G$6:$G$14,M215),1)))))</x:f>
      </x:c>
      <x:c r="K215" s="82" t="str">
        <x:f>IF(AND(ISNUMBER(J215),ISNUMBER(D215)),J215-D215,"")</x:f>
      </x:c>
      <x:c r="L215" s="69" t="str">
        <x:f>IF(COUNT(E215:I215)&lt;5,"Needs component scores",IF(ISNUMBER(J215),"Calculated",J215))</x:f>
        <x:v>Needs component scores</x:v>
      </x:c>
      <x:c r="M215" s="69" t="n">
        <x:f>IF(C215="","",MATCH(C215,'Position_Rubric'!$A$6:$A$14,0))</x:f>
        <x:v>8</x:v>
      </x:c>
      <x:c r="N215" s="69" t="str"/>
    </x:row>
    <x:row r="216" ht="25" customHeight="1">
      <x:c r="A216" s="69" t="str">
        <x:v>summer-S26-0275</x:v>
      </x:c>
      <x:c r="B216" s="69" t="str">
        <x:v>Emersonn</x:v>
      </x:c>
      <x:c r="C216" s="69" t="str">
        <x:v>ST</x:v>
      </x:c>
      <x:c r="D216" s="82" t="str">
        <x:f>IF(ISNUMBER('Transfer_Ratings'!K216),'Transfer_Ratings'!K216,"")</x:f>
      </x:c>
      <x:c r="E216" s="86"/>
      <x:c r="F216" s="86"/>
      <x:c r="G216" s="86"/>
      <x:c r="H216" s="86"/>
      <x:c r="I216" s="86"/>
      <x:c r="J216" s="82" t="str">
        <x:f>IF(C216="","Choose position",IF(COUNT(E216:I216)&lt;5,"",IF(OR(MIN(E216:I216)&lt;0.1,MAX(E216:I216)&gt;10),"Invalid score",IF(INDEX('Position_Rubric'!$H$6:$H$14,M216)&lt;&gt;1,"Check weights",ROUND(E216*INDEX('Position_Rubric'!$C$6:$C$14,M216)+F216*INDEX('Position_Rubric'!$D$6:$D$14,M216)+G216*INDEX('Position_Rubric'!$E$6:$E$14,M216)+H216*INDEX('Position_Rubric'!$F$6:$F$14,M216)+I216*INDEX('Position_Rubric'!$G$6:$G$14,M216),1)))))</x:f>
      </x:c>
      <x:c r="K216" s="82" t="str">
        <x:f>IF(AND(ISNUMBER(J216),ISNUMBER(D216)),J216-D216,"")</x:f>
      </x:c>
      <x:c r="L216" s="69" t="str">
        <x:f>IF(COUNT(E216:I216)&lt;5,"Needs component scores",IF(ISNUMBER(J216),"Calculated",J216))</x:f>
        <x:v>Needs component scores</x:v>
      </x:c>
      <x:c r="M216" s="69" t="n">
        <x:f>IF(C216="","",MATCH(C216,'Position_Rubric'!$A$6:$A$14,0))</x:f>
        <x:v>8</x:v>
      </x:c>
      <x:c r="N216" s="69" t="str"/>
    </x:row>
    <x:row r="217" ht="25" customHeight="1">
      <x:c r="A217" s="69" t="str">
        <x:v>summer-S26-0278</x:v>
      </x:c>
      <x:c r="B217" s="69" t="str">
        <x:v>Romelle Donovan</x:v>
      </x:c>
      <x:c r="C217" s="69" t="str">
        <x:v>ST</x:v>
      </x:c>
      <x:c r="D217" s="82" t="str">
        <x:f>IF(ISNUMBER('Transfer_Ratings'!K217),'Transfer_Ratings'!K217,"")</x:f>
      </x:c>
      <x:c r="E217" s="86"/>
      <x:c r="F217" s="86"/>
      <x:c r="G217" s="86"/>
      <x:c r="H217" s="86"/>
      <x:c r="I217" s="86"/>
      <x:c r="J217" s="82" t="str">
        <x:f>IF(C217="","Choose position",IF(COUNT(E217:I217)&lt;5,"",IF(OR(MIN(E217:I217)&lt;0.1,MAX(E217:I217)&gt;10),"Invalid score",IF(INDEX('Position_Rubric'!$H$6:$H$14,M217)&lt;&gt;1,"Check weights",ROUND(E217*INDEX('Position_Rubric'!$C$6:$C$14,M217)+F217*INDEX('Position_Rubric'!$D$6:$D$14,M217)+G217*INDEX('Position_Rubric'!$E$6:$E$14,M217)+H217*INDEX('Position_Rubric'!$F$6:$F$14,M217)+I217*INDEX('Position_Rubric'!$G$6:$G$14,M217),1)))))</x:f>
      </x:c>
      <x:c r="K217" s="82" t="str">
        <x:f>IF(AND(ISNUMBER(J217),ISNUMBER(D217)),J217-D217,"")</x:f>
      </x:c>
      <x:c r="L217" s="69" t="str">
        <x:f>IF(COUNT(E217:I217)&lt;5,"Needs component scores",IF(ISNUMBER(J217),"Calculated",J217))</x:f>
        <x:v>Needs component scores</x:v>
      </x:c>
      <x:c r="M217" s="69" t="n">
        <x:f>IF(C217="","",MATCH(C217,'Position_Rubric'!$A$6:$A$14,0))</x:f>
        <x:v>8</x:v>
      </x:c>
      <x:c r="N217" s="69" t="str"/>
    </x:row>
    <x:row r="218" ht="25" customHeight="1">
      <x:c r="A218" s="69" t="str">
        <x:v>summer-S26-0287</x:v>
      </x:c>
      <x:c r="B218" s="69" t="str">
        <x:v>Omar Sadik</x:v>
      </x:c>
      <x:c r="C218" s="69" t="str">
        <x:v>ST</x:v>
      </x:c>
      <x:c r="D218" s="82" t="str">
        <x:f>IF(ISNUMBER('Transfer_Ratings'!K218),'Transfer_Ratings'!K218,"")</x:f>
      </x:c>
      <x:c r="E218" s="86"/>
      <x:c r="F218" s="86"/>
      <x:c r="G218" s="86"/>
      <x:c r="H218" s="86"/>
      <x:c r="I218" s="86"/>
      <x:c r="J218" s="82" t="str">
        <x:f>IF(C218="","Choose position",IF(COUNT(E218:I218)&lt;5,"",IF(OR(MIN(E218:I218)&lt;0.1,MAX(E218:I218)&gt;10),"Invalid score",IF(INDEX('Position_Rubric'!$H$6:$H$14,M218)&lt;&gt;1,"Check weights",ROUND(E218*INDEX('Position_Rubric'!$C$6:$C$14,M218)+F218*INDEX('Position_Rubric'!$D$6:$D$14,M218)+G218*INDEX('Position_Rubric'!$E$6:$E$14,M218)+H218*INDEX('Position_Rubric'!$F$6:$F$14,M218)+I218*INDEX('Position_Rubric'!$G$6:$G$14,M218),1)))))</x:f>
      </x:c>
      <x:c r="K218" s="82" t="str">
        <x:f>IF(AND(ISNUMBER(J218),ISNUMBER(D218)),J218-D218,"")</x:f>
      </x:c>
      <x:c r="L218" s="69" t="str">
        <x:f>IF(COUNT(E218:I218)&lt;5,"Needs component scores",IF(ISNUMBER(J218),"Calculated",J218))</x:f>
        <x:v>Needs component scores</x:v>
      </x:c>
      <x:c r="M218" s="69" t="n">
        <x:f>IF(C218="","",MATCH(C218,'Position_Rubric'!$A$6:$A$14,0))</x:f>
        <x:v>8</x:v>
      </x:c>
      <x:c r="N218" s="69" t="str"/>
    </x:row>
    <x:row r="219" ht="25" customHeight="1">
      <x:c r="A219" s="69" t="str">
        <x:v>summer-S26-0294</x:v>
      </x:c>
      <x:c r="B219" s="69" t="str">
        <x:v>Callum Wilson</x:v>
      </x:c>
      <x:c r="C219" s="69" t="str">
        <x:v>ST</x:v>
      </x:c>
      <x:c r="D219" s="82" t="str">
        <x:f>IF(ISNUMBER('Transfer_Ratings'!K219),'Transfer_Ratings'!K219,"")</x:f>
      </x:c>
      <x:c r="E219" s="86"/>
      <x:c r="F219" s="86"/>
      <x:c r="G219" s="86"/>
      <x:c r="H219" s="86"/>
      <x:c r="I219" s="86"/>
      <x:c r="J219" s="82" t="str">
        <x:f>IF(C219="","Choose position",IF(COUNT(E219:I219)&lt;5,"",IF(OR(MIN(E219:I219)&lt;0.1,MAX(E219:I219)&gt;10),"Invalid score",IF(INDEX('Position_Rubric'!$H$6:$H$14,M219)&lt;&gt;1,"Check weights",ROUND(E219*INDEX('Position_Rubric'!$C$6:$C$14,M219)+F219*INDEX('Position_Rubric'!$D$6:$D$14,M219)+G219*INDEX('Position_Rubric'!$E$6:$E$14,M219)+H219*INDEX('Position_Rubric'!$F$6:$F$14,M219)+I219*INDEX('Position_Rubric'!$G$6:$G$14,M219),1)))))</x:f>
      </x:c>
      <x:c r="K219" s="82" t="str">
        <x:f>IF(AND(ISNUMBER(J219),ISNUMBER(D219)),J219-D219,"")</x:f>
      </x:c>
      <x:c r="L219" s="69" t="str">
        <x:f>IF(COUNT(E219:I219)&lt;5,"Needs component scores",IF(ISNUMBER(J219),"Calculated",J219))</x:f>
        <x:v>Needs component scores</x:v>
      </x:c>
      <x:c r="M219" s="69" t="n">
        <x:f>IF(C219="","",MATCH(C219,'Position_Rubric'!$A$6:$A$14,0))</x:f>
        <x:v>8</x:v>
      </x:c>
      <x:c r="N219" s="69" t="str"/>
    </x:row>
    <x:row r="220" ht="25" customHeight="1">
      <x:c r="A220" s="69" t="str">
        <x:v>summer-S26-0303</x:v>
      </x:c>
      <x:c r="B220" s="69" t="str">
        <x:v>Jota Silva</x:v>
      </x:c>
      <x:c r="C220" s="69" t="str">
        <x:v>ST</x:v>
      </x:c>
      <x:c r="D220" s="82" t="str">
        <x:f>IF(ISNUMBER('Transfer_Ratings'!K220),'Transfer_Ratings'!K220,"")</x:f>
      </x:c>
      <x:c r="E220" s="86"/>
      <x:c r="F220" s="86"/>
      <x:c r="G220" s="86"/>
      <x:c r="H220" s="86"/>
      <x:c r="I220" s="86"/>
      <x:c r="J220" s="82" t="str">
        <x:f>IF(C220="","Choose position",IF(COUNT(E220:I220)&lt;5,"",IF(OR(MIN(E220:I220)&lt;0.1,MAX(E220:I220)&gt;10),"Invalid score",IF(INDEX('Position_Rubric'!$H$6:$H$14,M220)&lt;&gt;1,"Check weights",ROUND(E220*INDEX('Position_Rubric'!$C$6:$C$14,M220)+F220*INDEX('Position_Rubric'!$D$6:$D$14,M220)+G220*INDEX('Position_Rubric'!$E$6:$E$14,M220)+H220*INDEX('Position_Rubric'!$F$6:$F$14,M220)+I220*INDEX('Position_Rubric'!$G$6:$G$14,M220),1)))))</x:f>
      </x:c>
      <x:c r="K220" s="82" t="str">
        <x:f>IF(AND(ISNUMBER(J220),ISNUMBER(D220)),J220-D220,"")</x:f>
      </x:c>
      <x:c r="L220" s="69" t="str">
        <x:f>IF(COUNT(E220:I220)&lt;5,"Needs component scores",IF(ISNUMBER(J220),"Calculated",J220))</x:f>
        <x:v>Needs component scores</x:v>
      </x:c>
      <x:c r="M220" s="69" t="n">
        <x:f>IF(C220="","",MATCH(C220,'Position_Rubric'!$A$6:$A$14,0))</x:f>
        <x:v>8</x:v>
      </x:c>
      <x:c r="N220" s="69" t="str"/>
    </x:row>
    <x:row r="221" ht="25" customHeight="1">
      <x:c r="A221" s="69" t="str">
        <x:v>summer-S26-0306</x:v>
      </x:c>
      <x:c r="B221" s="69" t="str">
        <x:v>Albion Rrahmani</x:v>
      </x:c>
      <x:c r="C221" s="69" t="str">
        <x:v>ST</x:v>
      </x:c>
      <x:c r="D221" s="82" t="str">
        <x:f>IF(ISNUMBER('Transfer_Ratings'!K221),'Transfer_Ratings'!K221,"")</x:f>
      </x:c>
      <x:c r="E221" s="86"/>
      <x:c r="F221" s="86"/>
      <x:c r="G221" s="86"/>
      <x:c r="H221" s="86"/>
      <x:c r="I221" s="86"/>
      <x:c r="J221" s="82" t="str">
        <x:f>IF(C221="","Choose position",IF(COUNT(E221:I221)&lt;5,"",IF(OR(MIN(E221:I221)&lt;0.1,MAX(E221:I221)&gt;10),"Invalid score",IF(INDEX('Position_Rubric'!$H$6:$H$14,M221)&lt;&gt;1,"Check weights",ROUND(E221*INDEX('Position_Rubric'!$C$6:$C$14,M221)+F221*INDEX('Position_Rubric'!$D$6:$D$14,M221)+G221*INDEX('Position_Rubric'!$E$6:$E$14,M221)+H221*INDEX('Position_Rubric'!$F$6:$F$14,M221)+I221*INDEX('Position_Rubric'!$G$6:$G$14,M221),1)))))</x:f>
      </x:c>
      <x:c r="K221" s="82" t="str">
        <x:f>IF(AND(ISNUMBER(J221),ISNUMBER(D221)),J221-D221,"")</x:f>
      </x:c>
      <x:c r="L221" s="69" t="str">
        <x:f>IF(COUNT(E221:I221)&lt;5,"Needs component scores",IF(ISNUMBER(J221),"Calculated",J221))</x:f>
        <x:v>Needs component scores</x:v>
      </x:c>
      <x:c r="M221" s="69" t="n">
        <x:f>IF(C221="","",MATCH(C221,'Position_Rubric'!$A$6:$A$14,0))</x:f>
        <x:v>8</x:v>
      </x:c>
      <x:c r="N221" s="69" t="str"/>
    </x:row>
    <x:row r="222" ht="25" customHeight="1">
      <x:c r="A222" s="69" t="str">
        <x:v>summer-S26-0307</x:v>
      </x:c>
      <x:c r="B222" s="69" t="str">
        <x:v>Kyle Joseph</x:v>
      </x:c>
      <x:c r="C222" s="69" t="str">
        <x:v>ST</x:v>
      </x:c>
      <x:c r="D222" s="82" t="str">
        <x:f>IF(ISNUMBER('Transfer_Ratings'!K222),'Transfer_Ratings'!K222,"")</x:f>
      </x:c>
      <x:c r="E222" s="86"/>
      <x:c r="F222" s="86"/>
      <x:c r="G222" s="86"/>
      <x:c r="H222" s="86"/>
      <x:c r="I222" s="86"/>
      <x:c r="J222" s="82" t="str">
        <x:f>IF(C222="","Choose position",IF(COUNT(E222:I222)&lt;5,"",IF(OR(MIN(E222:I222)&lt;0.1,MAX(E222:I222)&gt;10),"Invalid score",IF(INDEX('Position_Rubric'!$H$6:$H$14,M222)&lt;&gt;1,"Check weights",ROUND(E222*INDEX('Position_Rubric'!$C$6:$C$14,M222)+F222*INDEX('Position_Rubric'!$D$6:$D$14,M222)+G222*INDEX('Position_Rubric'!$E$6:$E$14,M222)+H222*INDEX('Position_Rubric'!$F$6:$F$14,M222)+I222*INDEX('Position_Rubric'!$G$6:$G$14,M222),1)))))</x:f>
      </x:c>
      <x:c r="K222" s="82" t="str">
        <x:f>IF(AND(ISNUMBER(J222),ISNUMBER(D222)),J222-D222,"")</x:f>
      </x:c>
      <x:c r="L222" s="69" t="str">
        <x:f>IF(COUNT(E222:I222)&lt;5,"Needs component scores",IF(ISNUMBER(J222),"Calculated",J222))</x:f>
        <x:v>Needs component scores</x:v>
      </x:c>
      <x:c r="M222" s="69" t="n">
        <x:f>IF(C222="","",MATCH(C222,'Position_Rubric'!$A$6:$A$14,0))</x:f>
        <x:v>8</x:v>
      </x:c>
      <x:c r="N222" s="69" t="str"/>
    </x:row>
    <x:row r="223" ht="25" customHeight="1">
      <x:c r="A223" s="69" t="str">
        <x:v>summer-S26-0317</x:v>
      </x:c>
      <x:c r="B223" s="69" t="str">
        <x:v>Elias Havel</x:v>
      </x:c>
      <x:c r="C223" s="69" t="str">
        <x:v>ST</x:v>
      </x:c>
      <x:c r="D223" s="82" t="str">
        <x:f>IF(ISNUMBER('Transfer_Ratings'!K223),'Transfer_Ratings'!K223,"")</x:f>
      </x:c>
      <x:c r="E223" s="86"/>
      <x:c r="F223" s="86"/>
      <x:c r="G223" s="86"/>
      <x:c r="H223" s="86"/>
      <x:c r="I223" s="86"/>
      <x:c r="J223" s="82" t="str">
        <x:f>IF(C223="","Choose position",IF(COUNT(E223:I223)&lt;5,"",IF(OR(MIN(E223:I223)&lt;0.1,MAX(E223:I223)&gt;10),"Invalid score",IF(INDEX('Position_Rubric'!$H$6:$H$14,M223)&lt;&gt;1,"Check weights",ROUND(E223*INDEX('Position_Rubric'!$C$6:$C$14,M223)+F223*INDEX('Position_Rubric'!$D$6:$D$14,M223)+G223*INDEX('Position_Rubric'!$E$6:$E$14,M223)+H223*INDEX('Position_Rubric'!$F$6:$F$14,M223)+I223*INDEX('Position_Rubric'!$G$6:$G$14,M223),1)))))</x:f>
      </x:c>
      <x:c r="K223" s="82" t="str">
        <x:f>IF(AND(ISNUMBER(J223),ISNUMBER(D223)),J223-D223,"")</x:f>
      </x:c>
      <x:c r="L223" s="69" t="str">
        <x:f>IF(COUNT(E223:I223)&lt;5,"Needs component scores",IF(ISNUMBER(J223),"Calculated",J223))</x:f>
        <x:v>Needs component scores</x:v>
      </x:c>
      <x:c r="M223" s="69" t="n">
        <x:f>IF(C223="","",MATCH(C223,'Position_Rubric'!$A$6:$A$14,0))</x:f>
        <x:v>8</x:v>
      </x:c>
      <x:c r="N223" s="69" t="str"/>
    </x:row>
    <x:row r="224" ht="25" customHeight="1">
      <x:c r="A224" s="69" t="str">
        <x:v>summer-S26-0322</x:v>
      </x:c>
      <x:c r="B224" s="69" t="str">
        <x:v>Tommaso Rubino</x:v>
      </x:c>
      <x:c r="C224" s="69" t="str">
        <x:v>ST</x:v>
      </x:c>
      <x:c r="D224" s="82" t="str">
        <x:f>IF(ISNUMBER('Transfer_Ratings'!K224),'Transfer_Ratings'!K224,"")</x:f>
      </x:c>
      <x:c r="E224" s="86"/>
      <x:c r="F224" s="86"/>
      <x:c r="G224" s="86"/>
      <x:c r="H224" s="86"/>
      <x:c r="I224" s="86"/>
      <x:c r="J224" s="82" t="str">
        <x:f>IF(C224="","Choose position",IF(COUNT(E224:I224)&lt;5,"",IF(OR(MIN(E224:I224)&lt;0.1,MAX(E224:I224)&gt;10),"Invalid score",IF(INDEX('Position_Rubric'!$H$6:$H$14,M224)&lt;&gt;1,"Check weights",ROUND(E224*INDEX('Position_Rubric'!$C$6:$C$14,M224)+F224*INDEX('Position_Rubric'!$D$6:$D$14,M224)+G224*INDEX('Position_Rubric'!$E$6:$E$14,M224)+H224*INDEX('Position_Rubric'!$F$6:$F$14,M224)+I224*INDEX('Position_Rubric'!$G$6:$G$14,M224),1)))))</x:f>
      </x:c>
      <x:c r="K224" s="82" t="str">
        <x:f>IF(AND(ISNUMBER(J224),ISNUMBER(D224)),J224-D224,"")</x:f>
      </x:c>
      <x:c r="L224" s="69" t="str">
        <x:f>IF(COUNT(E224:I224)&lt;5,"Needs component scores",IF(ISNUMBER(J224),"Calculated",J224))</x:f>
        <x:v>Needs component scores</x:v>
      </x:c>
      <x:c r="M224" s="69" t="n">
        <x:f>IF(C224="","",MATCH(C224,'Position_Rubric'!$A$6:$A$14,0))</x:f>
        <x:v>8</x:v>
      </x:c>
      <x:c r="N224" s="69" t="str"/>
    </x:row>
    <x:row r="225" ht="25" customHeight="1">
      <x:c r="A225" s="69" t="str">
        <x:v>summer-S26-0325</x:v>
      </x:c>
      <x:c r="B225" s="69" t="str">
        <x:v>Giacomo Marconi</x:v>
      </x:c>
      <x:c r="C225" s="69" t="str">
        <x:v>ST</x:v>
      </x:c>
      <x:c r="D225" s="82" t="str">
        <x:f>IF(ISNUMBER('Transfer_Ratings'!K225),'Transfer_Ratings'!K225,"")</x:f>
      </x:c>
      <x:c r="E225" s="86"/>
      <x:c r="F225" s="86"/>
      <x:c r="G225" s="86"/>
      <x:c r="H225" s="86"/>
      <x:c r="I225" s="86"/>
      <x:c r="J225" s="82" t="str">
        <x:f>IF(C225="","Choose position",IF(COUNT(E225:I225)&lt;5,"",IF(OR(MIN(E225:I225)&lt;0.1,MAX(E225:I225)&gt;10),"Invalid score",IF(INDEX('Position_Rubric'!$H$6:$H$14,M225)&lt;&gt;1,"Check weights",ROUND(E225*INDEX('Position_Rubric'!$C$6:$C$14,M225)+F225*INDEX('Position_Rubric'!$D$6:$D$14,M225)+G225*INDEX('Position_Rubric'!$E$6:$E$14,M225)+H225*INDEX('Position_Rubric'!$F$6:$F$14,M225)+I225*INDEX('Position_Rubric'!$G$6:$G$14,M225),1)))))</x:f>
      </x:c>
      <x:c r="K225" s="82" t="str">
        <x:f>IF(AND(ISNUMBER(J225),ISNUMBER(D225)),J225-D225,"")</x:f>
      </x:c>
      <x:c r="L225" s="69" t="str">
        <x:f>IF(COUNT(E225:I225)&lt;5,"Needs component scores",IF(ISNUMBER(J225),"Calculated",J225))</x:f>
        <x:v>Needs component scores</x:v>
      </x:c>
      <x:c r="M225" s="69" t="n">
        <x:f>IF(C225="","",MATCH(C225,'Position_Rubric'!$A$6:$A$14,0))</x:f>
        <x:v>8</x:v>
      </x:c>
      <x:c r="N225" s="69" t="str"/>
    </x:row>
    <x:row r="226" ht="25" customHeight="1">
      <x:c r="A226" s="69" t="str">
        <x:v>summer-S26-0334</x:v>
      </x:c>
      <x:c r="B226" s="69" t="str">
        <x:v>Haris Tabakovic</x:v>
      </x:c>
      <x:c r="C226" s="69" t="str">
        <x:v>ST</x:v>
      </x:c>
      <x:c r="D226" s="82" t="str">
        <x:f>IF(ISNUMBER('Transfer_Ratings'!K226),'Transfer_Ratings'!K226,"")</x:f>
      </x:c>
      <x:c r="E226" s="86"/>
      <x:c r="F226" s="86"/>
      <x:c r="G226" s="86"/>
      <x:c r="H226" s="86"/>
      <x:c r="I226" s="86"/>
      <x:c r="J226" s="82" t="str">
        <x:f>IF(C226="","Choose position",IF(COUNT(E226:I226)&lt;5,"",IF(OR(MIN(E226:I226)&lt;0.1,MAX(E226:I226)&gt;10),"Invalid score",IF(INDEX('Position_Rubric'!$H$6:$H$14,M226)&lt;&gt;1,"Check weights",ROUND(E226*INDEX('Position_Rubric'!$C$6:$C$14,M226)+F226*INDEX('Position_Rubric'!$D$6:$D$14,M226)+G226*INDEX('Position_Rubric'!$E$6:$E$14,M226)+H226*INDEX('Position_Rubric'!$F$6:$F$14,M226)+I226*INDEX('Position_Rubric'!$G$6:$G$14,M226),1)))))</x:f>
      </x:c>
      <x:c r="K226" s="82" t="str">
        <x:f>IF(AND(ISNUMBER(J226),ISNUMBER(D226)),J226-D226,"")</x:f>
      </x:c>
      <x:c r="L226" s="69" t="str">
        <x:f>IF(COUNT(E226:I226)&lt;5,"Needs component scores",IF(ISNUMBER(J226),"Calculated",J226))</x:f>
        <x:v>Needs component scores</x:v>
      </x:c>
      <x:c r="M226" s="69" t="n">
        <x:f>IF(C226="","",MATCH(C226,'Position_Rubric'!$A$6:$A$14,0))</x:f>
        <x:v>8</x:v>
      </x:c>
      <x:c r="N226" s="69" t="str"/>
    </x:row>
    <x:row r="227" ht="25" customHeight="1">
      <x:c r="A227" s="69" t="str">
        <x:v>summer-S26-0341</x:v>
      </x:c>
      <x:c r="B227" s="69" t="str">
        <x:v>Urko Izeta</x:v>
      </x:c>
      <x:c r="C227" s="69" t="str">
        <x:v>ST</x:v>
      </x:c>
      <x:c r="D227" s="82" t="str">
        <x:f>IF(ISNUMBER('Transfer_Ratings'!K227),'Transfer_Ratings'!K227,"")</x:f>
      </x:c>
      <x:c r="E227" s="86"/>
      <x:c r="F227" s="86"/>
      <x:c r="G227" s="86"/>
      <x:c r="H227" s="86"/>
      <x:c r="I227" s="86"/>
      <x:c r="J227" s="82" t="str">
        <x:f>IF(C227="","Choose position",IF(COUNT(E227:I227)&lt;5,"",IF(OR(MIN(E227:I227)&lt;0.1,MAX(E227:I227)&gt;10),"Invalid score",IF(INDEX('Position_Rubric'!$H$6:$H$14,M227)&lt;&gt;1,"Check weights",ROUND(E227*INDEX('Position_Rubric'!$C$6:$C$14,M227)+F227*INDEX('Position_Rubric'!$D$6:$D$14,M227)+G227*INDEX('Position_Rubric'!$E$6:$E$14,M227)+H227*INDEX('Position_Rubric'!$F$6:$F$14,M227)+I227*INDEX('Position_Rubric'!$G$6:$G$14,M227),1)))))</x:f>
      </x:c>
      <x:c r="K227" s="82" t="str">
        <x:f>IF(AND(ISNUMBER(J227),ISNUMBER(D227)),J227-D227,"")</x:f>
      </x:c>
      <x:c r="L227" s="69" t="str">
        <x:f>IF(COUNT(E227:I227)&lt;5,"Needs component scores",IF(ISNUMBER(J227),"Calculated",J227))</x:f>
        <x:v>Needs component scores</x:v>
      </x:c>
      <x:c r="M227" s="69" t="n">
        <x:f>IF(C227="","",MATCH(C227,'Position_Rubric'!$A$6:$A$14,0))</x:f>
        <x:v>8</x:v>
      </x:c>
      <x:c r="N227" s="69" t="str"/>
    </x:row>
    <x:row r="228" ht="25" customHeight="1">
      <x:c r="A228" s="69" t="str">
        <x:v>summer-S26-0345</x:v>
      </x:c>
      <x:c r="B228" s="69" t="str">
        <x:v>Louis Mafouta</x:v>
      </x:c>
      <x:c r="C228" s="69" t="str">
        <x:v>ST</x:v>
      </x:c>
      <x:c r="D228" s="82" t="str">
        <x:f>IF(ISNUMBER('Transfer_Ratings'!K228),'Transfer_Ratings'!K228,"")</x:f>
      </x:c>
      <x:c r="E228" s="86"/>
      <x:c r="F228" s="86"/>
      <x:c r="G228" s="86"/>
      <x:c r="H228" s="86"/>
      <x:c r="I228" s="86"/>
      <x:c r="J228" s="82" t="str">
        <x:f>IF(C228="","Choose position",IF(COUNT(E228:I228)&lt;5,"",IF(OR(MIN(E228:I228)&lt;0.1,MAX(E228:I228)&gt;10),"Invalid score",IF(INDEX('Position_Rubric'!$H$6:$H$14,M228)&lt;&gt;1,"Check weights",ROUND(E228*INDEX('Position_Rubric'!$C$6:$C$14,M228)+F228*INDEX('Position_Rubric'!$D$6:$D$14,M228)+G228*INDEX('Position_Rubric'!$E$6:$E$14,M228)+H228*INDEX('Position_Rubric'!$F$6:$F$14,M228)+I228*INDEX('Position_Rubric'!$G$6:$G$14,M228),1)))))</x:f>
      </x:c>
      <x:c r="K228" s="82" t="str">
        <x:f>IF(AND(ISNUMBER(J228),ISNUMBER(D228)),J228-D228,"")</x:f>
      </x:c>
      <x:c r="L228" s="69" t="str">
        <x:f>IF(COUNT(E228:I228)&lt;5,"Needs component scores",IF(ISNUMBER(J228),"Calculated",J228))</x:f>
        <x:v>Needs component scores</x:v>
      </x:c>
      <x:c r="M228" s="69" t="n">
        <x:f>IF(C228="","",MATCH(C228,'Position_Rubric'!$A$6:$A$14,0))</x:f>
        <x:v>8</x:v>
      </x:c>
      <x:c r="N228" s="69" t="str"/>
    </x:row>
    <x:row r="229" ht="25" customHeight="1">
      <x:c r="A229" s="69" t="str">
        <x:v>summer-S26-0356</x:v>
      </x:c>
      <x:c r="B229" s="69" t="str">
        <x:v>Rodrigo Ribeiro</x:v>
      </x:c>
      <x:c r="C229" s="69" t="str">
        <x:v>ST</x:v>
      </x:c>
      <x:c r="D229" s="82" t="str">
        <x:f>IF(ISNUMBER('Transfer_Ratings'!K229),'Transfer_Ratings'!K229,"")</x:f>
      </x:c>
      <x:c r="E229" s="86"/>
      <x:c r="F229" s="86"/>
      <x:c r="G229" s="86"/>
      <x:c r="H229" s="86"/>
      <x:c r="I229" s="86"/>
      <x:c r="J229" s="82" t="str">
        <x:f>IF(C229="","Choose position",IF(COUNT(E229:I229)&lt;5,"",IF(OR(MIN(E229:I229)&lt;0.1,MAX(E229:I229)&gt;10),"Invalid score",IF(INDEX('Position_Rubric'!$H$6:$H$14,M229)&lt;&gt;1,"Check weights",ROUND(E229*INDEX('Position_Rubric'!$C$6:$C$14,M229)+F229*INDEX('Position_Rubric'!$D$6:$D$14,M229)+G229*INDEX('Position_Rubric'!$E$6:$E$14,M229)+H229*INDEX('Position_Rubric'!$F$6:$F$14,M229)+I229*INDEX('Position_Rubric'!$G$6:$G$14,M229),1)))))</x:f>
      </x:c>
      <x:c r="K229" s="82" t="str">
        <x:f>IF(AND(ISNUMBER(J229),ISNUMBER(D229)),J229-D229,"")</x:f>
      </x:c>
      <x:c r="L229" s="69" t="str">
        <x:f>IF(COUNT(E229:I229)&lt;5,"Needs component scores",IF(ISNUMBER(J229),"Calculated",J229))</x:f>
        <x:v>Needs component scores</x:v>
      </x:c>
      <x:c r="M229" s="69" t="n">
        <x:f>IF(C229="","",MATCH(C229,'Position_Rubric'!$A$6:$A$14,0))</x:f>
        <x:v>8</x:v>
      </x:c>
      <x:c r="N229" s="69" t="str"/>
    </x:row>
    <x:row r="230" ht="25" customHeight="1">
      <x:c r="A230" s="69" t="str">
        <x:v>summer-S26-0364</x:v>
      </x:c>
      <x:c r="B230" s="69" t="str">
        <x:v>Antoine Griezmann</x:v>
      </x:c>
      <x:c r="C230" s="69" t="str">
        <x:v>ST</x:v>
      </x:c>
      <x:c r="D230" s="82" t="str">
        <x:f>IF(ISNUMBER('Transfer_Ratings'!K230),'Transfer_Ratings'!K230,"")</x:f>
      </x:c>
      <x:c r="E230" s="86"/>
      <x:c r="F230" s="86"/>
      <x:c r="G230" s="86"/>
      <x:c r="H230" s="86"/>
      <x:c r="I230" s="86"/>
      <x:c r="J230" s="82" t="str">
        <x:f>IF(C230="","Choose position",IF(COUNT(E230:I230)&lt;5,"",IF(OR(MIN(E230:I230)&lt;0.1,MAX(E230:I230)&gt;10),"Invalid score",IF(INDEX('Position_Rubric'!$H$6:$H$14,M230)&lt;&gt;1,"Check weights",ROUND(E230*INDEX('Position_Rubric'!$C$6:$C$14,M230)+F230*INDEX('Position_Rubric'!$D$6:$D$14,M230)+G230*INDEX('Position_Rubric'!$E$6:$E$14,M230)+H230*INDEX('Position_Rubric'!$F$6:$F$14,M230)+I230*INDEX('Position_Rubric'!$G$6:$G$14,M230),1)))))</x:f>
      </x:c>
      <x:c r="K230" s="82" t="str">
        <x:f>IF(AND(ISNUMBER(J230),ISNUMBER(D230)),J230-D230,"")</x:f>
      </x:c>
      <x:c r="L230" s="69" t="str">
        <x:f>IF(COUNT(E230:I230)&lt;5,"Needs component scores",IF(ISNUMBER(J230),"Calculated",J230))</x:f>
        <x:v>Needs component scores</x:v>
      </x:c>
      <x:c r="M230" s="69" t="n">
        <x:f>IF(C230="","",MATCH(C230,'Position_Rubric'!$A$6:$A$14,0))</x:f>
        <x:v>8</x:v>
      </x:c>
      <x:c r="N230" s="69" t="str"/>
    </x:row>
    <x:row r="231" ht="25" customHeight="1">
      <x:c r="A231" s="69" t="str">
        <x:v>summer-S26-0366</x:v>
      </x:c>
      <x:c r="B231" s="69" t="str">
        <x:v>Matteo Spinaccè</x:v>
      </x:c>
      <x:c r="C231" s="69" t="str">
        <x:v>ST</x:v>
      </x:c>
      <x:c r="D231" s="82" t="str">
        <x:f>IF(ISNUMBER('Transfer_Ratings'!K231),'Transfer_Ratings'!K231,"")</x:f>
      </x:c>
      <x:c r="E231" s="86"/>
      <x:c r="F231" s="86"/>
      <x:c r="G231" s="86"/>
      <x:c r="H231" s="86"/>
      <x:c r="I231" s="86"/>
      <x:c r="J231" s="82" t="str">
        <x:f>IF(C231="","Choose position",IF(COUNT(E231:I231)&lt;5,"",IF(OR(MIN(E231:I231)&lt;0.1,MAX(E231:I231)&gt;10),"Invalid score",IF(INDEX('Position_Rubric'!$H$6:$H$14,M231)&lt;&gt;1,"Check weights",ROUND(E231*INDEX('Position_Rubric'!$C$6:$C$14,M231)+F231*INDEX('Position_Rubric'!$D$6:$D$14,M231)+G231*INDEX('Position_Rubric'!$E$6:$E$14,M231)+H231*INDEX('Position_Rubric'!$F$6:$F$14,M231)+I231*INDEX('Position_Rubric'!$G$6:$G$14,M231),1)))))</x:f>
      </x:c>
      <x:c r="K231" s="82" t="str">
        <x:f>IF(AND(ISNUMBER(J231),ISNUMBER(D231)),J231-D231,"")</x:f>
      </x:c>
      <x:c r="L231" s="69" t="str">
        <x:f>IF(COUNT(E231:I231)&lt;5,"Needs component scores",IF(ISNUMBER(J231),"Calculated",J231))</x:f>
        <x:v>Needs component scores</x:v>
      </x:c>
      <x:c r="M231" s="69" t="n">
        <x:f>IF(C231="","",MATCH(C231,'Position_Rubric'!$A$6:$A$14,0))</x:f>
        <x:v>8</x:v>
      </x:c>
      <x:c r="N231" s="69" t="str"/>
    </x:row>
    <x:row r="232" ht="25" customHeight="1">
      <x:c r="A232" s="69" t="str">
        <x:v>summer-S26-0372</x:v>
      </x:c>
      <x:c r="B232" s="69" t="str">
        <x:v>Moustapha Cissé</x:v>
      </x:c>
      <x:c r="C232" s="69" t="str">
        <x:v>ST</x:v>
      </x:c>
      <x:c r="D232" s="82" t="str">
        <x:f>IF(ISNUMBER('Transfer_Ratings'!K232),'Transfer_Ratings'!K232,"")</x:f>
      </x:c>
      <x:c r="E232" s="86"/>
      <x:c r="F232" s="86"/>
      <x:c r="G232" s="86"/>
      <x:c r="H232" s="86"/>
      <x:c r="I232" s="86"/>
      <x:c r="J232" s="82" t="str">
        <x:f>IF(C232="","Choose position",IF(COUNT(E232:I232)&lt;5,"",IF(OR(MIN(E232:I232)&lt;0.1,MAX(E232:I232)&gt;10),"Invalid score",IF(INDEX('Position_Rubric'!$H$6:$H$14,M232)&lt;&gt;1,"Check weights",ROUND(E232*INDEX('Position_Rubric'!$C$6:$C$14,M232)+F232*INDEX('Position_Rubric'!$D$6:$D$14,M232)+G232*INDEX('Position_Rubric'!$E$6:$E$14,M232)+H232*INDEX('Position_Rubric'!$F$6:$F$14,M232)+I232*INDEX('Position_Rubric'!$G$6:$G$14,M232),1)))))</x:f>
      </x:c>
      <x:c r="K232" s="82" t="str">
        <x:f>IF(AND(ISNUMBER(J232),ISNUMBER(D232)),J232-D232,"")</x:f>
      </x:c>
      <x:c r="L232" s="69" t="str">
        <x:f>IF(COUNT(E232:I232)&lt;5,"Needs component scores",IF(ISNUMBER(J232),"Calculated",J232))</x:f>
        <x:v>Needs component scores</x:v>
      </x:c>
      <x:c r="M232" s="69" t="n">
        <x:f>IF(C232="","",MATCH(C232,'Position_Rubric'!$A$6:$A$14,0))</x:f>
        <x:v>8</x:v>
      </x:c>
      <x:c r="N232" s="69" t="str"/>
    </x:row>
    <x:row r="233" ht="25" customHeight="1">
      <x:c r="A233" s="69" t="str">
        <x:v>summer-S26-0381</x:v>
      </x:c>
      <x:c r="B233" s="69" t="str">
        <x:v>Álvaro Rodríguez</x:v>
      </x:c>
      <x:c r="C233" s="69" t="str">
        <x:v>ST</x:v>
      </x:c>
      <x:c r="D233" s="82" t="str">
        <x:f>IF(ISNUMBER('Transfer_Ratings'!K233),'Transfer_Ratings'!K233,"")</x:f>
      </x:c>
      <x:c r="E233" s="86"/>
      <x:c r="F233" s="86"/>
      <x:c r="G233" s="86"/>
      <x:c r="H233" s="86"/>
      <x:c r="I233" s="86"/>
      <x:c r="J233" s="82" t="str">
        <x:f>IF(C233="","Choose position",IF(COUNT(E233:I233)&lt;5,"",IF(OR(MIN(E233:I233)&lt;0.1,MAX(E233:I233)&gt;10),"Invalid score",IF(INDEX('Position_Rubric'!$H$6:$H$14,M233)&lt;&gt;1,"Check weights",ROUND(E233*INDEX('Position_Rubric'!$C$6:$C$14,M233)+F233*INDEX('Position_Rubric'!$D$6:$D$14,M233)+G233*INDEX('Position_Rubric'!$E$6:$E$14,M233)+H233*INDEX('Position_Rubric'!$F$6:$F$14,M233)+I233*INDEX('Position_Rubric'!$G$6:$G$14,M233),1)))))</x:f>
      </x:c>
      <x:c r="K233" s="82" t="str">
        <x:f>IF(AND(ISNUMBER(J233),ISNUMBER(D233)),J233-D233,"")</x:f>
      </x:c>
      <x:c r="L233" s="69" t="str">
        <x:f>IF(COUNT(E233:I233)&lt;5,"Needs component scores",IF(ISNUMBER(J233),"Calculated",J233))</x:f>
        <x:v>Needs component scores</x:v>
      </x:c>
      <x:c r="M233" s="69" t="n">
        <x:f>IF(C233="","",MATCH(C233,'Position_Rubric'!$A$6:$A$14,0))</x:f>
        <x:v>8</x:v>
      </x:c>
      <x:c r="N233" s="69" t="str"/>
    </x:row>
    <x:row r="234" ht="25" customHeight="1">
      <x:c r="A234" s="69" t="str">
        <x:v>summer-S26-0388</x:v>
      </x:c>
      <x:c r="B234" s="69" t="str">
        <x:v>Ismaël Konaté</x:v>
      </x:c>
      <x:c r="C234" s="69" t="str">
        <x:v>ST</x:v>
      </x:c>
      <x:c r="D234" s="82" t="str">
        <x:f>IF(ISNUMBER('Transfer_Ratings'!K234),'Transfer_Ratings'!K234,"")</x:f>
      </x:c>
      <x:c r="E234" s="86"/>
      <x:c r="F234" s="86"/>
      <x:c r="G234" s="86"/>
      <x:c r="H234" s="86"/>
      <x:c r="I234" s="86"/>
      <x:c r="J234" s="82" t="str">
        <x:f>IF(C234="","Choose position",IF(COUNT(E234:I234)&lt;5,"",IF(OR(MIN(E234:I234)&lt;0.1,MAX(E234:I234)&gt;10),"Invalid score",IF(INDEX('Position_Rubric'!$H$6:$H$14,M234)&lt;&gt;1,"Check weights",ROUND(E234*INDEX('Position_Rubric'!$C$6:$C$14,M234)+F234*INDEX('Position_Rubric'!$D$6:$D$14,M234)+G234*INDEX('Position_Rubric'!$E$6:$E$14,M234)+H234*INDEX('Position_Rubric'!$F$6:$F$14,M234)+I234*INDEX('Position_Rubric'!$G$6:$G$14,M234),1)))))</x:f>
      </x:c>
      <x:c r="K234" s="82" t="str">
        <x:f>IF(AND(ISNUMBER(J234),ISNUMBER(D234)),J234-D234,"")</x:f>
      </x:c>
      <x:c r="L234" s="69" t="str">
        <x:f>IF(COUNT(E234:I234)&lt;5,"Needs component scores",IF(ISNUMBER(J234),"Calculated",J234))</x:f>
        <x:v>Needs component scores</x:v>
      </x:c>
      <x:c r="M234" s="69" t="n">
        <x:f>IF(C234="","",MATCH(C234,'Position_Rubric'!$A$6:$A$14,0))</x:f>
        <x:v>8</x:v>
      </x:c>
      <x:c r="N234" s="69" t="str"/>
    </x:row>
    <x:row r="235" ht="25" customHeight="1">
      <x:c r="A235" s="69" t="str">
        <x:v>summer-S26-0389</x:v>
      </x:c>
      <x:c r="B235" s="69" t="str">
        <x:v>Lewis Dobbin</x:v>
      </x:c>
      <x:c r="C235" s="69" t="str">
        <x:v>ST</x:v>
      </x:c>
      <x:c r="D235" s="82" t="str">
        <x:f>IF(ISNUMBER('Transfer_Ratings'!K235),'Transfer_Ratings'!K235,"")</x:f>
      </x:c>
      <x:c r="E235" s="86"/>
      <x:c r="F235" s="86"/>
      <x:c r="G235" s="86"/>
      <x:c r="H235" s="86"/>
      <x:c r="I235" s="86"/>
      <x:c r="J235" s="82" t="str">
        <x:f>IF(C235="","Choose position",IF(COUNT(E235:I235)&lt;5,"",IF(OR(MIN(E235:I235)&lt;0.1,MAX(E235:I235)&gt;10),"Invalid score",IF(INDEX('Position_Rubric'!$H$6:$H$14,M235)&lt;&gt;1,"Check weights",ROUND(E235*INDEX('Position_Rubric'!$C$6:$C$14,M235)+F235*INDEX('Position_Rubric'!$D$6:$D$14,M235)+G235*INDEX('Position_Rubric'!$E$6:$E$14,M235)+H235*INDEX('Position_Rubric'!$F$6:$F$14,M235)+I235*INDEX('Position_Rubric'!$G$6:$G$14,M235),1)))))</x:f>
      </x:c>
      <x:c r="K235" s="82" t="str">
        <x:f>IF(AND(ISNUMBER(J235),ISNUMBER(D235)),J235-D235,"")</x:f>
      </x:c>
      <x:c r="L235" s="69" t="str">
        <x:f>IF(COUNT(E235:I235)&lt;5,"Needs component scores",IF(ISNUMBER(J235),"Calculated",J235))</x:f>
        <x:v>Needs component scores</x:v>
      </x:c>
      <x:c r="M235" s="69" t="n">
        <x:f>IF(C235="","",MATCH(C235,'Position_Rubric'!$A$6:$A$14,0))</x:f>
        <x:v>8</x:v>
      </x:c>
      <x:c r="N235" s="69" t="str"/>
    </x:row>
    <x:row r="236" ht="25" customHeight="1">
      <x:c r="A236" s="69" t="str">
        <x:v>summer-S26-0391</x:v>
      </x:c>
      <x:c r="B236" s="69" t="str">
        <x:v>Mason Greenwood</x:v>
      </x:c>
      <x:c r="C236" s="69" t="str">
        <x:v>ST</x:v>
      </x:c>
      <x:c r="D236" s="82" t="str">
        <x:f>IF(ISNUMBER('Transfer_Ratings'!K236),'Transfer_Ratings'!K236,"")</x:f>
      </x:c>
      <x:c r="E236" s="86"/>
      <x:c r="F236" s="86"/>
      <x:c r="G236" s="86"/>
      <x:c r="H236" s="86"/>
      <x:c r="I236" s="86"/>
      <x:c r="J236" s="82" t="str">
        <x:f>IF(C236="","Choose position",IF(COUNT(E236:I236)&lt;5,"",IF(OR(MIN(E236:I236)&lt;0.1,MAX(E236:I236)&gt;10),"Invalid score",IF(INDEX('Position_Rubric'!$H$6:$H$14,M236)&lt;&gt;1,"Check weights",ROUND(E236*INDEX('Position_Rubric'!$C$6:$C$14,M236)+F236*INDEX('Position_Rubric'!$D$6:$D$14,M236)+G236*INDEX('Position_Rubric'!$E$6:$E$14,M236)+H236*INDEX('Position_Rubric'!$F$6:$F$14,M236)+I236*INDEX('Position_Rubric'!$G$6:$G$14,M236),1)))))</x:f>
      </x:c>
      <x:c r="K236" s="82" t="str">
        <x:f>IF(AND(ISNUMBER(J236),ISNUMBER(D236)),J236-D236,"")</x:f>
      </x:c>
      <x:c r="L236" s="69" t="str">
        <x:f>IF(COUNT(E236:I236)&lt;5,"Needs component scores",IF(ISNUMBER(J236),"Calculated",J236))</x:f>
        <x:v>Needs component scores</x:v>
      </x:c>
      <x:c r="M236" s="69" t="n">
        <x:f>IF(C236="","",MATCH(C236,'Position_Rubric'!$A$6:$A$14,0))</x:f>
        <x:v>8</x:v>
      </x:c>
      <x:c r="N236" s="69" t="str"/>
    </x:row>
    <x:row r="237" ht="25" customHeight="1">
      <x:c r="A237" s="69" t="str">
        <x:v>summer-S26-0396</x:v>
      </x:c>
      <x:c r="B237" s="69" t="str">
        <x:v>Maat Daniel Caprini</x:v>
      </x:c>
      <x:c r="C237" s="69" t="str">
        <x:v>ST</x:v>
      </x:c>
      <x:c r="D237" s="82" t="str">
        <x:f>IF(ISNUMBER('Transfer_Ratings'!K237),'Transfer_Ratings'!K237,"")</x:f>
      </x:c>
      <x:c r="E237" s="86"/>
      <x:c r="F237" s="86"/>
      <x:c r="G237" s="86"/>
      <x:c r="H237" s="86"/>
      <x:c r="I237" s="86"/>
      <x:c r="J237" s="82" t="str">
        <x:f>IF(C237="","Choose position",IF(COUNT(E237:I237)&lt;5,"",IF(OR(MIN(E237:I237)&lt;0.1,MAX(E237:I237)&gt;10),"Invalid score",IF(INDEX('Position_Rubric'!$H$6:$H$14,M237)&lt;&gt;1,"Check weights",ROUND(E237*INDEX('Position_Rubric'!$C$6:$C$14,M237)+F237*INDEX('Position_Rubric'!$D$6:$D$14,M237)+G237*INDEX('Position_Rubric'!$E$6:$E$14,M237)+H237*INDEX('Position_Rubric'!$F$6:$F$14,M237)+I237*INDEX('Position_Rubric'!$G$6:$G$14,M237),1)))))</x:f>
      </x:c>
      <x:c r="K237" s="82" t="str">
        <x:f>IF(AND(ISNUMBER(J237),ISNUMBER(D237)),J237-D237,"")</x:f>
      </x:c>
      <x:c r="L237" s="69" t="str">
        <x:f>IF(COUNT(E237:I237)&lt;5,"Needs component scores",IF(ISNUMBER(J237),"Calculated",J237))</x:f>
        <x:v>Needs component scores</x:v>
      </x:c>
      <x:c r="M237" s="69" t="n">
        <x:f>IF(C237="","",MATCH(C237,'Position_Rubric'!$A$6:$A$14,0))</x:f>
        <x:v>8</x:v>
      </x:c>
      <x:c r="N237" s="69" t="str"/>
    </x:row>
    <x:row r="238" ht="25" customHeight="1">
      <x:c r="A238" s="69" t="str">
        <x:v>summer-S26-0398</x:v>
      </x:c>
      <x:c r="B238" s="69" t="str">
        <x:v>Leandro Trossard</x:v>
      </x:c>
      <x:c r="C238" s="69" t="str">
        <x:v>ST</x:v>
      </x:c>
      <x:c r="D238" s="82" t="str">
        <x:f>IF(ISNUMBER('Transfer_Ratings'!K238),'Transfer_Ratings'!K238,"")</x:f>
      </x:c>
      <x:c r="E238" s="86"/>
      <x:c r="F238" s="86"/>
      <x:c r="G238" s="86"/>
      <x:c r="H238" s="86"/>
      <x:c r="I238" s="86"/>
      <x:c r="J238" s="82" t="str">
        <x:f>IF(C238="","Choose position",IF(COUNT(E238:I238)&lt;5,"",IF(OR(MIN(E238:I238)&lt;0.1,MAX(E238:I238)&gt;10),"Invalid score",IF(INDEX('Position_Rubric'!$H$6:$H$14,M238)&lt;&gt;1,"Check weights",ROUND(E238*INDEX('Position_Rubric'!$C$6:$C$14,M238)+F238*INDEX('Position_Rubric'!$D$6:$D$14,M238)+G238*INDEX('Position_Rubric'!$E$6:$E$14,M238)+H238*INDEX('Position_Rubric'!$F$6:$F$14,M238)+I238*INDEX('Position_Rubric'!$G$6:$G$14,M238),1)))))</x:f>
      </x:c>
      <x:c r="K238" s="82" t="str">
        <x:f>IF(AND(ISNUMBER(J238),ISNUMBER(D238)),J238-D238,"")</x:f>
      </x:c>
      <x:c r="L238" s="69" t="str">
        <x:f>IF(COUNT(E238:I238)&lt;5,"Needs component scores",IF(ISNUMBER(J238),"Calculated",J238))</x:f>
        <x:v>Needs component scores</x:v>
      </x:c>
      <x:c r="M238" s="69" t="n">
        <x:f>IF(C238="","",MATCH(C238,'Position_Rubric'!$A$6:$A$14,0))</x:f>
        <x:v>8</x:v>
      </x:c>
      <x:c r="N238" s="69" t="str"/>
    </x:row>
    <x:row r="239" ht="25" customHeight="1">
      <x:c r="A239" s="69" t="str">
        <x:v>summer-S26-0408</x:v>
      </x:c>
      <x:c r="B239" s="69" t="str">
        <x:v>Goduine Koyalipou</x:v>
      </x:c>
      <x:c r="C239" s="69" t="str">
        <x:v>ST</x:v>
      </x:c>
      <x:c r="D239" s="82" t="str">
        <x:f>IF(ISNUMBER('Transfer_Ratings'!K239),'Transfer_Ratings'!K239,"")</x:f>
      </x:c>
      <x:c r="E239" s="86"/>
      <x:c r="F239" s="86"/>
      <x:c r="G239" s="86"/>
      <x:c r="H239" s="86"/>
      <x:c r="I239" s="86"/>
      <x:c r="J239" s="82" t="str">
        <x:f>IF(C239="","Choose position",IF(COUNT(E239:I239)&lt;5,"",IF(OR(MIN(E239:I239)&lt;0.1,MAX(E239:I239)&gt;10),"Invalid score",IF(INDEX('Position_Rubric'!$H$6:$H$14,M239)&lt;&gt;1,"Check weights",ROUND(E239*INDEX('Position_Rubric'!$C$6:$C$14,M239)+F239*INDEX('Position_Rubric'!$D$6:$D$14,M239)+G239*INDEX('Position_Rubric'!$E$6:$E$14,M239)+H239*INDEX('Position_Rubric'!$F$6:$F$14,M239)+I239*INDEX('Position_Rubric'!$G$6:$G$14,M239),1)))))</x:f>
      </x:c>
      <x:c r="K239" s="82" t="str">
        <x:f>IF(AND(ISNUMBER(J239),ISNUMBER(D239)),J239-D239,"")</x:f>
      </x:c>
      <x:c r="L239" s="69" t="str">
        <x:f>IF(COUNT(E239:I239)&lt;5,"Needs component scores",IF(ISNUMBER(J239),"Calculated",J239))</x:f>
        <x:v>Needs component scores</x:v>
      </x:c>
      <x:c r="M239" s="69" t="n">
        <x:f>IF(C239="","",MATCH(C239,'Position_Rubric'!$A$6:$A$14,0))</x:f>
        <x:v>8</x:v>
      </x:c>
      <x:c r="N239" s="69" t="str"/>
    </x:row>
    <x:row r="240" ht="25" customHeight="1">
      <x:c r="A240" s="69" t="str">
        <x:v>summer-S26-0417</x:v>
      </x:c>
      <x:c r="B240" s="69" t="str">
        <x:v>Conor Chaplin</x:v>
      </x:c>
      <x:c r="C240" s="69" t="str">
        <x:v>ST</x:v>
      </x:c>
      <x:c r="D240" s="82" t="str">
        <x:f>IF(ISNUMBER('Transfer_Ratings'!K240),'Transfer_Ratings'!K240,"")</x:f>
      </x:c>
      <x:c r="E240" s="86"/>
      <x:c r="F240" s="86"/>
      <x:c r="G240" s="86"/>
      <x:c r="H240" s="86"/>
      <x:c r="I240" s="86"/>
      <x:c r="J240" s="82" t="str">
        <x:f>IF(C240="","Choose position",IF(COUNT(E240:I240)&lt;5,"",IF(OR(MIN(E240:I240)&lt;0.1,MAX(E240:I240)&gt;10),"Invalid score",IF(INDEX('Position_Rubric'!$H$6:$H$14,M240)&lt;&gt;1,"Check weights",ROUND(E240*INDEX('Position_Rubric'!$C$6:$C$14,M240)+F240*INDEX('Position_Rubric'!$D$6:$D$14,M240)+G240*INDEX('Position_Rubric'!$E$6:$E$14,M240)+H240*INDEX('Position_Rubric'!$F$6:$F$14,M240)+I240*INDEX('Position_Rubric'!$G$6:$G$14,M240),1)))))</x:f>
      </x:c>
      <x:c r="K240" s="82" t="str">
        <x:f>IF(AND(ISNUMBER(J240),ISNUMBER(D240)),J240-D240,"")</x:f>
      </x:c>
      <x:c r="L240" s="69" t="str">
        <x:f>IF(COUNT(E240:I240)&lt;5,"Needs component scores",IF(ISNUMBER(J240),"Calculated",J240))</x:f>
        <x:v>Needs component scores</x:v>
      </x:c>
      <x:c r="M240" s="69" t="n">
        <x:f>IF(C240="","",MATCH(C240,'Position_Rubric'!$A$6:$A$14,0))</x:f>
        <x:v>8</x:v>
      </x:c>
      <x:c r="N240" s="69" t="str"/>
    </x:row>
    <x:row r="241" ht="25" customHeight="1">
      <x:c r="A241" s="69" t="str">
        <x:v>summer-S26-0433</x:v>
      </x:c>
      <x:c r="B241" s="69" t="str">
        <x:v>Nelson Weiper</x:v>
      </x:c>
      <x:c r="C241" s="69" t="str">
        <x:v>ST</x:v>
      </x:c>
      <x:c r="D241" s="82" t="str">
        <x:f>IF(ISNUMBER('Transfer_Ratings'!K241),'Transfer_Ratings'!K241,"")</x:f>
      </x:c>
      <x:c r="E241" s="86"/>
      <x:c r="F241" s="86"/>
      <x:c r="G241" s="86"/>
      <x:c r="H241" s="86"/>
      <x:c r="I241" s="86"/>
      <x:c r="J241" s="82" t="str">
        <x:f>IF(C241="","Choose position",IF(COUNT(E241:I241)&lt;5,"",IF(OR(MIN(E241:I241)&lt;0.1,MAX(E241:I241)&gt;10),"Invalid score",IF(INDEX('Position_Rubric'!$H$6:$H$14,M241)&lt;&gt;1,"Check weights",ROUND(E241*INDEX('Position_Rubric'!$C$6:$C$14,M241)+F241*INDEX('Position_Rubric'!$D$6:$D$14,M241)+G241*INDEX('Position_Rubric'!$E$6:$E$14,M241)+H241*INDEX('Position_Rubric'!$F$6:$F$14,M241)+I241*INDEX('Position_Rubric'!$G$6:$G$14,M241),1)))))</x:f>
      </x:c>
      <x:c r="K241" s="82" t="str">
        <x:f>IF(AND(ISNUMBER(J241),ISNUMBER(D241)),J241-D241,"")</x:f>
      </x:c>
      <x:c r="L241" s="69" t="str">
        <x:f>IF(COUNT(E241:I241)&lt;5,"Needs component scores",IF(ISNUMBER(J241),"Calculated",J241))</x:f>
        <x:v>Needs component scores</x:v>
      </x:c>
      <x:c r="M241" s="69" t="n">
        <x:f>IF(C241="","",MATCH(C241,'Position_Rubric'!$A$6:$A$14,0))</x:f>
        <x:v>8</x:v>
      </x:c>
      <x:c r="N241" s="69" t="str"/>
    </x:row>
    <x:row r="242" ht="25" customHeight="1">
      <x:c r="A242" s="69" t="str">
        <x:v>summer-S26-0435</x:v>
      </x:c>
      <x:c r="B242" s="69" t="str">
        <x:v>Reigan Heskey</x:v>
      </x:c>
      <x:c r="C242" s="69" t="str">
        <x:v>ST</x:v>
      </x:c>
      <x:c r="D242" s="82" t="str">
        <x:f>IF(ISNUMBER('Transfer_Ratings'!K242),'Transfer_Ratings'!K242,"")</x:f>
      </x:c>
      <x:c r="E242" s="86"/>
      <x:c r="F242" s="86"/>
      <x:c r="G242" s="86"/>
      <x:c r="H242" s="86"/>
      <x:c r="I242" s="86"/>
      <x:c r="J242" s="82" t="str">
        <x:f>IF(C242="","Choose position",IF(COUNT(E242:I242)&lt;5,"",IF(OR(MIN(E242:I242)&lt;0.1,MAX(E242:I242)&gt;10),"Invalid score",IF(INDEX('Position_Rubric'!$H$6:$H$14,M242)&lt;&gt;1,"Check weights",ROUND(E242*INDEX('Position_Rubric'!$C$6:$C$14,M242)+F242*INDEX('Position_Rubric'!$D$6:$D$14,M242)+G242*INDEX('Position_Rubric'!$E$6:$E$14,M242)+H242*INDEX('Position_Rubric'!$F$6:$F$14,M242)+I242*INDEX('Position_Rubric'!$G$6:$G$14,M242),1)))))</x:f>
      </x:c>
      <x:c r="K242" s="82" t="str">
        <x:f>IF(AND(ISNUMBER(J242),ISNUMBER(D242)),J242-D242,"")</x:f>
      </x:c>
      <x:c r="L242" s="69" t="str">
        <x:f>IF(COUNT(E242:I242)&lt;5,"Needs component scores",IF(ISNUMBER(J242),"Calculated",J242))</x:f>
        <x:v>Needs component scores</x:v>
      </x:c>
      <x:c r="M242" s="69" t="n">
        <x:f>IF(C242="","",MATCH(C242,'Position_Rubric'!$A$6:$A$14,0))</x:f>
        <x:v>8</x:v>
      </x:c>
      <x:c r="N242" s="69" t="str"/>
    </x:row>
    <x:row r="243" ht="25" customHeight="1">
      <x:c r="A243" s="69" t="str">
        <x:v>summer-S26-0437</x:v>
      </x:c>
      <x:c r="B243" s="69" t="str">
        <x:v>Grant-Leon Ranos</x:v>
      </x:c>
      <x:c r="C243" s="69" t="str">
        <x:v>ST</x:v>
      </x:c>
      <x:c r="D243" s="82" t="str">
        <x:f>IF(ISNUMBER('Transfer_Ratings'!K243),'Transfer_Ratings'!K243,"")</x:f>
      </x:c>
      <x:c r="E243" s="86"/>
      <x:c r="F243" s="86"/>
      <x:c r="G243" s="86"/>
      <x:c r="H243" s="86"/>
      <x:c r="I243" s="86"/>
      <x:c r="J243" s="82" t="str">
        <x:f>IF(C243="","Choose position",IF(COUNT(E243:I243)&lt;5,"",IF(OR(MIN(E243:I243)&lt;0.1,MAX(E243:I243)&gt;10),"Invalid score",IF(INDEX('Position_Rubric'!$H$6:$H$14,M243)&lt;&gt;1,"Check weights",ROUND(E243*INDEX('Position_Rubric'!$C$6:$C$14,M243)+F243*INDEX('Position_Rubric'!$D$6:$D$14,M243)+G243*INDEX('Position_Rubric'!$E$6:$E$14,M243)+H243*INDEX('Position_Rubric'!$F$6:$F$14,M243)+I243*INDEX('Position_Rubric'!$G$6:$G$14,M243),1)))))</x:f>
      </x:c>
      <x:c r="K243" s="82" t="str">
        <x:f>IF(AND(ISNUMBER(J243),ISNUMBER(D243)),J243-D243,"")</x:f>
      </x:c>
      <x:c r="L243" s="69" t="str">
        <x:f>IF(COUNT(E243:I243)&lt;5,"Needs component scores",IF(ISNUMBER(J243),"Calculated",J243))</x:f>
        <x:v>Needs component scores</x:v>
      </x:c>
      <x:c r="M243" s="69" t="n">
        <x:f>IF(C243="","",MATCH(C243,'Position_Rubric'!$A$6:$A$14,0))</x:f>
        <x:v>8</x:v>
      </x:c>
      <x:c r="N243" s="69" t="str"/>
    </x:row>
    <x:row r="244" ht="25" customHeight="1">
      <x:c r="A244" s="69" t="str">
        <x:v>summer-S26-0440</x:v>
      </x:c>
      <x:c r="B244" s="69" t="str">
        <x:v>Pierre-Emerick Aubameyang</x:v>
      </x:c>
      <x:c r="C244" s="69" t="str">
        <x:v>ST</x:v>
      </x:c>
      <x:c r="D244" s="82" t="str">
        <x:f>IF(ISNUMBER('Transfer_Ratings'!K244),'Transfer_Ratings'!K244,"")</x:f>
      </x:c>
      <x:c r="E244" s="86"/>
      <x:c r="F244" s="86"/>
      <x:c r="G244" s="86"/>
      <x:c r="H244" s="86"/>
      <x:c r="I244" s="86"/>
      <x:c r="J244" s="82" t="str">
        <x:f>IF(C244="","Choose position",IF(COUNT(E244:I244)&lt;5,"",IF(OR(MIN(E244:I244)&lt;0.1,MAX(E244:I244)&gt;10),"Invalid score",IF(INDEX('Position_Rubric'!$H$6:$H$14,M244)&lt;&gt;1,"Check weights",ROUND(E244*INDEX('Position_Rubric'!$C$6:$C$14,M244)+F244*INDEX('Position_Rubric'!$D$6:$D$14,M244)+G244*INDEX('Position_Rubric'!$E$6:$E$14,M244)+H244*INDEX('Position_Rubric'!$F$6:$F$14,M244)+I244*INDEX('Position_Rubric'!$G$6:$G$14,M244),1)))))</x:f>
      </x:c>
      <x:c r="K244" s="82" t="str">
        <x:f>IF(AND(ISNUMBER(J244),ISNUMBER(D244)),J244-D244,"")</x:f>
      </x:c>
      <x:c r="L244" s="69" t="str">
        <x:f>IF(COUNT(E244:I244)&lt;5,"Needs component scores",IF(ISNUMBER(J244),"Calculated",J244))</x:f>
        <x:v>Needs component scores</x:v>
      </x:c>
      <x:c r="M244" s="69" t="n">
        <x:f>IF(C244="","",MATCH(C244,'Position_Rubric'!$A$6:$A$14,0))</x:f>
        <x:v>8</x:v>
      </x:c>
      <x:c r="N244" s="69" t="str"/>
    </x:row>
    <x:row r="245" ht="25" customHeight="1">
      <x:c r="A245" s="69" t="str">
        <x:v>summer-S26-0444</x:v>
      </x:c>
      <x:c r="B245" s="69" t="str">
        <x:v>Erencan Yardimci</x:v>
      </x:c>
      <x:c r="C245" s="69" t="str">
        <x:v>ST</x:v>
      </x:c>
      <x:c r="D245" s="82" t="str">
        <x:f>IF(ISNUMBER('Transfer_Ratings'!K245),'Transfer_Ratings'!K245,"")</x:f>
      </x:c>
      <x:c r="E245" s="86"/>
      <x:c r="F245" s="86"/>
      <x:c r="G245" s="86"/>
      <x:c r="H245" s="86"/>
      <x:c r="I245" s="86"/>
      <x:c r="J245" s="82" t="str">
        <x:f>IF(C245="","Choose position",IF(COUNT(E245:I245)&lt;5,"",IF(OR(MIN(E245:I245)&lt;0.1,MAX(E245:I245)&gt;10),"Invalid score",IF(INDEX('Position_Rubric'!$H$6:$H$14,M245)&lt;&gt;1,"Check weights",ROUND(E245*INDEX('Position_Rubric'!$C$6:$C$14,M245)+F245*INDEX('Position_Rubric'!$D$6:$D$14,M245)+G245*INDEX('Position_Rubric'!$E$6:$E$14,M245)+H245*INDEX('Position_Rubric'!$F$6:$F$14,M245)+I245*INDEX('Position_Rubric'!$G$6:$G$14,M245),1)))))</x:f>
      </x:c>
      <x:c r="K245" s="82" t="str">
        <x:f>IF(AND(ISNUMBER(J245),ISNUMBER(D245)),J245-D245,"")</x:f>
      </x:c>
      <x:c r="L245" s="69" t="str">
        <x:f>IF(COUNT(E245:I245)&lt;5,"Needs component scores",IF(ISNUMBER(J245),"Calculated",J245))</x:f>
        <x:v>Needs component scores</x:v>
      </x:c>
      <x:c r="M245" s="69" t="n">
        <x:f>IF(C245="","",MATCH(C245,'Position_Rubric'!$A$6:$A$14,0))</x:f>
        <x:v>8</x:v>
      </x:c>
      <x:c r="N245" s="69" t="str"/>
    </x:row>
    <x:row r="246" ht="25" customHeight="1">
      <x:c r="A246" s="69" t="str">
        <x:v>summer-S26-0450</x:v>
      </x:c>
      <x:c r="B246" s="69" t="str">
        <x:v>Aleksa Damjanovic</x:v>
      </x:c>
      <x:c r="C246" s="69" t="str">
        <x:v>ST</x:v>
      </x:c>
      <x:c r="D246" s="82" t="str">
        <x:f>IF(ISNUMBER('Transfer_Ratings'!K246),'Transfer_Ratings'!K246,"")</x:f>
      </x:c>
      <x:c r="E246" s="86"/>
      <x:c r="F246" s="86"/>
      <x:c r="G246" s="86"/>
      <x:c r="H246" s="86"/>
      <x:c r="I246" s="86"/>
      <x:c r="J246" s="82" t="str">
        <x:f>IF(C246="","Choose position",IF(COUNT(E246:I246)&lt;5,"",IF(OR(MIN(E246:I246)&lt;0.1,MAX(E246:I246)&gt;10),"Invalid score",IF(INDEX('Position_Rubric'!$H$6:$H$14,M246)&lt;&gt;1,"Check weights",ROUND(E246*INDEX('Position_Rubric'!$C$6:$C$14,M246)+F246*INDEX('Position_Rubric'!$D$6:$D$14,M246)+G246*INDEX('Position_Rubric'!$E$6:$E$14,M246)+H246*INDEX('Position_Rubric'!$F$6:$F$14,M246)+I246*INDEX('Position_Rubric'!$G$6:$G$14,M246),1)))))</x:f>
      </x:c>
      <x:c r="K246" s="82" t="str">
        <x:f>IF(AND(ISNUMBER(J246),ISNUMBER(D246)),J246-D246,"")</x:f>
      </x:c>
      <x:c r="L246" s="69" t="str">
        <x:f>IF(COUNT(E246:I246)&lt;5,"Needs component scores",IF(ISNUMBER(J246),"Calculated",J246))</x:f>
        <x:v>Needs component scores</x:v>
      </x:c>
      <x:c r="M246" s="69" t="n">
        <x:f>IF(C246="","",MATCH(C246,'Position_Rubric'!$A$6:$A$14,0))</x:f>
        <x:v>8</x:v>
      </x:c>
      <x:c r="N246" s="69" t="str"/>
    </x:row>
    <x:row r="247" ht="25" customHeight="1">
      <x:c r="A247" s="69" t="str">
        <x:v>summer-S26-0455</x:v>
      </x:c>
      <x:c r="B247" s="69" t="str">
        <x:v>Filip Marchwinski</x:v>
      </x:c>
      <x:c r="C247" s="69" t="str">
        <x:v>ST</x:v>
      </x:c>
      <x:c r="D247" s="82" t="str">
        <x:f>IF(ISNUMBER('Transfer_Ratings'!K247),'Transfer_Ratings'!K247,"")</x:f>
      </x:c>
      <x:c r="E247" s="86"/>
      <x:c r="F247" s="86"/>
      <x:c r="G247" s="86"/>
      <x:c r="H247" s="86"/>
      <x:c r="I247" s="86"/>
      <x:c r="J247" s="82" t="str">
        <x:f>IF(C247="","Choose position",IF(COUNT(E247:I247)&lt;5,"",IF(OR(MIN(E247:I247)&lt;0.1,MAX(E247:I247)&gt;10),"Invalid score",IF(INDEX('Position_Rubric'!$H$6:$H$14,M247)&lt;&gt;1,"Check weights",ROUND(E247*INDEX('Position_Rubric'!$C$6:$C$14,M247)+F247*INDEX('Position_Rubric'!$D$6:$D$14,M247)+G247*INDEX('Position_Rubric'!$E$6:$E$14,M247)+H247*INDEX('Position_Rubric'!$F$6:$F$14,M247)+I247*INDEX('Position_Rubric'!$G$6:$G$14,M247),1)))))</x:f>
      </x:c>
      <x:c r="K247" s="82" t="str">
        <x:f>IF(AND(ISNUMBER(J247),ISNUMBER(D247)),J247-D247,"")</x:f>
      </x:c>
      <x:c r="L247" s="69" t="str">
        <x:f>IF(COUNT(E247:I247)&lt;5,"Needs component scores",IF(ISNUMBER(J247),"Calculated",J247))</x:f>
        <x:v>Needs component scores</x:v>
      </x:c>
      <x:c r="M247" s="69" t="n">
        <x:f>IF(C247="","",MATCH(C247,'Position_Rubric'!$A$6:$A$14,0))</x:f>
        <x:v>8</x:v>
      </x:c>
      <x:c r="N247" s="69" t="str"/>
    </x:row>
    <x:row r="248" ht="25" customHeight="1">
      <x:c r="A248" s="69" t="str">
        <x:v>summer-S26-0468</x:v>
      </x:c>
      <x:c r="B248" s="69" t="str">
        <x:v>Matty Warhurst</x:v>
      </x:c>
      <x:c r="C248" s="69" t="str">
        <x:v>ST</x:v>
      </x:c>
      <x:c r="D248" s="82" t="str">
        <x:f>IF(ISNUMBER('Transfer_Ratings'!K248),'Transfer_Ratings'!K248,"")</x:f>
      </x:c>
      <x:c r="E248" s="86"/>
      <x:c r="F248" s="86"/>
      <x:c r="G248" s="86"/>
      <x:c r="H248" s="86"/>
      <x:c r="I248" s="86"/>
      <x:c r="J248" s="82" t="str">
        <x:f>IF(C248="","Choose position",IF(COUNT(E248:I248)&lt;5,"",IF(OR(MIN(E248:I248)&lt;0.1,MAX(E248:I248)&gt;10),"Invalid score",IF(INDEX('Position_Rubric'!$H$6:$H$14,M248)&lt;&gt;1,"Check weights",ROUND(E248*INDEX('Position_Rubric'!$C$6:$C$14,M248)+F248*INDEX('Position_Rubric'!$D$6:$D$14,M248)+G248*INDEX('Position_Rubric'!$E$6:$E$14,M248)+H248*INDEX('Position_Rubric'!$F$6:$F$14,M248)+I248*INDEX('Position_Rubric'!$G$6:$G$14,M248),1)))))</x:f>
      </x:c>
      <x:c r="K248" s="82" t="str">
        <x:f>IF(AND(ISNUMBER(J248),ISNUMBER(D248)),J248-D248,"")</x:f>
      </x:c>
      <x:c r="L248" s="69" t="str">
        <x:f>IF(COUNT(E248:I248)&lt;5,"Needs component scores",IF(ISNUMBER(J248),"Calculated",J248))</x:f>
        <x:v>Needs component scores</x:v>
      </x:c>
      <x:c r="M248" s="69" t="n">
        <x:f>IF(C248="","",MATCH(C248,'Position_Rubric'!$A$6:$A$14,0))</x:f>
        <x:v>8</x:v>
      </x:c>
      <x:c r="N248" s="69" t="str"/>
    </x:row>
    <x:row r="249" ht="25" customHeight="1">
      <x:c r="A249" s="69" t="str">
        <x:v>summer-S26-0469</x:v>
      </x:c>
      <x:c r="B249" s="69" t="str">
        <x:v>Lassine Sinayoko</x:v>
      </x:c>
      <x:c r="C249" s="69" t="str">
        <x:v>ST</x:v>
      </x:c>
      <x:c r="D249" s="82" t="str">
        <x:f>IF(ISNUMBER('Transfer_Ratings'!K249),'Transfer_Ratings'!K249,"")</x:f>
      </x:c>
      <x:c r="E249" s="86"/>
      <x:c r="F249" s="86"/>
      <x:c r="G249" s="86"/>
      <x:c r="H249" s="86"/>
      <x:c r="I249" s="86"/>
      <x:c r="J249" s="82" t="str">
        <x:f>IF(C249="","Choose position",IF(COUNT(E249:I249)&lt;5,"",IF(OR(MIN(E249:I249)&lt;0.1,MAX(E249:I249)&gt;10),"Invalid score",IF(INDEX('Position_Rubric'!$H$6:$H$14,M249)&lt;&gt;1,"Check weights",ROUND(E249*INDEX('Position_Rubric'!$C$6:$C$14,M249)+F249*INDEX('Position_Rubric'!$D$6:$D$14,M249)+G249*INDEX('Position_Rubric'!$E$6:$E$14,M249)+H249*INDEX('Position_Rubric'!$F$6:$F$14,M249)+I249*INDEX('Position_Rubric'!$G$6:$G$14,M249),1)))))</x:f>
      </x:c>
      <x:c r="K249" s="82" t="str">
        <x:f>IF(AND(ISNUMBER(J249),ISNUMBER(D249)),J249-D249,"")</x:f>
      </x:c>
      <x:c r="L249" s="69" t="str">
        <x:f>IF(COUNT(E249:I249)&lt;5,"Needs component scores",IF(ISNUMBER(J249),"Calculated",J249))</x:f>
        <x:v>Needs component scores</x:v>
      </x:c>
      <x:c r="M249" s="69" t="n">
        <x:f>IF(C249="","",MATCH(C249,'Position_Rubric'!$A$6:$A$14,0))</x:f>
        <x:v>8</x:v>
      </x:c>
      <x:c r="N249" s="69" t="str"/>
    </x:row>
    <x:row r="250" ht="25" customHeight="1">
      <x:c r="A250" s="69" t="str">
        <x:v>summer-S26-0470</x:v>
      </x:c>
      <x:c r="B250" s="69" t="str">
        <x:v>Alejo Sarco</x:v>
      </x:c>
      <x:c r="C250" s="69" t="str">
        <x:v>ST</x:v>
      </x:c>
      <x:c r="D250" s="82" t="str">
        <x:f>IF(ISNUMBER('Transfer_Ratings'!K250),'Transfer_Ratings'!K250,"")</x:f>
      </x:c>
      <x:c r="E250" s="86"/>
      <x:c r="F250" s="86"/>
      <x:c r="G250" s="86"/>
      <x:c r="H250" s="86"/>
      <x:c r="I250" s="86"/>
      <x:c r="J250" s="82" t="str">
        <x:f>IF(C250="","Choose position",IF(COUNT(E250:I250)&lt;5,"",IF(OR(MIN(E250:I250)&lt;0.1,MAX(E250:I250)&gt;10),"Invalid score",IF(INDEX('Position_Rubric'!$H$6:$H$14,M250)&lt;&gt;1,"Check weights",ROUND(E250*INDEX('Position_Rubric'!$C$6:$C$14,M250)+F250*INDEX('Position_Rubric'!$D$6:$D$14,M250)+G250*INDEX('Position_Rubric'!$E$6:$E$14,M250)+H250*INDEX('Position_Rubric'!$F$6:$F$14,M250)+I250*INDEX('Position_Rubric'!$G$6:$G$14,M250),1)))))</x:f>
      </x:c>
      <x:c r="K250" s="82" t="str">
        <x:f>IF(AND(ISNUMBER(J250),ISNUMBER(D250)),J250-D250,"")</x:f>
      </x:c>
      <x:c r="L250" s="69" t="str">
        <x:f>IF(COUNT(E250:I250)&lt;5,"Needs component scores",IF(ISNUMBER(J250),"Calculated",J250))</x:f>
        <x:v>Needs component scores</x:v>
      </x:c>
      <x:c r="M250" s="69" t="n">
        <x:f>IF(C250="","",MATCH(C250,'Position_Rubric'!$A$6:$A$14,0))</x:f>
        <x:v>8</x:v>
      </x:c>
      <x:c r="N250" s="69" t="str"/>
    </x:row>
    <x:row r="251" ht="25" customHeight="1">
      <x:c r="A251" s="69" t="str">
        <x:v>summer-S26-0471</x:v>
      </x:c>
      <x:c r="B251" s="69" t="str">
        <x:v>Yannick Eduardo</x:v>
      </x:c>
      <x:c r="C251" s="69" t="str">
        <x:v>ST</x:v>
      </x:c>
      <x:c r="D251" s="82" t="str">
        <x:f>IF(ISNUMBER('Transfer_Ratings'!K251),'Transfer_Ratings'!K251,"")</x:f>
      </x:c>
      <x:c r="E251" s="86"/>
      <x:c r="F251" s="86"/>
      <x:c r="G251" s="86"/>
      <x:c r="H251" s="86"/>
      <x:c r="I251" s="86"/>
      <x:c r="J251" s="82" t="str">
        <x:f>IF(C251="","Choose position",IF(COUNT(E251:I251)&lt;5,"",IF(OR(MIN(E251:I251)&lt;0.1,MAX(E251:I251)&gt;10),"Invalid score",IF(INDEX('Position_Rubric'!$H$6:$H$14,M251)&lt;&gt;1,"Check weights",ROUND(E251*INDEX('Position_Rubric'!$C$6:$C$14,M251)+F251*INDEX('Position_Rubric'!$D$6:$D$14,M251)+G251*INDEX('Position_Rubric'!$E$6:$E$14,M251)+H251*INDEX('Position_Rubric'!$F$6:$F$14,M251)+I251*INDEX('Position_Rubric'!$G$6:$G$14,M251),1)))))</x:f>
      </x:c>
      <x:c r="K251" s="82" t="str">
        <x:f>IF(AND(ISNUMBER(J251),ISNUMBER(D251)),J251-D251,"")</x:f>
      </x:c>
      <x:c r="L251" s="69" t="str">
        <x:f>IF(COUNT(E251:I251)&lt;5,"Needs component scores",IF(ISNUMBER(J251),"Calculated",J251))</x:f>
        <x:v>Needs component scores</x:v>
      </x:c>
      <x:c r="M251" s="69" t="n">
        <x:f>IF(C251="","",MATCH(C251,'Position_Rubric'!$A$6:$A$14,0))</x:f>
        <x:v>8</x:v>
      </x:c>
      <x:c r="N251" s="69" t="str"/>
    </x:row>
    <x:row r="252" ht="25" customHeight="1">
      <x:c r="A252" s="69" t="str">
        <x:v>summer-S26-0474</x:v>
      </x:c>
      <x:c r="B252" s="69" t="str">
        <x:v>Amine El Ouazzani</x:v>
      </x:c>
      <x:c r="C252" s="69" t="str">
        <x:v>ST</x:v>
      </x:c>
      <x:c r="D252" s="82" t="str">
        <x:f>IF(ISNUMBER('Transfer_Ratings'!K252),'Transfer_Ratings'!K252,"")</x:f>
      </x:c>
      <x:c r="E252" s="86"/>
      <x:c r="F252" s="86"/>
      <x:c r="G252" s="86"/>
      <x:c r="H252" s="86"/>
      <x:c r="I252" s="86"/>
      <x:c r="J252" s="82" t="str">
        <x:f>IF(C252="","Choose position",IF(COUNT(E252:I252)&lt;5,"",IF(OR(MIN(E252:I252)&lt;0.1,MAX(E252:I252)&gt;10),"Invalid score",IF(INDEX('Position_Rubric'!$H$6:$H$14,M252)&lt;&gt;1,"Check weights",ROUND(E252*INDEX('Position_Rubric'!$C$6:$C$14,M252)+F252*INDEX('Position_Rubric'!$D$6:$D$14,M252)+G252*INDEX('Position_Rubric'!$E$6:$E$14,M252)+H252*INDEX('Position_Rubric'!$F$6:$F$14,M252)+I252*INDEX('Position_Rubric'!$G$6:$G$14,M252),1)))))</x:f>
      </x:c>
      <x:c r="K252" s="82" t="str">
        <x:f>IF(AND(ISNUMBER(J252),ISNUMBER(D252)),J252-D252,"")</x:f>
      </x:c>
      <x:c r="L252" s="69" t="str">
        <x:f>IF(COUNT(E252:I252)&lt;5,"Needs component scores",IF(ISNUMBER(J252),"Calculated",J252))</x:f>
        <x:v>Needs component scores</x:v>
      </x:c>
      <x:c r="M252" s="69" t="n">
        <x:f>IF(C252="","",MATCH(C252,'Position_Rubric'!$A$6:$A$14,0))</x:f>
        <x:v>8</x:v>
      </x:c>
      <x:c r="N252" s="69" t="str"/>
    </x:row>
    <x:row r="253" ht="25" customHeight="1">
      <x:c r="A253" s="69" t="str">
        <x:v>summer-S26-0488</x:v>
      </x:c>
      <x:c r="B253" s="69" t="str">
        <x:v>Daniel Fila</x:v>
      </x:c>
      <x:c r="C253" s="69" t="str">
        <x:v>ST</x:v>
      </x:c>
      <x:c r="D253" s="82" t="str">
        <x:f>IF(ISNUMBER('Transfer_Ratings'!K253),'Transfer_Ratings'!K253,"")</x:f>
      </x:c>
      <x:c r="E253" s="86"/>
      <x:c r="F253" s="86"/>
      <x:c r="G253" s="86"/>
      <x:c r="H253" s="86"/>
      <x:c r="I253" s="86"/>
      <x:c r="J253" s="82" t="str">
        <x:f>IF(C253="","Choose position",IF(COUNT(E253:I253)&lt;5,"",IF(OR(MIN(E253:I253)&lt;0.1,MAX(E253:I253)&gt;10),"Invalid score",IF(INDEX('Position_Rubric'!$H$6:$H$14,M253)&lt;&gt;1,"Check weights",ROUND(E253*INDEX('Position_Rubric'!$C$6:$C$14,M253)+F253*INDEX('Position_Rubric'!$D$6:$D$14,M253)+G253*INDEX('Position_Rubric'!$E$6:$E$14,M253)+H253*INDEX('Position_Rubric'!$F$6:$F$14,M253)+I253*INDEX('Position_Rubric'!$G$6:$G$14,M253),1)))))</x:f>
      </x:c>
      <x:c r="K253" s="82" t="str">
        <x:f>IF(AND(ISNUMBER(J253),ISNUMBER(D253)),J253-D253,"")</x:f>
      </x:c>
      <x:c r="L253" s="69" t="str">
        <x:f>IF(COUNT(E253:I253)&lt;5,"Needs component scores",IF(ISNUMBER(J253),"Calculated",J253))</x:f>
        <x:v>Needs component scores</x:v>
      </x:c>
      <x:c r="M253" s="69" t="n">
        <x:f>IF(C253="","",MATCH(C253,'Position_Rubric'!$A$6:$A$14,0))</x:f>
        <x:v>8</x:v>
      </x:c>
      <x:c r="N253" s="69" t="str"/>
    </x:row>
    <x:row r="254" ht="25" customHeight="1">
      <x:c r="A254" s="69" t="str">
        <x:v>summer-S26-0489</x:v>
      </x:c>
      <x:c r="B254" s="69" t="str">
        <x:v>Filippo Distefano</x:v>
      </x:c>
      <x:c r="C254" s="69" t="str">
        <x:v>ST</x:v>
      </x:c>
      <x:c r="D254" s="82" t="str">
        <x:f>IF(ISNUMBER('Transfer_Ratings'!K254),'Transfer_Ratings'!K254,"")</x:f>
      </x:c>
      <x:c r="E254" s="86"/>
      <x:c r="F254" s="86"/>
      <x:c r="G254" s="86"/>
      <x:c r="H254" s="86"/>
      <x:c r="I254" s="86"/>
      <x:c r="J254" s="82" t="str">
        <x:f>IF(C254="","Choose position",IF(COUNT(E254:I254)&lt;5,"",IF(OR(MIN(E254:I254)&lt;0.1,MAX(E254:I254)&gt;10),"Invalid score",IF(INDEX('Position_Rubric'!$H$6:$H$14,M254)&lt;&gt;1,"Check weights",ROUND(E254*INDEX('Position_Rubric'!$C$6:$C$14,M254)+F254*INDEX('Position_Rubric'!$D$6:$D$14,M254)+G254*INDEX('Position_Rubric'!$E$6:$E$14,M254)+H254*INDEX('Position_Rubric'!$F$6:$F$14,M254)+I254*INDEX('Position_Rubric'!$G$6:$G$14,M254),1)))))</x:f>
      </x:c>
      <x:c r="K254" s="82" t="str">
        <x:f>IF(AND(ISNUMBER(J254),ISNUMBER(D254)),J254-D254,"")</x:f>
      </x:c>
      <x:c r="L254" s="69" t="str">
        <x:f>IF(COUNT(E254:I254)&lt;5,"Needs component scores",IF(ISNUMBER(J254),"Calculated",J254))</x:f>
        <x:v>Needs component scores</x:v>
      </x:c>
      <x:c r="M254" s="69" t="n">
        <x:f>IF(C254="","",MATCH(C254,'Position_Rubric'!$A$6:$A$14,0))</x:f>
        <x:v>8</x:v>
      </x:c>
      <x:c r="N254" s="69" t="str"/>
    </x:row>
    <x:row r="255" ht="25" customHeight="1">
      <x:c r="A255" s="69" t="str">
        <x:v>summer-S26-0494</x:v>
      </x:c>
      <x:c r="B255" s="69" t="str">
        <x:v>Patson Daka</x:v>
      </x:c>
      <x:c r="C255" s="69" t="str">
        <x:v>ST</x:v>
      </x:c>
      <x:c r="D255" s="82" t="str">
        <x:f>IF(ISNUMBER('Transfer_Ratings'!K255),'Transfer_Ratings'!K255,"")</x:f>
      </x:c>
      <x:c r="E255" s="86"/>
      <x:c r="F255" s="86"/>
      <x:c r="G255" s="86"/>
      <x:c r="H255" s="86"/>
      <x:c r="I255" s="86"/>
      <x:c r="J255" s="82" t="str">
        <x:f>IF(C255="","Choose position",IF(COUNT(E255:I255)&lt;5,"",IF(OR(MIN(E255:I255)&lt;0.1,MAX(E255:I255)&gt;10),"Invalid score",IF(INDEX('Position_Rubric'!$H$6:$H$14,M255)&lt;&gt;1,"Check weights",ROUND(E255*INDEX('Position_Rubric'!$C$6:$C$14,M255)+F255*INDEX('Position_Rubric'!$D$6:$D$14,M255)+G255*INDEX('Position_Rubric'!$E$6:$E$14,M255)+H255*INDEX('Position_Rubric'!$F$6:$F$14,M255)+I255*INDEX('Position_Rubric'!$G$6:$G$14,M255),1)))))</x:f>
      </x:c>
      <x:c r="K255" s="82" t="str">
        <x:f>IF(AND(ISNUMBER(J255),ISNUMBER(D255)),J255-D255,"")</x:f>
      </x:c>
      <x:c r="L255" s="69" t="str">
        <x:f>IF(COUNT(E255:I255)&lt;5,"Needs component scores",IF(ISNUMBER(J255),"Calculated",J255))</x:f>
        <x:v>Needs component scores</x:v>
      </x:c>
      <x:c r="M255" s="69" t="n">
        <x:f>IF(C255="","",MATCH(C255,'Position_Rubric'!$A$6:$A$14,0))</x:f>
        <x:v>8</x:v>
      </x:c>
      <x:c r="N255" s="69" t="str"/>
    </x:row>
    <x:row r="256" ht="25" customHeight="1">
      <x:c r="A256" s="69" t="str">
        <x:v>summer-S26-0499</x:v>
      </x:c>
      <x:c r="B256" s="69" t="str">
        <x:v>Will Lankshear</x:v>
      </x:c>
      <x:c r="C256" s="69" t="str">
        <x:v>ST</x:v>
      </x:c>
      <x:c r="D256" s="82" t="str">
        <x:f>IF(ISNUMBER('Transfer_Ratings'!K256),'Transfer_Ratings'!K256,"")</x:f>
      </x:c>
      <x:c r="E256" s="86"/>
      <x:c r="F256" s="86"/>
      <x:c r="G256" s="86"/>
      <x:c r="H256" s="86"/>
      <x:c r="I256" s="86"/>
      <x:c r="J256" s="82" t="str">
        <x:f>IF(C256="","Choose position",IF(COUNT(E256:I256)&lt;5,"",IF(OR(MIN(E256:I256)&lt;0.1,MAX(E256:I256)&gt;10),"Invalid score",IF(INDEX('Position_Rubric'!$H$6:$H$14,M256)&lt;&gt;1,"Check weights",ROUND(E256*INDEX('Position_Rubric'!$C$6:$C$14,M256)+F256*INDEX('Position_Rubric'!$D$6:$D$14,M256)+G256*INDEX('Position_Rubric'!$E$6:$E$14,M256)+H256*INDEX('Position_Rubric'!$F$6:$F$14,M256)+I256*INDEX('Position_Rubric'!$G$6:$G$14,M256),1)))))</x:f>
      </x:c>
      <x:c r="K256" s="82" t="str">
        <x:f>IF(AND(ISNUMBER(J256),ISNUMBER(D256)),J256-D256,"")</x:f>
      </x:c>
      <x:c r="L256" s="69" t="str">
        <x:f>IF(COUNT(E256:I256)&lt;5,"Needs component scores",IF(ISNUMBER(J256),"Calculated",J256))</x:f>
        <x:v>Needs component scores</x:v>
      </x:c>
      <x:c r="M256" s="69" t="n">
        <x:f>IF(C256="","",MATCH(C256,'Position_Rubric'!$A$6:$A$14,0))</x:f>
        <x:v>8</x:v>
      </x:c>
      <x:c r="N256" s="69" t="str"/>
    </x:row>
    <x:row r="257" ht="25" customHeight="1">
      <x:c r="A257" s="69" t="str">
        <x:v>summer-S26-0503</x:v>
      </x:c>
      <x:c r="B257" s="69" t="str">
        <x:v>Luigi Caccavo</x:v>
      </x:c>
      <x:c r="C257" s="69" t="str">
        <x:v>ST</x:v>
      </x:c>
      <x:c r="D257" s="82" t="str">
        <x:f>IF(ISNUMBER('Transfer_Ratings'!K257),'Transfer_Ratings'!K257,"")</x:f>
      </x:c>
      <x:c r="E257" s="86"/>
      <x:c r="F257" s="86"/>
      <x:c r="G257" s="86"/>
      <x:c r="H257" s="86"/>
      <x:c r="I257" s="86"/>
      <x:c r="J257" s="82" t="str">
        <x:f>IF(C257="","Choose position",IF(COUNT(E257:I257)&lt;5,"",IF(OR(MIN(E257:I257)&lt;0.1,MAX(E257:I257)&gt;10),"Invalid score",IF(INDEX('Position_Rubric'!$H$6:$H$14,M257)&lt;&gt;1,"Check weights",ROUND(E257*INDEX('Position_Rubric'!$C$6:$C$14,M257)+F257*INDEX('Position_Rubric'!$D$6:$D$14,M257)+G257*INDEX('Position_Rubric'!$E$6:$E$14,M257)+H257*INDEX('Position_Rubric'!$F$6:$F$14,M257)+I257*INDEX('Position_Rubric'!$G$6:$G$14,M257),1)))))</x:f>
      </x:c>
      <x:c r="K257" s="82" t="str">
        <x:f>IF(AND(ISNUMBER(J257),ISNUMBER(D257)),J257-D257,"")</x:f>
      </x:c>
      <x:c r="L257" s="69" t="str">
        <x:f>IF(COUNT(E257:I257)&lt;5,"Needs component scores",IF(ISNUMBER(J257),"Calculated",J257))</x:f>
        <x:v>Needs component scores</x:v>
      </x:c>
      <x:c r="M257" s="69" t="n">
        <x:f>IF(C257="","",MATCH(C257,'Position_Rubric'!$A$6:$A$14,0))</x:f>
        <x:v>8</x:v>
      </x:c>
      <x:c r="N257" s="69" t="str"/>
    </x:row>
    <x:row r="258" ht="25" customHeight="1">
      <x:c r="A258" s="69" t="str">
        <x:v>summer-S26-0504</x:v>
      </x:c>
      <x:c r="B258" s="69" t="str">
        <x:v>Luigi Caccavo</x:v>
      </x:c>
      <x:c r="C258" s="69" t="str">
        <x:v>ST</x:v>
      </x:c>
      <x:c r="D258" s="82" t="str">
        <x:f>IF(ISNUMBER('Transfer_Ratings'!K258),'Transfer_Ratings'!K258,"")</x:f>
      </x:c>
      <x:c r="E258" s="86"/>
      <x:c r="F258" s="86"/>
      <x:c r="G258" s="86"/>
      <x:c r="H258" s="86"/>
      <x:c r="I258" s="86"/>
      <x:c r="J258" s="82" t="str">
        <x:f>IF(C258="","Choose position",IF(COUNT(E258:I258)&lt;5,"",IF(OR(MIN(E258:I258)&lt;0.1,MAX(E258:I258)&gt;10),"Invalid score",IF(INDEX('Position_Rubric'!$H$6:$H$14,M258)&lt;&gt;1,"Check weights",ROUND(E258*INDEX('Position_Rubric'!$C$6:$C$14,M258)+F258*INDEX('Position_Rubric'!$D$6:$D$14,M258)+G258*INDEX('Position_Rubric'!$E$6:$E$14,M258)+H258*INDEX('Position_Rubric'!$F$6:$F$14,M258)+I258*INDEX('Position_Rubric'!$G$6:$G$14,M258),1)))))</x:f>
      </x:c>
      <x:c r="K258" s="82" t="str">
        <x:f>IF(AND(ISNUMBER(J258),ISNUMBER(D258)),J258-D258,"")</x:f>
      </x:c>
      <x:c r="L258" s="69" t="str">
        <x:f>IF(COUNT(E258:I258)&lt;5,"Needs component scores",IF(ISNUMBER(J258),"Calculated",J258))</x:f>
        <x:v>Needs component scores</x:v>
      </x:c>
      <x:c r="M258" s="69" t="n">
        <x:f>IF(C258="","",MATCH(C258,'Position_Rubric'!$A$6:$A$14,0))</x:f>
        <x:v>8</x:v>
      </x:c>
      <x:c r="N258" s="69" t="str"/>
    </x:row>
    <x:row r="259" ht="25" customHeight="1">
      <x:c r="A259" s="69" t="str">
        <x:v>summer-S26-0512</x:v>
      </x:c>
      <x:c r="B259" s="69" t="str">
        <x:v>Kevin Cannavò</x:v>
      </x:c>
      <x:c r="C259" s="69" t="str">
        <x:v>ST</x:v>
      </x:c>
      <x:c r="D259" s="82" t="str">
        <x:f>IF(ISNUMBER('Transfer_Ratings'!K259),'Transfer_Ratings'!K259,"")</x:f>
      </x:c>
      <x:c r="E259" s="86"/>
      <x:c r="F259" s="86"/>
      <x:c r="G259" s="86"/>
      <x:c r="H259" s="86"/>
      <x:c r="I259" s="86"/>
      <x:c r="J259" s="82" t="str">
        <x:f>IF(C259="","Choose position",IF(COUNT(E259:I259)&lt;5,"",IF(OR(MIN(E259:I259)&lt;0.1,MAX(E259:I259)&gt;10),"Invalid score",IF(INDEX('Position_Rubric'!$H$6:$H$14,M259)&lt;&gt;1,"Check weights",ROUND(E259*INDEX('Position_Rubric'!$C$6:$C$14,M259)+F259*INDEX('Position_Rubric'!$D$6:$D$14,M259)+G259*INDEX('Position_Rubric'!$E$6:$E$14,M259)+H259*INDEX('Position_Rubric'!$F$6:$F$14,M259)+I259*INDEX('Position_Rubric'!$G$6:$G$14,M259),1)))))</x:f>
      </x:c>
      <x:c r="K259" s="82" t="str">
        <x:f>IF(AND(ISNUMBER(J259),ISNUMBER(D259)),J259-D259,"")</x:f>
      </x:c>
      <x:c r="L259" s="69" t="str">
        <x:f>IF(COUNT(E259:I259)&lt;5,"Needs component scores",IF(ISNUMBER(J259),"Calculated",J259))</x:f>
        <x:v>Needs component scores</x:v>
      </x:c>
      <x:c r="M259" s="69" t="n">
        <x:f>IF(C259="","",MATCH(C259,'Position_Rubric'!$A$6:$A$14,0))</x:f>
        <x:v>8</x:v>
      </x:c>
      <x:c r="N259" s="69" t="str"/>
    </x:row>
    <x:row r="260" ht="25" customHeight="1">
      <x:c r="A260" s="69" t="str">
        <x:v>summer-S26-0516</x:v>
      </x:c>
      <x:c r="B260" s="69" t="str">
        <x:v>Alessandro Selvini</x:v>
      </x:c>
      <x:c r="C260" s="69" t="str">
        <x:v>ST</x:v>
      </x:c>
      <x:c r="D260" s="82" t="str">
        <x:f>IF(ISNUMBER('Transfer_Ratings'!K260),'Transfer_Ratings'!K260,"")</x:f>
      </x:c>
      <x:c r="E260" s="86"/>
      <x:c r="F260" s="86"/>
      <x:c r="G260" s="86"/>
      <x:c r="H260" s="86"/>
      <x:c r="I260" s="86"/>
      <x:c r="J260" s="82" t="str">
        <x:f>IF(C260="","Choose position",IF(COUNT(E260:I260)&lt;5,"",IF(OR(MIN(E260:I260)&lt;0.1,MAX(E260:I260)&gt;10),"Invalid score",IF(INDEX('Position_Rubric'!$H$6:$H$14,M260)&lt;&gt;1,"Check weights",ROUND(E260*INDEX('Position_Rubric'!$C$6:$C$14,M260)+F260*INDEX('Position_Rubric'!$D$6:$D$14,M260)+G260*INDEX('Position_Rubric'!$E$6:$E$14,M260)+H260*INDEX('Position_Rubric'!$F$6:$F$14,M260)+I260*INDEX('Position_Rubric'!$G$6:$G$14,M260),1)))))</x:f>
      </x:c>
      <x:c r="K260" s="82" t="str">
        <x:f>IF(AND(ISNUMBER(J260),ISNUMBER(D260)),J260-D260,"")</x:f>
      </x:c>
      <x:c r="L260" s="69" t="str">
        <x:f>IF(COUNT(E260:I260)&lt;5,"Needs component scores",IF(ISNUMBER(J260),"Calculated",J260))</x:f>
        <x:v>Needs component scores</x:v>
      </x:c>
      <x:c r="M260" s="69" t="n">
        <x:f>IF(C260="","",MATCH(C260,'Position_Rubric'!$A$6:$A$14,0))</x:f>
        <x:v>8</x:v>
      </x:c>
      <x:c r="N260" s="69" t="str"/>
    </x:row>
    <x:row r="261" ht="25" customHeight="1">
      <x:c r="A261" s="69" t="str">
        <x:v>summer-S26-0517</x:v>
      </x:c>
      <x:c r="B261" s="69" t="str">
        <x:v>Lorenzo Gori</x:v>
      </x:c>
      <x:c r="C261" s="69" t="str">
        <x:v>ST</x:v>
      </x:c>
      <x:c r="D261" s="82" t="str">
        <x:f>IF(ISNUMBER('Transfer_Ratings'!K261),'Transfer_Ratings'!K261,"")</x:f>
      </x:c>
      <x:c r="E261" s="86"/>
      <x:c r="F261" s="86"/>
      <x:c r="G261" s="86"/>
      <x:c r="H261" s="86"/>
      <x:c r="I261" s="86"/>
      <x:c r="J261" s="82" t="str">
        <x:f>IF(C261="","Choose position",IF(COUNT(E261:I261)&lt;5,"",IF(OR(MIN(E261:I261)&lt;0.1,MAX(E261:I261)&gt;10),"Invalid score",IF(INDEX('Position_Rubric'!$H$6:$H$14,M261)&lt;&gt;1,"Check weights",ROUND(E261*INDEX('Position_Rubric'!$C$6:$C$14,M261)+F261*INDEX('Position_Rubric'!$D$6:$D$14,M261)+G261*INDEX('Position_Rubric'!$E$6:$E$14,M261)+H261*INDEX('Position_Rubric'!$F$6:$F$14,M261)+I261*INDEX('Position_Rubric'!$G$6:$G$14,M261),1)))))</x:f>
      </x:c>
      <x:c r="K261" s="82" t="str">
        <x:f>IF(AND(ISNUMBER(J261),ISNUMBER(D261)),J261-D261,"")</x:f>
      </x:c>
      <x:c r="L261" s="69" t="str">
        <x:f>IF(COUNT(E261:I261)&lt;5,"Needs component scores",IF(ISNUMBER(J261),"Calculated",J261))</x:f>
        <x:v>Needs component scores</x:v>
      </x:c>
      <x:c r="M261" s="69" t="n">
        <x:f>IF(C261="","",MATCH(C261,'Position_Rubric'!$A$6:$A$14,0))</x:f>
        <x:v>8</x:v>
      </x:c>
      <x:c r="N261" s="69" t="str"/>
    </x:row>
    <x:row r="262" ht="25" customHeight="1">
      <x:c r="A262" s="69" t="str">
        <x:v>summer-S26-0520</x:v>
      </x:c>
      <x:c r="B262" s="69" t="str">
        <x:v>Ibrahim Cissoko</x:v>
      </x:c>
      <x:c r="C262" s="69" t="str">
        <x:v>ST</x:v>
      </x:c>
      <x:c r="D262" s="82" t="str">
        <x:f>IF(ISNUMBER('Transfer_Ratings'!K262),'Transfer_Ratings'!K262,"")</x:f>
      </x:c>
      <x:c r="E262" s="86"/>
      <x:c r="F262" s="86"/>
      <x:c r="G262" s="86"/>
      <x:c r="H262" s="86"/>
      <x:c r="I262" s="86"/>
      <x:c r="J262" s="82" t="str">
        <x:f>IF(C262="","Choose position",IF(COUNT(E262:I262)&lt;5,"",IF(OR(MIN(E262:I262)&lt;0.1,MAX(E262:I262)&gt;10),"Invalid score",IF(INDEX('Position_Rubric'!$H$6:$H$14,M262)&lt;&gt;1,"Check weights",ROUND(E262*INDEX('Position_Rubric'!$C$6:$C$14,M262)+F262*INDEX('Position_Rubric'!$D$6:$D$14,M262)+G262*INDEX('Position_Rubric'!$E$6:$E$14,M262)+H262*INDEX('Position_Rubric'!$F$6:$F$14,M262)+I262*INDEX('Position_Rubric'!$G$6:$G$14,M262),1)))))</x:f>
      </x:c>
      <x:c r="K262" s="82" t="str">
        <x:f>IF(AND(ISNUMBER(J262),ISNUMBER(D262)),J262-D262,"")</x:f>
      </x:c>
      <x:c r="L262" s="69" t="str">
        <x:f>IF(COUNT(E262:I262)&lt;5,"Needs component scores",IF(ISNUMBER(J262),"Calculated",J262))</x:f>
        <x:v>Needs component scores</x:v>
      </x:c>
      <x:c r="M262" s="69" t="n">
        <x:f>IF(C262="","",MATCH(C262,'Position_Rubric'!$A$6:$A$14,0))</x:f>
        <x:v>8</x:v>
      </x:c>
      <x:c r="N262" s="69" t="str"/>
    </x:row>
    <x:row r="263" ht="25" customHeight="1">
      <x:c r="A263" s="69" t="str">
        <x:v>summer-S26-0523</x:v>
      </x:c>
      <x:c r="B263" s="69" t="str">
        <x:v>Akor Adams</x:v>
      </x:c>
      <x:c r="C263" s="69" t="str">
        <x:v>ST</x:v>
      </x:c>
      <x:c r="D263" s="82" t="str">
        <x:f>IF(ISNUMBER('Transfer_Ratings'!K263),'Transfer_Ratings'!K263,"")</x:f>
      </x:c>
      <x:c r="E263" s="86"/>
      <x:c r="F263" s="86"/>
      <x:c r="G263" s="86"/>
      <x:c r="H263" s="86"/>
      <x:c r="I263" s="86"/>
      <x:c r="J263" s="82" t="str">
        <x:f>IF(C263="","Choose position",IF(COUNT(E263:I263)&lt;5,"",IF(OR(MIN(E263:I263)&lt;0.1,MAX(E263:I263)&gt;10),"Invalid score",IF(INDEX('Position_Rubric'!$H$6:$H$14,M263)&lt;&gt;1,"Check weights",ROUND(E263*INDEX('Position_Rubric'!$C$6:$C$14,M263)+F263*INDEX('Position_Rubric'!$D$6:$D$14,M263)+G263*INDEX('Position_Rubric'!$E$6:$E$14,M263)+H263*INDEX('Position_Rubric'!$F$6:$F$14,M263)+I263*INDEX('Position_Rubric'!$G$6:$G$14,M263),1)))))</x:f>
      </x:c>
      <x:c r="K263" s="82" t="str">
        <x:f>IF(AND(ISNUMBER(J263),ISNUMBER(D263)),J263-D263,"")</x:f>
      </x:c>
      <x:c r="L263" s="69" t="str">
        <x:f>IF(COUNT(E263:I263)&lt;5,"Needs component scores",IF(ISNUMBER(J263),"Calculated",J263))</x:f>
        <x:v>Needs component scores</x:v>
      </x:c>
      <x:c r="M263" s="69" t="n">
        <x:f>IF(C263="","",MATCH(C263,'Position_Rubric'!$A$6:$A$14,0))</x:f>
        <x:v>8</x:v>
      </x:c>
      <x:c r="N263" s="69" t="str"/>
    </x:row>
    <x:row r="264" ht="25" customHeight="1">
      <x:c r="A264" s="69" t="str">
        <x:v>summer-S26-0528</x:v>
      </x:c>
      <x:c r="B264" s="69" t="str">
        <x:v>Norman Bassette</x:v>
      </x:c>
      <x:c r="C264" s="69" t="str">
        <x:v>ST</x:v>
      </x:c>
      <x:c r="D264" s="82" t="str">
        <x:f>IF(ISNUMBER('Transfer_Ratings'!K264),'Transfer_Ratings'!K264,"")</x:f>
      </x:c>
      <x:c r="E264" s="86"/>
      <x:c r="F264" s="86"/>
      <x:c r="G264" s="86"/>
      <x:c r="H264" s="86"/>
      <x:c r="I264" s="86"/>
      <x:c r="J264" s="82" t="str">
        <x:f>IF(C264="","Choose position",IF(COUNT(E264:I264)&lt;5,"",IF(OR(MIN(E264:I264)&lt;0.1,MAX(E264:I264)&gt;10),"Invalid score",IF(INDEX('Position_Rubric'!$H$6:$H$14,M264)&lt;&gt;1,"Check weights",ROUND(E264*INDEX('Position_Rubric'!$C$6:$C$14,M264)+F264*INDEX('Position_Rubric'!$D$6:$D$14,M264)+G264*INDEX('Position_Rubric'!$E$6:$E$14,M264)+H264*INDEX('Position_Rubric'!$F$6:$F$14,M264)+I264*INDEX('Position_Rubric'!$G$6:$G$14,M264),1)))))</x:f>
      </x:c>
      <x:c r="K264" s="82" t="str">
        <x:f>IF(AND(ISNUMBER(J264),ISNUMBER(D264)),J264-D264,"")</x:f>
      </x:c>
      <x:c r="L264" s="69" t="str">
        <x:f>IF(COUNT(E264:I264)&lt;5,"Needs component scores",IF(ISNUMBER(J264),"Calculated",J264))</x:f>
        <x:v>Needs component scores</x:v>
      </x:c>
      <x:c r="M264" s="69" t="n">
        <x:f>IF(C264="","",MATCH(C264,'Position_Rubric'!$A$6:$A$14,0))</x:f>
        <x:v>8</x:v>
      </x:c>
      <x:c r="N264" s="69" t="str"/>
    </x:row>
    <x:row r="265" ht="25" customHeight="1">
      <x:c r="A265" s="69" t="str">
        <x:v>summer-S26-0542</x:v>
      </x:c>
      <x:c r="B265" s="69" t="str">
        <x:v>Zépiqueno Redmond</x:v>
      </x:c>
      <x:c r="C265" s="69" t="str">
        <x:v>ST</x:v>
      </x:c>
      <x:c r="D265" s="82" t="str">
        <x:f>IF(ISNUMBER('Transfer_Ratings'!K265),'Transfer_Ratings'!K265,"")</x:f>
      </x:c>
      <x:c r="E265" s="86"/>
      <x:c r="F265" s="86"/>
      <x:c r="G265" s="86"/>
      <x:c r="H265" s="86"/>
      <x:c r="I265" s="86"/>
      <x:c r="J265" s="82" t="str">
        <x:f>IF(C265="","Choose position",IF(COUNT(E265:I265)&lt;5,"",IF(OR(MIN(E265:I265)&lt;0.1,MAX(E265:I265)&gt;10),"Invalid score",IF(INDEX('Position_Rubric'!$H$6:$H$14,M265)&lt;&gt;1,"Check weights",ROUND(E265*INDEX('Position_Rubric'!$C$6:$C$14,M265)+F265*INDEX('Position_Rubric'!$D$6:$D$14,M265)+G265*INDEX('Position_Rubric'!$E$6:$E$14,M265)+H265*INDEX('Position_Rubric'!$F$6:$F$14,M265)+I265*INDEX('Position_Rubric'!$G$6:$G$14,M265),1)))))</x:f>
      </x:c>
      <x:c r="K265" s="82" t="str">
        <x:f>IF(AND(ISNUMBER(J265),ISNUMBER(D265)),J265-D265,"")</x:f>
      </x:c>
      <x:c r="L265" s="69" t="str">
        <x:f>IF(COUNT(E265:I265)&lt;5,"Needs component scores",IF(ISNUMBER(J265),"Calculated",J265))</x:f>
        <x:v>Needs component scores</x:v>
      </x:c>
      <x:c r="M265" s="69" t="n">
        <x:f>IF(C265="","",MATCH(C265,'Position_Rubric'!$A$6:$A$14,0))</x:f>
        <x:v>8</x:v>
      </x:c>
      <x:c r="N265" s="69" t="str"/>
    </x:row>
    <x:row r="266" ht="25" customHeight="1">
      <x:c r="A266" s="69" t="str">
        <x:v>summer-S26-0555</x:v>
      </x:c>
      <x:c r="B266" s="69" t="str">
        <x:v>Sota Nakamura</x:v>
      </x:c>
      <x:c r="C266" s="69" t="str">
        <x:v>ST</x:v>
      </x:c>
      <x:c r="D266" s="82" t="str">
        <x:f>IF(ISNUMBER('Transfer_Ratings'!K266),'Transfer_Ratings'!K266,"")</x:f>
      </x:c>
      <x:c r="E266" s="86"/>
      <x:c r="F266" s="86"/>
      <x:c r="G266" s="86"/>
      <x:c r="H266" s="86"/>
      <x:c r="I266" s="86"/>
      <x:c r="J266" s="82" t="str">
        <x:f>IF(C266="","Choose position",IF(COUNT(E266:I266)&lt;5,"",IF(OR(MIN(E266:I266)&lt;0.1,MAX(E266:I266)&gt;10),"Invalid score",IF(INDEX('Position_Rubric'!$H$6:$H$14,M266)&lt;&gt;1,"Check weights",ROUND(E266*INDEX('Position_Rubric'!$C$6:$C$14,M266)+F266*INDEX('Position_Rubric'!$D$6:$D$14,M266)+G266*INDEX('Position_Rubric'!$E$6:$E$14,M266)+H266*INDEX('Position_Rubric'!$F$6:$F$14,M266)+I266*INDEX('Position_Rubric'!$G$6:$G$14,M266),1)))))</x:f>
      </x:c>
      <x:c r="K266" s="82" t="str">
        <x:f>IF(AND(ISNUMBER(J266),ISNUMBER(D266)),J266-D266,"")</x:f>
      </x:c>
      <x:c r="L266" s="69" t="str">
        <x:f>IF(COUNT(E266:I266)&lt;5,"Needs component scores",IF(ISNUMBER(J266),"Calculated",J266))</x:f>
        <x:v>Needs component scores</x:v>
      </x:c>
      <x:c r="M266" s="69" t="n">
        <x:f>IF(C266="","",MATCH(C266,'Position_Rubric'!$A$6:$A$14,0))</x:f>
        <x:v>8</x:v>
      </x:c>
      <x:c r="N266" s="69" t="str"/>
    </x:row>
    <x:row r="267" ht="25" customHeight="1">
      <x:c r="A267" s="69" t="str">
        <x:v>summer-S26-0559</x:v>
      </x:c>
      <x:c r="B267" s="69" t="str">
        <x:v>Iker Bravo</x:v>
      </x:c>
      <x:c r="C267" s="69" t="str">
        <x:v>ST</x:v>
      </x:c>
      <x:c r="D267" s="82" t="str">
        <x:f>IF(ISNUMBER('Transfer_Ratings'!K267),'Transfer_Ratings'!K267,"")</x:f>
      </x:c>
      <x:c r="E267" s="86"/>
      <x:c r="F267" s="86"/>
      <x:c r="G267" s="86"/>
      <x:c r="H267" s="86"/>
      <x:c r="I267" s="86"/>
      <x:c r="J267" s="82" t="str">
        <x:f>IF(C267="","Choose position",IF(COUNT(E267:I267)&lt;5,"",IF(OR(MIN(E267:I267)&lt;0.1,MAX(E267:I267)&gt;10),"Invalid score",IF(INDEX('Position_Rubric'!$H$6:$H$14,M267)&lt;&gt;1,"Check weights",ROUND(E267*INDEX('Position_Rubric'!$C$6:$C$14,M267)+F267*INDEX('Position_Rubric'!$D$6:$D$14,M267)+G267*INDEX('Position_Rubric'!$E$6:$E$14,M267)+H267*INDEX('Position_Rubric'!$F$6:$F$14,M267)+I267*INDEX('Position_Rubric'!$G$6:$G$14,M267),1)))))</x:f>
      </x:c>
      <x:c r="K267" s="82" t="str">
        <x:f>IF(AND(ISNUMBER(J267),ISNUMBER(D267)),J267-D267,"")</x:f>
      </x:c>
      <x:c r="L267" s="69" t="str">
        <x:f>IF(COUNT(E267:I267)&lt;5,"Needs component scores",IF(ISNUMBER(J267),"Calculated",J267))</x:f>
        <x:v>Needs component scores</x:v>
      </x:c>
      <x:c r="M267" s="69" t="n">
        <x:f>IF(C267="","",MATCH(C267,'Position_Rubric'!$A$6:$A$14,0))</x:f>
        <x:v>8</x:v>
      </x:c>
      <x:c r="N267" s="69" t="str"/>
    </x:row>
    <x:row r="268" ht="25" customHeight="1">
      <x:c r="A268" s="69" t="str">
        <x:v>summer-S26-0561</x:v>
      </x:c>
      <x:c r="B268" s="69" t="str">
        <x:v>Francesco Camarda</x:v>
      </x:c>
      <x:c r="C268" s="69" t="str">
        <x:v>ST</x:v>
      </x:c>
      <x:c r="D268" s="82" t="str">
        <x:f>IF(ISNUMBER('Transfer_Ratings'!K268),'Transfer_Ratings'!K268,"")</x:f>
      </x:c>
      <x:c r="E268" s="86"/>
      <x:c r="F268" s="86"/>
      <x:c r="G268" s="86"/>
      <x:c r="H268" s="86"/>
      <x:c r="I268" s="86"/>
      <x:c r="J268" s="82" t="str">
        <x:f>IF(C268="","Choose position",IF(COUNT(E268:I268)&lt;5,"",IF(OR(MIN(E268:I268)&lt;0.1,MAX(E268:I268)&gt;10),"Invalid score",IF(INDEX('Position_Rubric'!$H$6:$H$14,M268)&lt;&gt;1,"Check weights",ROUND(E268*INDEX('Position_Rubric'!$C$6:$C$14,M268)+F268*INDEX('Position_Rubric'!$D$6:$D$14,M268)+G268*INDEX('Position_Rubric'!$E$6:$E$14,M268)+H268*INDEX('Position_Rubric'!$F$6:$F$14,M268)+I268*INDEX('Position_Rubric'!$G$6:$G$14,M268),1)))))</x:f>
      </x:c>
      <x:c r="K268" s="82" t="str">
        <x:f>IF(AND(ISNUMBER(J268),ISNUMBER(D268)),J268-D268,"")</x:f>
      </x:c>
      <x:c r="L268" s="69" t="str">
        <x:f>IF(COUNT(E268:I268)&lt;5,"Needs component scores",IF(ISNUMBER(J268),"Calculated",J268))</x:f>
        <x:v>Needs component scores</x:v>
      </x:c>
      <x:c r="M268" s="69" t="n">
        <x:f>IF(C268="","",MATCH(C268,'Position_Rubric'!$A$6:$A$14,0))</x:f>
        <x:v>8</x:v>
      </x:c>
      <x:c r="N268" s="69" t="str"/>
    </x:row>
    <x:row r="269" ht="25" customHeight="1">
      <x:c r="A269" s="69" t="str">
        <x:v>summer-S26-0567</x:v>
      </x:c>
      <x:c r="B269" s="69" t="str">
        <x:v>Luca Kjerrumgaard</x:v>
      </x:c>
      <x:c r="C269" s="69" t="str">
        <x:v>ST</x:v>
      </x:c>
      <x:c r="D269" s="82" t="str">
        <x:f>IF(ISNUMBER('Transfer_Ratings'!K269),'Transfer_Ratings'!K269,"")</x:f>
      </x:c>
      <x:c r="E269" s="86"/>
      <x:c r="F269" s="86"/>
      <x:c r="G269" s="86"/>
      <x:c r="H269" s="86"/>
      <x:c r="I269" s="86"/>
      <x:c r="J269" s="82" t="str">
        <x:f>IF(C269="","Choose position",IF(COUNT(E269:I269)&lt;5,"",IF(OR(MIN(E269:I269)&lt;0.1,MAX(E269:I269)&gt;10),"Invalid score",IF(INDEX('Position_Rubric'!$H$6:$H$14,M269)&lt;&gt;1,"Check weights",ROUND(E269*INDEX('Position_Rubric'!$C$6:$C$14,M269)+F269*INDEX('Position_Rubric'!$D$6:$D$14,M269)+G269*INDEX('Position_Rubric'!$E$6:$E$14,M269)+H269*INDEX('Position_Rubric'!$F$6:$F$14,M269)+I269*INDEX('Position_Rubric'!$G$6:$G$14,M269),1)))))</x:f>
      </x:c>
      <x:c r="K269" s="82" t="str">
        <x:f>IF(AND(ISNUMBER(J269),ISNUMBER(D269)),J269-D269,"")</x:f>
      </x:c>
      <x:c r="L269" s="69" t="str">
        <x:f>IF(COUNT(E269:I269)&lt;5,"Needs component scores",IF(ISNUMBER(J269),"Calculated",J269))</x:f>
        <x:v>Needs component scores</x:v>
      </x:c>
      <x:c r="M269" s="69" t="n">
        <x:f>IF(C269="","",MATCH(C269,'Position_Rubric'!$A$6:$A$14,0))</x:f>
        <x:v>8</x:v>
      </x:c>
      <x:c r="N269" s="69" t="str"/>
    </x:row>
    <x:row r="270" ht="25" customHeight="1">
      <x:c r="A270" s="69" t="str">
        <x:v>summer-S26-0569</x:v>
      </x:c>
      <x:c r="B270" s="69" t="str">
        <x:v>Alessio Vacca</x:v>
      </x:c>
      <x:c r="C270" s="69" t="str">
        <x:v>ST</x:v>
      </x:c>
      <x:c r="D270" s="82" t="str">
        <x:f>IF(ISNUMBER('Transfer_Ratings'!K270),'Transfer_Ratings'!K270,"")</x:f>
      </x:c>
      <x:c r="E270" s="86"/>
      <x:c r="F270" s="86"/>
      <x:c r="G270" s="86"/>
      <x:c r="H270" s="86"/>
      <x:c r="I270" s="86"/>
      <x:c r="J270" s="82" t="str">
        <x:f>IF(C270="","Choose position",IF(COUNT(E270:I270)&lt;5,"",IF(OR(MIN(E270:I270)&lt;0.1,MAX(E270:I270)&gt;10),"Invalid score",IF(INDEX('Position_Rubric'!$H$6:$H$14,M270)&lt;&gt;1,"Check weights",ROUND(E270*INDEX('Position_Rubric'!$C$6:$C$14,M270)+F270*INDEX('Position_Rubric'!$D$6:$D$14,M270)+G270*INDEX('Position_Rubric'!$E$6:$E$14,M270)+H270*INDEX('Position_Rubric'!$F$6:$F$14,M270)+I270*INDEX('Position_Rubric'!$G$6:$G$14,M270),1)))))</x:f>
      </x:c>
      <x:c r="K270" s="82" t="str">
        <x:f>IF(AND(ISNUMBER(J270),ISNUMBER(D270)),J270-D270,"")</x:f>
      </x:c>
      <x:c r="L270" s="69" t="str">
        <x:f>IF(COUNT(E270:I270)&lt;5,"Needs component scores",IF(ISNUMBER(J270),"Calculated",J270))</x:f>
        <x:v>Needs component scores</x:v>
      </x:c>
      <x:c r="M270" s="69" t="n">
        <x:f>IF(C270="","",MATCH(C270,'Position_Rubric'!$A$6:$A$14,0))</x:f>
        <x:v>8</x:v>
      </x:c>
      <x:c r="N270" s="69" t="str"/>
    </x:row>
    <x:row r="271" ht="25" customHeight="1">
      <x:c r="A271" s="69" t="str">
        <x:v>summer-S26-0575</x:v>
      </x:c>
      <x:c r="B271" s="69" t="str">
        <x:v>Daizen Maeda</x:v>
      </x:c>
      <x:c r="C271" s="69" t="str">
        <x:v>ST</x:v>
      </x:c>
      <x:c r="D271" s="82" t="str">
        <x:f>IF(ISNUMBER('Transfer_Ratings'!K271),'Transfer_Ratings'!K271,"")</x:f>
      </x:c>
      <x:c r="E271" s="86"/>
      <x:c r="F271" s="86"/>
      <x:c r="G271" s="86"/>
      <x:c r="H271" s="86"/>
      <x:c r="I271" s="86"/>
      <x:c r="J271" s="82" t="str">
        <x:f>IF(C271="","Choose position",IF(COUNT(E271:I271)&lt;5,"",IF(OR(MIN(E271:I271)&lt;0.1,MAX(E271:I271)&gt;10),"Invalid score",IF(INDEX('Position_Rubric'!$H$6:$H$14,M271)&lt;&gt;1,"Check weights",ROUND(E271*INDEX('Position_Rubric'!$C$6:$C$14,M271)+F271*INDEX('Position_Rubric'!$D$6:$D$14,M271)+G271*INDEX('Position_Rubric'!$E$6:$E$14,M271)+H271*INDEX('Position_Rubric'!$F$6:$F$14,M271)+I271*INDEX('Position_Rubric'!$G$6:$G$14,M271),1)))))</x:f>
      </x:c>
      <x:c r="K271" s="82" t="str">
        <x:f>IF(AND(ISNUMBER(J271),ISNUMBER(D271)),J271-D271,"")</x:f>
      </x:c>
      <x:c r="L271" s="69" t="str">
        <x:f>IF(COUNT(E271:I271)&lt;5,"Needs component scores",IF(ISNUMBER(J271),"Calculated",J271))</x:f>
        <x:v>Needs component scores</x:v>
      </x:c>
      <x:c r="M271" s="69" t="n">
        <x:f>IF(C271="","",MATCH(C271,'Position_Rubric'!$A$6:$A$14,0))</x:f>
        <x:v>8</x:v>
      </x:c>
      <x:c r="N271" s="69" t="str"/>
    </x:row>
    <x:row r="272" ht="25" customHeight="1">
      <x:c r="A272" s="69" t="str">
        <x:v>summer-S26-0578</x:v>
      </x:c>
      <x:c r="B272" s="69" t="str">
        <x:v>Carlos Fernández</x:v>
      </x:c>
      <x:c r="C272" s="69" t="str">
        <x:v>ST</x:v>
      </x:c>
      <x:c r="D272" s="82" t="str">
        <x:f>IF(ISNUMBER('Transfer_Ratings'!K272),'Transfer_Ratings'!K272,"")</x:f>
      </x:c>
      <x:c r="E272" s="86"/>
      <x:c r="F272" s="86"/>
      <x:c r="G272" s="86"/>
      <x:c r="H272" s="86"/>
      <x:c r="I272" s="86"/>
      <x:c r="J272" s="82" t="str">
        <x:f>IF(C272="","Choose position",IF(COUNT(E272:I272)&lt;5,"",IF(OR(MIN(E272:I272)&lt;0.1,MAX(E272:I272)&gt;10),"Invalid score",IF(INDEX('Position_Rubric'!$H$6:$H$14,M272)&lt;&gt;1,"Check weights",ROUND(E272*INDEX('Position_Rubric'!$C$6:$C$14,M272)+F272*INDEX('Position_Rubric'!$D$6:$D$14,M272)+G272*INDEX('Position_Rubric'!$E$6:$E$14,M272)+H272*INDEX('Position_Rubric'!$F$6:$F$14,M272)+I272*INDEX('Position_Rubric'!$G$6:$G$14,M272),1)))))</x:f>
      </x:c>
      <x:c r="K272" s="82" t="str">
        <x:f>IF(AND(ISNUMBER(J272),ISNUMBER(D272)),J272-D272,"")</x:f>
      </x:c>
      <x:c r="L272" s="69" t="str">
        <x:f>IF(COUNT(E272:I272)&lt;5,"Needs component scores",IF(ISNUMBER(J272),"Calculated",J272))</x:f>
        <x:v>Needs component scores</x:v>
      </x:c>
      <x:c r="M272" s="69" t="n">
        <x:f>IF(C272="","",MATCH(C272,'Position_Rubric'!$A$6:$A$14,0))</x:f>
        <x:v>8</x:v>
      </x:c>
      <x:c r="N272" s="69" t="str"/>
    </x:row>
    <x:row r="273" ht="25" customHeight="1">
      <x:c r="A273" s="69" t="str">
        <x:v>summer-S26-0595</x:v>
      </x:c>
      <x:c r="B273" s="69" t="str">
        <x:v>Wesley Saïd</x:v>
      </x:c>
      <x:c r="C273" s="69" t="str">
        <x:v>ST</x:v>
      </x:c>
      <x:c r="D273" s="82" t="str">
        <x:f>IF(ISNUMBER('Transfer_Ratings'!K273),'Transfer_Ratings'!K273,"")</x:f>
      </x:c>
      <x:c r="E273" s="86"/>
      <x:c r="F273" s="86"/>
      <x:c r="G273" s="86"/>
      <x:c r="H273" s="86"/>
      <x:c r="I273" s="86"/>
      <x:c r="J273" s="82" t="str">
        <x:f>IF(C273="","Choose position",IF(COUNT(E273:I273)&lt;5,"",IF(OR(MIN(E273:I273)&lt;0.1,MAX(E273:I273)&gt;10),"Invalid score",IF(INDEX('Position_Rubric'!$H$6:$H$14,M273)&lt;&gt;1,"Check weights",ROUND(E273*INDEX('Position_Rubric'!$C$6:$C$14,M273)+F273*INDEX('Position_Rubric'!$D$6:$D$14,M273)+G273*INDEX('Position_Rubric'!$E$6:$E$14,M273)+H273*INDEX('Position_Rubric'!$F$6:$F$14,M273)+I273*INDEX('Position_Rubric'!$G$6:$G$14,M273),1)))))</x:f>
      </x:c>
      <x:c r="K273" s="82" t="str">
        <x:f>IF(AND(ISNUMBER(J273),ISNUMBER(D273)),J273-D273,"")</x:f>
      </x:c>
      <x:c r="L273" s="69" t="str">
        <x:f>IF(COUNT(E273:I273)&lt;5,"Needs component scores",IF(ISNUMBER(J273),"Calculated",J273))</x:f>
        <x:v>Needs component scores</x:v>
      </x:c>
      <x:c r="M273" s="69" t="n">
        <x:f>IF(C273="","",MATCH(C273,'Position_Rubric'!$A$6:$A$14,0))</x:f>
        <x:v>8</x:v>
      </x:c>
      <x:c r="N273" s="69" t="str"/>
    </x:row>
    <x:row r="274" ht="25" customHeight="1">
      <x:c r="A274" s="69" t="str">
        <x:v>summer-S26-0603</x:v>
      </x:c>
      <x:c r="B274" s="69" t="str">
        <x:v>Gift Orban</x:v>
      </x:c>
      <x:c r="C274" s="69" t="str">
        <x:v>ST</x:v>
      </x:c>
      <x:c r="D274" s="82" t="str">
        <x:f>IF(ISNUMBER('Transfer_Ratings'!K274),'Transfer_Ratings'!K274,"")</x:f>
      </x:c>
      <x:c r="E274" s="86"/>
      <x:c r="F274" s="86"/>
      <x:c r="G274" s="86"/>
      <x:c r="H274" s="86"/>
      <x:c r="I274" s="86"/>
      <x:c r="J274" s="82" t="str">
        <x:f>IF(C274="","Choose position",IF(COUNT(E274:I274)&lt;5,"",IF(OR(MIN(E274:I274)&lt;0.1,MAX(E274:I274)&gt;10),"Invalid score",IF(INDEX('Position_Rubric'!$H$6:$H$14,M274)&lt;&gt;1,"Check weights",ROUND(E274*INDEX('Position_Rubric'!$C$6:$C$14,M274)+F274*INDEX('Position_Rubric'!$D$6:$D$14,M274)+G274*INDEX('Position_Rubric'!$E$6:$E$14,M274)+H274*INDEX('Position_Rubric'!$F$6:$F$14,M274)+I274*INDEX('Position_Rubric'!$G$6:$G$14,M274),1)))))</x:f>
      </x:c>
      <x:c r="K274" s="82" t="str">
        <x:f>IF(AND(ISNUMBER(J274),ISNUMBER(D274)),J274-D274,"")</x:f>
      </x:c>
      <x:c r="L274" s="69" t="str">
        <x:f>IF(COUNT(E274:I274)&lt;5,"Needs component scores",IF(ISNUMBER(J274),"Calculated",J274))</x:f>
        <x:v>Needs component scores</x:v>
      </x:c>
      <x:c r="M274" s="69" t="n">
        <x:f>IF(C274="","",MATCH(C274,'Position_Rubric'!$A$6:$A$14,0))</x:f>
        <x:v>8</x:v>
      </x:c>
      <x:c r="N274" s="69" t="str"/>
    </x:row>
    <x:row r="275" ht="25" customHeight="1">
      <x:c r="A275" s="69" t="str">
        <x:v>summer-S26-0604</x:v>
      </x:c>
      <x:c r="B275" s="69" t="str">
        <x:v>Gustavo Varela</x:v>
      </x:c>
      <x:c r="C275" s="69" t="str">
        <x:v>ST</x:v>
      </x:c>
      <x:c r="D275" s="82" t="str">
        <x:f>IF(ISNUMBER('Transfer_Ratings'!K275),'Transfer_Ratings'!K275,"")</x:f>
      </x:c>
      <x:c r="E275" s="86"/>
      <x:c r="F275" s="86"/>
      <x:c r="G275" s="86"/>
      <x:c r="H275" s="86"/>
      <x:c r="I275" s="86"/>
      <x:c r="J275" s="82" t="str">
        <x:f>IF(C275="","Choose position",IF(COUNT(E275:I275)&lt;5,"",IF(OR(MIN(E275:I275)&lt;0.1,MAX(E275:I275)&gt;10),"Invalid score",IF(INDEX('Position_Rubric'!$H$6:$H$14,M275)&lt;&gt;1,"Check weights",ROUND(E275*INDEX('Position_Rubric'!$C$6:$C$14,M275)+F275*INDEX('Position_Rubric'!$D$6:$D$14,M275)+G275*INDEX('Position_Rubric'!$E$6:$E$14,M275)+H275*INDEX('Position_Rubric'!$F$6:$F$14,M275)+I275*INDEX('Position_Rubric'!$G$6:$G$14,M275),1)))))</x:f>
      </x:c>
      <x:c r="K275" s="82" t="str">
        <x:f>IF(AND(ISNUMBER(J275),ISNUMBER(D275)),J275-D275,"")</x:f>
      </x:c>
      <x:c r="L275" s="69" t="str">
        <x:f>IF(COUNT(E275:I275)&lt;5,"Needs component scores",IF(ISNUMBER(J275),"Calculated",J275))</x:f>
        <x:v>Needs component scores</x:v>
      </x:c>
      <x:c r="M275" s="69" t="n">
        <x:f>IF(C275="","",MATCH(C275,'Position_Rubric'!$A$6:$A$14,0))</x:f>
        <x:v>8</x:v>
      </x:c>
      <x:c r="N275" s="69" t="str"/>
    </x:row>
    <x:row r="276" ht="25" customHeight="1">
      <x:c r="A276" s="69" t="str">
        <x:v>summer-S26-0605</x:v>
      </x:c>
      <x:c r="B276" s="69" t="str">
        <x:v>Lanroy Machine</x:v>
      </x:c>
      <x:c r="C276" s="69" t="str">
        <x:v>ST</x:v>
      </x:c>
      <x:c r="D276" s="82" t="str">
        <x:f>IF(ISNUMBER('Transfer_Ratings'!K276),'Transfer_Ratings'!K276,"")</x:f>
      </x:c>
      <x:c r="E276" s="86"/>
      <x:c r="F276" s="86"/>
      <x:c r="G276" s="86"/>
      <x:c r="H276" s="86"/>
      <x:c r="I276" s="86"/>
      <x:c r="J276" s="82" t="str">
        <x:f>IF(C276="","Choose position",IF(COUNT(E276:I276)&lt;5,"",IF(OR(MIN(E276:I276)&lt;0.1,MAX(E276:I276)&gt;10),"Invalid score",IF(INDEX('Position_Rubric'!$H$6:$H$14,M276)&lt;&gt;1,"Check weights",ROUND(E276*INDEX('Position_Rubric'!$C$6:$C$14,M276)+F276*INDEX('Position_Rubric'!$D$6:$D$14,M276)+G276*INDEX('Position_Rubric'!$E$6:$E$14,M276)+H276*INDEX('Position_Rubric'!$F$6:$F$14,M276)+I276*INDEX('Position_Rubric'!$G$6:$G$14,M276),1)))))</x:f>
      </x:c>
      <x:c r="K276" s="82" t="str">
        <x:f>IF(AND(ISNUMBER(J276),ISNUMBER(D276)),J276-D276,"")</x:f>
      </x:c>
      <x:c r="L276" s="69" t="str">
        <x:f>IF(COUNT(E276:I276)&lt;5,"Needs component scores",IF(ISNUMBER(J276),"Calculated",J276))</x:f>
        <x:v>Needs component scores</x:v>
      </x:c>
      <x:c r="M276" s="69" t="n">
        <x:f>IF(C276="","",MATCH(C276,'Position_Rubric'!$A$6:$A$14,0))</x:f>
        <x:v>8</x:v>
      </x:c>
      <x:c r="N276" s="69" t="str"/>
    </x:row>
    <x:row r="277" ht="25" customHeight="1">
      <x:c r="A277" s="69" t="str">
        <x:v>summer-S26-0613</x:v>
      </x:c>
      <x:c r="B277" s="69" t="str">
        <x:v>Fynn Schenten</x:v>
      </x:c>
      <x:c r="C277" s="69" t="str">
        <x:v>ST</x:v>
      </x:c>
      <x:c r="D277" s="82" t="str">
        <x:f>IF(ISNUMBER('Transfer_Ratings'!K277),'Transfer_Ratings'!K277,"")</x:f>
      </x:c>
      <x:c r="E277" s="86"/>
      <x:c r="F277" s="86"/>
      <x:c r="G277" s="86"/>
      <x:c r="H277" s="86"/>
      <x:c r="I277" s="86"/>
      <x:c r="J277" s="82" t="str">
        <x:f>IF(C277="","Choose position",IF(COUNT(E277:I277)&lt;5,"",IF(OR(MIN(E277:I277)&lt;0.1,MAX(E277:I277)&gt;10),"Invalid score",IF(INDEX('Position_Rubric'!$H$6:$H$14,M277)&lt;&gt;1,"Check weights",ROUND(E277*INDEX('Position_Rubric'!$C$6:$C$14,M277)+F277*INDEX('Position_Rubric'!$D$6:$D$14,M277)+G277*INDEX('Position_Rubric'!$E$6:$E$14,M277)+H277*INDEX('Position_Rubric'!$F$6:$F$14,M277)+I277*INDEX('Position_Rubric'!$G$6:$G$14,M277),1)))))</x:f>
      </x:c>
      <x:c r="K277" s="82" t="str">
        <x:f>IF(AND(ISNUMBER(J277),ISNUMBER(D277)),J277-D277,"")</x:f>
      </x:c>
      <x:c r="L277" s="69" t="str">
        <x:f>IF(COUNT(E277:I277)&lt;5,"Needs component scores",IF(ISNUMBER(J277),"Calculated",J277))</x:f>
        <x:v>Needs component scores</x:v>
      </x:c>
      <x:c r="M277" s="69" t="n">
        <x:f>IF(C277="","",MATCH(C277,'Position_Rubric'!$A$6:$A$14,0))</x:f>
        <x:v>8</x:v>
      </x:c>
      <x:c r="N277" s="69" t="str"/>
    </x:row>
    <x:row r="278" ht="25" customHeight="1">
      <x:c r="A278" s="69" t="str">
        <x:v>summer-S26-0616</x:v>
      </x:c>
      <x:c r="B278" s="69" t="str">
        <x:v>Loïs Openda</x:v>
      </x:c>
      <x:c r="C278" s="69" t="str">
        <x:v>ST</x:v>
      </x:c>
      <x:c r="D278" s="82" t="str">
        <x:f>IF(ISNUMBER('Transfer_Ratings'!K278),'Transfer_Ratings'!K278,"")</x:f>
      </x:c>
      <x:c r="E278" s="86"/>
      <x:c r="F278" s="86"/>
      <x:c r="G278" s="86"/>
      <x:c r="H278" s="86"/>
      <x:c r="I278" s="86"/>
      <x:c r="J278" s="82" t="str">
        <x:f>IF(C278="","Choose position",IF(COUNT(E278:I278)&lt;5,"",IF(OR(MIN(E278:I278)&lt;0.1,MAX(E278:I278)&gt;10),"Invalid score",IF(INDEX('Position_Rubric'!$H$6:$H$14,M278)&lt;&gt;1,"Check weights",ROUND(E278*INDEX('Position_Rubric'!$C$6:$C$14,M278)+F278*INDEX('Position_Rubric'!$D$6:$D$14,M278)+G278*INDEX('Position_Rubric'!$E$6:$E$14,M278)+H278*INDEX('Position_Rubric'!$F$6:$F$14,M278)+I278*INDEX('Position_Rubric'!$G$6:$G$14,M278),1)))))</x:f>
      </x:c>
      <x:c r="K278" s="82" t="str">
        <x:f>IF(AND(ISNUMBER(J278),ISNUMBER(D278)),J278-D278,"")</x:f>
      </x:c>
      <x:c r="L278" s="69" t="str">
        <x:f>IF(COUNT(E278:I278)&lt;5,"Needs component scores",IF(ISNUMBER(J278),"Calculated",J278))</x:f>
        <x:v>Needs component scores</x:v>
      </x:c>
      <x:c r="M278" s="69" t="n">
        <x:f>IF(C278="","",MATCH(C278,'Position_Rubric'!$A$6:$A$14,0))</x:f>
        <x:v>8</x:v>
      </x:c>
      <x:c r="N278" s="69" t="str"/>
    </x:row>
    <x:row r="279" ht="25" customHeight="1">
      <x:c r="A279" s="69" t="str">
        <x:v>summer-S26-0617</x:v>
      </x:c>
      <x:c r="B279" s="69" t="str">
        <x:v>Adrian Benedyczak</x:v>
      </x:c>
      <x:c r="C279" s="69" t="str">
        <x:v>ST</x:v>
      </x:c>
      <x:c r="D279" s="82" t="str">
        <x:f>IF(ISNUMBER('Transfer_Ratings'!K279),'Transfer_Ratings'!K279,"")</x:f>
      </x:c>
      <x:c r="E279" s="86"/>
      <x:c r="F279" s="86"/>
      <x:c r="G279" s="86"/>
      <x:c r="H279" s="86"/>
      <x:c r="I279" s="86"/>
      <x:c r="J279" s="82" t="str">
        <x:f>IF(C279="","Choose position",IF(COUNT(E279:I279)&lt;5,"",IF(OR(MIN(E279:I279)&lt;0.1,MAX(E279:I279)&gt;10),"Invalid score",IF(INDEX('Position_Rubric'!$H$6:$H$14,M279)&lt;&gt;1,"Check weights",ROUND(E279*INDEX('Position_Rubric'!$C$6:$C$14,M279)+F279*INDEX('Position_Rubric'!$D$6:$D$14,M279)+G279*INDEX('Position_Rubric'!$E$6:$E$14,M279)+H279*INDEX('Position_Rubric'!$F$6:$F$14,M279)+I279*INDEX('Position_Rubric'!$G$6:$G$14,M279),1)))))</x:f>
      </x:c>
      <x:c r="K279" s="82" t="str">
        <x:f>IF(AND(ISNUMBER(J279),ISNUMBER(D279)),J279-D279,"")</x:f>
      </x:c>
      <x:c r="L279" s="69" t="str">
        <x:f>IF(COUNT(E279:I279)&lt;5,"Needs component scores",IF(ISNUMBER(J279),"Calculated",J279))</x:f>
        <x:v>Needs component scores</x:v>
      </x:c>
      <x:c r="M279" s="69" t="n">
        <x:f>IF(C279="","",MATCH(C279,'Position_Rubric'!$A$6:$A$14,0))</x:f>
        <x:v>8</x:v>
      </x:c>
      <x:c r="N279" s="69" t="str"/>
    </x:row>
    <x:row r="280" ht="25" customHeight="1">
      <x:c r="A280" s="69" t="str">
        <x:v>summer-S26-0622</x:v>
      </x:c>
      <x:c r="B280" s="69" t="str">
        <x:v>Rémy Labeau-Lascary</x:v>
      </x:c>
      <x:c r="C280" s="69" t="str">
        <x:v>ST</x:v>
      </x:c>
      <x:c r="D280" s="82" t="str">
        <x:f>IF(ISNUMBER('Transfer_Ratings'!K280),'Transfer_Ratings'!K280,"")</x:f>
      </x:c>
      <x:c r="E280" s="86"/>
      <x:c r="F280" s="86"/>
      <x:c r="G280" s="86"/>
      <x:c r="H280" s="86"/>
      <x:c r="I280" s="86"/>
      <x:c r="J280" s="82" t="str">
        <x:f>IF(C280="","Choose position",IF(COUNT(E280:I280)&lt;5,"",IF(OR(MIN(E280:I280)&lt;0.1,MAX(E280:I280)&gt;10),"Invalid score",IF(INDEX('Position_Rubric'!$H$6:$H$14,M280)&lt;&gt;1,"Check weights",ROUND(E280*INDEX('Position_Rubric'!$C$6:$C$14,M280)+F280*INDEX('Position_Rubric'!$D$6:$D$14,M280)+G280*INDEX('Position_Rubric'!$E$6:$E$14,M280)+H280*INDEX('Position_Rubric'!$F$6:$F$14,M280)+I280*INDEX('Position_Rubric'!$G$6:$G$14,M280),1)))))</x:f>
      </x:c>
      <x:c r="K280" s="82" t="str">
        <x:f>IF(AND(ISNUMBER(J280),ISNUMBER(D280)),J280-D280,"")</x:f>
      </x:c>
      <x:c r="L280" s="69" t="str">
        <x:f>IF(COUNT(E280:I280)&lt;5,"Needs component scores",IF(ISNUMBER(J280),"Calculated",J280))</x:f>
        <x:v>Needs component scores</x:v>
      </x:c>
      <x:c r="M280" s="69" t="n">
        <x:f>IF(C280="","",MATCH(C280,'Position_Rubric'!$A$6:$A$14,0))</x:f>
        <x:v>8</x:v>
      </x:c>
      <x:c r="N280" s="69" t="str"/>
    </x:row>
    <x:row r="281" ht="25" customHeight="1">
      <x:c r="A281" s="69" t="str">
        <x:v>summer-S26-0635</x:v>
      </x:c>
      <x:c r="B281" s="69" t="str">
        <x:v>Unai Ropero</x:v>
      </x:c>
      <x:c r="C281" s="69" t="str">
        <x:v>ST</x:v>
      </x:c>
      <x:c r="D281" s="82" t="str">
        <x:f>IF(ISNUMBER('Transfer_Ratings'!K281),'Transfer_Ratings'!K281,"")</x:f>
      </x:c>
      <x:c r="E281" s="86"/>
      <x:c r="F281" s="86"/>
      <x:c r="G281" s="86"/>
      <x:c r="H281" s="86"/>
      <x:c r="I281" s="86"/>
      <x:c r="J281" s="82" t="str">
        <x:f>IF(C281="","Choose position",IF(COUNT(E281:I281)&lt;5,"",IF(OR(MIN(E281:I281)&lt;0.1,MAX(E281:I281)&gt;10),"Invalid score",IF(INDEX('Position_Rubric'!$H$6:$H$14,M281)&lt;&gt;1,"Check weights",ROUND(E281*INDEX('Position_Rubric'!$C$6:$C$14,M281)+F281*INDEX('Position_Rubric'!$D$6:$D$14,M281)+G281*INDEX('Position_Rubric'!$E$6:$E$14,M281)+H281*INDEX('Position_Rubric'!$F$6:$F$14,M281)+I281*INDEX('Position_Rubric'!$G$6:$G$14,M281),1)))))</x:f>
      </x:c>
      <x:c r="K281" s="82" t="str">
        <x:f>IF(AND(ISNUMBER(J281),ISNUMBER(D281)),J281-D281,"")</x:f>
      </x:c>
      <x:c r="L281" s="69" t="str">
        <x:f>IF(COUNT(E281:I281)&lt;5,"Needs component scores",IF(ISNUMBER(J281),"Calculated",J281))</x:f>
        <x:v>Needs component scores</x:v>
      </x:c>
      <x:c r="M281" s="69" t="n">
        <x:f>IF(C281="","",MATCH(C281,'Position_Rubric'!$A$6:$A$14,0))</x:f>
        <x:v>8</x:v>
      </x:c>
      <x:c r="N281" s="69" t="str"/>
    </x:row>
    <x:row r="282" ht="25" customHeight="1">
      <x:c r="A282" s="69" t="str">
        <x:v>summer-S26-0636</x:v>
      </x:c>
      <x:c r="B282" s="69" t="str">
        <x:v>Hamza Bellari</x:v>
      </x:c>
      <x:c r="C282" s="69" t="str">
        <x:v>ST</x:v>
      </x:c>
      <x:c r="D282" s="82" t="str">
        <x:f>IF(ISNUMBER('Transfer_Ratings'!K282),'Transfer_Ratings'!K282,"")</x:f>
      </x:c>
      <x:c r="E282" s="86"/>
      <x:c r="F282" s="86"/>
      <x:c r="G282" s="86"/>
      <x:c r="H282" s="86"/>
      <x:c r="I282" s="86"/>
      <x:c r="J282" s="82" t="str">
        <x:f>IF(C282="","Choose position",IF(COUNT(E282:I282)&lt;5,"",IF(OR(MIN(E282:I282)&lt;0.1,MAX(E282:I282)&gt;10),"Invalid score",IF(INDEX('Position_Rubric'!$H$6:$H$14,M282)&lt;&gt;1,"Check weights",ROUND(E282*INDEX('Position_Rubric'!$C$6:$C$14,M282)+F282*INDEX('Position_Rubric'!$D$6:$D$14,M282)+G282*INDEX('Position_Rubric'!$E$6:$E$14,M282)+H282*INDEX('Position_Rubric'!$F$6:$F$14,M282)+I282*INDEX('Position_Rubric'!$G$6:$G$14,M282),1)))))</x:f>
      </x:c>
      <x:c r="K282" s="82" t="str">
        <x:f>IF(AND(ISNUMBER(J282),ISNUMBER(D282)),J282-D282,"")</x:f>
      </x:c>
      <x:c r="L282" s="69" t="str">
        <x:f>IF(COUNT(E282:I282)&lt;5,"Needs component scores",IF(ISNUMBER(J282),"Calculated",J282))</x:f>
        <x:v>Needs component scores</x:v>
      </x:c>
      <x:c r="M282" s="69" t="n">
        <x:f>IF(C282="","",MATCH(C282,'Position_Rubric'!$A$6:$A$14,0))</x:f>
        <x:v>8</x:v>
      </x:c>
      <x:c r="N282" s="69" t="str"/>
    </x:row>
    <x:row r="283" ht="25" customHeight="1">
      <x:c r="A283" s="69" t="str">
        <x:v>summer-S26-0653</x:v>
      </x:c>
      <x:c r="B283" s="69" t="str">
        <x:v>Carlos Lumbreras</x:v>
      </x:c>
      <x:c r="C283" s="69" t="str">
        <x:v>ST</x:v>
      </x:c>
      <x:c r="D283" s="82" t="str">
        <x:f>IF(ISNUMBER('Transfer_Ratings'!K283),'Transfer_Ratings'!K283,"")</x:f>
      </x:c>
      <x:c r="E283" s="86"/>
      <x:c r="F283" s="86"/>
      <x:c r="G283" s="86"/>
      <x:c r="H283" s="86"/>
      <x:c r="I283" s="86"/>
      <x:c r="J283" s="82" t="str">
        <x:f>IF(C283="","Choose position",IF(COUNT(E283:I283)&lt;5,"",IF(OR(MIN(E283:I283)&lt;0.1,MAX(E283:I283)&gt;10),"Invalid score",IF(INDEX('Position_Rubric'!$H$6:$H$14,M283)&lt;&gt;1,"Check weights",ROUND(E283*INDEX('Position_Rubric'!$C$6:$C$14,M283)+F283*INDEX('Position_Rubric'!$D$6:$D$14,M283)+G283*INDEX('Position_Rubric'!$E$6:$E$14,M283)+H283*INDEX('Position_Rubric'!$F$6:$F$14,M283)+I283*INDEX('Position_Rubric'!$G$6:$G$14,M283),1)))))</x:f>
      </x:c>
      <x:c r="K283" s="82" t="str">
        <x:f>IF(AND(ISNUMBER(J283),ISNUMBER(D283)),J283-D283,"")</x:f>
      </x:c>
      <x:c r="L283" s="69" t="str">
        <x:f>IF(COUNT(E283:I283)&lt;5,"Needs component scores",IF(ISNUMBER(J283),"Calculated",J283))</x:f>
        <x:v>Needs component scores</x:v>
      </x:c>
      <x:c r="M283" s="69" t="n">
        <x:f>IF(C283="","",MATCH(C283,'Position_Rubric'!$A$6:$A$14,0))</x:f>
        <x:v>8</x:v>
      </x:c>
      <x:c r="N283" s="69" t="str"/>
    </x:row>
    <x:row r="284" ht="25" customHeight="1">
      <x:c r="A284" s="69" t="str">
        <x:v>summer-S26-0657</x:v>
      </x:c>
      <x:c r="B284" s="69" t="str">
        <x:v>Diego Morcillo</x:v>
      </x:c>
      <x:c r="C284" s="69" t="str">
        <x:v>ST</x:v>
      </x:c>
      <x:c r="D284" s="82" t="str">
        <x:f>IF(ISNUMBER('Transfer_Ratings'!K284),'Transfer_Ratings'!K284,"")</x:f>
      </x:c>
      <x:c r="E284" s="86"/>
      <x:c r="F284" s="86"/>
      <x:c r="G284" s="86"/>
      <x:c r="H284" s="86"/>
      <x:c r="I284" s="86"/>
      <x:c r="J284" s="82" t="str">
        <x:f>IF(C284="","Choose position",IF(COUNT(E284:I284)&lt;5,"",IF(OR(MIN(E284:I284)&lt;0.1,MAX(E284:I284)&gt;10),"Invalid score",IF(INDEX('Position_Rubric'!$H$6:$H$14,M284)&lt;&gt;1,"Check weights",ROUND(E284*INDEX('Position_Rubric'!$C$6:$C$14,M284)+F284*INDEX('Position_Rubric'!$D$6:$D$14,M284)+G284*INDEX('Position_Rubric'!$E$6:$E$14,M284)+H284*INDEX('Position_Rubric'!$F$6:$F$14,M284)+I284*INDEX('Position_Rubric'!$G$6:$G$14,M284),1)))))</x:f>
      </x:c>
      <x:c r="K284" s="82" t="str">
        <x:f>IF(AND(ISNUMBER(J284),ISNUMBER(D284)),J284-D284,"")</x:f>
      </x:c>
      <x:c r="L284" s="69" t="str">
        <x:f>IF(COUNT(E284:I284)&lt;5,"Needs component scores",IF(ISNUMBER(J284),"Calculated",J284))</x:f>
        <x:v>Needs component scores</x:v>
      </x:c>
      <x:c r="M284" s="69" t="n">
        <x:f>IF(C284="","",MATCH(C284,'Position_Rubric'!$A$6:$A$14,0))</x:f>
        <x:v>8</x:v>
      </x:c>
      <x:c r="N284" s="69" t="str"/>
    </x:row>
    <x:row r="285" ht="25" customHeight="1">
      <x:c r="A285" s="69" t="str">
        <x:v>summer-S26-0665</x:v>
      </x:c>
      <x:c r="B285" s="69" t="str">
        <x:v>Damián Pizarro</x:v>
      </x:c>
      <x:c r="C285" s="69" t="str">
        <x:v>ST</x:v>
      </x:c>
      <x:c r="D285" s="82" t="str">
        <x:f>IF(ISNUMBER('Transfer_Ratings'!K285),'Transfer_Ratings'!K285,"")</x:f>
      </x:c>
      <x:c r="E285" s="86"/>
      <x:c r="F285" s="86"/>
      <x:c r="G285" s="86"/>
      <x:c r="H285" s="86"/>
      <x:c r="I285" s="86"/>
      <x:c r="J285" s="82" t="str">
        <x:f>IF(C285="","Choose position",IF(COUNT(E285:I285)&lt;5,"",IF(OR(MIN(E285:I285)&lt;0.1,MAX(E285:I285)&gt;10),"Invalid score",IF(INDEX('Position_Rubric'!$H$6:$H$14,M285)&lt;&gt;1,"Check weights",ROUND(E285*INDEX('Position_Rubric'!$C$6:$C$14,M285)+F285*INDEX('Position_Rubric'!$D$6:$D$14,M285)+G285*INDEX('Position_Rubric'!$E$6:$E$14,M285)+H285*INDEX('Position_Rubric'!$F$6:$F$14,M285)+I285*INDEX('Position_Rubric'!$G$6:$G$14,M285),1)))))</x:f>
      </x:c>
      <x:c r="K285" s="82" t="str">
        <x:f>IF(AND(ISNUMBER(J285),ISNUMBER(D285)),J285-D285,"")</x:f>
      </x:c>
      <x:c r="L285" s="69" t="str">
        <x:f>IF(COUNT(E285:I285)&lt;5,"Needs component scores",IF(ISNUMBER(J285),"Calculated",J285))</x:f>
        <x:v>Needs component scores</x:v>
      </x:c>
      <x:c r="M285" s="69" t="n">
        <x:f>IF(C285="","",MATCH(C285,'Position_Rubric'!$A$6:$A$14,0))</x:f>
        <x:v>8</x:v>
      </x:c>
      <x:c r="N285" s="69" t="str"/>
    </x:row>
    <x:row r="286" ht="25" customHeight="1">
      <x:c r="A286" s="69" t="str">
        <x:v>summer-S26-0670</x:v>
      </x:c>
      <x:c r="B286" s="69" t="str">
        <x:v>Gennaro Anatriello</x:v>
      </x:c>
      <x:c r="C286" s="69" t="str">
        <x:v>ST</x:v>
      </x:c>
      <x:c r="D286" s="82" t="str">
        <x:f>IF(ISNUMBER('Transfer_Ratings'!K286),'Transfer_Ratings'!K286,"")</x:f>
      </x:c>
      <x:c r="E286" s="86"/>
      <x:c r="F286" s="86"/>
      <x:c r="G286" s="86"/>
      <x:c r="H286" s="86"/>
      <x:c r="I286" s="86"/>
      <x:c r="J286" s="82" t="str">
        <x:f>IF(C286="","Choose position",IF(COUNT(E286:I286)&lt;5,"",IF(OR(MIN(E286:I286)&lt;0.1,MAX(E286:I286)&gt;10),"Invalid score",IF(INDEX('Position_Rubric'!$H$6:$H$14,M286)&lt;&gt;1,"Check weights",ROUND(E286*INDEX('Position_Rubric'!$C$6:$C$14,M286)+F286*INDEX('Position_Rubric'!$D$6:$D$14,M286)+G286*INDEX('Position_Rubric'!$E$6:$E$14,M286)+H286*INDEX('Position_Rubric'!$F$6:$F$14,M286)+I286*INDEX('Position_Rubric'!$G$6:$G$14,M286),1)))))</x:f>
      </x:c>
      <x:c r="K286" s="82" t="str">
        <x:f>IF(AND(ISNUMBER(J286),ISNUMBER(D286)),J286-D286,"")</x:f>
      </x:c>
      <x:c r="L286" s="69" t="str">
        <x:f>IF(COUNT(E286:I286)&lt;5,"Needs component scores",IF(ISNUMBER(J286),"Calculated",J286))</x:f>
        <x:v>Needs component scores</x:v>
      </x:c>
      <x:c r="M286" s="69" t="n">
        <x:f>IF(C286="","",MATCH(C286,'Position_Rubric'!$A$6:$A$14,0))</x:f>
        <x:v>8</x:v>
      </x:c>
      <x:c r="N286" s="69" t="str"/>
    </x:row>
    <x:row r="287" ht="25" customHeight="1">
      <x:c r="A287" s="69" t="str">
        <x:v>summer-S26-0673</x:v>
      </x:c>
      <x:c r="B287" s="69" t="str">
        <x:v>Santiago Castro</x:v>
      </x:c>
      <x:c r="C287" s="69" t="str">
        <x:v>ST</x:v>
      </x:c>
      <x:c r="D287" s="82" t="str">
        <x:f>IF(ISNUMBER('Transfer_Ratings'!K287),'Transfer_Ratings'!K287,"")</x:f>
      </x:c>
      <x:c r="E287" s="86"/>
      <x:c r="F287" s="86"/>
      <x:c r="G287" s="86"/>
      <x:c r="H287" s="86"/>
      <x:c r="I287" s="86"/>
      <x:c r="J287" s="82" t="str">
        <x:f>IF(C287="","Choose position",IF(COUNT(E287:I287)&lt;5,"",IF(OR(MIN(E287:I287)&lt;0.1,MAX(E287:I287)&gt;10),"Invalid score",IF(INDEX('Position_Rubric'!$H$6:$H$14,M287)&lt;&gt;1,"Check weights",ROUND(E287*INDEX('Position_Rubric'!$C$6:$C$14,M287)+F287*INDEX('Position_Rubric'!$D$6:$D$14,M287)+G287*INDEX('Position_Rubric'!$E$6:$E$14,M287)+H287*INDEX('Position_Rubric'!$F$6:$F$14,M287)+I287*INDEX('Position_Rubric'!$G$6:$G$14,M287),1)))))</x:f>
      </x:c>
      <x:c r="K287" s="82" t="str">
        <x:f>IF(AND(ISNUMBER(J287),ISNUMBER(D287)),J287-D287,"")</x:f>
      </x:c>
      <x:c r="L287" s="69" t="str">
        <x:f>IF(COUNT(E287:I287)&lt;5,"Needs component scores",IF(ISNUMBER(J287),"Calculated",J287))</x:f>
        <x:v>Needs component scores</x:v>
      </x:c>
      <x:c r="M287" s="69" t="n">
        <x:f>IF(C287="","",MATCH(C287,'Position_Rubric'!$A$6:$A$14,0))</x:f>
        <x:v>8</x:v>
      </x:c>
      <x:c r="N287" s="69" t="str"/>
    </x:row>
    <x:row r="288" ht="25" customHeight="1">
      <x:c r="A288" s="69" t="str">
        <x:v>summer-S26-0678</x:v>
      </x:c>
      <x:c r="B288" s="69" t="str">
        <x:v>Matthis Abline</x:v>
      </x:c>
      <x:c r="C288" s="69" t="str">
        <x:v>ST</x:v>
      </x:c>
      <x:c r="D288" s="82" t="str">
        <x:f>IF(ISNUMBER('Transfer_Ratings'!K288),'Transfer_Ratings'!K288,"")</x:f>
      </x:c>
      <x:c r="E288" s="86"/>
      <x:c r="F288" s="86"/>
      <x:c r="G288" s="86"/>
      <x:c r="H288" s="86"/>
      <x:c r="I288" s="86"/>
      <x:c r="J288" s="82" t="str">
        <x:f>IF(C288="","Choose position",IF(COUNT(E288:I288)&lt;5,"",IF(OR(MIN(E288:I288)&lt;0.1,MAX(E288:I288)&gt;10),"Invalid score",IF(INDEX('Position_Rubric'!$H$6:$H$14,M288)&lt;&gt;1,"Check weights",ROUND(E288*INDEX('Position_Rubric'!$C$6:$C$14,M288)+F288*INDEX('Position_Rubric'!$D$6:$D$14,M288)+G288*INDEX('Position_Rubric'!$E$6:$E$14,M288)+H288*INDEX('Position_Rubric'!$F$6:$F$14,M288)+I288*INDEX('Position_Rubric'!$G$6:$G$14,M288),1)))))</x:f>
      </x:c>
      <x:c r="K288" s="82" t="str">
        <x:f>IF(AND(ISNUMBER(J288),ISNUMBER(D288)),J288-D288,"")</x:f>
      </x:c>
      <x:c r="L288" s="69" t="str">
        <x:f>IF(COUNT(E288:I288)&lt;5,"Needs component scores",IF(ISNUMBER(J288),"Calculated",J288))</x:f>
        <x:v>Needs component scores</x:v>
      </x:c>
      <x:c r="M288" s="69" t="n">
        <x:f>IF(C288="","",MATCH(C288,'Position_Rubric'!$A$6:$A$14,0))</x:f>
        <x:v>8</x:v>
      </x:c>
      <x:c r="N288" s="69" t="str"/>
    </x:row>
    <x:row r="289" ht="25" customHeight="1">
      <x:c r="A289" s="69" t="str">
        <x:v>summer-S26-0680</x:v>
      </x:c>
      <x:c r="B289" s="69" t="str">
        <x:v>Joan Tincres</x:v>
      </x:c>
      <x:c r="C289" s="69" t="str">
        <x:v>ST</x:v>
      </x:c>
      <x:c r="D289" s="82" t="str">
        <x:f>IF(ISNUMBER('Transfer_Ratings'!K289),'Transfer_Ratings'!K289,"")</x:f>
      </x:c>
      <x:c r="E289" s="86"/>
      <x:c r="F289" s="86"/>
      <x:c r="G289" s="86"/>
      <x:c r="H289" s="86"/>
      <x:c r="I289" s="86"/>
      <x:c r="J289" s="82" t="str">
        <x:f>IF(C289="","Choose position",IF(COUNT(E289:I289)&lt;5,"",IF(OR(MIN(E289:I289)&lt;0.1,MAX(E289:I289)&gt;10),"Invalid score",IF(INDEX('Position_Rubric'!$H$6:$H$14,M289)&lt;&gt;1,"Check weights",ROUND(E289*INDEX('Position_Rubric'!$C$6:$C$14,M289)+F289*INDEX('Position_Rubric'!$D$6:$D$14,M289)+G289*INDEX('Position_Rubric'!$E$6:$E$14,M289)+H289*INDEX('Position_Rubric'!$F$6:$F$14,M289)+I289*INDEX('Position_Rubric'!$G$6:$G$14,M289),1)))))</x:f>
      </x:c>
      <x:c r="K289" s="82" t="str">
        <x:f>IF(AND(ISNUMBER(J289),ISNUMBER(D289)),J289-D289,"")</x:f>
      </x:c>
      <x:c r="L289" s="69" t="str">
        <x:f>IF(COUNT(E289:I289)&lt;5,"Needs component scores",IF(ISNUMBER(J289),"Calculated",J289))</x:f>
        <x:v>Needs component scores</x:v>
      </x:c>
      <x:c r="M289" s="69" t="n">
        <x:f>IF(C289="","",MATCH(C289,'Position_Rubric'!$A$6:$A$14,0))</x:f>
        <x:v>8</x:v>
      </x:c>
      <x:c r="N289" s="69" t="str"/>
    </x:row>
    <x:row r="290" ht="25" customHeight="1">
      <x:c r="A290" s="69" t="str">
        <x:v>summer-S26-0682</x:v>
      </x:c>
      <x:c r="B290" s="69" t="str">
        <x:v>Rares Burnete</x:v>
      </x:c>
      <x:c r="C290" s="69" t="str">
        <x:v>ST</x:v>
      </x:c>
      <x:c r="D290" s="82" t="str">
        <x:f>IF(ISNUMBER('Transfer_Ratings'!K290),'Transfer_Ratings'!K290,"")</x:f>
      </x:c>
      <x:c r="E290" s="86"/>
      <x:c r="F290" s="86"/>
      <x:c r="G290" s="86"/>
      <x:c r="H290" s="86"/>
      <x:c r="I290" s="86"/>
      <x:c r="J290" s="82" t="str">
        <x:f>IF(C290="","Choose position",IF(COUNT(E290:I290)&lt;5,"",IF(OR(MIN(E290:I290)&lt;0.1,MAX(E290:I290)&gt;10),"Invalid score",IF(INDEX('Position_Rubric'!$H$6:$H$14,M290)&lt;&gt;1,"Check weights",ROUND(E290*INDEX('Position_Rubric'!$C$6:$C$14,M290)+F290*INDEX('Position_Rubric'!$D$6:$D$14,M290)+G290*INDEX('Position_Rubric'!$E$6:$E$14,M290)+H290*INDEX('Position_Rubric'!$F$6:$F$14,M290)+I290*INDEX('Position_Rubric'!$G$6:$G$14,M290),1)))))</x:f>
      </x:c>
      <x:c r="K290" s="82" t="str">
        <x:f>IF(AND(ISNUMBER(J290),ISNUMBER(D290)),J290-D290,"")</x:f>
      </x:c>
      <x:c r="L290" s="69" t="str">
        <x:f>IF(COUNT(E290:I290)&lt;5,"Needs component scores",IF(ISNUMBER(J290),"Calculated",J290))</x:f>
        <x:v>Needs component scores</x:v>
      </x:c>
      <x:c r="M290" s="69" t="n">
        <x:f>IF(C290="","",MATCH(C290,'Position_Rubric'!$A$6:$A$14,0))</x:f>
        <x:v>8</x:v>
      </x:c>
      <x:c r="N290" s="69" t="str"/>
    </x:row>
    <x:row r="291" ht="25" customHeight="1">
      <x:c r="A291" s="69" t="str">
        <x:v>summer-S26-0683</x:v>
      </x:c>
      <x:c r="B291" s="69" t="str">
        <x:v>Artem Dovbyk</x:v>
      </x:c>
      <x:c r="C291" s="69" t="str">
        <x:v>ST</x:v>
      </x:c>
      <x:c r="D291" s="82" t="str">
        <x:f>IF(ISNUMBER('Transfer_Ratings'!K291),'Transfer_Ratings'!K291,"")</x:f>
      </x:c>
      <x:c r="E291" s="86"/>
      <x:c r="F291" s="86"/>
      <x:c r="G291" s="86"/>
      <x:c r="H291" s="86"/>
      <x:c r="I291" s="86"/>
      <x:c r="J291" s="82" t="str">
        <x:f>IF(C291="","Choose position",IF(COUNT(E291:I291)&lt;5,"",IF(OR(MIN(E291:I291)&lt;0.1,MAX(E291:I291)&gt;10),"Invalid score",IF(INDEX('Position_Rubric'!$H$6:$H$14,M291)&lt;&gt;1,"Check weights",ROUND(E291*INDEX('Position_Rubric'!$C$6:$C$14,M291)+F291*INDEX('Position_Rubric'!$D$6:$D$14,M291)+G291*INDEX('Position_Rubric'!$E$6:$E$14,M291)+H291*INDEX('Position_Rubric'!$F$6:$F$14,M291)+I291*INDEX('Position_Rubric'!$G$6:$G$14,M291),1)))))</x:f>
      </x:c>
      <x:c r="K291" s="82" t="str">
        <x:f>IF(AND(ISNUMBER(J291),ISNUMBER(D291)),J291-D291,"")</x:f>
      </x:c>
      <x:c r="L291" s="69" t="str">
        <x:f>IF(COUNT(E291:I291)&lt;5,"Needs component scores",IF(ISNUMBER(J291),"Calculated",J291))</x:f>
        <x:v>Needs component scores</x:v>
      </x:c>
      <x:c r="M291" s="69" t="n">
        <x:f>IF(C291="","",MATCH(C291,'Position_Rubric'!$A$6:$A$14,0))</x:f>
        <x:v>8</x:v>
      </x:c>
      <x:c r="N291" s="69" t="str"/>
    </x:row>
    <x:row r="292" ht="25" customHeight="1">
      <x:c r="A292" s="69" t="str">
        <x:v>summer-S26-0684</x:v>
      </x:c>
      <x:c r="B292" s="69" t="str">
        <x:v>Carlos Espí</x:v>
      </x:c>
      <x:c r="C292" s="69" t="str">
        <x:v>ST</x:v>
      </x:c>
      <x:c r="D292" s="82" t="str">
        <x:f>IF(ISNUMBER('Transfer_Ratings'!K292),'Transfer_Ratings'!K292,"")</x:f>
      </x:c>
      <x:c r="E292" s="86"/>
      <x:c r="F292" s="86"/>
      <x:c r="G292" s="86"/>
      <x:c r="H292" s="86"/>
      <x:c r="I292" s="86"/>
      <x:c r="J292" s="82" t="str">
        <x:f>IF(C292="","Choose position",IF(COUNT(E292:I292)&lt;5,"",IF(OR(MIN(E292:I292)&lt;0.1,MAX(E292:I292)&gt;10),"Invalid score",IF(INDEX('Position_Rubric'!$H$6:$H$14,M292)&lt;&gt;1,"Check weights",ROUND(E292*INDEX('Position_Rubric'!$C$6:$C$14,M292)+F292*INDEX('Position_Rubric'!$D$6:$D$14,M292)+G292*INDEX('Position_Rubric'!$E$6:$E$14,M292)+H292*INDEX('Position_Rubric'!$F$6:$F$14,M292)+I292*INDEX('Position_Rubric'!$G$6:$G$14,M292),1)))))</x:f>
      </x:c>
      <x:c r="K292" s="82" t="str">
        <x:f>IF(AND(ISNUMBER(J292),ISNUMBER(D292)),J292-D292,"")</x:f>
      </x:c>
      <x:c r="L292" s="69" t="str">
        <x:f>IF(COUNT(E292:I292)&lt;5,"Needs component scores",IF(ISNUMBER(J292),"Calculated",J292))</x:f>
        <x:v>Needs component scores</x:v>
      </x:c>
      <x:c r="M292" s="69" t="n">
        <x:f>IF(C292="","",MATCH(C292,'Position_Rubric'!$A$6:$A$14,0))</x:f>
        <x:v>8</x:v>
      </x:c>
      <x:c r="N292" s="69" t="str"/>
    </x:row>
    <x:row r="293" ht="25" customHeight="1">
      <x:c r="A293" s="69" t="str">
        <x:v>summer-S26-0686</x:v>
      </x:c>
      <x:c r="B293" s="69" t="str">
        <x:v>Lucas Michal</x:v>
      </x:c>
      <x:c r="C293" s="69" t="str">
        <x:v>ST</x:v>
      </x:c>
      <x:c r="D293" s="82" t="str">
        <x:f>IF(ISNUMBER('Transfer_Ratings'!K293),'Transfer_Ratings'!K293,"")</x:f>
      </x:c>
      <x:c r="E293" s="86"/>
      <x:c r="F293" s="86"/>
      <x:c r="G293" s="86"/>
      <x:c r="H293" s="86"/>
      <x:c r="I293" s="86"/>
      <x:c r="J293" s="82" t="str">
        <x:f>IF(C293="","Choose position",IF(COUNT(E293:I293)&lt;5,"",IF(OR(MIN(E293:I293)&lt;0.1,MAX(E293:I293)&gt;10),"Invalid score",IF(INDEX('Position_Rubric'!$H$6:$H$14,M293)&lt;&gt;1,"Check weights",ROUND(E293*INDEX('Position_Rubric'!$C$6:$C$14,M293)+F293*INDEX('Position_Rubric'!$D$6:$D$14,M293)+G293*INDEX('Position_Rubric'!$E$6:$E$14,M293)+H293*INDEX('Position_Rubric'!$F$6:$F$14,M293)+I293*INDEX('Position_Rubric'!$G$6:$G$14,M293),1)))))</x:f>
      </x:c>
      <x:c r="K293" s="82" t="str">
        <x:f>IF(AND(ISNUMBER(J293),ISNUMBER(D293)),J293-D293,"")</x:f>
      </x:c>
      <x:c r="L293" s="69" t="str">
        <x:f>IF(COUNT(E293:I293)&lt;5,"Needs component scores",IF(ISNUMBER(J293),"Calculated",J293))</x:f>
        <x:v>Needs component scores</x:v>
      </x:c>
      <x:c r="M293" s="69" t="n">
        <x:f>IF(C293="","",MATCH(C293,'Position_Rubric'!$A$6:$A$14,0))</x:f>
        <x:v>8</x:v>
      </x:c>
      <x:c r="N293" s="69" t="str"/>
    </x:row>
    <x:row r="294" ht="25" customHeight="1">
      <x:c r="A294" s="69" t="str">
        <x:v>summer-S26-0689</x:v>
      </x:c>
      <x:c r="B294" s="69" t="str">
        <x:v>Kieron Bowie</x:v>
      </x:c>
      <x:c r="C294" s="69" t="str">
        <x:v>ST</x:v>
      </x:c>
      <x:c r="D294" s="82" t="str">
        <x:f>IF(ISNUMBER('Transfer_Ratings'!K294),'Transfer_Ratings'!K294,"")</x:f>
      </x:c>
      <x:c r="E294" s="86"/>
      <x:c r="F294" s="86"/>
      <x:c r="G294" s="86"/>
      <x:c r="H294" s="86"/>
      <x:c r="I294" s="86"/>
      <x:c r="J294" s="82" t="str">
        <x:f>IF(C294="","Choose position",IF(COUNT(E294:I294)&lt;5,"",IF(OR(MIN(E294:I294)&lt;0.1,MAX(E294:I294)&gt;10),"Invalid score",IF(INDEX('Position_Rubric'!$H$6:$H$14,M294)&lt;&gt;1,"Check weights",ROUND(E294*INDEX('Position_Rubric'!$C$6:$C$14,M294)+F294*INDEX('Position_Rubric'!$D$6:$D$14,M294)+G294*INDEX('Position_Rubric'!$E$6:$E$14,M294)+H294*INDEX('Position_Rubric'!$F$6:$F$14,M294)+I294*INDEX('Position_Rubric'!$G$6:$G$14,M294),1)))))</x:f>
      </x:c>
      <x:c r="K294" s="82" t="str">
        <x:f>IF(AND(ISNUMBER(J294),ISNUMBER(D294)),J294-D294,"")</x:f>
      </x:c>
      <x:c r="L294" s="69" t="str">
        <x:f>IF(COUNT(E294:I294)&lt;5,"Needs component scores",IF(ISNUMBER(J294),"Calculated",J294))</x:f>
        <x:v>Needs component scores</x:v>
      </x:c>
      <x:c r="M294" s="69" t="n">
        <x:f>IF(C294="","",MATCH(C294,'Position_Rubric'!$A$6:$A$14,0))</x:f>
        <x:v>8</x:v>
      </x:c>
      <x:c r="N294" s="69" t="str"/>
    </x:row>
    <x:row r="295" ht="25" customHeight="1">
      <x:c r="A295" s="69" t="str">
        <x:v>summer-S26-0691</x:v>
      </x:c>
      <x:c r="B295" s="69" t="str">
        <x:v>Josh Maja</x:v>
      </x:c>
      <x:c r="C295" s="69" t="str">
        <x:v>ST</x:v>
      </x:c>
      <x:c r="D295" s="82" t="str">
        <x:f>IF(ISNUMBER('Transfer_Ratings'!K295),'Transfer_Ratings'!K295,"")</x:f>
      </x:c>
      <x:c r="E295" s="86"/>
      <x:c r="F295" s="86"/>
      <x:c r="G295" s="86"/>
      <x:c r="H295" s="86"/>
      <x:c r="I295" s="86"/>
      <x:c r="J295" s="82" t="str">
        <x:f>IF(C295="","Choose position",IF(COUNT(E295:I295)&lt;5,"",IF(OR(MIN(E295:I295)&lt;0.1,MAX(E295:I295)&gt;10),"Invalid score",IF(INDEX('Position_Rubric'!$H$6:$H$14,M295)&lt;&gt;1,"Check weights",ROUND(E295*INDEX('Position_Rubric'!$C$6:$C$14,M295)+F295*INDEX('Position_Rubric'!$D$6:$D$14,M295)+G295*INDEX('Position_Rubric'!$E$6:$E$14,M295)+H295*INDEX('Position_Rubric'!$F$6:$F$14,M295)+I295*INDEX('Position_Rubric'!$G$6:$G$14,M295),1)))))</x:f>
      </x:c>
      <x:c r="K295" s="82" t="str">
        <x:f>IF(AND(ISNUMBER(J295),ISNUMBER(D295)),J295-D295,"")</x:f>
      </x:c>
      <x:c r="L295" s="69" t="str">
        <x:f>IF(COUNT(E295:I295)&lt;5,"Needs component scores",IF(ISNUMBER(J295),"Calculated",J295))</x:f>
        <x:v>Needs component scores</x:v>
      </x:c>
      <x:c r="M295" s="69" t="n">
        <x:f>IF(C295="","",MATCH(C295,'Position_Rubric'!$A$6:$A$14,0))</x:f>
        <x:v>8</x:v>
      </x:c>
      <x:c r="N295" s="69" t="str"/>
    </x:row>
    <x:row r="296" ht="25" customHeight="1">
      <x:c r="A296" s="69" t="str">
        <x:v>summer-S26-0693</x:v>
      </x:c>
      <x:c r="B296" s="69" t="str">
        <x:v>Mason Burstow</x:v>
      </x:c>
      <x:c r="C296" s="69" t="str">
        <x:v>ST</x:v>
      </x:c>
      <x:c r="D296" s="82" t="str">
        <x:f>IF(ISNUMBER('Transfer_Ratings'!K296),'Transfer_Ratings'!K296,"")</x:f>
      </x:c>
      <x:c r="E296" s="86"/>
      <x:c r="F296" s="86"/>
      <x:c r="G296" s="86"/>
      <x:c r="H296" s="86"/>
      <x:c r="I296" s="86"/>
      <x:c r="J296" s="82" t="str">
        <x:f>IF(C296="","Choose position",IF(COUNT(E296:I296)&lt;5,"",IF(OR(MIN(E296:I296)&lt;0.1,MAX(E296:I296)&gt;10),"Invalid score",IF(INDEX('Position_Rubric'!$H$6:$H$14,M296)&lt;&gt;1,"Check weights",ROUND(E296*INDEX('Position_Rubric'!$C$6:$C$14,M296)+F296*INDEX('Position_Rubric'!$D$6:$D$14,M296)+G296*INDEX('Position_Rubric'!$E$6:$E$14,M296)+H296*INDEX('Position_Rubric'!$F$6:$F$14,M296)+I296*INDEX('Position_Rubric'!$G$6:$G$14,M296),1)))))</x:f>
      </x:c>
      <x:c r="K296" s="82" t="str">
        <x:f>IF(AND(ISNUMBER(J296),ISNUMBER(D296)),J296-D296,"")</x:f>
      </x:c>
      <x:c r="L296" s="69" t="str">
        <x:f>IF(COUNT(E296:I296)&lt;5,"Needs component scores",IF(ISNUMBER(J296),"Calculated",J296))</x:f>
        <x:v>Needs component scores</x:v>
      </x:c>
      <x:c r="M296" s="69" t="n">
        <x:f>IF(C296="","",MATCH(C296,'Position_Rubric'!$A$6:$A$14,0))</x:f>
        <x:v>8</x:v>
      </x:c>
      <x:c r="N296" s="69" t="str"/>
    </x:row>
    <x:row r="297" ht="25" customHeight="1">
      <x:c r="A297" s="69" t="str">
        <x:v>summer-S26-0700</x:v>
      </x:c>
      <x:c r="B297" s="69" t="str">
        <x:v>Samuele Mulattieri</x:v>
      </x:c>
      <x:c r="C297" s="69" t="str">
        <x:v>ST</x:v>
      </x:c>
      <x:c r="D297" s="82" t="str">
        <x:f>IF(ISNUMBER('Transfer_Ratings'!K297),'Transfer_Ratings'!K297,"")</x:f>
      </x:c>
      <x:c r="E297" s="86"/>
      <x:c r="F297" s="86"/>
      <x:c r="G297" s="86"/>
      <x:c r="H297" s="86"/>
      <x:c r="I297" s="86"/>
      <x:c r="J297" s="82" t="str">
        <x:f>IF(C297="","Choose position",IF(COUNT(E297:I297)&lt;5,"",IF(OR(MIN(E297:I297)&lt;0.1,MAX(E297:I297)&gt;10),"Invalid score",IF(INDEX('Position_Rubric'!$H$6:$H$14,M297)&lt;&gt;1,"Check weights",ROUND(E297*INDEX('Position_Rubric'!$C$6:$C$14,M297)+F297*INDEX('Position_Rubric'!$D$6:$D$14,M297)+G297*INDEX('Position_Rubric'!$E$6:$E$14,M297)+H297*INDEX('Position_Rubric'!$F$6:$F$14,M297)+I297*INDEX('Position_Rubric'!$G$6:$G$14,M297),1)))))</x:f>
      </x:c>
      <x:c r="K297" s="82" t="str">
        <x:f>IF(AND(ISNUMBER(J297),ISNUMBER(D297)),J297-D297,"")</x:f>
      </x:c>
      <x:c r="L297" s="69" t="str">
        <x:f>IF(COUNT(E297:I297)&lt;5,"Needs component scores",IF(ISNUMBER(J297),"Calculated",J297))</x:f>
        <x:v>Needs component scores</x:v>
      </x:c>
      <x:c r="M297" s="69" t="n">
        <x:f>IF(C297="","",MATCH(C297,'Position_Rubric'!$A$6:$A$14,0))</x:f>
        <x:v>8</x:v>
      </x:c>
      <x:c r="N297" s="69" t="str"/>
    </x:row>
    <x:row r="298" ht="25" customHeight="1">
      <x:c r="A298" s="69" t="str">
        <x:v>summer-S26-0704</x:v>
      </x:c>
      <x:c r="B298" s="69" t="str">
        <x:v>Sam Szmodics</x:v>
      </x:c>
      <x:c r="C298" s="69" t="str">
        <x:v>ST</x:v>
      </x:c>
      <x:c r="D298" s="82" t="str">
        <x:f>IF(ISNUMBER('Transfer_Ratings'!K298),'Transfer_Ratings'!K298,"")</x:f>
      </x:c>
      <x:c r="E298" s="86"/>
      <x:c r="F298" s="86"/>
      <x:c r="G298" s="86"/>
      <x:c r="H298" s="86"/>
      <x:c r="I298" s="86"/>
      <x:c r="J298" s="82" t="str">
        <x:f>IF(C298="","Choose position",IF(COUNT(E298:I298)&lt;5,"",IF(OR(MIN(E298:I298)&lt;0.1,MAX(E298:I298)&gt;10),"Invalid score",IF(INDEX('Position_Rubric'!$H$6:$H$14,M298)&lt;&gt;1,"Check weights",ROUND(E298*INDEX('Position_Rubric'!$C$6:$C$14,M298)+F298*INDEX('Position_Rubric'!$D$6:$D$14,M298)+G298*INDEX('Position_Rubric'!$E$6:$E$14,M298)+H298*INDEX('Position_Rubric'!$F$6:$F$14,M298)+I298*INDEX('Position_Rubric'!$G$6:$G$14,M298),1)))))</x:f>
      </x:c>
      <x:c r="K298" s="82" t="str">
        <x:f>IF(AND(ISNUMBER(J298),ISNUMBER(D298)),J298-D298,"")</x:f>
      </x:c>
      <x:c r="L298" s="69" t="str">
        <x:f>IF(COUNT(E298:I298)&lt;5,"Needs component scores",IF(ISNUMBER(J298),"Calculated",J298))</x:f>
        <x:v>Needs component scores</x:v>
      </x:c>
      <x:c r="M298" s="69" t="n">
        <x:f>IF(C298="","",MATCH(C298,'Position_Rubric'!$A$6:$A$14,0))</x:f>
        <x:v>8</x:v>
      </x:c>
      <x:c r="N298" s="69" t="str"/>
    </x:row>
    <x:row r="299" ht="25" customHeight="1">
      <x:c r="A299" s="69" t="str">
        <x:v>summer-S26-0709</x:v>
      </x:c>
      <x:c r="B299" s="69" t="str">
        <x:v>Danny Welbeck</x:v>
      </x:c>
      <x:c r="C299" s="69" t="str">
        <x:v>ST</x:v>
      </x:c>
      <x:c r="D299" s="82" t="str">
        <x:f>IF(ISNUMBER('Transfer_Ratings'!K299),'Transfer_Ratings'!K299,"")</x:f>
      </x:c>
      <x:c r="E299" s="86"/>
      <x:c r="F299" s="86"/>
      <x:c r="G299" s="86"/>
      <x:c r="H299" s="86"/>
      <x:c r="I299" s="86"/>
      <x:c r="J299" s="82" t="str">
        <x:f>IF(C299="","Choose position",IF(COUNT(E299:I299)&lt;5,"",IF(OR(MIN(E299:I299)&lt;0.1,MAX(E299:I299)&gt;10),"Invalid score",IF(INDEX('Position_Rubric'!$H$6:$H$14,M299)&lt;&gt;1,"Check weights",ROUND(E299*INDEX('Position_Rubric'!$C$6:$C$14,M299)+F299*INDEX('Position_Rubric'!$D$6:$D$14,M299)+G299*INDEX('Position_Rubric'!$E$6:$E$14,M299)+H299*INDEX('Position_Rubric'!$F$6:$F$14,M299)+I299*INDEX('Position_Rubric'!$G$6:$G$14,M299),1)))))</x:f>
      </x:c>
      <x:c r="K299" s="82" t="str">
        <x:f>IF(AND(ISNUMBER(J299),ISNUMBER(D299)),J299-D299,"")</x:f>
      </x:c>
      <x:c r="L299" s="69" t="str">
        <x:f>IF(COUNT(E299:I299)&lt;5,"Needs component scores",IF(ISNUMBER(J299),"Calculated",J299))</x:f>
        <x:v>Needs component scores</x:v>
      </x:c>
      <x:c r="M299" s="69" t="n">
        <x:f>IF(C299="","",MATCH(C299,'Position_Rubric'!$A$6:$A$14,0))</x:f>
        <x:v>8</x:v>
      </x:c>
      <x:c r="N299" s="69" t="str"/>
    </x:row>
    <x:row r="300" ht="25" customHeight="1">
      <x:c r="A300" s="69" t="str">
        <x:v>summer-S26-0720</x:v>
      </x:c>
      <x:c r="B300" s="69" t="str">
        <x:v>Willem Geubbels</x:v>
      </x:c>
      <x:c r="C300" s="69" t="str">
        <x:v>ST</x:v>
      </x:c>
      <x:c r="D300" s="82" t="str">
        <x:f>IF(ISNUMBER('Transfer_Ratings'!K300),'Transfer_Ratings'!K300,"")</x:f>
      </x:c>
      <x:c r="E300" s="86"/>
      <x:c r="F300" s="86"/>
      <x:c r="G300" s="86"/>
      <x:c r="H300" s="86"/>
      <x:c r="I300" s="86"/>
      <x:c r="J300" s="82" t="str">
        <x:f>IF(C300="","Choose position",IF(COUNT(E300:I300)&lt;5,"",IF(OR(MIN(E300:I300)&lt;0.1,MAX(E300:I300)&gt;10),"Invalid score",IF(INDEX('Position_Rubric'!$H$6:$H$14,M300)&lt;&gt;1,"Check weights",ROUND(E300*INDEX('Position_Rubric'!$C$6:$C$14,M300)+F300*INDEX('Position_Rubric'!$D$6:$D$14,M300)+G300*INDEX('Position_Rubric'!$E$6:$E$14,M300)+H300*INDEX('Position_Rubric'!$F$6:$F$14,M300)+I300*INDEX('Position_Rubric'!$G$6:$G$14,M300),1)))))</x:f>
      </x:c>
      <x:c r="K300" s="82" t="str">
        <x:f>IF(AND(ISNUMBER(J300),ISNUMBER(D300)),J300-D300,"")</x:f>
      </x:c>
      <x:c r="L300" s="69" t="str">
        <x:f>IF(COUNT(E300:I300)&lt;5,"Needs component scores",IF(ISNUMBER(J300),"Calculated",J300))</x:f>
        <x:v>Needs component scores</x:v>
      </x:c>
      <x:c r="M300" s="69" t="n">
        <x:f>IF(C300="","",MATCH(C300,'Position_Rubric'!$A$6:$A$14,0))</x:f>
        <x:v>8</x:v>
      </x:c>
      <x:c r="N300" s="69" t="str"/>
    </x:row>
    <x:row r="301" ht="25" customHeight="1">
      <x:c r="A301" s="69" t="str">
        <x:v>summer-S26-0722</x:v>
      </x:c>
      <x:c r="B301" s="69" t="str">
        <x:v>Emmanuel Latte Lath</x:v>
      </x:c>
      <x:c r="C301" s="69" t="str">
        <x:v>ST</x:v>
      </x:c>
      <x:c r="D301" s="82" t="str">
        <x:f>IF(ISNUMBER('Transfer_Ratings'!K301),'Transfer_Ratings'!K301,"")</x:f>
      </x:c>
      <x:c r="E301" s="86"/>
      <x:c r="F301" s="86"/>
      <x:c r="G301" s="86"/>
      <x:c r="H301" s="86"/>
      <x:c r="I301" s="86"/>
      <x:c r="J301" s="82" t="str">
        <x:f>IF(C301="","Choose position",IF(COUNT(E301:I301)&lt;5,"",IF(OR(MIN(E301:I301)&lt;0.1,MAX(E301:I301)&gt;10),"Invalid score",IF(INDEX('Position_Rubric'!$H$6:$H$14,M301)&lt;&gt;1,"Check weights",ROUND(E301*INDEX('Position_Rubric'!$C$6:$C$14,M301)+F301*INDEX('Position_Rubric'!$D$6:$D$14,M301)+G301*INDEX('Position_Rubric'!$E$6:$E$14,M301)+H301*INDEX('Position_Rubric'!$F$6:$F$14,M301)+I301*INDEX('Position_Rubric'!$G$6:$G$14,M301),1)))))</x:f>
      </x:c>
      <x:c r="K301" s="82" t="str">
        <x:f>IF(AND(ISNUMBER(J301),ISNUMBER(D301)),J301-D301,"")</x:f>
      </x:c>
      <x:c r="L301" s="69" t="str">
        <x:f>IF(COUNT(E301:I301)&lt;5,"Needs component scores",IF(ISNUMBER(J301),"Calculated",J301))</x:f>
        <x:v>Needs component scores</x:v>
      </x:c>
      <x:c r="M301" s="69" t="n">
        <x:f>IF(C301="","",MATCH(C301,'Position_Rubric'!$A$6:$A$14,0))</x:f>
        <x:v>8</x:v>
      </x:c>
      <x:c r="N301" s="69" t="str"/>
    </x:row>
    <x:row r="302" ht="25" customHeight="1">
      <x:c r="A302" s="69" t="str">
        <x:v>summer-S26-0724</x:v>
      </x:c>
      <x:c r="B302" s="69" t="str">
        <x:v>Randal Kolo Muani</x:v>
      </x:c>
      <x:c r="C302" s="69" t="str">
        <x:v>ST</x:v>
      </x:c>
      <x:c r="D302" s="82" t="str">
        <x:f>IF(ISNUMBER('Transfer_Ratings'!K302),'Transfer_Ratings'!K302,"")</x:f>
      </x:c>
      <x:c r="E302" s="86"/>
      <x:c r="F302" s="86"/>
      <x:c r="G302" s="86"/>
      <x:c r="H302" s="86"/>
      <x:c r="I302" s="86"/>
      <x:c r="J302" s="82" t="str">
        <x:f>IF(C302="","Choose position",IF(COUNT(E302:I302)&lt;5,"",IF(OR(MIN(E302:I302)&lt;0.1,MAX(E302:I302)&gt;10),"Invalid score",IF(INDEX('Position_Rubric'!$H$6:$H$14,M302)&lt;&gt;1,"Check weights",ROUND(E302*INDEX('Position_Rubric'!$C$6:$C$14,M302)+F302*INDEX('Position_Rubric'!$D$6:$D$14,M302)+G302*INDEX('Position_Rubric'!$E$6:$E$14,M302)+H302*INDEX('Position_Rubric'!$F$6:$F$14,M302)+I302*INDEX('Position_Rubric'!$G$6:$G$14,M302),1)))))</x:f>
      </x:c>
      <x:c r="K302" s="82" t="str">
        <x:f>IF(AND(ISNUMBER(J302),ISNUMBER(D302)),J302-D302,"")</x:f>
      </x:c>
      <x:c r="L302" s="69" t="str">
        <x:f>IF(COUNT(E302:I302)&lt;5,"Needs component scores",IF(ISNUMBER(J302),"Calculated",J302))</x:f>
        <x:v>Needs component scores</x:v>
      </x:c>
      <x:c r="M302" s="69" t="n">
        <x:f>IF(C302="","",MATCH(C302,'Position_Rubric'!$A$6:$A$14,0))</x:f>
        <x:v>8</x:v>
      </x:c>
      <x:c r="N302" s="69" t="str"/>
    </x:row>
    <x:row r="303" ht="25" customHeight="1">
      <x:c r="A303" s="69" t="str">
        <x:v>summer-S26-0729</x:v>
      </x:c>
      <x:c r="B303" s="69" t="str">
        <x:v>Konstantinos Karetsas</x:v>
      </x:c>
      <x:c r="C303" s="69" t="str">
        <x:v>ST</x:v>
      </x:c>
      <x:c r="D303" s="82" t="str">
        <x:f>IF(ISNUMBER('Transfer_Ratings'!K303),'Transfer_Ratings'!K303,"")</x:f>
      </x:c>
      <x:c r="E303" s="86"/>
      <x:c r="F303" s="86"/>
      <x:c r="G303" s="86"/>
      <x:c r="H303" s="86"/>
      <x:c r="I303" s="86"/>
      <x:c r="J303" s="82" t="str">
        <x:f>IF(C303="","Choose position",IF(COUNT(E303:I303)&lt;5,"",IF(OR(MIN(E303:I303)&lt;0.1,MAX(E303:I303)&gt;10),"Invalid score",IF(INDEX('Position_Rubric'!$H$6:$H$14,M303)&lt;&gt;1,"Check weights",ROUND(E303*INDEX('Position_Rubric'!$C$6:$C$14,M303)+F303*INDEX('Position_Rubric'!$D$6:$D$14,M303)+G303*INDEX('Position_Rubric'!$E$6:$E$14,M303)+H303*INDEX('Position_Rubric'!$F$6:$F$14,M303)+I303*INDEX('Position_Rubric'!$G$6:$G$14,M303),1)))))</x:f>
      </x:c>
      <x:c r="K303" s="82" t="str">
        <x:f>IF(AND(ISNUMBER(J303),ISNUMBER(D303)),J303-D303,"")</x:f>
      </x:c>
      <x:c r="L303" s="69" t="str">
        <x:f>IF(COUNT(E303:I303)&lt;5,"Needs component scores",IF(ISNUMBER(J303),"Calculated",J303))</x:f>
        <x:v>Needs component scores</x:v>
      </x:c>
      <x:c r="M303" s="69" t="n">
        <x:f>IF(C303="","",MATCH(C303,'Position_Rubric'!$A$6:$A$14,0))</x:f>
        <x:v>8</x:v>
      </x:c>
      <x:c r="N303" s="69" t="str"/>
    </x:row>
    <x:row r="304" ht="25" customHeight="1">
      <x:c r="A304" s="69" t="str">
        <x:v>summer-S26-0733</x:v>
      </x:c>
      <x:c r="B304" s="69" t="str">
        <x:v>Dominic Vavassori</x:v>
      </x:c>
      <x:c r="C304" s="69" t="str">
        <x:v>ST</x:v>
      </x:c>
      <x:c r="D304" s="82" t="str">
        <x:f>IF(ISNUMBER('Transfer_Ratings'!K304),'Transfer_Ratings'!K304,"")</x:f>
      </x:c>
      <x:c r="E304" s="86"/>
      <x:c r="F304" s="86"/>
      <x:c r="G304" s="86"/>
      <x:c r="H304" s="86"/>
      <x:c r="I304" s="86"/>
      <x:c r="J304" s="82" t="str">
        <x:f>IF(C304="","Choose position",IF(COUNT(E304:I304)&lt;5,"",IF(OR(MIN(E304:I304)&lt;0.1,MAX(E304:I304)&gt;10),"Invalid score",IF(INDEX('Position_Rubric'!$H$6:$H$14,M304)&lt;&gt;1,"Check weights",ROUND(E304*INDEX('Position_Rubric'!$C$6:$C$14,M304)+F304*INDEX('Position_Rubric'!$D$6:$D$14,M304)+G304*INDEX('Position_Rubric'!$E$6:$E$14,M304)+H304*INDEX('Position_Rubric'!$F$6:$F$14,M304)+I304*INDEX('Position_Rubric'!$G$6:$G$14,M304),1)))))</x:f>
      </x:c>
      <x:c r="K304" s="82" t="str">
        <x:f>IF(AND(ISNUMBER(J304),ISNUMBER(D304)),J304-D304,"")</x:f>
      </x:c>
      <x:c r="L304" s="69" t="str">
        <x:f>IF(COUNT(E304:I304)&lt;5,"Needs component scores",IF(ISNUMBER(J304),"Calculated",J304))</x:f>
        <x:v>Needs component scores</x:v>
      </x:c>
      <x:c r="M304" s="69" t="n">
        <x:f>IF(C304="","",MATCH(C304,'Position_Rubric'!$A$6:$A$14,0))</x:f>
        <x:v>8</x:v>
      </x:c>
      <x:c r="N304" s="69" t="str"/>
    </x:row>
    <x:row r="305" ht="25" customHeight="1">
      <x:c r="A305" s="69" t="str">
        <x:v>summer-S26-0741</x:v>
      </x:c>
      <x:c r="B305" s="69" t="str">
        <x:v>Gonzalo García</x:v>
      </x:c>
      <x:c r="C305" s="69" t="str">
        <x:v>ST</x:v>
      </x:c>
      <x:c r="D305" s="82" t="str">
        <x:f>IF(ISNUMBER('Transfer_Ratings'!K305),'Transfer_Ratings'!K305,"")</x:f>
      </x:c>
      <x:c r="E305" s="86"/>
      <x:c r="F305" s="86"/>
      <x:c r="G305" s="86"/>
      <x:c r="H305" s="86"/>
      <x:c r="I305" s="86"/>
      <x:c r="J305" s="82" t="str">
        <x:f>IF(C305="","Choose position",IF(COUNT(E305:I305)&lt;5,"",IF(OR(MIN(E305:I305)&lt;0.1,MAX(E305:I305)&gt;10),"Invalid score",IF(INDEX('Position_Rubric'!$H$6:$H$14,M305)&lt;&gt;1,"Check weights",ROUND(E305*INDEX('Position_Rubric'!$C$6:$C$14,M305)+F305*INDEX('Position_Rubric'!$D$6:$D$14,M305)+G305*INDEX('Position_Rubric'!$E$6:$E$14,M305)+H305*INDEX('Position_Rubric'!$F$6:$F$14,M305)+I305*INDEX('Position_Rubric'!$G$6:$G$14,M305),1)))))</x:f>
      </x:c>
      <x:c r="K305" s="82" t="str">
        <x:f>IF(AND(ISNUMBER(J305),ISNUMBER(D305)),J305-D305,"")</x:f>
      </x:c>
      <x:c r="L305" s="69" t="str">
        <x:f>IF(COUNT(E305:I305)&lt;5,"Needs component scores",IF(ISNUMBER(J305),"Calculated",J305))</x:f>
        <x:v>Needs component scores</x:v>
      </x:c>
      <x:c r="M305" s="69" t="n">
        <x:f>IF(C305="","",MATCH(C305,'Position_Rubric'!$A$6:$A$14,0))</x:f>
        <x:v>8</x:v>
      </x:c>
      <x:c r="N305" s="69" t="str"/>
    </x:row>
    <x:row r="306" ht="25" customHeight="1">
      <x:c r="A306" s="69" t="str">
        <x:v>summer-S26-0748</x:v>
      </x:c>
      <x:c r="B306" s="69" t="str">
        <x:v>Ahmed Abdullahi</x:v>
      </x:c>
      <x:c r="C306" s="69" t="str">
        <x:v>ST</x:v>
      </x:c>
      <x:c r="D306" s="82" t="str">
        <x:f>IF(ISNUMBER('Transfer_Ratings'!K306),'Transfer_Ratings'!K306,"")</x:f>
      </x:c>
      <x:c r="E306" s="86"/>
      <x:c r="F306" s="86"/>
      <x:c r="G306" s="86"/>
      <x:c r="H306" s="86"/>
      <x:c r="I306" s="86"/>
      <x:c r="J306" s="82" t="str">
        <x:f>IF(C306="","Choose position",IF(COUNT(E306:I306)&lt;5,"",IF(OR(MIN(E306:I306)&lt;0.1,MAX(E306:I306)&gt;10),"Invalid score",IF(INDEX('Position_Rubric'!$H$6:$H$14,M306)&lt;&gt;1,"Check weights",ROUND(E306*INDEX('Position_Rubric'!$C$6:$C$14,M306)+F306*INDEX('Position_Rubric'!$D$6:$D$14,M306)+G306*INDEX('Position_Rubric'!$E$6:$E$14,M306)+H306*INDEX('Position_Rubric'!$F$6:$F$14,M306)+I306*INDEX('Position_Rubric'!$G$6:$G$14,M306),1)))))</x:f>
      </x:c>
      <x:c r="K306" s="82" t="str">
        <x:f>IF(AND(ISNUMBER(J306),ISNUMBER(D306)),J306-D306,"")</x:f>
      </x:c>
      <x:c r="L306" s="69" t="str">
        <x:f>IF(COUNT(E306:I306)&lt;5,"Needs component scores",IF(ISNUMBER(J306),"Calculated",J306))</x:f>
        <x:v>Needs component scores</x:v>
      </x:c>
      <x:c r="M306" s="69" t="n">
        <x:f>IF(C306="","",MATCH(C306,'Position_Rubric'!$A$6:$A$14,0))</x:f>
        <x:v>8</x:v>
      </x:c>
      <x:c r="N306" s="69" t="str"/>
    </x:row>
    <x:row r="307" ht="25" customHeight="1">
      <x:c r="A307" s="69" t="str">
        <x:v>summer-S26-0749</x:v>
      </x:c>
      <x:c r="B307" s="69" t="str">
        <x:v>Leonardo Cerri</x:v>
      </x:c>
      <x:c r="C307" s="69" t="str">
        <x:v>ST</x:v>
      </x:c>
      <x:c r="D307" s="82" t="str">
        <x:f>IF(ISNUMBER('Transfer_Ratings'!K307),'Transfer_Ratings'!K307,"")</x:f>
      </x:c>
      <x:c r="E307" s="86"/>
      <x:c r="F307" s="86"/>
      <x:c r="G307" s="86"/>
      <x:c r="H307" s="86"/>
      <x:c r="I307" s="86"/>
      <x:c r="J307" s="82" t="str">
        <x:f>IF(C307="","Choose position",IF(COUNT(E307:I307)&lt;5,"",IF(OR(MIN(E307:I307)&lt;0.1,MAX(E307:I307)&gt;10),"Invalid score",IF(INDEX('Position_Rubric'!$H$6:$H$14,M307)&lt;&gt;1,"Check weights",ROUND(E307*INDEX('Position_Rubric'!$C$6:$C$14,M307)+F307*INDEX('Position_Rubric'!$D$6:$D$14,M307)+G307*INDEX('Position_Rubric'!$E$6:$E$14,M307)+H307*INDEX('Position_Rubric'!$F$6:$F$14,M307)+I307*INDEX('Position_Rubric'!$G$6:$G$14,M307),1)))))</x:f>
      </x:c>
      <x:c r="K307" s="82" t="str">
        <x:f>IF(AND(ISNUMBER(J307),ISNUMBER(D307)),J307-D307,"")</x:f>
      </x:c>
      <x:c r="L307" s="69" t="str">
        <x:f>IF(COUNT(E307:I307)&lt;5,"Needs component scores",IF(ISNUMBER(J307),"Calculated",J307))</x:f>
        <x:v>Needs component scores</x:v>
      </x:c>
      <x:c r="M307" s="69" t="n">
        <x:f>IF(C307="","",MATCH(C307,'Position_Rubric'!$A$6:$A$14,0))</x:f>
        <x:v>8</x:v>
      </x:c>
      <x:c r="N307" s="69" t="str"/>
    </x:row>
    <x:row r="308" ht="25" customHeight="1">
      <x:c r="A308" s="69" t="str">
        <x:v>summer-S26-0752</x:v>
      </x:c>
      <x:c r="B308" s="69" t="str">
        <x:v>Rafa Mir</x:v>
      </x:c>
      <x:c r="C308" s="69" t="str">
        <x:v>ST</x:v>
      </x:c>
      <x:c r="D308" s="82" t="str">
        <x:f>IF(ISNUMBER('Transfer_Ratings'!K308),'Transfer_Ratings'!K308,"")</x:f>
      </x:c>
      <x:c r="E308" s="86"/>
      <x:c r="F308" s="86"/>
      <x:c r="G308" s="86"/>
      <x:c r="H308" s="86"/>
      <x:c r="I308" s="86"/>
      <x:c r="J308" s="82" t="str">
        <x:f>IF(C308="","Choose position",IF(COUNT(E308:I308)&lt;5,"",IF(OR(MIN(E308:I308)&lt;0.1,MAX(E308:I308)&gt;10),"Invalid score",IF(INDEX('Position_Rubric'!$H$6:$H$14,M308)&lt;&gt;1,"Check weights",ROUND(E308*INDEX('Position_Rubric'!$C$6:$C$14,M308)+F308*INDEX('Position_Rubric'!$D$6:$D$14,M308)+G308*INDEX('Position_Rubric'!$E$6:$E$14,M308)+H308*INDEX('Position_Rubric'!$F$6:$F$14,M308)+I308*INDEX('Position_Rubric'!$G$6:$G$14,M308),1)))))</x:f>
      </x:c>
      <x:c r="K308" s="82" t="str">
        <x:f>IF(AND(ISNUMBER(J308),ISNUMBER(D308)),J308-D308,"")</x:f>
      </x:c>
      <x:c r="L308" s="69" t="str">
        <x:f>IF(COUNT(E308:I308)&lt;5,"Needs component scores",IF(ISNUMBER(J308),"Calculated",J308))</x:f>
        <x:v>Needs component scores</x:v>
      </x:c>
      <x:c r="M308" s="69" t="n">
        <x:f>IF(C308="","",MATCH(C308,'Position_Rubric'!$A$6:$A$14,0))</x:f>
        <x:v>8</x:v>
      </x:c>
      <x:c r="N308" s="69" t="str"/>
    </x:row>
    <x:row r="309" ht="25" customHeight="1">
      <x:c r="A309" s="69" t="str">
        <x:v>summer-S26-0758</x:v>
      </x:c>
      <x:c r="B309" s="69" t="str">
        <x:v>Alessandro Debenedetti</x:v>
      </x:c>
      <x:c r="C309" s="69" t="str">
        <x:v>ST</x:v>
      </x:c>
      <x:c r="D309" s="82" t="str">
        <x:f>IF(ISNUMBER('Transfer_Ratings'!K309),'Transfer_Ratings'!K309,"")</x:f>
      </x:c>
      <x:c r="E309" s="86"/>
      <x:c r="F309" s="86"/>
      <x:c r="G309" s="86"/>
      <x:c r="H309" s="86"/>
      <x:c r="I309" s="86"/>
      <x:c r="J309" s="82" t="str">
        <x:f>IF(C309="","Choose position",IF(COUNT(E309:I309)&lt;5,"",IF(OR(MIN(E309:I309)&lt;0.1,MAX(E309:I309)&gt;10),"Invalid score",IF(INDEX('Position_Rubric'!$H$6:$H$14,M309)&lt;&gt;1,"Check weights",ROUND(E309*INDEX('Position_Rubric'!$C$6:$C$14,M309)+F309*INDEX('Position_Rubric'!$D$6:$D$14,M309)+G309*INDEX('Position_Rubric'!$E$6:$E$14,M309)+H309*INDEX('Position_Rubric'!$F$6:$F$14,M309)+I309*INDEX('Position_Rubric'!$G$6:$G$14,M309),1)))))</x:f>
      </x:c>
      <x:c r="K309" s="82" t="str">
        <x:f>IF(AND(ISNUMBER(J309),ISNUMBER(D309)),J309-D309,"")</x:f>
      </x:c>
      <x:c r="L309" s="69" t="str">
        <x:f>IF(COUNT(E309:I309)&lt;5,"Needs component scores",IF(ISNUMBER(J309),"Calculated",J309))</x:f>
        <x:v>Needs component scores</x:v>
      </x:c>
      <x:c r="M309" s="69" t="n">
        <x:f>IF(C309="","",MATCH(C309,'Position_Rubric'!$A$6:$A$14,0))</x:f>
        <x:v>8</x:v>
      </x:c>
      <x:c r="N309" s="69" t="str"/>
    </x:row>
    <x:row r="310" ht="25" customHeight="1">
      <x:c r="A310" s="69" t="str">
        <x:v>summer-S26-0761</x:v>
      </x:c>
      <x:c r="B310" s="69" t="str">
        <x:v>Mohamed Salah</x:v>
      </x:c>
      <x:c r="C310" s="69" t="str">
        <x:v>ST</x:v>
      </x:c>
      <x:c r="D310" s="82" t="str">
        <x:f>IF(ISNUMBER('Transfer_Ratings'!K310),'Transfer_Ratings'!K310,"")</x:f>
      </x:c>
      <x:c r="E310" s="86"/>
      <x:c r="F310" s="86"/>
      <x:c r="G310" s="86"/>
      <x:c r="H310" s="86"/>
      <x:c r="I310" s="86"/>
      <x:c r="J310" s="82" t="str">
        <x:f>IF(C310="","Choose position",IF(COUNT(E310:I310)&lt;5,"",IF(OR(MIN(E310:I310)&lt;0.1,MAX(E310:I310)&gt;10),"Invalid score",IF(INDEX('Position_Rubric'!$H$6:$H$14,M310)&lt;&gt;1,"Check weights",ROUND(E310*INDEX('Position_Rubric'!$C$6:$C$14,M310)+F310*INDEX('Position_Rubric'!$D$6:$D$14,M310)+G310*INDEX('Position_Rubric'!$E$6:$E$14,M310)+H310*INDEX('Position_Rubric'!$F$6:$F$14,M310)+I310*INDEX('Position_Rubric'!$G$6:$G$14,M310),1)))))</x:f>
      </x:c>
      <x:c r="K310" s="82" t="str">
        <x:f>IF(AND(ISNUMBER(J310),ISNUMBER(D310)),J310-D310,"")</x:f>
      </x:c>
      <x:c r="L310" s="69" t="str">
        <x:f>IF(COUNT(E310:I310)&lt;5,"Needs component scores",IF(ISNUMBER(J310),"Calculated",J310))</x:f>
        <x:v>Needs component scores</x:v>
      </x:c>
      <x:c r="M310" s="69" t="n">
        <x:f>IF(C310="","",MATCH(C310,'Position_Rubric'!$A$6:$A$14,0))</x:f>
        <x:v>8</x:v>
      </x:c>
      <x:c r="N310" s="69" t="str"/>
    </x:row>
    <x:row r="311" ht="25" customHeight="1">
      <x:c r="A311" s="69" t="str">
        <x:v>summer-S26-0762</x:v>
      </x:c>
      <x:c r="B311" s="69" t="str">
        <x:v>Yassir Zabiri</x:v>
      </x:c>
      <x:c r="C311" s="69" t="str">
        <x:v>ST</x:v>
      </x:c>
      <x:c r="D311" s="82" t="str">
        <x:f>IF(ISNUMBER('Transfer_Ratings'!K311),'Transfer_Ratings'!K311,"")</x:f>
      </x:c>
      <x:c r="E311" s="86"/>
      <x:c r="F311" s="86"/>
      <x:c r="G311" s="86"/>
      <x:c r="H311" s="86"/>
      <x:c r="I311" s="86"/>
      <x:c r="J311" s="82" t="str">
        <x:f>IF(C311="","Choose position",IF(COUNT(E311:I311)&lt;5,"",IF(OR(MIN(E311:I311)&lt;0.1,MAX(E311:I311)&gt;10),"Invalid score",IF(INDEX('Position_Rubric'!$H$6:$H$14,M311)&lt;&gt;1,"Check weights",ROUND(E311*INDEX('Position_Rubric'!$C$6:$C$14,M311)+F311*INDEX('Position_Rubric'!$D$6:$D$14,M311)+G311*INDEX('Position_Rubric'!$E$6:$E$14,M311)+H311*INDEX('Position_Rubric'!$F$6:$F$14,M311)+I311*INDEX('Position_Rubric'!$G$6:$G$14,M311),1)))))</x:f>
      </x:c>
      <x:c r="K311" s="82" t="str">
        <x:f>IF(AND(ISNUMBER(J311),ISNUMBER(D311)),J311-D311,"")</x:f>
      </x:c>
      <x:c r="L311" s="69" t="str">
        <x:f>IF(COUNT(E311:I311)&lt;5,"Needs component scores",IF(ISNUMBER(J311),"Calculated",J311))</x:f>
        <x:v>Needs component scores</x:v>
      </x:c>
      <x:c r="M311" s="69" t="n">
        <x:f>IF(C311="","",MATCH(C311,'Position_Rubric'!$A$6:$A$14,0))</x:f>
        <x:v>8</x:v>
      </x:c>
      <x:c r="N311" s="69" t="str"/>
    </x:row>
    <x:row r="312" ht="25" customHeight="1">
      <x:c r="A312" s="69" t="str">
        <x:v>summer-S26-0770</x:v>
      </x:c>
      <x:c r="B312" s="69" t="str">
        <x:v>David Ankeye</x:v>
      </x:c>
      <x:c r="C312" s="69" t="str">
        <x:v>ST</x:v>
      </x:c>
      <x:c r="D312" s="82" t="str">
        <x:f>IF(ISNUMBER('Transfer_Ratings'!K312),'Transfer_Ratings'!K312,"")</x:f>
      </x:c>
      <x:c r="E312" s="86"/>
      <x:c r="F312" s="86"/>
      <x:c r="G312" s="86"/>
      <x:c r="H312" s="86"/>
      <x:c r="I312" s="86"/>
      <x:c r="J312" s="82" t="str">
        <x:f>IF(C312="","Choose position",IF(COUNT(E312:I312)&lt;5,"",IF(OR(MIN(E312:I312)&lt;0.1,MAX(E312:I312)&gt;10),"Invalid score",IF(INDEX('Position_Rubric'!$H$6:$H$14,M312)&lt;&gt;1,"Check weights",ROUND(E312*INDEX('Position_Rubric'!$C$6:$C$14,M312)+F312*INDEX('Position_Rubric'!$D$6:$D$14,M312)+G312*INDEX('Position_Rubric'!$E$6:$E$14,M312)+H312*INDEX('Position_Rubric'!$F$6:$F$14,M312)+I312*INDEX('Position_Rubric'!$G$6:$G$14,M312),1)))))</x:f>
      </x:c>
      <x:c r="K312" s="82" t="str">
        <x:f>IF(AND(ISNUMBER(J312),ISNUMBER(D312)),J312-D312,"")</x:f>
      </x:c>
      <x:c r="L312" s="69" t="str">
        <x:f>IF(COUNT(E312:I312)&lt;5,"Needs component scores",IF(ISNUMBER(J312),"Calculated",J312))</x:f>
        <x:v>Needs component scores</x:v>
      </x:c>
      <x:c r="M312" s="69" t="n">
        <x:f>IF(C312="","",MATCH(C312,'Position_Rubric'!$A$6:$A$14,0))</x:f>
        <x:v>8</x:v>
      </x:c>
      <x:c r="N312" s="69" t="str"/>
    </x:row>
    <x:row r="313" ht="25" customHeight="1">
      <x:c r="A313" s="69" t="str">
        <x:v>summer-S26-0774</x:v>
      </x:c>
      <x:c r="B313" s="69" t="str">
        <x:v>Gabriele Pessolani</x:v>
      </x:c>
      <x:c r="C313" s="69" t="str">
        <x:v>ST</x:v>
      </x:c>
      <x:c r="D313" s="82" t="str">
        <x:f>IF(ISNUMBER('Transfer_Ratings'!K313),'Transfer_Ratings'!K313,"")</x:f>
      </x:c>
      <x:c r="E313" s="86"/>
      <x:c r="F313" s="86"/>
      <x:c r="G313" s="86"/>
      <x:c r="H313" s="86"/>
      <x:c r="I313" s="86"/>
      <x:c r="J313" s="82" t="str">
        <x:f>IF(C313="","Choose position",IF(COUNT(E313:I313)&lt;5,"",IF(OR(MIN(E313:I313)&lt;0.1,MAX(E313:I313)&gt;10),"Invalid score",IF(INDEX('Position_Rubric'!$H$6:$H$14,M313)&lt;&gt;1,"Check weights",ROUND(E313*INDEX('Position_Rubric'!$C$6:$C$14,M313)+F313*INDEX('Position_Rubric'!$D$6:$D$14,M313)+G313*INDEX('Position_Rubric'!$E$6:$E$14,M313)+H313*INDEX('Position_Rubric'!$F$6:$F$14,M313)+I313*INDEX('Position_Rubric'!$G$6:$G$14,M313),1)))))</x:f>
      </x:c>
      <x:c r="K313" s="82" t="str">
        <x:f>IF(AND(ISNUMBER(J313),ISNUMBER(D313)),J313-D313,"")</x:f>
      </x:c>
      <x:c r="L313" s="69" t="str">
        <x:f>IF(COUNT(E313:I313)&lt;5,"Needs component scores",IF(ISNUMBER(J313),"Calculated",J313))</x:f>
        <x:v>Needs component scores</x:v>
      </x:c>
      <x:c r="M313" s="69" t="n">
        <x:f>IF(C313="","",MATCH(C313,'Position_Rubric'!$A$6:$A$14,0))</x:f>
        <x:v>8</x:v>
      </x:c>
      <x:c r="N313" s="69" t="str"/>
    </x:row>
    <x:row r="314" ht="25" customHeight="1">
      <x:c r="A314" s="69" t="str">
        <x:v>summer-S26-0790</x:v>
      </x:c>
      <x:c r="B314" s="69" t="str">
        <x:v>Kevin Fustini</x:v>
      </x:c>
      <x:c r="C314" s="69" t="str">
        <x:v>ST</x:v>
      </x:c>
      <x:c r="D314" s="82" t="str">
        <x:f>IF(ISNUMBER('Transfer_Ratings'!K314),'Transfer_Ratings'!K314,"")</x:f>
      </x:c>
      <x:c r="E314" s="86"/>
      <x:c r="F314" s="86"/>
      <x:c r="G314" s="86"/>
      <x:c r="H314" s="86"/>
      <x:c r="I314" s="86"/>
      <x:c r="J314" s="82" t="str">
        <x:f>IF(C314="","Choose position",IF(COUNT(E314:I314)&lt;5,"",IF(OR(MIN(E314:I314)&lt;0.1,MAX(E314:I314)&gt;10),"Invalid score",IF(INDEX('Position_Rubric'!$H$6:$H$14,M314)&lt;&gt;1,"Check weights",ROUND(E314*INDEX('Position_Rubric'!$C$6:$C$14,M314)+F314*INDEX('Position_Rubric'!$D$6:$D$14,M314)+G314*INDEX('Position_Rubric'!$E$6:$E$14,M314)+H314*INDEX('Position_Rubric'!$F$6:$F$14,M314)+I314*INDEX('Position_Rubric'!$G$6:$G$14,M314),1)))))</x:f>
      </x:c>
      <x:c r="K314" s="82" t="str">
        <x:f>IF(AND(ISNUMBER(J314),ISNUMBER(D314)),J314-D314,"")</x:f>
      </x:c>
      <x:c r="L314" s="69" t="str">
        <x:f>IF(COUNT(E314:I314)&lt;5,"Needs component scores",IF(ISNUMBER(J314),"Calculated",J314))</x:f>
        <x:v>Needs component scores</x:v>
      </x:c>
      <x:c r="M314" s="69" t="n">
        <x:f>IF(C314="","",MATCH(C314,'Position_Rubric'!$A$6:$A$14,0))</x:f>
        <x:v>8</x:v>
      </x:c>
      <x:c r="N314" s="69" t="str"/>
    </x:row>
    <x:row r="315" ht="25" customHeight="1">
      <x:c r="A315" s="69" t="str">
        <x:v>summer-S26-0803</x:v>
      </x:c>
      <x:c r="B315" s="69" t="str">
        <x:v>El Bilal Touré</x:v>
      </x:c>
      <x:c r="C315" s="69" t="str">
        <x:v>ST</x:v>
      </x:c>
      <x:c r="D315" s="82" t="str">
        <x:f>IF(ISNUMBER('Transfer_Ratings'!K315),'Transfer_Ratings'!K315,"")</x:f>
      </x:c>
      <x:c r="E315" s="86"/>
      <x:c r="F315" s="86"/>
      <x:c r="G315" s="86"/>
      <x:c r="H315" s="86"/>
      <x:c r="I315" s="86"/>
      <x:c r="J315" s="82" t="str">
        <x:f>IF(C315="","Choose position",IF(COUNT(E315:I315)&lt;5,"",IF(OR(MIN(E315:I315)&lt;0.1,MAX(E315:I315)&gt;10),"Invalid score",IF(INDEX('Position_Rubric'!$H$6:$H$14,M315)&lt;&gt;1,"Check weights",ROUND(E315*INDEX('Position_Rubric'!$C$6:$C$14,M315)+F315*INDEX('Position_Rubric'!$D$6:$D$14,M315)+G315*INDEX('Position_Rubric'!$E$6:$E$14,M315)+H315*INDEX('Position_Rubric'!$F$6:$F$14,M315)+I315*INDEX('Position_Rubric'!$G$6:$G$14,M315),1)))))</x:f>
      </x:c>
      <x:c r="K315" s="82" t="str">
        <x:f>IF(AND(ISNUMBER(J315),ISNUMBER(D315)),J315-D315,"")</x:f>
      </x:c>
      <x:c r="L315" s="69" t="str">
        <x:f>IF(COUNT(E315:I315)&lt;5,"Needs component scores",IF(ISNUMBER(J315),"Calculated",J315))</x:f>
        <x:v>Needs component scores</x:v>
      </x:c>
      <x:c r="M315" s="69" t="n">
        <x:f>IF(C315="","",MATCH(C315,'Position_Rubric'!$A$6:$A$14,0))</x:f>
        <x:v>8</x:v>
      </x:c>
      <x:c r="N315" s="69" t="str"/>
    </x:row>
    <x:row r="316" ht="25" customHeight="1">
      <x:c r="A316" s="69" t="str">
        <x:v>summer-S26-0830</x:v>
      </x:c>
      <x:c r="B316" s="69" t="str">
        <x:v>Yanis Musuayi</x:v>
      </x:c>
      <x:c r="C316" s="69" t="str">
        <x:v>ST</x:v>
      </x:c>
      <x:c r="D316" s="82" t="str">
        <x:f>IF(ISNUMBER('Transfer_Ratings'!K316),'Transfer_Ratings'!K316,"")</x:f>
      </x:c>
      <x:c r="E316" s="86"/>
      <x:c r="F316" s="86"/>
      <x:c r="G316" s="86"/>
      <x:c r="H316" s="86"/>
      <x:c r="I316" s="86"/>
      <x:c r="J316" s="82" t="str">
        <x:f>IF(C316="","Choose position",IF(COUNT(E316:I316)&lt;5,"",IF(OR(MIN(E316:I316)&lt;0.1,MAX(E316:I316)&gt;10),"Invalid score",IF(INDEX('Position_Rubric'!$H$6:$H$14,M316)&lt;&gt;1,"Check weights",ROUND(E316*INDEX('Position_Rubric'!$C$6:$C$14,M316)+F316*INDEX('Position_Rubric'!$D$6:$D$14,M316)+G316*INDEX('Position_Rubric'!$E$6:$E$14,M316)+H316*INDEX('Position_Rubric'!$F$6:$F$14,M316)+I316*INDEX('Position_Rubric'!$G$6:$G$14,M316),1)))))</x:f>
      </x:c>
      <x:c r="K316" s="82" t="str">
        <x:f>IF(AND(ISNUMBER(J316),ISNUMBER(D316)),J316-D316,"")</x:f>
      </x:c>
      <x:c r="L316" s="69" t="str">
        <x:f>IF(COUNT(E316:I316)&lt;5,"Needs component scores",IF(ISNUMBER(J316),"Calculated",J316))</x:f>
        <x:v>Needs component scores</x:v>
      </x:c>
      <x:c r="M316" s="69" t="n">
        <x:f>IF(C316="","",MATCH(C316,'Position_Rubric'!$A$6:$A$14,0))</x:f>
        <x:v>8</x:v>
      </x:c>
      <x:c r="N316" s="69" t="str"/>
    </x:row>
    <x:row r="317" ht="25" customHeight="1">
      <x:c r="A317" s="69" t="str">
        <x:v>summer-S26-0834</x:v>
      </x:c>
      <x:c r="B317" s="69" t="str">
        <x:v>Álex Forés</x:v>
      </x:c>
      <x:c r="C317" s="69" t="str">
        <x:v>ST</x:v>
      </x:c>
      <x:c r="D317" s="82" t="str">
        <x:f>IF(ISNUMBER('Transfer_Ratings'!K317),'Transfer_Ratings'!K317,"")</x:f>
      </x:c>
      <x:c r="E317" s="86"/>
      <x:c r="F317" s="86"/>
      <x:c r="G317" s="86"/>
      <x:c r="H317" s="86"/>
      <x:c r="I317" s="86"/>
      <x:c r="J317" s="82" t="str">
        <x:f>IF(C317="","Choose position",IF(COUNT(E317:I317)&lt;5,"",IF(OR(MIN(E317:I317)&lt;0.1,MAX(E317:I317)&gt;10),"Invalid score",IF(INDEX('Position_Rubric'!$H$6:$H$14,M317)&lt;&gt;1,"Check weights",ROUND(E317*INDEX('Position_Rubric'!$C$6:$C$14,M317)+F317*INDEX('Position_Rubric'!$D$6:$D$14,M317)+G317*INDEX('Position_Rubric'!$E$6:$E$14,M317)+H317*INDEX('Position_Rubric'!$F$6:$F$14,M317)+I317*INDEX('Position_Rubric'!$G$6:$G$14,M317),1)))))</x:f>
      </x:c>
      <x:c r="K317" s="82" t="str">
        <x:f>IF(AND(ISNUMBER(J317),ISNUMBER(D317)),J317-D317,"")</x:f>
      </x:c>
      <x:c r="L317" s="69" t="str">
        <x:f>IF(COUNT(E317:I317)&lt;5,"Needs component scores",IF(ISNUMBER(J317),"Calculated",J317))</x:f>
        <x:v>Needs component scores</x:v>
      </x:c>
      <x:c r="M317" s="69" t="n">
        <x:f>IF(C317="","",MATCH(C317,'Position_Rubric'!$A$6:$A$14,0))</x:f>
        <x:v>8</x:v>
      </x:c>
      <x:c r="N317" s="69" t="str"/>
    </x:row>
    <x:row r="318" ht="25" customHeight="1">
      <x:c r="A318" s="69" t="str">
        <x:v>summer-S26-0835</x:v>
      </x:c>
      <x:c r="B318" s="69" t="str">
        <x:v>Pau Cabanes</x:v>
      </x:c>
      <x:c r="C318" s="69" t="str">
        <x:v>ST</x:v>
      </x:c>
      <x:c r="D318" s="82" t="str">
        <x:f>IF(ISNUMBER('Transfer_Ratings'!K318),'Transfer_Ratings'!K318,"")</x:f>
      </x:c>
      <x:c r="E318" s="86"/>
      <x:c r="F318" s="86"/>
      <x:c r="G318" s="86"/>
      <x:c r="H318" s="86"/>
      <x:c r="I318" s="86"/>
      <x:c r="J318" s="82" t="str">
        <x:f>IF(C318="","Choose position",IF(COUNT(E318:I318)&lt;5,"",IF(OR(MIN(E318:I318)&lt;0.1,MAX(E318:I318)&gt;10),"Invalid score",IF(INDEX('Position_Rubric'!$H$6:$H$14,M318)&lt;&gt;1,"Check weights",ROUND(E318*INDEX('Position_Rubric'!$C$6:$C$14,M318)+F318*INDEX('Position_Rubric'!$D$6:$D$14,M318)+G318*INDEX('Position_Rubric'!$E$6:$E$14,M318)+H318*INDEX('Position_Rubric'!$F$6:$F$14,M318)+I318*INDEX('Position_Rubric'!$G$6:$G$14,M318),1)))))</x:f>
      </x:c>
      <x:c r="K318" s="82" t="str">
        <x:f>IF(AND(ISNUMBER(J318),ISNUMBER(D318)),J318-D318,"")</x:f>
      </x:c>
      <x:c r="L318" s="69" t="str">
        <x:f>IF(COUNT(E318:I318)&lt;5,"Needs component scores",IF(ISNUMBER(J318),"Calculated",J318))</x:f>
        <x:v>Needs component scores</x:v>
      </x:c>
      <x:c r="M318" s="69" t="n">
        <x:f>IF(C318="","",MATCH(C318,'Position_Rubric'!$A$6:$A$14,0))</x:f>
        <x:v>8</x:v>
      </x:c>
      <x:c r="N318" s="69" t="str"/>
    </x:row>
    <x:row r="319" ht="25" customHeight="1">
      <x:c r="A319" s="69" t="str">
        <x:v>summer-S26-0836</x:v>
      </x:c>
      <x:c r="B319" s="69" t="str">
        <x:v>Iwan Morgan</x:v>
      </x:c>
      <x:c r="C319" s="69" t="str">
        <x:v>ST</x:v>
      </x:c>
      <x:c r="D319" s="82" t="str">
        <x:f>IF(ISNUMBER('Transfer_Ratings'!K319),'Transfer_Ratings'!K319,"")</x:f>
      </x:c>
      <x:c r="E319" s="86"/>
      <x:c r="F319" s="86"/>
      <x:c r="G319" s="86"/>
      <x:c r="H319" s="86"/>
      <x:c r="I319" s="86"/>
      <x:c r="J319" s="82" t="str">
        <x:f>IF(C319="","Choose position",IF(COUNT(E319:I319)&lt;5,"",IF(OR(MIN(E319:I319)&lt;0.1,MAX(E319:I319)&gt;10),"Invalid score",IF(INDEX('Position_Rubric'!$H$6:$H$14,M319)&lt;&gt;1,"Check weights",ROUND(E319*INDEX('Position_Rubric'!$C$6:$C$14,M319)+F319*INDEX('Position_Rubric'!$D$6:$D$14,M319)+G319*INDEX('Position_Rubric'!$E$6:$E$14,M319)+H319*INDEX('Position_Rubric'!$F$6:$F$14,M319)+I319*INDEX('Position_Rubric'!$G$6:$G$14,M319),1)))))</x:f>
      </x:c>
      <x:c r="K319" s="82" t="str">
        <x:f>IF(AND(ISNUMBER(J319),ISNUMBER(D319)),J319-D319,"")</x:f>
      </x:c>
      <x:c r="L319" s="69" t="str">
        <x:f>IF(COUNT(E319:I319)&lt;5,"Needs component scores",IF(ISNUMBER(J319),"Calculated",J319))</x:f>
        <x:v>Needs component scores</x:v>
      </x:c>
      <x:c r="M319" s="69" t="n">
        <x:f>IF(C319="","",MATCH(C319,'Position_Rubric'!$A$6:$A$14,0))</x:f>
        <x:v>8</x:v>
      </x:c>
      <x:c r="N319" s="69" t="str"/>
    </x:row>
    <x:row r="320" ht="25" customHeight="1">
      <x:c r="A320" s="69" t="str">
        <x:v>summer-S26-0841</x:v>
      </x:c>
      <x:c r="B320" s="69" t="str">
        <x:v>Sion Oppong</x:v>
      </x:c>
      <x:c r="C320" s="69" t="str">
        <x:v>ST</x:v>
      </x:c>
      <x:c r="D320" s="82" t="str">
        <x:f>IF(ISNUMBER('Transfer_Ratings'!K320),'Transfer_Ratings'!K320,"")</x:f>
      </x:c>
      <x:c r="E320" s="86"/>
      <x:c r="F320" s="86"/>
      <x:c r="G320" s="86"/>
      <x:c r="H320" s="86"/>
      <x:c r="I320" s="86"/>
      <x:c r="J320" s="82" t="str">
        <x:f>IF(C320="","Choose position",IF(COUNT(E320:I320)&lt;5,"",IF(OR(MIN(E320:I320)&lt;0.1,MAX(E320:I320)&gt;10),"Invalid score",IF(INDEX('Position_Rubric'!$H$6:$H$14,M320)&lt;&gt;1,"Check weights",ROUND(E320*INDEX('Position_Rubric'!$C$6:$C$14,M320)+F320*INDEX('Position_Rubric'!$D$6:$D$14,M320)+G320*INDEX('Position_Rubric'!$E$6:$E$14,M320)+H320*INDEX('Position_Rubric'!$F$6:$F$14,M320)+I320*INDEX('Position_Rubric'!$G$6:$G$14,M320),1)))))</x:f>
      </x:c>
      <x:c r="K320" s="82" t="str">
        <x:f>IF(AND(ISNUMBER(J320),ISNUMBER(D320)),J320-D320,"")</x:f>
      </x:c>
      <x:c r="L320" s="69" t="str">
        <x:f>IF(COUNT(E320:I320)&lt;5,"Needs component scores",IF(ISNUMBER(J320),"Calculated",J320))</x:f>
        <x:v>Needs component scores</x:v>
      </x:c>
      <x:c r="M320" s="69" t="n">
        <x:f>IF(C320="","",MATCH(C320,'Position_Rubric'!$A$6:$A$14,0))</x:f>
        <x:v>8</x:v>
      </x:c>
      <x:c r="N320" s="69" t="str"/>
    </x:row>
    <x:row r="321" ht="25" customHeight="1">
      <x:c r="A321" s="69" t="str">
        <x:v>summer-S26-0848</x:v>
      </x:c>
      <x:c r="B321" s="69" t="str">
        <x:v>Daniel Mikolajewski</x:v>
      </x:c>
      <x:c r="C321" s="69" t="str">
        <x:v>ST</x:v>
      </x:c>
      <x:c r="D321" s="82" t="str">
        <x:f>IF(ISNUMBER('Transfer_Ratings'!K321),'Transfer_Ratings'!K321,"")</x:f>
      </x:c>
      <x:c r="E321" s="86"/>
      <x:c r="F321" s="86"/>
      <x:c r="G321" s="86"/>
      <x:c r="H321" s="86"/>
      <x:c r="I321" s="86"/>
      <x:c r="J321" s="82" t="str">
        <x:f>IF(C321="","Choose position",IF(COUNT(E321:I321)&lt;5,"",IF(OR(MIN(E321:I321)&lt;0.1,MAX(E321:I321)&gt;10),"Invalid score",IF(INDEX('Position_Rubric'!$H$6:$H$14,M321)&lt;&gt;1,"Check weights",ROUND(E321*INDEX('Position_Rubric'!$C$6:$C$14,M321)+F321*INDEX('Position_Rubric'!$D$6:$D$14,M321)+G321*INDEX('Position_Rubric'!$E$6:$E$14,M321)+H321*INDEX('Position_Rubric'!$F$6:$F$14,M321)+I321*INDEX('Position_Rubric'!$G$6:$G$14,M321),1)))))</x:f>
      </x:c>
      <x:c r="K321" s="82" t="str">
        <x:f>IF(AND(ISNUMBER(J321),ISNUMBER(D321)),J321-D321,"")</x:f>
      </x:c>
      <x:c r="L321" s="69" t="str">
        <x:f>IF(COUNT(E321:I321)&lt;5,"Needs component scores",IF(ISNUMBER(J321),"Calculated",J321))</x:f>
        <x:v>Needs component scores</x:v>
      </x:c>
      <x:c r="M321" s="69" t="n">
        <x:f>IF(C321="","",MATCH(C321,'Position_Rubric'!$A$6:$A$14,0))</x:f>
        <x:v>8</x:v>
      </x:c>
      <x:c r="N321" s="69" t="str"/>
    </x:row>
    <x:row r="322" ht="25" customHeight="1">
      <x:c r="A322" s="69" t="str">
        <x:v>summer-S26-0859</x:v>
      </x:c>
      <x:c r="B322" s="69" t="str">
        <x:v>Mario Domínguez</x:v>
      </x:c>
      <x:c r="C322" s="69" t="str">
        <x:v>ST</x:v>
      </x:c>
      <x:c r="D322" s="82" t="str">
        <x:f>IF(ISNUMBER('Transfer_Ratings'!K322),'Transfer_Ratings'!K322,"")</x:f>
      </x:c>
      <x:c r="E322" s="86"/>
      <x:c r="F322" s="86"/>
      <x:c r="G322" s="86"/>
      <x:c r="H322" s="86"/>
      <x:c r="I322" s="86"/>
      <x:c r="J322" s="82" t="str">
        <x:f>IF(C322="","Choose position",IF(COUNT(E322:I322)&lt;5,"",IF(OR(MIN(E322:I322)&lt;0.1,MAX(E322:I322)&gt;10),"Invalid score",IF(INDEX('Position_Rubric'!$H$6:$H$14,M322)&lt;&gt;1,"Check weights",ROUND(E322*INDEX('Position_Rubric'!$C$6:$C$14,M322)+F322*INDEX('Position_Rubric'!$D$6:$D$14,M322)+G322*INDEX('Position_Rubric'!$E$6:$E$14,M322)+H322*INDEX('Position_Rubric'!$F$6:$F$14,M322)+I322*INDEX('Position_Rubric'!$G$6:$G$14,M322),1)))))</x:f>
      </x:c>
      <x:c r="K322" s="82" t="str">
        <x:f>IF(AND(ISNUMBER(J322),ISNUMBER(D322)),J322-D322,"")</x:f>
      </x:c>
      <x:c r="L322" s="69" t="str">
        <x:f>IF(COUNT(E322:I322)&lt;5,"Needs component scores",IF(ISNUMBER(J322),"Calculated",J322))</x:f>
        <x:v>Needs component scores</x:v>
      </x:c>
      <x:c r="M322" s="69" t="n">
        <x:f>IF(C322="","",MATCH(C322,'Position_Rubric'!$A$6:$A$14,0))</x:f>
        <x:v>8</x:v>
      </x:c>
      <x:c r="N322" s="69" t="str"/>
    </x:row>
    <x:row r="323" ht="25" customHeight="1">
      <x:c r="A323" s="69" t="str">
        <x:v>summer-S26-0866</x:v>
      </x:c>
      <x:c r="B323" s="69" t="str">
        <x:v>Deniz Zeitler</x:v>
      </x:c>
      <x:c r="C323" s="69" t="str">
        <x:v>ST</x:v>
      </x:c>
      <x:c r="D323" s="82" t="str">
        <x:f>IF(ISNUMBER('Transfer_Ratings'!K323),'Transfer_Ratings'!K323,"")</x:f>
      </x:c>
      <x:c r="E323" s="86"/>
      <x:c r="F323" s="86"/>
      <x:c r="G323" s="86"/>
      <x:c r="H323" s="86"/>
      <x:c r="I323" s="86"/>
      <x:c r="J323" s="82" t="str">
        <x:f>IF(C323="","Choose position",IF(COUNT(E323:I323)&lt;5,"",IF(OR(MIN(E323:I323)&lt;0.1,MAX(E323:I323)&gt;10),"Invalid score",IF(INDEX('Position_Rubric'!$H$6:$H$14,M323)&lt;&gt;1,"Check weights",ROUND(E323*INDEX('Position_Rubric'!$C$6:$C$14,M323)+F323*INDEX('Position_Rubric'!$D$6:$D$14,M323)+G323*INDEX('Position_Rubric'!$E$6:$E$14,M323)+H323*INDEX('Position_Rubric'!$F$6:$F$14,M323)+I323*INDEX('Position_Rubric'!$G$6:$G$14,M323),1)))))</x:f>
      </x:c>
      <x:c r="K323" s="82" t="str">
        <x:f>IF(AND(ISNUMBER(J323),ISNUMBER(D323)),J323-D323,"")</x:f>
      </x:c>
      <x:c r="L323" s="69" t="str">
        <x:f>IF(COUNT(E323:I323)&lt;5,"Needs component scores",IF(ISNUMBER(J323),"Calculated",J323))</x:f>
        <x:v>Needs component scores</x:v>
      </x:c>
      <x:c r="M323" s="69" t="n">
        <x:f>IF(C323="","",MATCH(C323,'Position_Rubric'!$A$6:$A$14,0))</x:f>
        <x:v>8</x:v>
      </x:c>
      <x:c r="N323" s="69" t="str"/>
    </x:row>
    <x:row r="324" ht="25" customHeight="1">
      <x:c r="A324" s="69" t="str">
        <x:v>summer-S26-0868</x:v>
      </x:c>
      <x:c r="B324" s="69" t="str">
        <x:v>Dzenan Pejcinovic</x:v>
      </x:c>
      <x:c r="C324" s="69" t="str">
        <x:v>ST</x:v>
      </x:c>
      <x:c r="D324" s="82" t="str">
        <x:f>IF(ISNUMBER('Transfer_Ratings'!K324),'Transfer_Ratings'!K324,"")</x:f>
      </x:c>
      <x:c r="E324" s="86"/>
      <x:c r="F324" s="86"/>
      <x:c r="G324" s="86"/>
      <x:c r="H324" s="86"/>
      <x:c r="I324" s="86"/>
      <x:c r="J324" s="82" t="str">
        <x:f>IF(C324="","Choose position",IF(COUNT(E324:I324)&lt;5,"",IF(OR(MIN(E324:I324)&lt;0.1,MAX(E324:I324)&gt;10),"Invalid score",IF(INDEX('Position_Rubric'!$H$6:$H$14,M324)&lt;&gt;1,"Check weights",ROUND(E324*INDEX('Position_Rubric'!$C$6:$C$14,M324)+F324*INDEX('Position_Rubric'!$D$6:$D$14,M324)+G324*INDEX('Position_Rubric'!$E$6:$E$14,M324)+H324*INDEX('Position_Rubric'!$F$6:$F$14,M324)+I324*INDEX('Position_Rubric'!$G$6:$G$14,M324),1)))))</x:f>
      </x:c>
      <x:c r="K324" s="82" t="str">
        <x:f>IF(AND(ISNUMBER(J324),ISNUMBER(D324)),J324-D324,"")</x:f>
      </x:c>
      <x:c r="L324" s="69" t="str">
        <x:f>IF(COUNT(E324:I324)&lt;5,"Needs component scores",IF(ISNUMBER(J324),"Calculated",J324))</x:f>
        <x:v>Needs component scores</x:v>
      </x:c>
      <x:c r="M324" s="69" t="n">
        <x:f>IF(C324="","",MATCH(C324,'Position_Rubric'!$A$6:$A$14,0))</x:f>
        <x:v>8</x:v>
      </x:c>
      <x:c r="N324" s="69" t="str"/>
    </x:row>
    <x:row r="325" ht="25" customHeight="1">
      <x:c r="A325" s="69" t="str">
        <x:v>summer-S26-0869</x:v>
      </x:c>
      <x:c r="B325" s="69" t="str">
        <x:v>Kevin Carlos</x:v>
      </x:c>
      <x:c r="C325" s="69" t="str">
        <x:v>ST</x:v>
      </x:c>
      <x:c r="D325" s="82" t="str">
        <x:f>IF(ISNUMBER('Transfer_Ratings'!K325),'Transfer_Ratings'!K325,"")</x:f>
      </x:c>
      <x:c r="E325" s="86"/>
      <x:c r="F325" s="86"/>
      <x:c r="G325" s="86"/>
      <x:c r="H325" s="86"/>
      <x:c r="I325" s="86"/>
      <x:c r="J325" s="82" t="str">
        <x:f>IF(C325="","Choose position",IF(COUNT(E325:I325)&lt;5,"",IF(OR(MIN(E325:I325)&lt;0.1,MAX(E325:I325)&gt;10),"Invalid score",IF(INDEX('Position_Rubric'!$H$6:$H$14,M325)&lt;&gt;1,"Check weights",ROUND(E325*INDEX('Position_Rubric'!$C$6:$C$14,M325)+F325*INDEX('Position_Rubric'!$D$6:$D$14,M325)+G325*INDEX('Position_Rubric'!$E$6:$E$14,M325)+H325*INDEX('Position_Rubric'!$F$6:$F$14,M325)+I325*INDEX('Position_Rubric'!$G$6:$G$14,M325),1)))))</x:f>
      </x:c>
      <x:c r="K325" s="82" t="str">
        <x:f>IF(AND(ISNUMBER(J325),ISNUMBER(D325)),J325-D325,"")</x:f>
      </x:c>
      <x:c r="L325" s="69" t="str">
        <x:f>IF(COUNT(E325:I325)&lt;5,"Needs component scores",IF(ISNUMBER(J325),"Calculated",J325))</x:f>
        <x:v>Needs component scores</x:v>
      </x:c>
      <x:c r="M325" s="69" t="n">
        <x:f>IF(C325="","",MATCH(C325,'Position_Rubric'!$A$6:$A$14,0))</x:f>
        <x:v>8</x:v>
      </x:c>
      <x:c r="N325" s="69" t="str"/>
    </x:row>
    <x:row r="326" ht="25" customHeight="1">
      <x:c r="A326" s="69" t="str">
        <x:v>summer-S26-0871</x:v>
      </x:c>
      <x:c r="B326" s="69" t="str">
        <x:v>Mansour Ouro-Tagba</x:v>
      </x:c>
      <x:c r="C326" s="69" t="str">
        <x:v>ST</x:v>
      </x:c>
      <x:c r="D326" s="82" t="str">
        <x:f>IF(ISNUMBER('Transfer_Ratings'!K326),'Transfer_Ratings'!K326,"")</x:f>
      </x:c>
      <x:c r="E326" s="86"/>
      <x:c r="F326" s="86"/>
      <x:c r="G326" s="86"/>
      <x:c r="H326" s="86"/>
      <x:c r="I326" s="86"/>
      <x:c r="J326" s="82" t="str">
        <x:f>IF(C326="","Choose position",IF(COUNT(E326:I326)&lt;5,"",IF(OR(MIN(E326:I326)&lt;0.1,MAX(E326:I326)&gt;10),"Invalid score",IF(INDEX('Position_Rubric'!$H$6:$H$14,M326)&lt;&gt;1,"Check weights",ROUND(E326*INDEX('Position_Rubric'!$C$6:$C$14,M326)+F326*INDEX('Position_Rubric'!$D$6:$D$14,M326)+G326*INDEX('Position_Rubric'!$E$6:$E$14,M326)+H326*INDEX('Position_Rubric'!$F$6:$F$14,M326)+I326*INDEX('Position_Rubric'!$G$6:$G$14,M326),1)))))</x:f>
      </x:c>
      <x:c r="K326" s="82" t="str">
        <x:f>IF(AND(ISNUMBER(J326),ISNUMBER(D326)),J326-D326,"")</x:f>
      </x:c>
      <x:c r="L326" s="69" t="str">
        <x:f>IF(COUNT(E326:I326)&lt;5,"Needs component scores",IF(ISNUMBER(J326),"Calculated",J326))</x:f>
        <x:v>Needs component scores</x:v>
      </x:c>
      <x:c r="M326" s="69" t="n">
        <x:f>IF(C326="","",MATCH(C326,'Position_Rubric'!$A$6:$A$14,0))</x:f>
        <x:v>8</x:v>
      </x:c>
      <x:c r="N326" s="69" t="str"/>
    </x:row>
    <x:row r="327" ht="25" customHeight="1">
      <x:c r="A327" s="69" t="str">
        <x:v>summer-S26-0873</x:v>
      </x:c>
      <x:c r="B327" s="69" t="str">
        <x:v>Valdrin Mustafa</x:v>
      </x:c>
      <x:c r="C327" s="69" t="str">
        <x:v>ST</x:v>
      </x:c>
      <x:c r="D327" s="82" t="str">
        <x:f>IF(ISNUMBER('Transfer_Ratings'!K327),'Transfer_Ratings'!K327,"")</x:f>
      </x:c>
      <x:c r="E327" s="86"/>
      <x:c r="F327" s="86"/>
      <x:c r="G327" s="86"/>
      <x:c r="H327" s="86"/>
      <x:c r="I327" s="86"/>
      <x:c r="J327" s="82" t="str">
        <x:f>IF(C327="","Choose position",IF(COUNT(E327:I327)&lt;5,"",IF(OR(MIN(E327:I327)&lt;0.1,MAX(E327:I327)&gt;10),"Invalid score",IF(INDEX('Position_Rubric'!$H$6:$H$14,M327)&lt;&gt;1,"Check weights",ROUND(E327*INDEX('Position_Rubric'!$C$6:$C$14,M327)+F327*INDEX('Position_Rubric'!$D$6:$D$14,M327)+G327*INDEX('Position_Rubric'!$E$6:$E$14,M327)+H327*INDEX('Position_Rubric'!$F$6:$F$14,M327)+I327*INDEX('Position_Rubric'!$G$6:$G$14,M327),1)))))</x:f>
      </x:c>
      <x:c r="K327" s="82" t="str">
        <x:f>IF(AND(ISNUMBER(J327),ISNUMBER(D327)),J327-D327,"")</x:f>
      </x:c>
      <x:c r="L327" s="69" t="str">
        <x:f>IF(COUNT(E327:I327)&lt;5,"Needs component scores",IF(ISNUMBER(J327),"Calculated",J327))</x:f>
        <x:v>Needs component scores</x:v>
      </x:c>
      <x:c r="M327" s="69" t="n">
        <x:f>IF(C327="","",MATCH(C327,'Position_Rubric'!$A$6:$A$14,0))</x:f>
        <x:v>8</x:v>
      </x:c>
      <x:c r="N327" s="69" t="str"/>
    </x:row>
    <x:row r="328" ht="25" customHeight="1">
      <x:c r="A328" s="69" t="str">
        <x:v>summer-S26-0877</x:v>
      </x:c>
      <x:c r="B328" s="69" t="str">
        <x:v>Aymen Zouin</x:v>
      </x:c>
      <x:c r="C328" s="69" t="str">
        <x:v>ST</x:v>
      </x:c>
      <x:c r="D328" s="82" t="str">
        <x:f>IF(ISNUMBER('Transfer_Ratings'!K328),'Transfer_Ratings'!K328,"")</x:f>
      </x:c>
      <x:c r="E328" s="86"/>
      <x:c r="F328" s="86"/>
      <x:c r="G328" s="86"/>
      <x:c r="H328" s="86"/>
      <x:c r="I328" s="86"/>
      <x:c r="J328" s="82" t="str">
        <x:f>IF(C328="","Choose position",IF(COUNT(E328:I328)&lt;5,"",IF(OR(MIN(E328:I328)&lt;0.1,MAX(E328:I328)&gt;10),"Invalid score",IF(INDEX('Position_Rubric'!$H$6:$H$14,M328)&lt;&gt;1,"Check weights",ROUND(E328*INDEX('Position_Rubric'!$C$6:$C$14,M328)+F328*INDEX('Position_Rubric'!$D$6:$D$14,M328)+G328*INDEX('Position_Rubric'!$E$6:$E$14,M328)+H328*INDEX('Position_Rubric'!$F$6:$F$14,M328)+I328*INDEX('Position_Rubric'!$G$6:$G$14,M328),1)))))</x:f>
      </x:c>
      <x:c r="K328" s="82" t="str">
        <x:f>IF(AND(ISNUMBER(J328),ISNUMBER(D328)),J328-D328,"")</x:f>
      </x:c>
      <x:c r="L328" s="69" t="str">
        <x:f>IF(COUNT(E328:I328)&lt;5,"Needs component scores",IF(ISNUMBER(J328),"Calculated",J328))</x:f>
        <x:v>Needs component scores</x:v>
      </x:c>
      <x:c r="M328" s="69" t="n">
        <x:f>IF(C328="","",MATCH(C328,'Position_Rubric'!$A$6:$A$14,0))</x:f>
        <x:v>8</x:v>
      </x:c>
      <x:c r="N328" s="69" t="str"/>
    </x:row>
    <x:row r="329" ht="25" customHeight="1">
      <x:c r="A329" s="69" t="str">
        <x:v>summer-S26-0886</x:v>
      </x:c>
      <x:c r="B329" s="69" t="str">
        <x:v>Brennan Johnson</x:v>
      </x:c>
      <x:c r="C329" s="69" t="str">
        <x:v>ST</x:v>
      </x:c>
      <x:c r="D329" s="82" t="str">
        <x:f>IF(ISNUMBER('Transfer_Ratings'!K329),'Transfer_Ratings'!K329,"")</x:f>
      </x:c>
      <x:c r="E329" s="86"/>
      <x:c r="F329" s="86"/>
      <x:c r="G329" s="86"/>
      <x:c r="H329" s="86"/>
      <x:c r="I329" s="86"/>
      <x:c r="J329" s="82" t="str">
        <x:f>IF(C329="","Choose position",IF(COUNT(E329:I329)&lt;5,"",IF(OR(MIN(E329:I329)&lt;0.1,MAX(E329:I329)&gt;10),"Invalid score",IF(INDEX('Position_Rubric'!$H$6:$H$14,M329)&lt;&gt;1,"Check weights",ROUND(E329*INDEX('Position_Rubric'!$C$6:$C$14,M329)+F329*INDEX('Position_Rubric'!$D$6:$D$14,M329)+G329*INDEX('Position_Rubric'!$E$6:$E$14,M329)+H329*INDEX('Position_Rubric'!$F$6:$F$14,M329)+I329*INDEX('Position_Rubric'!$G$6:$G$14,M329),1)))))</x:f>
      </x:c>
      <x:c r="K329" s="82" t="str">
        <x:f>IF(AND(ISNUMBER(J329),ISNUMBER(D329)),J329-D329,"")</x:f>
      </x:c>
      <x:c r="L329" s="69" t="str">
        <x:f>IF(COUNT(E329:I329)&lt;5,"Needs component scores",IF(ISNUMBER(J329),"Calculated",J329))</x:f>
        <x:v>Needs component scores</x:v>
      </x:c>
      <x:c r="M329" s="69" t="n">
        <x:f>IF(C329="","",MATCH(C329,'Position_Rubric'!$A$6:$A$14,0))</x:f>
        <x:v>8</x:v>
      </x:c>
      <x:c r="N329" s="69" t="str"/>
    </x:row>
    <x:row r="330" ht="25" customHeight="1">
      <x:c r="A330" s="69" t="str">
        <x:v>summer-S26-0889</x:v>
      </x:c>
      <x:c r="B330" s="69" t="str">
        <x:v>Divin Mubama</x:v>
      </x:c>
      <x:c r="C330" s="69" t="str">
        <x:v>ST</x:v>
      </x:c>
      <x:c r="D330" s="82" t="str">
        <x:f>IF(ISNUMBER('Transfer_Ratings'!K330),'Transfer_Ratings'!K330,"")</x:f>
      </x:c>
      <x:c r="E330" s="86"/>
      <x:c r="F330" s="86"/>
      <x:c r="G330" s="86"/>
      <x:c r="H330" s="86"/>
      <x:c r="I330" s="86"/>
      <x:c r="J330" s="82" t="str">
        <x:f>IF(C330="","Choose position",IF(COUNT(E330:I330)&lt;5,"",IF(OR(MIN(E330:I330)&lt;0.1,MAX(E330:I330)&gt;10),"Invalid score",IF(INDEX('Position_Rubric'!$H$6:$H$14,M330)&lt;&gt;1,"Check weights",ROUND(E330*INDEX('Position_Rubric'!$C$6:$C$14,M330)+F330*INDEX('Position_Rubric'!$D$6:$D$14,M330)+G330*INDEX('Position_Rubric'!$E$6:$E$14,M330)+H330*INDEX('Position_Rubric'!$F$6:$F$14,M330)+I330*INDEX('Position_Rubric'!$G$6:$G$14,M330),1)))))</x:f>
      </x:c>
      <x:c r="K330" s="82" t="str">
        <x:f>IF(AND(ISNUMBER(J330),ISNUMBER(D330)),J330-D330,"")</x:f>
      </x:c>
      <x:c r="L330" s="69" t="str">
        <x:f>IF(COUNT(E330:I330)&lt;5,"Needs component scores",IF(ISNUMBER(J330),"Calculated",J330))</x:f>
        <x:v>Needs component scores</x:v>
      </x:c>
      <x:c r="M330" s="69" t="n">
        <x:f>IF(C330="","",MATCH(C330,'Position_Rubric'!$A$6:$A$14,0))</x:f>
        <x:v>8</x:v>
      </x:c>
      <x:c r="N330" s="69" t="str"/>
    </x:row>
    <x:row r="331" ht="25" customHeight="1">
      <x:c r="A331" s="69" t="str">
        <x:v>summer-S26-0891</x:v>
      </x:c>
      <x:c r="B331" s="69" t="str">
        <x:v>Robbie Ure</x:v>
      </x:c>
      <x:c r="C331" s="69" t="str">
        <x:v>ST</x:v>
      </x:c>
      <x:c r="D331" s="82" t="str">
        <x:f>IF(ISNUMBER('Transfer_Ratings'!K331),'Transfer_Ratings'!K331,"")</x:f>
      </x:c>
      <x:c r="E331" s="86"/>
      <x:c r="F331" s="86"/>
      <x:c r="G331" s="86"/>
      <x:c r="H331" s="86"/>
      <x:c r="I331" s="86"/>
      <x:c r="J331" s="82" t="str">
        <x:f>IF(C331="","Choose position",IF(COUNT(E331:I331)&lt;5,"",IF(OR(MIN(E331:I331)&lt;0.1,MAX(E331:I331)&gt;10),"Invalid score",IF(INDEX('Position_Rubric'!$H$6:$H$14,M331)&lt;&gt;1,"Check weights",ROUND(E331*INDEX('Position_Rubric'!$C$6:$C$14,M331)+F331*INDEX('Position_Rubric'!$D$6:$D$14,M331)+G331*INDEX('Position_Rubric'!$E$6:$E$14,M331)+H331*INDEX('Position_Rubric'!$F$6:$F$14,M331)+I331*INDEX('Position_Rubric'!$G$6:$G$14,M331),1)))))</x:f>
      </x:c>
      <x:c r="K331" s="82" t="str">
        <x:f>IF(AND(ISNUMBER(J331),ISNUMBER(D331)),J331-D331,"")</x:f>
      </x:c>
      <x:c r="L331" s="69" t="str">
        <x:f>IF(COUNT(E331:I331)&lt;5,"Needs component scores",IF(ISNUMBER(J331),"Calculated",J331))</x:f>
        <x:v>Needs component scores</x:v>
      </x:c>
      <x:c r="M331" s="69" t="n">
        <x:f>IF(C331="","",MATCH(C331,'Position_Rubric'!$A$6:$A$14,0))</x:f>
        <x:v>8</x:v>
      </x:c>
      <x:c r="N331" s="69" t="str"/>
    </x:row>
    <x:row r="332" ht="25" customHeight="1">
      <x:c r="A332" s="69" t="str">
        <x:v>summer-S26-0897</x:v>
      </x:c>
      <x:c r="B332" s="69" t="str">
        <x:v>Christian Corradi</x:v>
      </x:c>
      <x:c r="C332" s="69" t="str">
        <x:v>ST</x:v>
      </x:c>
      <x:c r="D332" s="82" t="str">
        <x:f>IF(ISNUMBER('Transfer_Ratings'!K332),'Transfer_Ratings'!K332,"")</x:f>
      </x:c>
      <x:c r="E332" s="86"/>
      <x:c r="F332" s="86"/>
      <x:c r="G332" s="86"/>
      <x:c r="H332" s="86"/>
      <x:c r="I332" s="86"/>
      <x:c r="J332" s="82" t="str">
        <x:f>IF(C332="","Choose position",IF(COUNT(E332:I332)&lt;5,"",IF(OR(MIN(E332:I332)&lt;0.1,MAX(E332:I332)&gt;10),"Invalid score",IF(INDEX('Position_Rubric'!$H$6:$H$14,M332)&lt;&gt;1,"Check weights",ROUND(E332*INDEX('Position_Rubric'!$C$6:$C$14,M332)+F332*INDEX('Position_Rubric'!$D$6:$D$14,M332)+G332*INDEX('Position_Rubric'!$E$6:$E$14,M332)+H332*INDEX('Position_Rubric'!$F$6:$F$14,M332)+I332*INDEX('Position_Rubric'!$G$6:$G$14,M332),1)))))</x:f>
      </x:c>
      <x:c r="K332" s="82" t="str">
        <x:f>IF(AND(ISNUMBER(J332),ISNUMBER(D332)),J332-D332,"")</x:f>
      </x:c>
      <x:c r="L332" s="69" t="str">
        <x:f>IF(COUNT(E332:I332)&lt;5,"Needs component scores",IF(ISNUMBER(J332),"Calculated",J332))</x:f>
        <x:v>Needs component scores</x:v>
      </x:c>
      <x:c r="M332" s="69" t="n">
        <x:f>IF(C332="","",MATCH(C332,'Position_Rubric'!$A$6:$A$14,0))</x:f>
        <x:v>8</x:v>
      </x:c>
      <x:c r="N332" s="69" t="str"/>
    </x:row>
    <x:row r="333" ht="25" customHeight="1">
      <x:c r="A333" s="69" t="str">
        <x:v>summer-S26-0898</x:v>
      </x:c>
      <x:c r="B333" s="69" t="str">
        <x:v>Hugo López</x:v>
      </x:c>
      <x:c r="C333" s="69" t="str">
        <x:v>ST</x:v>
      </x:c>
      <x:c r="D333" s="82" t="str">
        <x:f>IF(ISNUMBER('Transfer_Ratings'!K333),'Transfer_Ratings'!K333,"")</x:f>
      </x:c>
      <x:c r="E333" s="86"/>
      <x:c r="F333" s="86"/>
      <x:c r="G333" s="86"/>
      <x:c r="H333" s="86"/>
      <x:c r="I333" s="86"/>
      <x:c r="J333" s="82" t="str">
        <x:f>IF(C333="","Choose position",IF(COUNT(E333:I333)&lt;5,"",IF(OR(MIN(E333:I333)&lt;0.1,MAX(E333:I333)&gt;10),"Invalid score",IF(INDEX('Position_Rubric'!$H$6:$H$14,M333)&lt;&gt;1,"Check weights",ROUND(E333*INDEX('Position_Rubric'!$C$6:$C$14,M333)+F333*INDEX('Position_Rubric'!$D$6:$D$14,M333)+G333*INDEX('Position_Rubric'!$E$6:$E$14,M333)+H333*INDEX('Position_Rubric'!$F$6:$F$14,M333)+I333*INDEX('Position_Rubric'!$G$6:$G$14,M333),1)))))</x:f>
      </x:c>
      <x:c r="K333" s="82" t="str">
        <x:f>IF(AND(ISNUMBER(J333),ISNUMBER(D333)),J333-D333,"")</x:f>
      </x:c>
      <x:c r="L333" s="69" t="str">
        <x:f>IF(COUNT(E333:I333)&lt;5,"Needs component scores",IF(ISNUMBER(J333),"Calculated",J333))</x:f>
        <x:v>Needs component scores</x:v>
      </x:c>
      <x:c r="M333" s="69" t="n">
        <x:f>IF(C333="","",MATCH(C333,'Position_Rubric'!$A$6:$A$14,0))</x:f>
        <x:v>8</x:v>
      </x:c>
      <x:c r="N333" s="69" t="str"/>
    </x:row>
    <x:row r="334" ht="25" customHeight="1">
      <x:c r="A334" s="69" t="str">
        <x:v>summer-S26-0902</x:v>
      </x:c>
      <x:c r="B334" s="69" t="str">
        <x:v>Evann Guessand</x:v>
      </x:c>
      <x:c r="C334" s="69" t="str">
        <x:v>ST</x:v>
      </x:c>
      <x:c r="D334" s="82" t="str">
        <x:f>IF(ISNUMBER('Transfer_Ratings'!K334),'Transfer_Ratings'!K334,"")</x:f>
      </x:c>
      <x:c r="E334" s="86"/>
      <x:c r="F334" s="86"/>
      <x:c r="G334" s="86"/>
      <x:c r="H334" s="86"/>
      <x:c r="I334" s="86"/>
      <x:c r="J334" s="82" t="str">
        <x:f>IF(C334="","Choose position",IF(COUNT(E334:I334)&lt;5,"",IF(OR(MIN(E334:I334)&lt;0.1,MAX(E334:I334)&gt;10),"Invalid score",IF(INDEX('Position_Rubric'!$H$6:$H$14,M334)&lt;&gt;1,"Check weights",ROUND(E334*INDEX('Position_Rubric'!$C$6:$C$14,M334)+F334*INDEX('Position_Rubric'!$D$6:$D$14,M334)+G334*INDEX('Position_Rubric'!$E$6:$E$14,M334)+H334*INDEX('Position_Rubric'!$F$6:$F$14,M334)+I334*INDEX('Position_Rubric'!$G$6:$G$14,M334),1)))))</x:f>
      </x:c>
      <x:c r="K334" s="82" t="str">
        <x:f>IF(AND(ISNUMBER(J334),ISNUMBER(D334)),J334-D334,"")</x:f>
      </x:c>
      <x:c r="L334" s="69" t="str">
        <x:f>IF(COUNT(E334:I334)&lt;5,"Needs component scores",IF(ISNUMBER(J334),"Calculated",J334))</x:f>
        <x:v>Needs component scores</x:v>
      </x:c>
      <x:c r="M334" s="69" t="n">
        <x:f>IF(C334="","",MATCH(C334,'Position_Rubric'!$A$6:$A$14,0))</x:f>
        <x:v>8</x:v>
      </x:c>
      <x:c r="N334" s="69" t="str"/>
    </x:row>
    <x:row r="335" ht="25" customHeight="1">
      <x:c r="A335" s="69" t="str">
        <x:v>summer-S26-0908</x:v>
      </x:c>
      <x:c r="B335" s="69" t="str">
        <x:v>Romelu Lukaku</x:v>
      </x:c>
      <x:c r="C335" s="69" t="str">
        <x:v>ST</x:v>
      </x:c>
      <x:c r="D335" s="82" t="str">
        <x:f>IF(ISNUMBER('Transfer_Ratings'!K335),'Transfer_Ratings'!K335,"")</x:f>
      </x:c>
      <x:c r="E335" s="86"/>
      <x:c r="F335" s="86"/>
      <x:c r="G335" s="86"/>
      <x:c r="H335" s="86"/>
      <x:c r="I335" s="86"/>
      <x:c r="J335" s="82" t="str">
        <x:f>IF(C335="","Choose position",IF(COUNT(E335:I335)&lt;5,"",IF(OR(MIN(E335:I335)&lt;0.1,MAX(E335:I335)&gt;10),"Invalid score",IF(INDEX('Position_Rubric'!$H$6:$H$14,M335)&lt;&gt;1,"Check weights",ROUND(E335*INDEX('Position_Rubric'!$C$6:$C$14,M335)+F335*INDEX('Position_Rubric'!$D$6:$D$14,M335)+G335*INDEX('Position_Rubric'!$E$6:$E$14,M335)+H335*INDEX('Position_Rubric'!$F$6:$F$14,M335)+I335*INDEX('Position_Rubric'!$G$6:$G$14,M335),1)))))</x:f>
      </x:c>
      <x:c r="K335" s="82" t="str">
        <x:f>IF(AND(ISNUMBER(J335),ISNUMBER(D335)),J335-D335,"")</x:f>
      </x:c>
      <x:c r="L335" s="69" t="str">
        <x:f>IF(COUNT(E335:I335)&lt;5,"Needs component scores",IF(ISNUMBER(J335),"Calculated",J335))</x:f>
        <x:v>Needs component scores</x:v>
      </x:c>
      <x:c r="M335" s="69" t="n">
        <x:f>IF(C335="","",MATCH(C335,'Position_Rubric'!$A$6:$A$14,0))</x:f>
        <x:v>8</x:v>
      </x:c>
      <x:c r="N335" s="69" t="str"/>
    </x:row>
    <x:row r="336" ht="25" customHeight="1">
      <x:c r="A336" s="69" t="str">
        <x:v>summer-S26-0913</x:v>
      </x:c>
      <x:c r="B336" s="69" t="str">
        <x:v>Alexis Sánchez</x:v>
      </x:c>
      <x:c r="C336" s="69" t="str">
        <x:v>ST</x:v>
      </x:c>
      <x:c r="D336" s="82" t="str">
        <x:f>IF(ISNUMBER('Transfer_Ratings'!K336),'Transfer_Ratings'!K336,"")</x:f>
      </x:c>
      <x:c r="E336" s="86"/>
      <x:c r="F336" s="86"/>
      <x:c r="G336" s="86"/>
      <x:c r="H336" s="86"/>
      <x:c r="I336" s="86"/>
      <x:c r="J336" s="82" t="str">
        <x:f>IF(C336="","Choose position",IF(COUNT(E336:I336)&lt;5,"",IF(OR(MIN(E336:I336)&lt;0.1,MAX(E336:I336)&gt;10),"Invalid score",IF(INDEX('Position_Rubric'!$H$6:$H$14,M336)&lt;&gt;1,"Check weights",ROUND(E336*INDEX('Position_Rubric'!$C$6:$C$14,M336)+F336*INDEX('Position_Rubric'!$D$6:$D$14,M336)+G336*INDEX('Position_Rubric'!$E$6:$E$14,M336)+H336*INDEX('Position_Rubric'!$F$6:$F$14,M336)+I336*INDEX('Position_Rubric'!$G$6:$G$14,M336),1)))))</x:f>
      </x:c>
      <x:c r="K336" s="82" t="str">
        <x:f>IF(AND(ISNUMBER(J336),ISNUMBER(D336)),J336-D336,"")</x:f>
      </x:c>
      <x:c r="L336" s="69" t="str">
        <x:f>IF(COUNT(E336:I336)&lt;5,"Needs component scores",IF(ISNUMBER(J336),"Calculated",J336))</x:f>
        <x:v>Needs component scores</x:v>
      </x:c>
      <x:c r="M336" s="69" t="n">
        <x:f>IF(C336="","",MATCH(C336,'Position_Rubric'!$A$6:$A$14,0))</x:f>
        <x:v>8</x:v>
      </x:c>
      <x:c r="N336" s="69" t="str"/>
    </x:row>
    <x:row r="337" ht="25" customHeight="1">
      <x:c r="A337" s="69" t="str">
        <x:v>summer-S26-0917</x:v>
      </x:c>
      <x:c r="B337" s="69" t="str">
        <x:v>Riccardo Braschi</x:v>
      </x:c>
      <x:c r="C337" s="69" t="str">
        <x:v>ST</x:v>
      </x:c>
      <x:c r="D337" s="82" t="str">
        <x:f>IF(ISNUMBER('Transfer_Ratings'!K337),'Transfer_Ratings'!K337,"")</x:f>
      </x:c>
      <x:c r="E337" s="86"/>
      <x:c r="F337" s="86"/>
      <x:c r="G337" s="86"/>
      <x:c r="H337" s="86"/>
      <x:c r="I337" s="86"/>
      <x:c r="J337" s="82" t="str">
        <x:f>IF(C337="","Choose position",IF(COUNT(E337:I337)&lt;5,"",IF(OR(MIN(E337:I337)&lt;0.1,MAX(E337:I337)&gt;10),"Invalid score",IF(INDEX('Position_Rubric'!$H$6:$H$14,M337)&lt;&gt;1,"Check weights",ROUND(E337*INDEX('Position_Rubric'!$C$6:$C$14,M337)+F337*INDEX('Position_Rubric'!$D$6:$D$14,M337)+G337*INDEX('Position_Rubric'!$E$6:$E$14,M337)+H337*INDEX('Position_Rubric'!$F$6:$F$14,M337)+I337*INDEX('Position_Rubric'!$G$6:$G$14,M337),1)))))</x:f>
      </x:c>
      <x:c r="K337" s="82" t="str">
        <x:f>IF(AND(ISNUMBER(J337),ISNUMBER(D337)),J337-D337,"")</x:f>
      </x:c>
      <x:c r="L337" s="69" t="str">
        <x:f>IF(COUNT(E337:I337)&lt;5,"Needs component scores",IF(ISNUMBER(J337),"Calculated",J337))</x:f>
        <x:v>Needs component scores</x:v>
      </x:c>
      <x:c r="M337" s="69" t="n">
        <x:f>IF(C337="","",MATCH(C337,'Position_Rubric'!$A$6:$A$14,0))</x:f>
        <x:v>8</x:v>
      </x:c>
      <x:c r="N337" s="69" t="str"/>
    </x:row>
    <x:row r="338" ht="25" customHeight="1">
      <x:c r="A338" s="69" t="str">
        <x:v>summer-S26-0919</x:v>
      </x:c>
      <x:c r="B338" s="69" t="str">
        <x:v>Enzo Molebe</x:v>
      </x:c>
      <x:c r="C338" s="69" t="str">
        <x:v>ST</x:v>
      </x:c>
      <x:c r="D338" s="82" t="str">
        <x:f>IF(ISNUMBER('Transfer_Ratings'!K338),'Transfer_Ratings'!K338,"")</x:f>
      </x:c>
      <x:c r="E338" s="86"/>
      <x:c r="F338" s="86"/>
      <x:c r="G338" s="86"/>
      <x:c r="H338" s="86"/>
      <x:c r="I338" s="86"/>
      <x:c r="J338" s="82" t="str">
        <x:f>IF(C338="","Choose position",IF(COUNT(E338:I338)&lt;5,"",IF(OR(MIN(E338:I338)&lt;0.1,MAX(E338:I338)&gt;10),"Invalid score",IF(INDEX('Position_Rubric'!$H$6:$H$14,M338)&lt;&gt;1,"Check weights",ROUND(E338*INDEX('Position_Rubric'!$C$6:$C$14,M338)+F338*INDEX('Position_Rubric'!$D$6:$D$14,M338)+G338*INDEX('Position_Rubric'!$E$6:$E$14,M338)+H338*INDEX('Position_Rubric'!$F$6:$F$14,M338)+I338*INDEX('Position_Rubric'!$G$6:$G$14,M338),1)))))</x:f>
      </x:c>
      <x:c r="K338" s="82" t="str">
        <x:f>IF(AND(ISNUMBER(J338),ISNUMBER(D338)),J338-D338,"")</x:f>
      </x:c>
      <x:c r="L338" s="69" t="str">
        <x:f>IF(COUNT(E338:I338)&lt;5,"Needs component scores",IF(ISNUMBER(J338),"Calculated",J338))</x:f>
        <x:v>Needs component scores</x:v>
      </x:c>
      <x:c r="M338" s="69" t="n">
        <x:f>IF(C338="","",MATCH(C338,'Position_Rubric'!$A$6:$A$14,0))</x:f>
        <x:v>8</x:v>
      </x:c>
      <x:c r="N338" s="69" t="str"/>
    </x:row>
    <x:row r="339" ht="25" customHeight="1">
      <x:c r="A339" s="69" t="str">
        <x:v>summer-S26-0920</x:v>
      </x:c>
      <x:c r="B339" s="69" t="str">
        <x:v>Dusan Vlahovic</x:v>
      </x:c>
      <x:c r="C339" s="69" t="str">
        <x:v>ST</x:v>
      </x:c>
      <x:c r="D339" s="82" t="str">
        <x:f>IF(ISNUMBER('Transfer_Ratings'!K339),'Transfer_Ratings'!K339,"")</x:f>
      </x:c>
      <x:c r="E339" s="86"/>
      <x:c r="F339" s="86"/>
      <x:c r="G339" s="86"/>
      <x:c r="H339" s="86"/>
      <x:c r="I339" s="86"/>
      <x:c r="J339" s="82" t="str">
        <x:f>IF(C339="","Choose position",IF(COUNT(E339:I339)&lt;5,"",IF(OR(MIN(E339:I339)&lt;0.1,MAX(E339:I339)&gt;10),"Invalid score",IF(INDEX('Position_Rubric'!$H$6:$H$14,M339)&lt;&gt;1,"Check weights",ROUND(E339*INDEX('Position_Rubric'!$C$6:$C$14,M339)+F339*INDEX('Position_Rubric'!$D$6:$D$14,M339)+G339*INDEX('Position_Rubric'!$E$6:$E$14,M339)+H339*INDEX('Position_Rubric'!$F$6:$F$14,M339)+I339*INDEX('Position_Rubric'!$G$6:$G$14,M339),1)))))</x:f>
      </x:c>
      <x:c r="K339" s="82" t="str">
        <x:f>IF(AND(ISNUMBER(J339),ISNUMBER(D339)),J339-D339,"")</x:f>
      </x:c>
      <x:c r="L339" s="69" t="str">
        <x:f>IF(COUNT(E339:I339)&lt;5,"Needs component scores",IF(ISNUMBER(J339),"Calculated",J339))</x:f>
        <x:v>Needs component scores</x:v>
      </x:c>
      <x:c r="M339" s="69" t="n">
        <x:f>IF(C339="","",MATCH(C339,'Position_Rubric'!$A$6:$A$14,0))</x:f>
        <x:v>8</x:v>
      </x:c>
      <x:c r="N339" s="69" t="str"/>
    </x:row>
    <x:row r="340" ht="25" customHeight="1">
      <x:c r="A340" s="69" t="str">
        <x:v>summer-S26-0925</x:v>
      </x:c>
      <x:c r="B340" s="69" t="str">
        <x:v>Franjo Ivanovic</x:v>
      </x:c>
      <x:c r="C340" s="69" t="str">
        <x:v>ST</x:v>
      </x:c>
      <x:c r="D340" s="82" t="str">
        <x:f>IF(ISNUMBER('Transfer_Ratings'!K340),'Transfer_Ratings'!K340,"")</x:f>
      </x:c>
      <x:c r="E340" s="86"/>
      <x:c r="F340" s="86"/>
      <x:c r="G340" s="86"/>
      <x:c r="H340" s="86"/>
      <x:c r="I340" s="86"/>
      <x:c r="J340" s="82" t="str">
        <x:f>IF(C340="","Choose position",IF(COUNT(E340:I340)&lt;5,"",IF(OR(MIN(E340:I340)&lt;0.1,MAX(E340:I340)&gt;10),"Invalid score",IF(INDEX('Position_Rubric'!$H$6:$H$14,M340)&lt;&gt;1,"Check weights",ROUND(E340*INDEX('Position_Rubric'!$C$6:$C$14,M340)+F340*INDEX('Position_Rubric'!$D$6:$D$14,M340)+G340*INDEX('Position_Rubric'!$E$6:$E$14,M340)+H340*INDEX('Position_Rubric'!$F$6:$F$14,M340)+I340*INDEX('Position_Rubric'!$G$6:$G$14,M340),1)))))</x:f>
      </x:c>
      <x:c r="K340" s="82" t="str">
        <x:f>IF(AND(ISNUMBER(J340),ISNUMBER(D340)),J340-D340,"")</x:f>
      </x:c>
      <x:c r="L340" s="69" t="str">
        <x:f>IF(COUNT(E340:I340)&lt;5,"Needs component scores",IF(ISNUMBER(J340),"Calculated",J340))</x:f>
        <x:v>Needs component scores</x:v>
      </x:c>
      <x:c r="M340" s="69" t="n">
        <x:f>IF(C340="","",MATCH(C340,'Position_Rubric'!$A$6:$A$14,0))</x:f>
        <x:v>8</x:v>
      </x:c>
      <x:c r="N340" s="69" t="str"/>
    </x:row>
    <x:row r="341" ht="25" customHeight="1">
      <x:c r="A341" s="69" t="str">
        <x:v>summer-S26-0927</x:v>
      </x:c>
      <x:c r="B341" s="69" t="str">
        <x:v>Federico Gattoni</x:v>
      </x:c>
      <x:c r="C341" s="69" t="str">
        <x:v>ST</x:v>
      </x:c>
      <x:c r="D341" s="82" t="str">
        <x:f>IF(ISNUMBER('Transfer_Ratings'!K341),'Transfer_Ratings'!K341,"")</x:f>
      </x:c>
      <x:c r="E341" s="86"/>
      <x:c r="F341" s="86"/>
      <x:c r="G341" s="86"/>
      <x:c r="H341" s="86"/>
      <x:c r="I341" s="86"/>
      <x:c r="J341" s="82" t="str">
        <x:f>IF(C341="","Choose position",IF(COUNT(E341:I341)&lt;5,"",IF(OR(MIN(E341:I341)&lt;0.1,MAX(E341:I341)&gt;10),"Invalid score",IF(INDEX('Position_Rubric'!$H$6:$H$14,M341)&lt;&gt;1,"Check weights",ROUND(E341*INDEX('Position_Rubric'!$C$6:$C$14,M341)+F341*INDEX('Position_Rubric'!$D$6:$D$14,M341)+G341*INDEX('Position_Rubric'!$E$6:$E$14,M341)+H341*INDEX('Position_Rubric'!$F$6:$F$14,M341)+I341*INDEX('Position_Rubric'!$G$6:$G$14,M341),1)))))</x:f>
      </x:c>
      <x:c r="K341" s="82" t="str">
        <x:f>IF(AND(ISNUMBER(J341),ISNUMBER(D341)),J341-D341,"")</x:f>
      </x:c>
      <x:c r="L341" s="69" t="str">
        <x:f>IF(COUNT(E341:I341)&lt;5,"Needs component scores",IF(ISNUMBER(J341),"Calculated",J341))</x:f>
        <x:v>Needs component scores</x:v>
      </x:c>
      <x:c r="M341" s="69" t="n">
        <x:f>IF(C341="","",MATCH(C341,'Position_Rubric'!$A$6:$A$14,0))</x:f>
        <x:v>8</x:v>
      </x:c>
      <x:c r="N341" s="69" t="str"/>
    </x:row>
    <x:row r="342" ht="25" customHeight="1">
      <x:c r="A342" s="69" t="str">
        <x:v>summer-S26-0928</x:v>
      </x:c>
      <x:c r="B342" s="69" t="str">
        <x:v>Noam Obougou</x:v>
      </x:c>
      <x:c r="C342" s="69" t="str">
        <x:v>ST</x:v>
      </x:c>
      <x:c r="D342" s="82" t="str">
        <x:f>IF(ISNUMBER('Transfer_Ratings'!K342),'Transfer_Ratings'!K342,"")</x:f>
      </x:c>
      <x:c r="E342" s="86"/>
      <x:c r="F342" s="86"/>
      <x:c r="G342" s="86"/>
      <x:c r="H342" s="86"/>
      <x:c r="I342" s="86"/>
      <x:c r="J342" s="82" t="str">
        <x:f>IF(C342="","Choose position",IF(COUNT(E342:I342)&lt;5,"",IF(OR(MIN(E342:I342)&lt;0.1,MAX(E342:I342)&gt;10),"Invalid score",IF(INDEX('Position_Rubric'!$H$6:$H$14,M342)&lt;&gt;1,"Check weights",ROUND(E342*INDEX('Position_Rubric'!$C$6:$C$14,M342)+F342*INDEX('Position_Rubric'!$D$6:$D$14,M342)+G342*INDEX('Position_Rubric'!$E$6:$E$14,M342)+H342*INDEX('Position_Rubric'!$F$6:$F$14,M342)+I342*INDEX('Position_Rubric'!$G$6:$G$14,M342),1)))))</x:f>
      </x:c>
      <x:c r="K342" s="82" t="str">
        <x:f>IF(AND(ISNUMBER(J342),ISNUMBER(D342)),J342-D342,"")</x:f>
      </x:c>
      <x:c r="L342" s="69" t="str">
        <x:f>IF(COUNT(E342:I342)&lt;5,"Needs component scores",IF(ISNUMBER(J342),"Calculated",J342))</x:f>
        <x:v>Needs component scores</x:v>
      </x:c>
      <x:c r="M342" s="69" t="n">
        <x:f>IF(C342="","",MATCH(C342,'Position_Rubric'!$A$6:$A$14,0))</x:f>
        <x:v>8</x:v>
      </x:c>
      <x:c r="N342" s="69" t="str"/>
    </x:row>
    <x:row r="343" ht="25" customHeight="1">
      <x:c r="A343" s="69" t="str">
        <x:v>summer-S26-0933</x:v>
      </x:c>
      <x:c r="B343" s="69" t="str">
        <x:v>Enes Unal</x:v>
      </x:c>
      <x:c r="C343" s="69" t="str">
        <x:v>ST</x:v>
      </x:c>
      <x:c r="D343" s="82" t="str">
        <x:f>IF(ISNUMBER('Transfer_Ratings'!K343),'Transfer_Ratings'!K343,"")</x:f>
      </x:c>
      <x:c r="E343" s="86"/>
      <x:c r="F343" s="86"/>
      <x:c r="G343" s="86"/>
      <x:c r="H343" s="86"/>
      <x:c r="I343" s="86"/>
      <x:c r="J343" s="82" t="str">
        <x:f>IF(C343="","Choose position",IF(COUNT(E343:I343)&lt;5,"",IF(OR(MIN(E343:I343)&lt;0.1,MAX(E343:I343)&gt;10),"Invalid score",IF(INDEX('Position_Rubric'!$H$6:$H$14,M343)&lt;&gt;1,"Check weights",ROUND(E343*INDEX('Position_Rubric'!$C$6:$C$14,M343)+F343*INDEX('Position_Rubric'!$D$6:$D$14,M343)+G343*INDEX('Position_Rubric'!$E$6:$E$14,M343)+H343*INDEX('Position_Rubric'!$F$6:$F$14,M343)+I343*INDEX('Position_Rubric'!$G$6:$G$14,M343),1)))))</x:f>
      </x:c>
      <x:c r="K343" s="82" t="str">
        <x:f>IF(AND(ISNUMBER(J343),ISNUMBER(D343)),J343-D343,"")</x:f>
      </x:c>
      <x:c r="L343" s="69" t="str">
        <x:f>IF(COUNT(E343:I343)&lt;5,"Needs component scores",IF(ISNUMBER(J343),"Calculated",J343))</x:f>
        <x:v>Needs component scores</x:v>
      </x:c>
      <x:c r="M343" s="69" t="n">
        <x:f>IF(C343="","",MATCH(C343,'Position_Rubric'!$A$6:$A$14,0))</x:f>
        <x:v>8</x:v>
      </x:c>
      <x:c r="N343" s="69" t="str"/>
    </x:row>
    <x:row r="344" ht="25" customHeight="1">
      <x:c r="A344" s="69" t="str">
        <x:v>summer-S26-0934</x:v>
      </x:c>
      <x:c r="B344" s="69" t="str">
        <x:v>Roberto Piccoli</x:v>
      </x:c>
      <x:c r="C344" s="69" t="str">
        <x:v>ST</x:v>
      </x:c>
      <x:c r="D344" s="82" t="str">
        <x:f>IF(ISNUMBER('Transfer_Ratings'!K344),'Transfer_Ratings'!K344,"")</x:f>
      </x:c>
      <x:c r="E344" s="86"/>
      <x:c r="F344" s="86"/>
      <x:c r="G344" s="86"/>
      <x:c r="H344" s="86"/>
      <x:c r="I344" s="86"/>
      <x:c r="J344" s="82" t="str">
        <x:f>IF(C344="","Choose position",IF(COUNT(E344:I344)&lt;5,"",IF(OR(MIN(E344:I344)&lt;0.1,MAX(E344:I344)&gt;10),"Invalid score",IF(INDEX('Position_Rubric'!$H$6:$H$14,M344)&lt;&gt;1,"Check weights",ROUND(E344*INDEX('Position_Rubric'!$C$6:$C$14,M344)+F344*INDEX('Position_Rubric'!$D$6:$D$14,M344)+G344*INDEX('Position_Rubric'!$E$6:$E$14,M344)+H344*INDEX('Position_Rubric'!$F$6:$F$14,M344)+I344*INDEX('Position_Rubric'!$G$6:$G$14,M344),1)))))</x:f>
      </x:c>
      <x:c r="K344" s="82" t="str">
        <x:f>IF(AND(ISNUMBER(J344),ISNUMBER(D344)),J344-D344,"")</x:f>
      </x:c>
      <x:c r="L344" s="69" t="str">
        <x:f>IF(COUNT(E344:I344)&lt;5,"Needs component scores",IF(ISNUMBER(J344),"Calculated",J344))</x:f>
        <x:v>Needs component scores</x:v>
      </x:c>
      <x:c r="M344" s="69" t="n">
        <x:f>IF(C344="","",MATCH(C344,'Position_Rubric'!$A$6:$A$14,0))</x:f>
        <x:v>8</x:v>
      </x:c>
      <x:c r="N344" s="69" t="str"/>
    </x:row>
    <x:row r="345" ht="25" customHeight="1">
      <x:c r="A345" s="69" t="str">
        <x:v>summer-S26-0935</x:v>
      </x:c>
      <x:c r="B345" s="69" t="str">
        <x:v>Mateo Pellegrino</x:v>
      </x:c>
      <x:c r="C345" s="69" t="str">
        <x:v>ST</x:v>
      </x:c>
      <x:c r="D345" s="82" t="str">
        <x:f>IF(ISNUMBER('Transfer_Ratings'!K345),'Transfer_Ratings'!K345,"")</x:f>
      </x:c>
      <x:c r="E345" s="86"/>
      <x:c r="F345" s="86"/>
      <x:c r="G345" s="86"/>
      <x:c r="H345" s="86"/>
      <x:c r="I345" s="86"/>
      <x:c r="J345" s="82" t="str">
        <x:f>IF(C345="","Choose position",IF(COUNT(E345:I345)&lt;5,"",IF(OR(MIN(E345:I345)&lt;0.1,MAX(E345:I345)&gt;10),"Invalid score",IF(INDEX('Position_Rubric'!$H$6:$H$14,M345)&lt;&gt;1,"Check weights",ROUND(E345*INDEX('Position_Rubric'!$C$6:$C$14,M345)+F345*INDEX('Position_Rubric'!$D$6:$D$14,M345)+G345*INDEX('Position_Rubric'!$E$6:$E$14,M345)+H345*INDEX('Position_Rubric'!$F$6:$F$14,M345)+I345*INDEX('Position_Rubric'!$G$6:$G$14,M345),1)))))</x:f>
      </x:c>
      <x:c r="K345" s="82" t="str">
        <x:f>IF(AND(ISNUMBER(J345),ISNUMBER(D345)),J345-D345,"")</x:f>
      </x:c>
      <x:c r="L345" s="69" t="str">
        <x:f>IF(COUNT(E345:I345)&lt;5,"Needs component scores",IF(ISNUMBER(J345),"Calculated",J345))</x:f>
        <x:v>Needs component scores</x:v>
      </x:c>
      <x:c r="M345" s="69" t="n">
        <x:f>IF(C345="","",MATCH(C345,'Position_Rubric'!$A$6:$A$14,0))</x:f>
        <x:v>8</x:v>
      </x:c>
      <x:c r="N345" s="69" t="str"/>
    </x:row>
    <x:row r="346" ht="25" customHeight="1">
      <x:c r="A346" s="69" t="str">
        <x:v>summer-S26-0942</x:v>
      </x:c>
      <x:c r="B346" s="69" t="str">
        <x:v>Tiziano Perrotta</x:v>
      </x:c>
      <x:c r="C346" s="69" t="str">
        <x:v>ST</x:v>
      </x:c>
      <x:c r="D346" s="82" t="str">
        <x:f>IF(ISNUMBER('Transfer_Ratings'!K346),'Transfer_Ratings'!K346,"")</x:f>
      </x:c>
      <x:c r="E346" s="86"/>
      <x:c r="F346" s="86"/>
      <x:c r="G346" s="86"/>
      <x:c r="H346" s="86"/>
      <x:c r="I346" s="86"/>
      <x:c r="J346" s="82" t="str">
        <x:f>IF(C346="","Choose position",IF(COUNT(E346:I346)&lt;5,"",IF(OR(MIN(E346:I346)&lt;0.1,MAX(E346:I346)&gt;10),"Invalid score",IF(INDEX('Position_Rubric'!$H$6:$H$14,M346)&lt;&gt;1,"Check weights",ROUND(E346*INDEX('Position_Rubric'!$C$6:$C$14,M346)+F346*INDEX('Position_Rubric'!$D$6:$D$14,M346)+G346*INDEX('Position_Rubric'!$E$6:$E$14,M346)+H346*INDEX('Position_Rubric'!$F$6:$F$14,M346)+I346*INDEX('Position_Rubric'!$G$6:$G$14,M346),1)))))</x:f>
      </x:c>
      <x:c r="K346" s="82" t="str">
        <x:f>IF(AND(ISNUMBER(J346),ISNUMBER(D346)),J346-D346,"")</x:f>
      </x:c>
      <x:c r="L346" s="69" t="str">
        <x:f>IF(COUNT(E346:I346)&lt;5,"Needs component scores",IF(ISNUMBER(J346),"Calculated",J346))</x:f>
        <x:v>Needs component scores</x:v>
      </x:c>
      <x:c r="M346" s="69" t="n">
        <x:f>IF(C346="","",MATCH(C346,'Position_Rubric'!$A$6:$A$14,0))</x:f>
        <x:v>8</x:v>
      </x:c>
      <x:c r="N346" s="69" t="str"/>
    </x:row>
    <x:row r="347" ht="25" customHeight="1">
      <x:c r="A347" s="69" t="str">
        <x:v>summer-S26-0943</x:v>
      </x:c>
      <x:c r="B347" s="69" t="str">
        <x:v>Tiziano Perrotta</x:v>
      </x:c>
      <x:c r="C347" s="69" t="str">
        <x:v>ST</x:v>
      </x:c>
      <x:c r="D347" s="82" t="str">
        <x:f>IF(ISNUMBER('Transfer_Ratings'!K347),'Transfer_Ratings'!K347,"")</x:f>
      </x:c>
      <x:c r="E347" s="86"/>
      <x:c r="F347" s="86"/>
      <x:c r="G347" s="86"/>
      <x:c r="H347" s="86"/>
      <x:c r="I347" s="86"/>
      <x:c r="J347" s="82" t="str">
        <x:f>IF(C347="","Choose position",IF(COUNT(E347:I347)&lt;5,"",IF(OR(MIN(E347:I347)&lt;0.1,MAX(E347:I347)&gt;10),"Invalid score",IF(INDEX('Position_Rubric'!$H$6:$H$14,M347)&lt;&gt;1,"Check weights",ROUND(E347*INDEX('Position_Rubric'!$C$6:$C$14,M347)+F347*INDEX('Position_Rubric'!$D$6:$D$14,M347)+G347*INDEX('Position_Rubric'!$E$6:$E$14,M347)+H347*INDEX('Position_Rubric'!$F$6:$F$14,M347)+I347*INDEX('Position_Rubric'!$G$6:$G$14,M347),1)))))</x:f>
      </x:c>
      <x:c r="K347" s="82" t="str">
        <x:f>IF(AND(ISNUMBER(J347),ISNUMBER(D347)),J347-D347,"")</x:f>
      </x:c>
      <x:c r="L347" s="69" t="str">
        <x:f>IF(COUNT(E347:I347)&lt;5,"Needs component scores",IF(ISNUMBER(J347),"Calculated",J347))</x:f>
        <x:v>Needs component scores</x:v>
      </x:c>
      <x:c r="M347" s="69" t="n">
        <x:f>IF(C347="","",MATCH(C347,'Position_Rubric'!$A$6:$A$14,0))</x:f>
        <x:v>8</x:v>
      </x:c>
      <x:c r="N347" s="69" t="str"/>
    </x:row>
    <x:row r="348" ht="25" customHeight="1">
      <x:c r="A348" s="69" t="str">
        <x:v>summer-S26-0945</x:v>
      </x:c>
      <x:c r="B348" s="69" t="str">
        <x:v>Armindo Sieb</x:v>
      </x:c>
      <x:c r="C348" s="69" t="str">
        <x:v>ST</x:v>
      </x:c>
      <x:c r="D348" s="82" t="str">
        <x:f>IF(ISNUMBER('Transfer_Ratings'!K348),'Transfer_Ratings'!K348,"")</x:f>
      </x:c>
      <x:c r="E348" s="86"/>
      <x:c r="F348" s="86"/>
      <x:c r="G348" s="86"/>
      <x:c r="H348" s="86"/>
      <x:c r="I348" s="86"/>
      <x:c r="J348" s="82" t="str">
        <x:f>IF(C348="","Choose position",IF(COUNT(E348:I348)&lt;5,"",IF(OR(MIN(E348:I348)&lt;0.1,MAX(E348:I348)&gt;10),"Invalid score",IF(INDEX('Position_Rubric'!$H$6:$H$14,M348)&lt;&gt;1,"Check weights",ROUND(E348*INDEX('Position_Rubric'!$C$6:$C$14,M348)+F348*INDEX('Position_Rubric'!$D$6:$D$14,M348)+G348*INDEX('Position_Rubric'!$E$6:$E$14,M348)+H348*INDEX('Position_Rubric'!$F$6:$F$14,M348)+I348*INDEX('Position_Rubric'!$G$6:$G$14,M348),1)))))</x:f>
      </x:c>
      <x:c r="K348" s="82" t="str">
        <x:f>IF(AND(ISNUMBER(J348),ISNUMBER(D348)),J348-D348,"")</x:f>
      </x:c>
      <x:c r="L348" s="69" t="str">
        <x:f>IF(COUNT(E348:I348)&lt;5,"Needs component scores",IF(ISNUMBER(J348),"Calculated",J348))</x:f>
        <x:v>Needs component scores</x:v>
      </x:c>
      <x:c r="M348" s="69" t="n">
        <x:f>IF(C348="","",MATCH(C348,'Position_Rubric'!$A$6:$A$14,0))</x:f>
        <x:v>8</x:v>
      </x:c>
      <x:c r="N348" s="69" t="str"/>
    </x:row>
    <x:row r="349" ht="25" customHeight="1">
      <x:c r="A349" s="69" t="str">
        <x:v>summer-S26-0950</x:v>
      </x:c>
      <x:c r="B349" s="69" t="str">
        <x:v>Enis Destan</x:v>
      </x:c>
      <x:c r="C349" s="69" t="str">
        <x:v>ST</x:v>
      </x:c>
      <x:c r="D349" s="82" t="str">
        <x:f>IF(ISNUMBER('Transfer_Ratings'!K349),'Transfer_Ratings'!K349,"")</x:f>
      </x:c>
      <x:c r="E349" s="86"/>
      <x:c r="F349" s="86"/>
      <x:c r="G349" s="86"/>
      <x:c r="H349" s="86"/>
      <x:c r="I349" s="86"/>
      <x:c r="J349" s="82" t="str">
        <x:f>IF(C349="","Choose position",IF(COUNT(E349:I349)&lt;5,"",IF(OR(MIN(E349:I349)&lt;0.1,MAX(E349:I349)&gt;10),"Invalid score",IF(INDEX('Position_Rubric'!$H$6:$H$14,M349)&lt;&gt;1,"Check weights",ROUND(E349*INDEX('Position_Rubric'!$C$6:$C$14,M349)+F349*INDEX('Position_Rubric'!$D$6:$D$14,M349)+G349*INDEX('Position_Rubric'!$E$6:$E$14,M349)+H349*INDEX('Position_Rubric'!$F$6:$F$14,M349)+I349*INDEX('Position_Rubric'!$G$6:$G$14,M349),1)))))</x:f>
      </x:c>
      <x:c r="K349" s="82" t="str">
        <x:f>IF(AND(ISNUMBER(J349),ISNUMBER(D349)),J349-D349,"")</x:f>
      </x:c>
      <x:c r="L349" s="69" t="str">
        <x:f>IF(COUNT(E349:I349)&lt;5,"Needs component scores",IF(ISNUMBER(J349),"Calculated",J349))</x:f>
        <x:v>Needs component scores</x:v>
      </x:c>
      <x:c r="M349" s="69" t="n">
        <x:f>IF(C349="","",MATCH(C349,'Position_Rubric'!$A$6:$A$14,0))</x:f>
        <x:v>8</x:v>
      </x:c>
      <x:c r="N349" s="69" t="str"/>
    </x:row>
    <x:row r="350" ht="25" customHeight="1">
      <x:c r="A350" s="69" t="str">
        <x:v>summer-S26-0952</x:v>
      </x:c>
      <x:c r="B350" s="69" t="str">
        <x:v>Flavio Russo</x:v>
      </x:c>
      <x:c r="C350" s="69" t="str">
        <x:v>ST</x:v>
      </x:c>
      <x:c r="D350" s="82" t="str">
        <x:f>IF(ISNUMBER('Transfer_Ratings'!K350),'Transfer_Ratings'!K350,"")</x:f>
      </x:c>
      <x:c r="E350" s="86"/>
      <x:c r="F350" s="86"/>
      <x:c r="G350" s="86"/>
      <x:c r="H350" s="86"/>
      <x:c r="I350" s="86"/>
      <x:c r="J350" s="82" t="str">
        <x:f>IF(C350="","Choose position",IF(COUNT(E350:I350)&lt;5,"",IF(OR(MIN(E350:I350)&lt;0.1,MAX(E350:I350)&gt;10),"Invalid score",IF(INDEX('Position_Rubric'!$H$6:$H$14,M350)&lt;&gt;1,"Check weights",ROUND(E350*INDEX('Position_Rubric'!$C$6:$C$14,M350)+F350*INDEX('Position_Rubric'!$D$6:$D$14,M350)+G350*INDEX('Position_Rubric'!$E$6:$E$14,M350)+H350*INDEX('Position_Rubric'!$F$6:$F$14,M350)+I350*INDEX('Position_Rubric'!$G$6:$G$14,M350),1)))))</x:f>
      </x:c>
      <x:c r="K350" s="82" t="str">
        <x:f>IF(AND(ISNUMBER(J350),ISNUMBER(D350)),J350-D350,"")</x:f>
      </x:c>
      <x:c r="L350" s="69" t="str">
        <x:f>IF(COUNT(E350:I350)&lt;5,"Needs component scores",IF(ISNUMBER(J350),"Calculated",J350))</x:f>
        <x:v>Needs component scores</x:v>
      </x:c>
      <x:c r="M350" s="69" t="n">
        <x:f>IF(C350="","",MATCH(C350,'Position_Rubric'!$A$6:$A$14,0))</x:f>
        <x:v>8</x:v>
      </x:c>
      <x:c r="N350" s="69" t="str"/>
    </x:row>
    <x:row r="351" ht="25" customHeight="1">
      <x:c r="A351" s="69" t="str">
        <x:v>summer-S26-0955</x:v>
      </x:c>
      <x:c r="B351" s="69" t="str">
        <x:v>David Romero</x:v>
      </x:c>
      <x:c r="C351" s="69" t="str">
        <x:v>ST</x:v>
      </x:c>
      <x:c r="D351" s="82" t="str">
        <x:f>IF(ISNUMBER('Transfer_Ratings'!K351),'Transfer_Ratings'!K351,"")</x:f>
      </x:c>
      <x:c r="E351" s="86"/>
      <x:c r="F351" s="86"/>
      <x:c r="G351" s="86"/>
      <x:c r="H351" s="86"/>
      <x:c r="I351" s="86"/>
      <x:c r="J351" s="82" t="str">
        <x:f>IF(C351="","Choose position",IF(COUNT(E351:I351)&lt;5,"",IF(OR(MIN(E351:I351)&lt;0.1,MAX(E351:I351)&gt;10),"Invalid score",IF(INDEX('Position_Rubric'!$H$6:$H$14,M351)&lt;&gt;1,"Check weights",ROUND(E351*INDEX('Position_Rubric'!$C$6:$C$14,M351)+F351*INDEX('Position_Rubric'!$D$6:$D$14,M351)+G351*INDEX('Position_Rubric'!$E$6:$E$14,M351)+H351*INDEX('Position_Rubric'!$F$6:$F$14,M351)+I351*INDEX('Position_Rubric'!$G$6:$G$14,M351),1)))))</x:f>
      </x:c>
      <x:c r="K351" s="82" t="str">
        <x:f>IF(AND(ISNUMBER(J351),ISNUMBER(D351)),J351-D351,"")</x:f>
      </x:c>
      <x:c r="L351" s="69" t="str">
        <x:f>IF(COUNT(E351:I351)&lt;5,"Needs component scores",IF(ISNUMBER(J351),"Calculated",J351))</x:f>
        <x:v>Needs component scores</x:v>
      </x:c>
      <x:c r="M351" s="69" t="n">
        <x:f>IF(C351="","",MATCH(C351,'Position_Rubric'!$A$6:$A$14,0))</x:f>
        <x:v>8</x:v>
      </x:c>
      <x:c r="N351" s="69" t="str"/>
    </x:row>
    <x:row r="352" ht="25" customHeight="1">
      <x:c r="A352" s="69" t="str">
        <x:v>summer-S26-0961</x:v>
      </x:c>
      <x:c r="B352" s="69" t="str">
        <x:v>Dastan Satpayev</x:v>
      </x:c>
      <x:c r="C352" s="69" t="str">
        <x:v>ST</x:v>
      </x:c>
      <x:c r="D352" s="82" t="str">
        <x:f>IF(ISNUMBER('Transfer_Ratings'!K352),'Transfer_Ratings'!K352,"")</x:f>
      </x:c>
      <x:c r="E352" s="86"/>
      <x:c r="F352" s="86"/>
      <x:c r="G352" s="86"/>
      <x:c r="H352" s="86"/>
      <x:c r="I352" s="86"/>
      <x:c r="J352" s="82" t="str">
        <x:f>IF(C352="","Choose position",IF(COUNT(E352:I352)&lt;5,"",IF(OR(MIN(E352:I352)&lt;0.1,MAX(E352:I352)&gt;10),"Invalid score",IF(INDEX('Position_Rubric'!$H$6:$H$14,M352)&lt;&gt;1,"Check weights",ROUND(E352*INDEX('Position_Rubric'!$C$6:$C$14,M352)+F352*INDEX('Position_Rubric'!$D$6:$D$14,M352)+G352*INDEX('Position_Rubric'!$E$6:$E$14,M352)+H352*INDEX('Position_Rubric'!$F$6:$F$14,M352)+I352*INDEX('Position_Rubric'!$G$6:$G$14,M352),1)))))</x:f>
      </x:c>
      <x:c r="K352" s="82" t="str">
        <x:f>IF(AND(ISNUMBER(J352),ISNUMBER(D352)),J352-D352,"")</x:f>
      </x:c>
      <x:c r="L352" s="69" t="str">
        <x:f>IF(COUNT(E352:I352)&lt;5,"Needs component scores",IF(ISNUMBER(J352),"Calculated",J352))</x:f>
        <x:v>Needs component scores</x:v>
      </x:c>
      <x:c r="M352" s="69" t="n">
        <x:f>IF(C352="","",MATCH(C352,'Position_Rubric'!$A$6:$A$14,0))</x:f>
        <x:v>8</x:v>
      </x:c>
      <x:c r="N352" s="69" t="str"/>
    </x:row>
    <x:row r="353" ht="25" customHeight="1">
      <x:c r="A353" s="69" t="str">
        <x:v>summer-S26-0971</x:v>
      </x:c>
      <x:c r="B353" s="69" t="str">
        <x:v>Ferran Torres</x:v>
      </x:c>
      <x:c r="C353" s="69" t="str">
        <x:v>ST</x:v>
      </x:c>
      <x:c r="D353" s="82" t="str">
        <x:f>IF(ISNUMBER('Transfer_Ratings'!K353),'Transfer_Ratings'!K353,"")</x:f>
      </x:c>
      <x:c r="E353" s="86"/>
      <x:c r="F353" s="86"/>
      <x:c r="G353" s="86"/>
      <x:c r="H353" s="86"/>
      <x:c r="I353" s="86"/>
      <x:c r="J353" s="82" t="str">
        <x:f>IF(C353="","Choose position",IF(COUNT(E353:I353)&lt;5,"",IF(OR(MIN(E353:I353)&lt;0.1,MAX(E353:I353)&gt;10),"Invalid score",IF(INDEX('Position_Rubric'!$H$6:$H$14,M353)&lt;&gt;1,"Check weights",ROUND(E353*INDEX('Position_Rubric'!$C$6:$C$14,M353)+F353*INDEX('Position_Rubric'!$D$6:$D$14,M353)+G353*INDEX('Position_Rubric'!$E$6:$E$14,M353)+H353*INDEX('Position_Rubric'!$F$6:$F$14,M353)+I353*INDEX('Position_Rubric'!$G$6:$G$14,M353),1)))))</x:f>
      </x:c>
      <x:c r="K353" s="82" t="str">
        <x:f>IF(AND(ISNUMBER(J353),ISNUMBER(D353)),J353-D353,"")</x:f>
      </x:c>
      <x:c r="L353" s="69" t="str">
        <x:f>IF(COUNT(E353:I353)&lt;5,"Needs component scores",IF(ISNUMBER(J353),"Calculated",J353))</x:f>
        <x:v>Needs component scores</x:v>
      </x:c>
      <x:c r="M353" s="69" t="n">
        <x:f>IF(C353="","",MATCH(C353,'Position_Rubric'!$A$6:$A$14,0))</x:f>
        <x:v>8</x:v>
      </x:c>
      <x:c r="N353" s="69" t="str"/>
    </x:row>
    <x:row r="354" ht="25" customHeight="1">
      <x:c r="A354" s="69" t="str">
        <x:v>summer-S26-0974</x:v>
      </x:c>
      <x:c r="B354" s="69" t="str">
        <x:v>Joe Gelhardt</x:v>
      </x:c>
      <x:c r="C354" s="69" t="str">
        <x:v>ST</x:v>
      </x:c>
      <x:c r="D354" s="82" t="str">
        <x:f>IF(ISNUMBER('Transfer_Ratings'!K354),'Transfer_Ratings'!K354,"")</x:f>
      </x:c>
      <x:c r="E354" s="86"/>
      <x:c r="F354" s="86"/>
      <x:c r="G354" s="86"/>
      <x:c r="H354" s="86"/>
      <x:c r="I354" s="86"/>
      <x:c r="J354" s="82" t="str">
        <x:f>IF(C354="","Choose position",IF(COUNT(E354:I354)&lt;5,"",IF(OR(MIN(E354:I354)&lt;0.1,MAX(E354:I354)&gt;10),"Invalid score",IF(INDEX('Position_Rubric'!$H$6:$H$14,M354)&lt;&gt;1,"Check weights",ROUND(E354*INDEX('Position_Rubric'!$C$6:$C$14,M354)+F354*INDEX('Position_Rubric'!$D$6:$D$14,M354)+G354*INDEX('Position_Rubric'!$E$6:$E$14,M354)+H354*INDEX('Position_Rubric'!$F$6:$F$14,M354)+I354*INDEX('Position_Rubric'!$G$6:$G$14,M354),1)))))</x:f>
      </x:c>
      <x:c r="K354" s="82" t="str">
        <x:f>IF(AND(ISNUMBER(J354),ISNUMBER(D354)),J354-D354,"")</x:f>
      </x:c>
      <x:c r="L354" s="69" t="str">
        <x:f>IF(COUNT(E354:I354)&lt;5,"Needs component scores",IF(ISNUMBER(J354),"Calculated",J354))</x:f>
        <x:v>Needs component scores</x:v>
      </x:c>
      <x:c r="M354" s="69" t="n">
        <x:f>IF(C354="","",MATCH(C354,'Position_Rubric'!$A$6:$A$14,0))</x:f>
        <x:v>8</x:v>
      </x:c>
      <x:c r="N354" s="69" t="str"/>
    </x:row>
    <x:row r="355" ht="25" customHeight="1">
      <x:c r="A355" s="69" t="str">
        <x:v>summer-S26-0975</x:v>
      </x:c>
      <x:c r="B355" s="69" t="str">
        <x:v>Janis Antiste</x:v>
      </x:c>
      <x:c r="C355" s="69" t="str">
        <x:v>ST</x:v>
      </x:c>
      <x:c r="D355" s="82" t="str">
        <x:f>IF(ISNUMBER('Transfer_Ratings'!K355),'Transfer_Ratings'!K355,"")</x:f>
      </x:c>
      <x:c r="E355" s="86"/>
      <x:c r="F355" s="86"/>
      <x:c r="G355" s="86"/>
      <x:c r="H355" s="86"/>
      <x:c r="I355" s="86"/>
      <x:c r="J355" s="82" t="str">
        <x:f>IF(C355="","Choose position",IF(COUNT(E355:I355)&lt;5,"",IF(OR(MIN(E355:I355)&lt;0.1,MAX(E355:I355)&gt;10),"Invalid score",IF(INDEX('Position_Rubric'!$H$6:$H$14,M355)&lt;&gt;1,"Check weights",ROUND(E355*INDEX('Position_Rubric'!$C$6:$C$14,M355)+F355*INDEX('Position_Rubric'!$D$6:$D$14,M355)+G355*INDEX('Position_Rubric'!$E$6:$E$14,M355)+H355*INDEX('Position_Rubric'!$F$6:$F$14,M355)+I355*INDEX('Position_Rubric'!$G$6:$G$14,M355),1)))))</x:f>
      </x:c>
      <x:c r="K355" s="82" t="str">
        <x:f>IF(AND(ISNUMBER(J355),ISNUMBER(D355)),J355-D355,"")</x:f>
      </x:c>
      <x:c r="L355" s="69" t="str">
        <x:f>IF(COUNT(E355:I355)&lt;5,"Needs component scores",IF(ISNUMBER(J355),"Calculated",J355))</x:f>
        <x:v>Needs component scores</x:v>
      </x:c>
      <x:c r="M355" s="69" t="n">
        <x:f>IF(C355="","",MATCH(C355,'Position_Rubric'!$A$6:$A$14,0))</x:f>
        <x:v>8</x:v>
      </x:c>
      <x:c r="N355" s="69" t="str"/>
    </x:row>
    <x:row r="356" ht="25" customHeight="1">
      <x:c r="A356" s="69" t="str">
        <x:v>summer-S26-0978</x:v>
      </x:c>
      <x:c r="B356" s="69" t="str">
        <x:v>Agustín Álvarez</x:v>
      </x:c>
      <x:c r="C356" s="69" t="str">
        <x:v>ST</x:v>
      </x:c>
      <x:c r="D356" s="82" t="str">
        <x:f>IF(ISNUMBER('Transfer_Ratings'!K356),'Transfer_Ratings'!K356,"")</x:f>
      </x:c>
      <x:c r="E356" s="86"/>
      <x:c r="F356" s="86"/>
      <x:c r="G356" s="86"/>
      <x:c r="H356" s="86"/>
      <x:c r="I356" s="86"/>
      <x:c r="J356" s="82" t="str">
        <x:f>IF(C356="","Choose position",IF(COUNT(E356:I356)&lt;5,"",IF(OR(MIN(E356:I356)&lt;0.1,MAX(E356:I356)&gt;10),"Invalid score",IF(INDEX('Position_Rubric'!$H$6:$H$14,M356)&lt;&gt;1,"Check weights",ROUND(E356*INDEX('Position_Rubric'!$C$6:$C$14,M356)+F356*INDEX('Position_Rubric'!$D$6:$D$14,M356)+G356*INDEX('Position_Rubric'!$E$6:$E$14,M356)+H356*INDEX('Position_Rubric'!$F$6:$F$14,M356)+I356*INDEX('Position_Rubric'!$G$6:$G$14,M356),1)))))</x:f>
      </x:c>
      <x:c r="K356" s="82" t="str">
        <x:f>IF(AND(ISNUMBER(J356),ISNUMBER(D356)),J356-D356,"")</x:f>
      </x:c>
      <x:c r="L356" s="69" t="str">
        <x:f>IF(COUNT(E356:I356)&lt;5,"Needs component scores",IF(ISNUMBER(J356),"Calculated",J356))</x:f>
        <x:v>Needs component scores</x:v>
      </x:c>
      <x:c r="M356" s="69" t="n">
        <x:f>IF(C356="","",MATCH(C356,'Position_Rubric'!$A$6:$A$14,0))</x:f>
        <x:v>8</x:v>
      </x:c>
      <x:c r="N356" s="69" t="str"/>
    </x:row>
    <x:row r="357" ht="25" customHeight="1">
      <x:c r="A357" s="69" t="str">
        <x:v>summer-S26-0982</x:v>
      </x:c>
      <x:c r="B357" s="69" t="str">
        <x:v>Noel Futkeu</x:v>
      </x:c>
      <x:c r="C357" s="69" t="str">
        <x:v>ST</x:v>
      </x:c>
      <x:c r="D357" s="82" t="str">
        <x:f>IF(ISNUMBER('Transfer_Ratings'!K357),'Transfer_Ratings'!K357,"")</x:f>
      </x:c>
      <x:c r="E357" s="86"/>
      <x:c r="F357" s="86"/>
      <x:c r="G357" s="86"/>
      <x:c r="H357" s="86"/>
      <x:c r="I357" s="86"/>
      <x:c r="J357" s="82" t="str">
        <x:f>IF(C357="","Choose position",IF(COUNT(E357:I357)&lt;5,"",IF(OR(MIN(E357:I357)&lt;0.1,MAX(E357:I357)&gt;10),"Invalid score",IF(INDEX('Position_Rubric'!$H$6:$H$14,M357)&lt;&gt;1,"Check weights",ROUND(E357*INDEX('Position_Rubric'!$C$6:$C$14,M357)+F357*INDEX('Position_Rubric'!$D$6:$D$14,M357)+G357*INDEX('Position_Rubric'!$E$6:$E$14,M357)+H357*INDEX('Position_Rubric'!$F$6:$F$14,M357)+I357*INDEX('Position_Rubric'!$G$6:$G$14,M357),1)))))</x:f>
      </x:c>
      <x:c r="K357" s="82" t="str">
        <x:f>IF(AND(ISNUMBER(J357),ISNUMBER(D357)),J357-D357,"")</x:f>
      </x:c>
      <x:c r="L357" s="69" t="str">
        <x:f>IF(COUNT(E357:I357)&lt;5,"Needs component scores",IF(ISNUMBER(J357),"Calculated",J357))</x:f>
        <x:v>Needs component scores</x:v>
      </x:c>
      <x:c r="M357" s="69" t="n">
        <x:f>IF(C357="","",MATCH(C357,'Position_Rubric'!$A$6:$A$14,0))</x:f>
        <x:v>8</x:v>
      </x:c>
      <x:c r="N357" s="69" t="str"/>
    </x:row>
    <x:row r="358" ht="25" customHeight="1">
      <x:c r="A358" s="69" t="str">
        <x:v>summer-S26-0989</x:v>
      </x:c>
      <x:c r="B358" s="69" t="str">
        <x:v>Julio Enciso</x:v>
      </x:c>
      <x:c r="C358" s="69" t="str">
        <x:v>ST</x:v>
      </x:c>
      <x:c r="D358" s="82" t="str">
        <x:f>IF(ISNUMBER('Transfer_Ratings'!K358),'Transfer_Ratings'!K358,"")</x:f>
      </x:c>
      <x:c r="E358" s="86"/>
      <x:c r="F358" s="86"/>
      <x:c r="G358" s="86"/>
      <x:c r="H358" s="86"/>
      <x:c r="I358" s="86"/>
      <x:c r="J358" s="82" t="str">
        <x:f>IF(C358="","Choose position",IF(COUNT(E358:I358)&lt;5,"",IF(OR(MIN(E358:I358)&lt;0.1,MAX(E358:I358)&gt;10),"Invalid score",IF(INDEX('Position_Rubric'!$H$6:$H$14,M358)&lt;&gt;1,"Check weights",ROUND(E358*INDEX('Position_Rubric'!$C$6:$C$14,M358)+F358*INDEX('Position_Rubric'!$D$6:$D$14,M358)+G358*INDEX('Position_Rubric'!$E$6:$E$14,M358)+H358*INDEX('Position_Rubric'!$F$6:$F$14,M358)+I358*INDEX('Position_Rubric'!$G$6:$G$14,M358),1)))))</x:f>
      </x:c>
      <x:c r="K358" s="82" t="str">
        <x:f>IF(AND(ISNUMBER(J358),ISNUMBER(D358)),J358-D358,"")</x:f>
      </x:c>
      <x:c r="L358" s="69" t="str">
        <x:f>IF(COUNT(E358:I358)&lt;5,"Needs component scores",IF(ISNUMBER(J358),"Calculated",J358))</x:f>
        <x:v>Needs component scores</x:v>
      </x:c>
      <x:c r="M358" s="69" t="n">
        <x:f>IF(C358="","",MATCH(C358,'Position_Rubric'!$A$6:$A$14,0))</x:f>
        <x:v>8</x:v>
      </x:c>
      <x:c r="N358" s="69" t="str"/>
    </x:row>
    <x:row r="359" ht="25" customHeight="1">
      <x:c r="A359" s="69" t="str">
        <x:v>summer-S26-0990</x:v>
      </x:c>
      <x:c r="B359" s="69" t="str">
        <x:v>Taiwo Awoniyi</x:v>
      </x:c>
      <x:c r="C359" s="69" t="str">
        <x:v>ST</x:v>
      </x:c>
      <x:c r="D359" s="82" t="str">
        <x:f>IF(ISNUMBER('Transfer_Ratings'!K359),'Transfer_Ratings'!K359,"")</x:f>
      </x:c>
      <x:c r="E359" s="86"/>
      <x:c r="F359" s="86"/>
      <x:c r="G359" s="86"/>
      <x:c r="H359" s="86"/>
      <x:c r="I359" s="86"/>
      <x:c r="J359" s="82" t="str">
        <x:f>IF(C359="","Choose position",IF(COUNT(E359:I359)&lt;5,"",IF(OR(MIN(E359:I359)&lt;0.1,MAX(E359:I359)&gt;10),"Invalid score",IF(INDEX('Position_Rubric'!$H$6:$H$14,M359)&lt;&gt;1,"Check weights",ROUND(E359*INDEX('Position_Rubric'!$C$6:$C$14,M359)+F359*INDEX('Position_Rubric'!$D$6:$D$14,M359)+G359*INDEX('Position_Rubric'!$E$6:$E$14,M359)+H359*INDEX('Position_Rubric'!$F$6:$F$14,M359)+I359*INDEX('Position_Rubric'!$G$6:$G$14,M359),1)))))</x:f>
      </x:c>
      <x:c r="K359" s="82" t="str">
        <x:f>IF(AND(ISNUMBER(J359),ISNUMBER(D359)),J359-D359,"")</x:f>
      </x:c>
      <x:c r="L359" s="69" t="str">
        <x:f>IF(COUNT(E359:I359)&lt;5,"Needs component scores",IF(ISNUMBER(J359),"Calculated",J359))</x:f>
        <x:v>Needs component scores</x:v>
      </x:c>
      <x:c r="M359" s="69" t="n">
        <x:f>IF(C359="","",MATCH(C359,'Position_Rubric'!$A$6:$A$14,0))</x:f>
        <x:v>8</x:v>
      </x:c>
      <x:c r="N359" s="69" t="str"/>
    </x:row>
    <x:row r="360" ht="25" customHeight="1">
      <x:c r="A360" s="69" t="str">
        <x:v>summer-S26-0991</x:v>
      </x:c>
      <x:c r="B360" s="69" t="str">
        <x:v>Michy Batshuayi</x:v>
      </x:c>
      <x:c r="C360" s="69" t="str">
        <x:v>ST</x:v>
      </x:c>
      <x:c r="D360" s="82" t="str">
        <x:f>IF(ISNUMBER('Transfer_Ratings'!K360),'Transfer_Ratings'!K360,"")</x:f>
      </x:c>
      <x:c r="E360" s="86"/>
      <x:c r="F360" s="86"/>
      <x:c r="G360" s="86"/>
      <x:c r="H360" s="86"/>
      <x:c r="I360" s="86"/>
      <x:c r="J360" s="82" t="str">
        <x:f>IF(C360="","Choose position",IF(COUNT(E360:I360)&lt;5,"",IF(OR(MIN(E360:I360)&lt;0.1,MAX(E360:I360)&gt;10),"Invalid score",IF(INDEX('Position_Rubric'!$H$6:$H$14,M360)&lt;&gt;1,"Check weights",ROUND(E360*INDEX('Position_Rubric'!$C$6:$C$14,M360)+F360*INDEX('Position_Rubric'!$D$6:$D$14,M360)+G360*INDEX('Position_Rubric'!$E$6:$E$14,M360)+H360*INDEX('Position_Rubric'!$F$6:$F$14,M360)+I360*INDEX('Position_Rubric'!$G$6:$G$14,M360),1)))))</x:f>
      </x:c>
      <x:c r="K360" s="82" t="str">
        <x:f>IF(AND(ISNUMBER(J360),ISNUMBER(D360)),J360-D360,"")</x:f>
      </x:c>
      <x:c r="L360" s="69" t="str">
        <x:f>IF(COUNT(E360:I360)&lt;5,"Needs component scores",IF(ISNUMBER(J360),"Calculated",J360))</x:f>
        <x:v>Needs component scores</x:v>
      </x:c>
      <x:c r="M360" s="69" t="n">
        <x:f>IF(C360="","",MATCH(C360,'Position_Rubric'!$A$6:$A$14,0))</x:f>
        <x:v>8</x:v>
      </x:c>
      <x:c r="N360" s="69" t="str"/>
    </x:row>
    <x:row r="361" ht="25" customHeight="1">
      <x:c r="A361" s="69" t="str">
        <x:v>summer-S26-0994</x:v>
      </x:c>
      <x:c r="B361" s="69" t="str">
        <x:v>Jacobo Ortega</x:v>
      </x:c>
      <x:c r="C361" s="69" t="str">
        <x:v>ST</x:v>
      </x:c>
      <x:c r="D361" s="82" t="str">
        <x:f>IF(ISNUMBER('Transfer_Ratings'!K361),'Transfer_Ratings'!K361,"")</x:f>
      </x:c>
      <x:c r="E361" s="86"/>
      <x:c r="F361" s="86"/>
      <x:c r="G361" s="86"/>
      <x:c r="H361" s="86"/>
      <x:c r="I361" s="86"/>
      <x:c r="J361" s="82" t="str">
        <x:f>IF(C361="","Choose position",IF(COUNT(E361:I361)&lt;5,"",IF(OR(MIN(E361:I361)&lt;0.1,MAX(E361:I361)&gt;10),"Invalid score",IF(INDEX('Position_Rubric'!$H$6:$H$14,M361)&lt;&gt;1,"Check weights",ROUND(E361*INDEX('Position_Rubric'!$C$6:$C$14,M361)+F361*INDEX('Position_Rubric'!$D$6:$D$14,M361)+G361*INDEX('Position_Rubric'!$E$6:$E$14,M361)+H361*INDEX('Position_Rubric'!$F$6:$F$14,M361)+I361*INDEX('Position_Rubric'!$G$6:$G$14,M361),1)))))</x:f>
      </x:c>
      <x:c r="K361" s="82" t="str">
        <x:f>IF(AND(ISNUMBER(J361),ISNUMBER(D361)),J361-D361,"")</x:f>
      </x:c>
      <x:c r="L361" s="69" t="str">
        <x:f>IF(COUNT(E361:I361)&lt;5,"Needs component scores",IF(ISNUMBER(J361),"Calculated",J361))</x:f>
        <x:v>Needs component scores</x:v>
      </x:c>
      <x:c r="M361" s="69" t="n">
        <x:f>IF(C361="","",MATCH(C361,'Position_Rubric'!$A$6:$A$14,0))</x:f>
        <x:v>8</x:v>
      </x:c>
      <x:c r="N361" s="69" t="str"/>
    </x:row>
    <x:row r="362" ht="25" customHeight="1">
      <x:c r="A362" s="69" t="str">
        <x:v>summer-S26-1000</x:v>
      </x:c>
      <x:c r="B362" s="69" t="str">
        <x:v>Thijs Dallinga</x:v>
      </x:c>
      <x:c r="C362" s="69" t="str">
        <x:v>ST</x:v>
      </x:c>
      <x:c r="D362" s="82" t="str">
        <x:f>IF(ISNUMBER('Transfer_Ratings'!K362),'Transfer_Ratings'!K362,"")</x:f>
      </x:c>
      <x:c r="E362" s="86"/>
      <x:c r="F362" s="86"/>
      <x:c r="G362" s="86"/>
      <x:c r="H362" s="86"/>
      <x:c r="I362" s="86"/>
      <x:c r="J362" s="82" t="str">
        <x:f>IF(C362="","Choose position",IF(COUNT(E362:I362)&lt;5,"",IF(OR(MIN(E362:I362)&lt;0.1,MAX(E362:I362)&gt;10),"Invalid score",IF(INDEX('Position_Rubric'!$H$6:$H$14,M362)&lt;&gt;1,"Check weights",ROUND(E362*INDEX('Position_Rubric'!$C$6:$C$14,M362)+F362*INDEX('Position_Rubric'!$D$6:$D$14,M362)+G362*INDEX('Position_Rubric'!$E$6:$E$14,M362)+H362*INDEX('Position_Rubric'!$F$6:$F$14,M362)+I362*INDEX('Position_Rubric'!$G$6:$G$14,M362),1)))))</x:f>
      </x:c>
      <x:c r="K362" s="82" t="str">
        <x:f>IF(AND(ISNUMBER(J362),ISNUMBER(D362)),J362-D362,"")</x:f>
      </x:c>
      <x:c r="L362" s="69" t="str">
        <x:f>IF(COUNT(E362:I362)&lt;5,"Needs component scores",IF(ISNUMBER(J362),"Calculated",J362))</x:f>
        <x:v>Needs component scores</x:v>
      </x:c>
      <x:c r="M362" s="69" t="n">
        <x:f>IF(C362="","",MATCH(C362,'Position_Rubric'!$A$6:$A$14,0))</x:f>
        <x:v>8</x:v>
      </x:c>
      <x:c r="N362" s="69" t="str"/>
    </x:row>
    <x:row r="363" ht="25" customHeight="1">
      <x:c r="A363" s="69" t="str">
        <x:v>summer-S26-1010</x:v>
      </x:c>
      <x:c r="B363" s="69" t="str">
        <x:v>Niclas Füllkrug</x:v>
      </x:c>
      <x:c r="C363" s="69" t="str">
        <x:v>ST</x:v>
      </x:c>
      <x:c r="D363" s="82" t="str">
        <x:f>IF(ISNUMBER('Transfer_Ratings'!K363),'Transfer_Ratings'!K363,"")</x:f>
      </x:c>
      <x:c r="E363" s="86"/>
      <x:c r="F363" s="86"/>
      <x:c r="G363" s="86"/>
      <x:c r="H363" s="86"/>
      <x:c r="I363" s="86"/>
      <x:c r="J363" s="82" t="str">
        <x:f>IF(C363="","Choose position",IF(COUNT(E363:I363)&lt;5,"",IF(OR(MIN(E363:I363)&lt;0.1,MAX(E363:I363)&gt;10),"Invalid score",IF(INDEX('Position_Rubric'!$H$6:$H$14,M363)&lt;&gt;1,"Check weights",ROUND(E363*INDEX('Position_Rubric'!$C$6:$C$14,M363)+F363*INDEX('Position_Rubric'!$D$6:$D$14,M363)+G363*INDEX('Position_Rubric'!$E$6:$E$14,M363)+H363*INDEX('Position_Rubric'!$F$6:$F$14,M363)+I363*INDEX('Position_Rubric'!$G$6:$G$14,M363),1)))))</x:f>
      </x:c>
      <x:c r="K363" s="82" t="str">
        <x:f>IF(AND(ISNUMBER(J363),ISNUMBER(D363)),J363-D363,"")</x:f>
      </x:c>
      <x:c r="L363" s="69" t="str">
        <x:f>IF(COUNT(E363:I363)&lt;5,"Needs component scores",IF(ISNUMBER(J363),"Calculated",J363))</x:f>
        <x:v>Needs component scores</x:v>
      </x:c>
      <x:c r="M363" s="69" t="n">
        <x:f>IF(C363="","",MATCH(C363,'Position_Rubric'!$A$6:$A$14,0))</x:f>
        <x:v>8</x:v>
      </x:c>
      <x:c r="N363" s="69" t="str"/>
    </x:row>
    <x:row r="364" ht="25" customHeight="1">
      <x:c r="A364" s="69" t="str">
        <x:v>summer-S26-1024</x:v>
      </x:c>
      <x:c r="B364" s="69" t="str">
        <x:v>Promise David</x:v>
      </x:c>
      <x:c r="C364" s="69" t="str">
        <x:v>ST</x:v>
      </x:c>
      <x:c r="D364" s="82" t="str">
        <x:f>IF(ISNUMBER('Transfer_Ratings'!K364),'Transfer_Ratings'!K364,"")</x:f>
      </x:c>
      <x:c r="E364" s="86"/>
      <x:c r="F364" s="86"/>
      <x:c r="G364" s="86"/>
      <x:c r="H364" s="86"/>
      <x:c r="I364" s="86"/>
      <x:c r="J364" s="82" t="str">
        <x:f>IF(C364="","Choose position",IF(COUNT(E364:I364)&lt;5,"",IF(OR(MIN(E364:I364)&lt;0.1,MAX(E364:I364)&gt;10),"Invalid score",IF(INDEX('Position_Rubric'!$H$6:$H$14,M364)&lt;&gt;1,"Check weights",ROUND(E364*INDEX('Position_Rubric'!$C$6:$C$14,M364)+F364*INDEX('Position_Rubric'!$D$6:$D$14,M364)+G364*INDEX('Position_Rubric'!$E$6:$E$14,M364)+H364*INDEX('Position_Rubric'!$F$6:$F$14,M364)+I364*INDEX('Position_Rubric'!$G$6:$G$14,M364),1)))))</x:f>
      </x:c>
      <x:c r="K364" s="82" t="str">
        <x:f>IF(AND(ISNUMBER(J364),ISNUMBER(D364)),J364-D364,"")</x:f>
      </x:c>
      <x:c r="L364" s="69" t="str">
        <x:f>IF(COUNT(E364:I364)&lt;5,"Needs component scores",IF(ISNUMBER(J364),"Calculated",J364))</x:f>
        <x:v>Needs component scores</x:v>
      </x:c>
      <x:c r="M364" s="69" t="n">
        <x:f>IF(C364="","",MATCH(C364,'Position_Rubric'!$A$6:$A$14,0))</x:f>
        <x:v>8</x:v>
      </x:c>
      <x:c r="N364" s="69" t="str"/>
    </x:row>
    <x:row r="365" ht="25" customHeight="1">
      <x:c r="A365" s="69" t="str">
        <x:v>summer-S26-1026</x:v>
      </x:c>
      <x:c r="B365" s="69" t="str">
        <x:v>Thomás De Martis</x:v>
      </x:c>
      <x:c r="C365" s="69" t="str">
        <x:v>ST</x:v>
      </x:c>
      <x:c r="D365" s="82" t="str">
        <x:f>IF(ISNUMBER('Transfer_Ratings'!K365),'Transfer_Ratings'!K365,"")</x:f>
      </x:c>
      <x:c r="E365" s="86"/>
      <x:c r="F365" s="86"/>
      <x:c r="G365" s="86"/>
      <x:c r="H365" s="86"/>
      <x:c r="I365" s="86"/>
      <x:c r="J365" s="82" t="str">
        <x:f>IF(C365="","Choose position",IF(COUNT(E365:I365)&lt;5,"",IF(OR(MIN(E365:I365)&lt;0.1,MAX(E365:I365)&gt;10),"Invalid score",IF(INDEX('Position_Rubric'!$H$6:$H$14,M365)&lt;&gt;1,"Check weights",ROUND(E365*INDEX('Position_Rubric'!$C$6:$C$14,M365)+F365*INDEX('Position_Rubric'!$D$6:$D$14,M365)+G365*INDEX('Position_Rubric'!$E$6:$E$14,M365)+H365*INDEX('Position_Rubric'!$F$6:$F$14,M365)+I365*INDEX('Position_Rubric'!$G$6:$G$14,M365),1)))))</x:f>
      </x:c>
      <x:c r="K365" s="82" t="str">
        <x:f>IF(AND(ISNUMBER(J365),ISNUMBER(D365)),J365-D365,"")</x:f>
      </x:c>
      <x:c r="L365" s="69" t="str">
        <x:f>IF(COUNT(E365:I365)&lt;5,"Needs component scores",IF(ISNUMBER(J365),"Calculated",J365))</x:f>
        <x:v>Needs component scores</x:v>
      </x:c>
      <x:c r="M365" s="69" t="n">
        <x:f>IF(C365="","",MATCH(C365,'Position_Rubric'!$A$6:$A$14,0))</x:f>
        <x:v>8</x:v>
      </x:c>
      <x:c r="N365" s="69" t="str"/>
    </x:row>
    <x:row r="366" ht="25" customHeight="1">
      <x:c r="A366" s="69" t="str">
        <x:v>summer-S26-1027</x:v>
      </x:c>
      <x:c r="B366" s="69" t="str">
        <x:v>Joël Piroe</x:v>
      </x:c>
      <x:c r="C366" s="69" t="str">
        <x:v>ST</x:v>
      </x:c>
      <x:c r="D366" s="82" t="str">
        <x:f>IF(ISNUMBER('Transfer_Ratings'!K366),'Transfer_Ratings'!K366,"")</x:f>
      </x:c>
      <x:c r="E366" s="86"/>
      <x:c r="F366" s="86"/>
      <x:c r="G366" s="86"/>
      <x:c r="H366" s="86"/>
      <x:c r="I366" s="86"/>
      <x:c r="J366" s="82" t="str">
        <x:f>IF(C366="","Choose position",IF(COUNT(E366:I366)&lt;5,"",IF(OR(MIN(E366:I366)&lt;0.1,MAX(E366:I366)&gt;10),"Invalid score",IF(INDEX('Position_Rubric'!$H$6:$H$14,M366)&lt;&gt;1,"Check weights",ROUND(E366*INDEX('Position_Rubric'!$C$6:$C$14,M366)+F366*INDEX('Position_Rubric'!$D$6:$D$14,M366)+G366*INDEX('Position_Rubric'!$E$6:$E$14,M366)+H366*INDEX('Position_Rubric'!$F$6:$F$14,M366)+I366*INDEX('Position_Rubric'!$G$6:$G$14,M366),1)))))</x:f>
      </x:c>
      <x:c r="K366" s="82" t="str">
        <x:f>IF(AND(ISNUMBER(J366),ISNUMBER(D366)),J366-D366,"")</x:f>
      </x:c>
      <x:c r="L366" s="69" t="str">
        <x:f>IF(COUNT(E366:I366)&lt;5,"Needs component scores",IF(ISNUMBER(J366),"Calculated",J366))</x:f>
        <x:v>Needs component scores</x:v>
      </x:c>
      <x:c r="M366" s="69" t="n">
        <x:f>IF(C366="","",MATCH(C366,'Position_Rubric'!$A$6:$A$14,0))</x:f>
        <x:v>8</x:v>
      </x:c>
      <x:c r="N366" s="69" t="str"/>
    </x:row>
    <x:row r="367" ht="25" customHeight="1">
      <x:c r="A367" s="69" t="str">
        <x:v>summer-S26-1040</x:v>
      </x:c>
      <x:c r="B367" s="69" t="str">
        <x:v>Sidiki Cherif</x:v>
      </x:c>
      <x:c r="C367" s="69" t="str">
        <x:v>ST</x:v>
      </x:c>
      <x:c r="D367" s="82" t="str">
        <x:f>IF(ISNUMBER('Transfer_Ratings'!K367),'Transfer_Ratings'!K367,"")</x:f>
      </x:c>
      <x:c r="E367" s="86"/>
      <x:c r="F367" s="86"/>
      <x:c r="G367" s="86"/>
      <x:c r="H367" s="86"/>
      <x:c r="I367" s="86"/>
      <x:c r="J367" s="82" t="str">
        <x:f>IF(C367="","Choose position",IF(COUNT(E367:I367)&lt;5,"",IF(OR(MIN(E367:I367)&lt;0.1,MAX(E367:I367)&gt;10),"Invalid score",IF(INDEX('Position_Rubric'!$H$6:$H$14,M367)&lt;&gt;1,"Check weights",ROUND(E367*INDEX('Position_Rubric'!$C$6:$C$14,M367)+F367*INDEX('Position_Rubric'!$D$6:$D$14,M367)+G367*INDEX('Position_Rubric'!$E$6:$E$14,M367)+H367*INDEX('Position_Rubric'!$F$6:$F$14,M367)+I367*INDEX('Position_Rubric'!$G$6:$G$14,M367),1)))))</x:f>
      </x:c>
      <x:c r="K367" s="82" t="str">
        <x:f>IF(AND(ISNUMBER(J367),ISNUMBER(D367)),J367-D367,"")</x:f>
      </x:c>
      <x:c r="L367" s="69" t="str">
        <x:f>IF(COUNT(E367:I367)&lt;5,"Needs component scores",IF(ISNUMBER(J367),"Calculated",J367))</x:f>
        <x:v>Needs component scores</x:v>
      </x:c>
      <x:c r="M367" s="69" t="n">
        <x:f>IF(C367="","",MATCH(C367,'Position_Rubric'!$A$6:$A$14,0))</x:f>
        <x:v>8</x:v>
      </x:c>
      <x:c r="N367" s="69" t="str"/>
    </x:row>
    <x:row r="368" ht="25" customHeight="1">
      <x:c r="A368" s="69" t="str">
        <x:v>summer-S26-1050</x:v>
      </x:c>
      <x:c r="B368" s="69" t="str">
        <x:v>Troy Parrott</x:v>
      </x:c>
      <x:c r="C368" s="69" t="str">
        <x:v>ST</x:v>
      </x:c>
      <x:c r="D368" s="82" t="str">
        <x:f>IF(ISNUMBER('Transfer_Ratings'!K368),'Transfer_Ratings'!K368,"")</x:f>
      </x:c>
      <x:c r="E368" s="86"/>
      <x:c r="F368" s="86"/>
      <x:c r="G368" s="86"/>
      <x:c r="H368" s="86"/>
      <x:c r="I368" s="86"/>
      <x:c r="J368" s="82" t="str">
        <x:f>IF(C368="","Choose position",IF(COUNT(E368:I368)&lt;5,"",IF(OR(MIN(E368:I368)&lt;0.1,MAX(E368:I368)&gt;10),"Invalid score",IF(INDEX('Position_Rubric'!$H$6:$H$14,M368)&lt;&gt;1,"Check weights",ROUND(E368*INDEX('Position_Rubric'!$C$6:$C$14,M368)+F368*INDEX('Position_Rubric'!$D$6:$D$14,M368)+G368*INDEX('Position_Rubric'!$E$6:$E$14,M368)+H368*INDEX('Position_Rubric'!$F$6:$F$14,M368)+I368*INDEX('Position_Rubric'!$G$6:$G$14,M368),1)))))</x:f>
      </x:c>
      <x:c r="K368" s="82" t="str">
        <x:f>IF(AND(ISNUMBER(J368),ISNUMBER(D368)),J368-D368,"")</x:f>
      </x:c>
      <x:c r="L368" s="69" t="str">
        <x:f>IF(COUNT(E368:I368)&lt;5,"Needs component scores",IF(ISNUMBER(J368),"Calculated",J368))</x:f>
        <x:v>Needs component scores</x:v>
      </x:c>
      <x:c r="M368" s="69" t="n">
        <x:f>IF(C368="","",MATCH(C368,'Position_Rubric'!$A$6:$A$14,0))</x:f>
        <x:v>8</x:v>
      </x:c>
      <x:c r="N368" s="69" t="str"/>
    </x:row>
    <x:row r="369" ht="25" customHeight="1">
      <x:c r="A369" s="69" t="str">
        <x:v>summer-S26-1055</x:v>
      </x:c>
      <x:c r="B369" s="69" t="str">
        <x:v>George Hirst</x:v>
      </x:c>
      <x:c r="C369" s="69" t="str">
        <x:v>ST</x:v>
      </x:c>
      <x:c r="D369" s="82" t="str">
        <x:f>IF(ISNUMBER('Transfer_Ratings'!K369),'Transfer_Ratings'!K369,"")</x:f>
      </x:c>
      <x:c r="E369" s="86"/>
      <x:c r="F369" s="86"/>
      <x:c r="G369" s="86"/>
      <x:c r="H369" s="86"/>
      <x:c r="I369" s="86"/>
      <x:c r="J369" s="82" t="str">
        <x:f>IF(C369="","Choose position",IF(COUNT(E369:I369)&lt;5,"",IF(OR(MIN(E369:I369)&lt;0.1,MAX(E369:I369)&gt;10),"Invalid score",IF(INDEX('Position_Rubric'!$H$6:$H$14,M369)&lt;&gt;1,"Check weights",ROUND(E369*INDEX('Position_Rubric'!$C$6:$C$14,M369)+F369*INDEX('Position_Rubric'!$D$6:$D$14,M369)+G369*INDEX('Position_Rubric'!$E$6:$E$14,M369)+H369*INDEX('Position_Rubric'!$F$6:$F$14,M369)+I369*INDEX('Position_Rubric'!$G$6:$G$14,M369),1)))))</x:f>
      </x:c>
      <x:c r="K369" s="82" t="str">
        <x:f>IF(AND(ISNUMBER(J369),ISNUMBER(D369)),J369-D369,"")</x:f>
      </x:c>
      <x:c r="L369" s="69" t="str">
        <x:f>IF(COUNT(E369:I369)&lt;5,"Needs component scores",IF(ISNUMBER(J369),"Calculated",J369))</x:f>
        <x:v>Needs component scores</x:v>
      </x:c>
      <x:c r="M369" s="69" t="n">
        <x:f>IF(C369="","",MATCH(C369,'Position_Rubric'!$A$6:$A$14,0))</x:f>
        <x:v>8</x:v>
      </x:c>
      <x:c r="N369" s="69" t="str"/>
    </x:row>
    <x:row r="370" ht="25" customHeight="1">
      <x:c r="A370" s="69" t="str">
        <x:v>summer-S26-1056</x:v>
      </x:c>
      <x:c r="B370" s="69" t="str">
        <x:v>Divine Mukasa</x:v>
      </x:c>
      <x:c r="C370" s="69" t="str">
        <x:v>ST</x:v>
      </x:c>
      <x:c r="D370" s="82" t="str">
        <x:f>IF(ISNUMBER('Transfer_Ratings'!K370),'Transfer_Ratings'!K370,"")</x:f>
      </x:c>
      <x:c r="E370" s="86"/>
      <x:c r="F370" s="86"/>
      <x:c r="G370" s="86"/>
      <x:c r="H370" s="86"/>
      <x:c r="I370" s="86"/>
      <x:c r="J370" s="82" t="str">
        <x:f>IF(C370="","Choose position",IF(COUNT(E370:I370)&lt;5,"",IF(OR(MIN(E370:I370)&lt;0.1,MAX(E370:I370)&gt;10),"Invalid score",IF(INDEX('Position_Rubric'!$H$6:$H$14,M370)&lt;&gt;1,"Check weights",ROUND(E370*INDEX('Position_Rubric'!$C$6:$C$14,M370)+F370*INDEX('Position_Rubric'!$D$6:$D$14,M370)+G370*INDEX('Position_Rubric'!$E$6:$E$14,M370)+H370*INDEX('Position_Rubric'!$F$6:$F$14,M370)+I370*INDEX('Position_Rubric'!$G$6:$G$14,M370),1)))))</x:f>
      </x:c>
      <x:c r="K370" s="82" t="str">
        <x:f>IF(AND(ISNUMBER(J370),ISNUMBER(D370)),J370-D370,"")</x:f>
      </x:c>
      <x:c r="L370" s="69" t="str">
        <x:f>IF(COUNT(E370:I370)&lt;5,"Needs component scores",IF(ISNUMBER(J370),"Calculated",J370))</x:f>
        <x:v>Needs component scores</x:v>
      </x:c>
      <x:c r="M370" s="69" t="n">
        <x:f>IF(C370="","",MATCH(C370,'Position_Rubric'!$A$6:$A$14,0))</x:f>
        <x:v>8</x:v>
      </x:c>
      <x:c r="N370" s="69" t="str"/>
    </x:row>
    <x:row r="371" ht="25" customHeight="1">
      <x:c r="A371" s="69" t="str">
        <x:v>summer-S26-1080</x:v>
      </x:c>
      <x:c r="B371" s="69" t="str">
        <x:v>Adam Buksa</x:v>
      </x:c>
      <x:c r="C371" s="69" t="str">
        <x:v>ST</x:v>
      </x:c>
      <x:c r="D371" s="82" t="str">
        <x:f>IF(ISNUMBER('Transfer_Ratings'!K371),'Transfer_Ratings'!K371,"")</x:f>
      </x:c>
      <x:c r="E371" s="86"/>
      <x:c r="F371" s="86"/>
      <x:c r="G371" s="86"/>
      <x:c r="H371" s="86"/>
      <x:c r="I371" s="86"/>
      <x:c r="J371" s="82" t="str">
        <x:f>IF(C371="","Choose position",IF(COUNT(E371:I371)&lt;5,"",IF(OR(MIN(E371:I371)&lt;0.1,MAX(E371:I371)&gt;10),"Invalid score",IF(INDEX('Position_Rubric'!$H$6:$H$14,M371)&lt;&gt;1,"Check weights",ROUND(E371*INDEX('Position_Rubric'!$C$6:$C$14,M371)+F371*INDEX('Position_Rubric'!$D$6:$D$14,M371)+G371*INDEX('Position_Rubric'!$E$6:$E$14,M371)+H371*INDEX('Position_Rubric'!$F$6:$F$14,M371)+I371*INDEX('Position_Rubric'!$G$6:$G$14,M371),1)))))</x:f>
      </x:c>
      <x:c r="K371" s="82" t="str">
        <x:f>IF(AND(ISNUMBER(J371),ISNUMBER(D371)),J371-D371,"")</x:f>
      </x:c>
      <x:c r="L371" s="69" t="str">
        <x:f>IF(COUNT(E371:I371)&lt;5,"Needs component scores",IF(ISNUMBER(J371),"Calculated",J371))</x:f>
        <x:v>Needs component scores</x:v>
      </x:c>
      <x:c r="M371" s="69" t="n">
        <x:f>IF(C371="","",MATCH(C371,'Position_Rubric'!$A$6:$A$14,0))</x:f>
        <x:v>8</x:v>
      </x:c>
      <x:c r="N371" s="69" t="str"/>
    </x:row>
    <x:row r="372" ht="25" customHeight="1">
      <x:c r="A372" s="69" t="str">
        <x:v>summer-S26-1081</x:v>
      </x:c>
      <x:c r="B372" s="69" t="str">
        <x:v>Antonio Casas</x:v>
      </x:c>
      <x:c r="C372" s="69" t="str">
        <x:v>ST</x:v>
      </x:c>
      <x:c r="D372" s="82" t="str">
        <x:f>IF(ISNUMBER('Transfer_Ratings'!K372),'Transfer_Ratings'!K372,"")</x:f>
      </x:c>
      <x:c r="E372" s="86"/>
      <x:c r="F372" s="86"/>
      <x:c r="G372" s="86"/>
      <x:c r="H372" s="86"/>
      <x:c r="I372" s="86"/>
      <x:c r="J372" s="82" t="str">
        <x:f>IF(C372="","Choose position",IF(COUNT(E372:I372)&lt;5,"",IF(OR(MIN(E372:I372)&lt;0.1,MAX(E372:I372)&gt;10),"Invalid score",IF(INDEX('Position_Rubric'!$H$6:$H$14,M372)&lt;&gt;1,"Check weights",ROUND(E372*INDEX('Position_Rubric'!$C$6:$C$14,M372)+F372*INDEX('Position_Rubric'!$D$6:$D$14,M372)+G372*INDEX('Position_Rubric'!$E$6:$E$14,M372)+H372*INDEX('Position_Rubric'!$F$6:$F$14,M372)+I372*INDEX('Position_Rubric'!$G$6:$G$14,M372),1)))))</x:f>
      </x:c>
      <x:c r="K372" s="82" t="str">
        <x:f>IF(AND(ISNUMBER(J372),ISNUMBER(D372)),J372-D372,"")</x:f>
      </x:c>
      <x:c r="L372" s="69" t="str">
        <x:f>IF(COUNT(E372:I372)&lt;5,"Needs component scores",IF(ISNUMBER(J372),"Calculated",J372))</x:f>
        <x:v>Needs component scores</x:v>
      </x:c>
      <x:c r="M372" s="69" t="n">
        <x:f>IF(C372="","",MATCH(C372,'Position_Rubric'!$A$6:$A$14,0))</x:f>
        <x:v>8</x:v>
      </x:c>
      <x:c r="N372" s="69" t="str"/>
    </x:row>
    <x:row r="373" ht="25" customHeight="1">
      <x:c r="A373" s="69" t="str">
        <x:v>summer-S26-1086</x:v>
      </x:c>
      <x:c r="B373" s="69" t="str">
        <x:v>Vanja Vlahovic</x:v>
      </x:c>
      <x:c r="C373" s="69" t="str">
        <x:v>ST</x:v>
      </x:c>
      <x:c r="D373" s="82" t="str">
        <x:f>IF(ISNUMBER('Transfer_Ratings'!K373),'Transfer_Ratings'!K373,"")</x:f>
      </x:c>
      <x:c r="E373" s="86"/>
      <x:c r="F373" s="86"/>
      <x:c r="G373" s="86"/>
      <x:c r="H373" s="86"/>
      <x:c r="I373" s="86"/>
      <x:c r="J373" s="82" t="str">
        <x:f>IF(C373="","Choose position",IF(COUNT(E373:I373)&lt;5,"",IF(OR(MIN(E373:I373)&lt;0.1,MAX(E373:I373)&gt;10),"Invalid score",IF(INDEX('Position_Rubric'!$H$6:$H$14,M373)&lt;&gt;1,"Check weights",ROUND(E373*INDEX('Position_Rubric'!$C$6:$C$14,M373)+F373*INDEX('Position_Rubric'!$D$6:$D$14,M373)+G373*INDEX('Position_Rubric'!$E$6:$E$14,M373)+H373*INDEX('Position_Rubric'!$F$6:$F$14,M373)+I373*INDEX('Position_Rubric'!$G$6:$G$14,M373),1)))))</x:f>
      </x:c>
      <x:c r="K373" s="82" t="str">
        <x:f>IF(AND(ISNUMBER(J373),ISNUMBER(D373)),J373-D373,"")</x:f>
      </x:c>
      <x:c r="L373" s="69" t="str">
        <x:f>IF(COUNT(E373:I373)&lt;5,"Needs component scores",IF(ISNUMBER(J373),"Calculated",J373))</x:f>
        <x:v>Needs component scores</x:v>
      </x:c>
      <x:c r="M373" s="69" t="n">
        <x:f>IF(C373="","",MATCH(C373,'Position_Rubric'!$A$6:$A$14,0))</x:f>
        <x:v>8</x:v>
      </x:c>
      <x:c r="N373" s="69" t="str"/>
    </x:row>
    <x:row r="374" ht="25" customHeight="1">
      <x:c r="A374" s="69" t="str">
        <x:v>summer-S26-1089</x:v>
      </x:c>
      <x:c r="B374" s="69" t="str">
        <x:v>Breel Embolo</x:v>
      </x:c>
      <x:c r="C374" s="69" t="str">
        <x:v>ST</x:v>
      </x:c>
      <x:c r="D374" s="82" t="str">
        <x:f>IF(ISNUMBER('Transfer_Ratings'!K374),'Transfer_Ratings'!K374,"")</x:f>
      </x:c>
      <x:c r="E374" s="86"/>
      <x:c r="F374" s="86"/>
      <x:c r="G374" s="86"/>
      <x:c r="H374" s="86"/>
      <x:c r="I374" s="86"/>
      <x:c r="J374" s="82" t="str">
        <x:f>IF(C374="","Choose position",IF(COUNT(E374:I374)&lt;5,"",IF(OR(MIN(E374:I374)&lt;0.1,MAX(E374:I374)&gt;10),"Invalid score",IF(INDEX('Position_Rubric'!$H$6:$H$14,M374)&lt;&gt;1,"Check weights",ROUND(E374*INDEX('Position_Rubric'!$C$6:$C$14,M374)+F374*INDEX('Position_Rubric'!$D$6:$D$14,M374)+G374*INDEX('Position_Rubric'!$E$6:$E$14,M374)+H374*INDEX('Position_Rubric'!$F$6:$F$14,M374)+I374*INDEX('Position_Rubric'!$G$6:$G$14,M374),1)))))</x:f>
      </x:c>
      <x:c r="K374" s="82" t="str">
        <x:f>IF(AND(ISNUMBER(J374),ISNUMBER(D374)),J374-D374,"")</x:f>
      </x:c>
      <x:c r="L374" s="69" t="str">
        <x:f>IF(COUNT(E374:I374)&lt;5,"Needs component scores",IF(ISNUMBER(J374),"Calculated",J374))</x:f>
        <x:v>Needs component scores</x:v>
      </x:c>
      <x:c r="M374" s="69" t="n">
        <x:f>IF(C374="","",MATCH(C374,'Position_Rubric'!$A$6:$A$14,0))</x:f>
        <x:v>8</x:v>
      </x:c>
      <x:c r="N374" s="69" t="str"/>
    </x:row>
    <x:row r="375" ht="25" customHeight="1">
      <x:c r="A375" s="69" t="str">
        <x:v>summer-S26-1090</x:v>
      </x:c>
      <x:c r="B375" s="69" t="str">
        <x:v>Terem Moffi</x:v>
      </x:c>
      <x:c r="C375" s="69" t="str">
        <x:v>ST</x:v>
      </x:c>
      <x:c r="D375" s="82" t="str">
        <x:f>IF(ISNUMBER('Transfer_Ratings'!K375),'Transfer_Ratings'!K375,"")</x:f>
      </x:c>
      <x:c r="E375" s="86"/>
      <x:c r="F375" s="86"/>
      <x:c r="G375" s="86"/>
      <x:c r="H375" s="86"/>
      <x:c r="I375" s="86"/>
      <x:c r="J375" s="82" t="str">
        <x:f>IF(C375="","Choose position",IF(COUNT(E375:I375)&lt;5,"",IF(OR(MIN(E375:I375)&lt;0.1,MAX(E375:I375)&gt;10),"Invalid score",IF(INDEX('Position_Rubric'!$H$6:$H$14,M375)&lt;&gt;1,"Check weights",ROUND(E375*INDEX('Position_Rubric'!$C$6:$C$14,M375)+F375*INDEX('Position_Rubric'!$D$6:$D$14,M375)+G375*INDEX('Position_Rubric'!$E$6:$E$14,M375)+H375*INDEX('Position_Rubric'!$F$6:$F$14,M375)+I375*INDEX('Position_Rubric'!$G$6:$G$14,M375),1)))))</x:f>
      </x:c>
      <x:c r="K375" s="82" t="str">
        <x:f>IF(AND(ISNUMBER(J375),ISNUMBER(D375)),J375-D375,"")</x:f>
      </x:c>
      <x:c r="L375" s="69" t="str">
        <x:f>IF(COUNT(E375:I375)&lt;5,"Needs component scores",IF(ISNUMBER(J375),"Calculated",J375))</x:f>
        <x:v>Needs component scores</x:v>
      </x:c>
      <x:c r="M375" s="69" t="n">
        <x:f>IF(C375="","",MATCH(C375,'Position_Rubric'!$A$6:$A$14,0))</x:f>
        <x:v>8</x:v>
      </x:c>
      <x:c r="N375" s="69" t="str"/>
    </x:row>
    <x:row r="376" ht="25" customHeight="1">
      <x:c r="A376" s="69" t="str">
        <x:v>summer-S26-1096</x:v>
      </x:c>
      <x:c r="B376" s="69" t="str">
        <x:v>Ezequiel Ponce</x:v>
      </x:c>
      <x:c r="C376" s="69" t="str">
        <x:v>ST</x:v>
      </x:c>
      <x:c r="D376" s="82" t="str">
        <x:f>IF(ISNUMBER('Transfer_Ratings'!K376),'Transfer_Ratings'!K376,"")</x:f>
      </x:c>
      <x:c r="E376" s="86"/>
      <x:c r="F376" s="86"/>
      <x:c r="G376" s="86"/>
      <x:c r="H376" s="86"/>
      <x:c r="I376" s="86"/>
      <x:c r="J376" s="82" t="str">
        <x:f>IF(C376="","Choose position",IF(COUNT(E376:I376)&lt;5,"",IF(OR(MIN(E376:I376)&lt;0.1,MAX(E376:I376)&gt;10),"Invalid score",IF(INDEX('Position_Rubric'!$H$6:$H$14,M376)&lt;&gt;1,"Check weights",ROUND(E376*INDEX('Position_Rubric'!$C$6:$C$14,M376)+F376*INDEX('Position_Rubric'!$D$6:$D$14,M376)+G376*INDEX('Position_Rubric'!$E$6:$E$14,M376)+H376*INDEX('Position_Rubric'!$F$6:$F$14,M376)+I376*INDEX('Position_Rubric'!$G$6:$G$14,M376),1)))))</x:f>
      </x:c>
      <x:c r="K376" s="82" t="str">
        <x:f>IF(AND(ISNUMBER(J376),ISNUMBER(D376)),J376-D376,"")</x:f>
      </x:c>
      <x:c r="L376" s="69" t="str">
        <x:f>IF(COUNT(E376:I376)&lt;5,"Needs component scores",IF(ISNUMBER(J376),"Calculated",J376))</x:f>
        <x:v>Needs component scores</x:v>
      </x:c>
      <x:c r="M376" s="69" t="n">
        <x:f>IF(C376="","",MATCH(C376,'Position_Rubric'!$A$6:$A$14,0))</x:f>
        <x:v>8</x:v>
      </x:c>
      <x:c r="N376" s="69" t="str"/>
    </x:row>
    <x:row r="377" ht="25" customHeight="1">
      <x:c r="A377" s="69" t="str">
        <x:v>summer-S26-1104</x:v>
      </x:c>
      <x:c r="B377" s="69" t="str">
        <x:v>Jovan Milosevic</x:v>
      </x:c>
      <x:c r="C377" s="69" t="str">
        <x:v>ST</x:v>
      </x:c>
      <x:c r="D377" s="82" t="str">
        <x:f>IF(ISNUMBER('Transfer_Ratings'!K377),'Transfer_Ratings'!K377,"")</x:f>
      </x:c>
      <x:c r="E377" s="86"/>
      <x:c r="F377" s="86"/>
      <x:c r="G377" s="86"/>
      <x:c r="H377" s="86"/>
      <x:c r="I377" s="86"/>
      <x:c r="J377" s="82" t="str">
        <x:f>IF(C377="","Choose position",IF(COUNT(E377:I377)&lt;5,"",IF(OR(MIN(E377:I377)&lt;0.1,MAX(E377:I377)&gt;10),"Invalid score",IF(INDEX('Position_Rubric'!$H$6:$H$14,M377)&lt;&gt;1,"Check weights",ROUND(E377*INDEX('Position_Rubric'!$C$6:$C$14,M377)+F377*INDEX('Position_Rubric'!$D$6:$D$14,M377)+G377*INDEX('Position_Rubric'!$E$6:$E$14,M377)+H377*INDEX('Position_Rubric'!$F$6:$F$14,M377)+I377*INDEX('Position_Rubric'!$G$6:$G$14,M377),1)))))</x:f>
      </x:c>
      <x:c r="K377" s="82" t="str">
        <x:f>IF(AND(ISNUMBER(J377),ISNUMBER(D377)),J377-D377,"")</x:f>
      </x:c>
      <x:c r="L377" s="69" t="str">
        <x:f>IF(COUNT(E377:I377)&lt;5,"Needs component scores",IF(ISNUMBER(J377),"Calculated",J377))</x:f>
        <x:v>Needs component scores</x:v>
      </x:c>
      <x:c r="M377" s="69" t="n">
        <x:f>IF(C377="","",MATCH(C377,'Position_Rubric'!$A$6:$A$14,0))</x:f>
        <x:v>8</x:v>
      </x:c>
      <x:c r="N377" s="69" t="str"/>
    </x:row>
    <x:row r="378" ht="25" customHeight="1">
      <x:c r="A378" s="69" t="str">
        <x:v>summer-S26-1109</x:v>
      </x:c>
      <x:c r="B378" s="69" t="str">
        <x:v>Elye Wahi</x:v>
      </x:c>
      <x:c r="C378" s="69" t="str">
        <x:v>ST</x:v>
      </x:c>
      <x:c r="D378" s="82" t="str">
        <x:f>IF(ISNUMBER('Transfer_Ratings'!K378),'Transfer_Ratings'!K378,"")</x:f>
      </x:c>
      <x:c r="E378" s="86"/>
      <x:c r="F378" s="86"/>
      <x:c r="G378" s="86"/>
      <x:c r="H378" s="86"/>
      <x:c r="I378" s="86"/>
      <x:c r="J378" s="82" t="str">
        <x:f>IF(C378="","Choose position",IF(COUNT(E378:I378)&lt;5,"",IF(OR(MIN(E378:I378)&lt;0.1,MAX(E378:I378)&gt;10),"Invalid score",IF(INDEX('Position_Rubric'!$H$6:$H$14,M378)&lt;&gt;1,"Check weights",ROUND(E378*INDEX('Position_Rubric'!$C$6:$C$14,M378)+F378*INDEX('Position_Rubric'!$D$6:$D$14,M378)+G378*INDEX('Position_Rubric'!$E$6:$E$14,M378)+H378*INDEX('Position_Rubric'!$F$6:$F$14,M378)+I378*INDEX('Position_Rubric'!$G$6:$G$14,M378),1)))))</x:f>
      </x:c>
      <x:c r="K378" s="82" t="str">
        <x:f>IF(AND(ISNUMBER(J378),ISNUMBER(D378)),J378-D378,"")</x:f>
      </x:c>
      <x:c r="L378" s="69" t="str">
        <x:f>IF(COUNT(E378:I378)&lt;5,"Needs component scores",IF(ISNUMBER(J378),"Calculated",J378))</x:f>
        <x:v>Needs component scores</x:v>
      </x:c>
      <x:c r="M378" s="69" t="n">
        <x:f>IF(C378="","",MATCH(C378,'Position_Rubric'!$A$6:$A$14,0))</x:f>
        <x:v>8</x:v>
      </x:c>
      <x:c r="N378" s="69" t="str"/>
    </x:row>
    <x:row r="379" ht="25" customHeight="1">
      <x:c r="A379" s="69" t="str">
        <x:v>summer-S26-1112</x:v>
      </x:c>
      <x:c r="B379" s="69" t="str">
        <x:v>Agustín Albarracín</x:v>
      </x:c>
      <x:c r="C379" s="69" t="str">
        <x:v>ST</x:v>
      </x:c>
      <x:c r="D379" s="82" t="str">
        <x:f>IF(ISNUMBER('Transfer_Ratings'!K379),'Transfer_Ratings'!K379,"")</x:f>
      </x:c>
      <x:c r="E379" s="86"/>
      <x:c r="F379" s="86"/>
      <x:c r="G379" s="86"/>
      <x:c r="H379" s="86"/>
      <x:c r="I379" s="86"/>
      <x:c r="J379" s="82" t="str">
        <x:f>IF(C379="","Choose position",IF(COUNT(E379:I379)&lt;5,"",IF(OR(MIN(E379:I379)&lt;0.1,MAX(E379:I379)&gt;10),"Invalid score",IF(INDEX('Position_Rubric'!$H$6:$H$14,M379)&lt;&gt;1,"Check weights",ROUND(E379*INDEX('Position_Rubric'!$C$6:$C$14,M379)+F379*INDEX('Position_Rubric'!$D$6:$D$14,M379)+G379*INDEX('Position_Rubric'!$E$6:$E$14,M379)+H379*INDEX('Position_Rubric'!$F$6:$F$14,M379)+I379*INDEX('Position_Rubric'!$G$6:$G$14,M379),1)))))</x:f>
      </x:c>
      <x:c r="K379" s="82" t="str">
        <x:f>IF(AND(ISNUMBER(J379),ISNUMBER(D379)),J379-D379,"")</x:f>
      </x:c>
      <x:c r="L379" s="69" t="str">
        <x:f>IF(COUNT(E379:I379)&lt;5,"Needs component scores",IF(ISNUMBER(J379),"Calculated",J379))</x:f>
        <x:v>Needs component scores</x:v>
      </x:c>
      <x:c r="M379" s="69" t="n">
        <x:f>IF(C379="","",MATCH(C379,'Position_Rubric'!$A$6:$A$14,0))</x:f>
        <x:v>8</x:v>
      </x:c>
      <x:c r="N379" s="69" t="str"/>
    </x:row>
    <x:row r="380" ht="25" customHeight="1">
      <x:c r="A380" s="69" t="str">
        <x:v>summer-S26-1113</x:v>
      </x:c>
      <x:c r="B380" s="69" t="str">
        <x:v>Milutin Osmajic</x:v>
      </x:c>
      <x:c r="C380" s="69" t="str">
        <x:v>ST</x:v>
      </x:c>
      <x:c r="D380" s="82" t="str">
        <x:f>IF(ISNUMBER('Transfer_Ratings'!K380),'Transfer_Ratings'!K380,"")</x:f>
      </x:c>
      <x:c r="E380" s="86"/>
      <x:c r="F380" s="86"/>
      <x:c r="G380" s="86"/>
      <x:c r="H380" s="86"/>
      <x:c r="I380" s="86"/>
      <x:c r="J380" s="82" t="str">
        <x:f>IF(C380="","Choose position",IF(COUNT(E380:I380)&lt;5,"",IF(OR(MIN(E380:I380)&lt;0.1,MAX(E380:I380)&gt;10),"Invalid score",IF(INDEX('Position_Rubric'!$H$6:$H$14,M380)&lt;&gt;1,"Check weights",ROUND(E380*INDEX('Position_Rubric'!$C$6:$C$14,M380)+F380*INDEX('Position_Rubric'!$D$6:$D$14,M380)+G380*INDEX('Position_Rubric'!$E$6:$E$14,M380)+H380*INDEX('Position_Rubric'!$F$6:$F$14,M380)+I380*INDEX('Position_Rubric'!$G$6:$G$14,M380),1)))))</x:f>
      </x:c>
      <x:c r="K380" s="82" t="str">
        <x:f>IF(AND(ISNUMBER(J380),ISNUMBER(D380)),J380-D380,"")</x:f>
      </x:c>
      <x:c r="L380" s="69" t="str">
        <x:f>IF(COUNT(E380:I380)&lt;5,"Needs component scores",IF(ISNUMBER(J380),"Calculated",J380))</x:f>
        <x:v>Needs component scores</x:v>
      </x:c>
      <x:c r="M380" s="69" t="n">
        <x:f>IF(C380="","",MATCH(C380,'Position_Rubric'!$A$6:$A$14,0))</x:f>
        <x:v>8</x:v>
      </x:c>
      <x:c r="N380" s="69" t="str"/>
    </x:row>
    <x:row r="381" ht="25" customHeight="1">
      <x:c r="A381" s="69" t="str">
        <x:v>summer-S26-1118</x:v>
      </x:c>
      <x:c r="B381" s="69" t="str">
        <x:v>Christopher Nkunku</x:v>
      </x:c>
      <x:c r="C381" s="69" t="str">
        <x:v>ST</x:v>
      </x:c>
      <x:c r="D381" s="82" t="str">
        <x:f>IF(ISNUMBER('Transfer_Ratings'!K381),'Transfer_Ratings'!K381,"")</x:f>
      </x:c>
      <x:c r="E381" s="86"/>
      <x:c r="F381" s="86"/>
      <x:c r="G381" s="86"/>
      <x:c r="H381" s="86"/>
      <x:c r="I381" s="86"/>
      <x:c r="J381" s="82" t="str">
        <x:f>IF(C381="","Choose position",IF(COUNT(E381:I381)&lt;5,"",IF(OR(MIN(E381:I381)&lt;0.1,MAX(E381:I381)&gt;10),"Invalid score",IF(INDEX('Position_Rubric'!$H$6:$H$14,M381)&lt;&gt;1,"Check weights",ROUND(E381*INDEX('Position_Rubric'!$C$6:$C$14,M381)+F381*INDEX('Position_Rubric'!$D$6:$D$14,M381)+G381*INDEX('Position_Rubric'!$E$6:$E$14,M381)+H381*INDEX('Position_Rubric'!$F$6:$F$14,M381)+I381*INDEX('Position_Rubric'!$G$6:$G$14,M381),1)))))</x:f>
      </x:c>
      <x:c r="K381" s="82" t="str">
        <x:f>IF(AND(ISNUMBER(J381),ISNUMBER(D381)),J381-D381,"")</x:f>
      </x:c>
      <x:c r="L381" s="69" t="str">
        <x:f>IF(COUNT(E381:I381)&lt;5,"Needs component scores",IF(ISNUMBER(J381),"Calculated",J381))</x:f>
        <x:v>Needs component scores</x:v>
      </x:c>
      <x:c r="M381" s="69" t="n">
        <x:f>IF(C381="","",MATCH(C381,'Position_Rubric'!$A$6:$A$14,0))</x:f>
        <x:v>8</x:v>
      </x:c>
      <x:c r="N381" s="69" t="str"/>
    </x:row>
    <x:row r="382" ht="25" customHeight="1">
      <x:c r="A382" s="69" t="str">
        <x:v>summer-S26-1124</x:v>
      </x:c>
      <x:c r="B382" s="69" t="str">
        <x:v>Ali al-Hamadi</x:v>
      </x:c>
      <x:c r="C382" s="69" t="str">
        <x:v>ST</x:v>
      </x:c>
      <x:c r="D382" s="82" t="str">
        <x:f>IF(ISNUMBER('Transfer_Ratings'!K382),'Transfer_Ratings'!K382,"")</x:f>
      </x:c>
      <x:c r="E382" s="86"/>
      <x:c r="F382" s="86"/>
      <x:c r="G382" s="86"/>
      <x:c r="H382" s="86"/>
      <x:c r="I382" s="86"/>
      <x:c r="J382" s="82" t="str">
        <x:f>IF(C382="","Choose position",IF(COUNT(E382:I382)&lt;5,"",IF(OR(MIN(E382:I382)&lt;0.1,MAX(E382:I382)&gt;10),"Invalid score",IF(INDEX('Position_Rubric'!$H$6:$H$14,M382)&lt;&gt;1,"Check weights",ROUND(E382*INDEX('Position_Rubric'!$C$6:$C$14,M382)+F382*INDEX('Position_Rubric'!$D$6:$D$14,M382)+G382*INDEX('Position_Rubric'!$E$6:$E$14,M382)+H382*INDEX('Position_Rubric'!$F$6:$F$14,M382)+I382*INDEX('Position_Rubric'!$G$6:$G$14,M382),1)))))</x:f>
      </x:c>
      <x:c r="K382" s="82" t="str">
        <x:f>IF(AND(ISNUMBER(J382),ISNUMBER(D382)),J382-D382,"")</x:f>
      </x:c>
      <x:c r="L382" s="69" t="str">
        <x:f>IF(COUNT(E382:I382)&lt;5,"Needs component scores",IF(ISNUMBER(J382),"Calculated",J382))</x:f>
        <x:v>Needs component scores</x:v>
      </x:c>
      <x:c r="M382" s="69" t="n">
        <x:f>IF(C382="","",MATCH(C382,'Position_Rubric'!$A$6:$A$14,0))</x:f>
        <x:v>8</x:v>
      </x:c>
      <x:c r="N382" s="69" t="str"/>
    </x:row>
    <x:row r="383" ht="25" customHeight="1">
      <x:c r="A383" s="69" t="str">
        <x:v>summer-S26-1133</x:v>
      </x:c>
      <x:c r="B383" s="69" t="str">
        <x:v>Marvin Pieringer</x:v>
      </x:c>
      <x:c r="C383" s="69" t="str">
        <x:v>ST</x:v>
      </x:c>
      <x:c r="D383" s="82" t="str">
        <x:f>IF(ISNUMBER('Transfer_Ratings'!K383),'Transfer_Ratings'!K383,"")</x:f>
      </x:c>
      <x:c r="E383" s="86"/>
      <x:c r="F383" s="86"/>
      <x:c r="G383" s="86"/>
      <x:c r="H383" s="86"/>
      <x:c r="I383" s="86"/>
      <x:c r="J383" s="82" t="str">
        <x:f>IF(C383="","Choose position",IF(COUNT(E383:I383)&lt;5,"",IF(OR(MIN(E383:I383)&lt;0.1,MAX(E383:I383)&gt;10),"Invalid score",IF(INDEX('Position_Rubric'!$H$6:$H$14,M383)&lt;&gt;1,"Check weights",ROUND(E383*INDEX('Position_Rubric'!$C$6:$C$14,M383)+F383*INDEX('Position_Rubric'!$D$6:$D$14,M383)+G383*INDEX('Position_Rubric'!$E$6:$E$14,M383)+H383*INDEX('Position_Rubric'!$F$6:$F$14,M383)+I383*INDEX('Position_Rubric'!$G$6:$G$14,M383),1)))))</x:f>
      </x:c>
      <x:c r="K383" s="82" t="str">
        <x:f>IF(AND(ISNUMBER(J383),ISNUMBER(D383)),J383-D383,"")</x:f>
      </x:c>
      <x:c r="L383" s="69" t="str">
        <x:f>IF(COUNT(E383:I383)&lt;5,"Needs component scores",IF(ISNUMBER(J383),"Calculated",J383))</x:f>
        <x:v>Needs component scores</x:v>
      </x:c>
      <x:c r="M383" s="69" t="n">
        <x:f>IF(C383="","",MATCH(C383,'Position_Rubric'!$A$6:$A$14,0))</x:f>
        <x:v>8</x:v>
      </x:c>
      <x:c r="N383" s="69" t="str"/>
    </x:row>
    <x:row r="384" ht="25" customHeight="1">
      <x:c r="A384" s="69" t="str">
        <x:v>summer-S26-1140</x:v>
      </x:c>
      <x:c r="B384" s="69" t="str">
        <x:v>Liam Delap</x:v>
      </x:c>
      <x:c r="C384" s="69" t="str">
        <x:v>ST</x:v>
      </x:c>
      <x:c r="D384" s="82" t="str">
        <x:f>IF(ISNUMBER('Transfer_Ratings'!K384),'Transfer_Ratings'!K384,"")</x:f>
      </x:c>
      <x:c r="E384" s="86"/>
      <x:c r="F384" s="86"/>
      <x:c r="G384" s="86"/>
      <x:c r="H384" s="86"/>
      <x:c r="I384" s="86"/>
      <x:c r="J384" s="82" t="str">
        <x:f>IF(C384="","Choose position",IF(COUNT(E384:I384)&lt;5,"",IF(OR(MIN(E384:I384)&lt;0.1,MAX(E384:I384)&gt;10),"Invalid score",IF(INDEX('Position_Rubric'!$H$6:$H$14,M384)&lt;&gt;1,"Check weights",ROUND(E384*INDEX('Position_Rubric'!$C$6:$C$14,M384)+F384*INDEX('Position_Rubric'!$D$6:$D$14,M384)+G384*INDEX('Position_Rubric'!$E$6:$E$14,M384)+H384*INDEX('Position_Rubric'!$F$6:$F$14,M384)+I384*INDEX('Position_Rubric'!$G$6:$G$14,M384),1)))))</x:f>
      </x:c>
      <x:c r="K384" s="82" t="str">
        <x:f>IF(AND(ISNUMBER(J384),ISNUMBER(D384)),J384-D384,"")</x:f>
      </x:c>
      <x:c r="L384" s="69" t="str">
        <x:f>IF(COUNT(E384:I384)&lt;5,"Needs component scores",IF(ISNUMBER(J384),"Calculated",J384))</x:f>
        <x:v>Needs component scores</x:v>
      </x:c>
      <x:c r="M384" s="69" t="n">
        <x:f>IF(C384="","",MATCH(C384,'Position_Rubric'!$A$6:$A$14,0))</x:f>
        <x:v>8</x:v>
      </x:c>
      <x:c r="N384" s="69" t="str"/>
    </x:row>
    <x:row r="385" ht="25" customHeight="1">
      <x:c r="A385" s="69" t="str">
        <x:v>summer-S26-1144</x:v>
      </x:c>
      <x:c r="B385" s="69" t="str">
        <x:v>Lamin Sillah</x:v>
      </x:c>
      <x:c r="C385" s="69" t="str">
        <x:v>ST</x:v>
      </x:c>
      <x:c r="D385" s="82" t="str">
        <x:f>IF(ISNUMBER('Transfer_Ratings'!K385),'Transfer_Ratings'!K385,"")</x:f>
      </x:c>
      <x:c r="E385" s="86"/>
      <x:c r="F385" s="86"/>
      <x:c r="G385" s="86"/>
      <x:c r="H385" s="86"/>
      <x:c r="I385" s="86"/>
      <x:c r="J385" s="82" t="str">
        <x:f>IF(C385="","Choose position",IF(COUNT(E385:I385)&lt;5,"",IF(OR(MIN(E385:I385)&lt;0.1,MAX(E385:I385)&gt;10),"Invalid score",IF(INDEX('Position_Rubric'!$H$6:$H$14,M385)&lt;&gt;1,"Check weights",ROUND(E385*INDEX('Position_Rubric'!$C$6:$C$14,M385)+F385*INDEX('Position_Rubric'!$D$6:$D$14,M385)+G385*INDEX('Position_Rubric'!$E$6:$E$14,M385)+H385*INDEX('Position_Rubric'!$F$6:$F$14,M385)+I385*INDEX('Position_Rubric'!$G$6:$G$14,M385),1)))))</x:f>
      </x:c>
      <x:c r="K385" s="82" t="str">
        <x:f>IF(AND(ISNUMBER(J385),ISNUMBER(D385)),J385-D385,"")</x:f>
      </x:c>
      <x:c r="L385" s="69" t="str">
        <x:f>IF(COUNT(E385:I385)&lt;5,"Needs component scores",IF(ISNUMBER(J385),"Calculated",J385))</x:f>
        <x:v>Needs component scores</x:v>
      </x:c>
      <x:c r="M385" s="69" t="n">
        <x:f>IF(C385="","",MATCH(C385,'Position_Rubric'!$A$6:$A$14,0))</x:f>
        <x:v>8</x:v>
      </x:c>
      <x:c r="N385" s="69" t="str"/>
    </x:row>
    <x:row r="386" ht="25" customHeight="1">
      <x:c r="A386" s="69" t="str">
        <x:v>summer-S26-1146</x:v>
      </x:c>
      <x:c r="B386" s="69" t="str">
        <x:v>Omar Marmoush</x:v>
      </x:c>
      <x:c r="C386" s="69" t="str">
        <x:v>ST</x:v>
      </x:c>
      <x:c r="D386" s="82" t="str">
        <x:f>IF(ISNUMBER('Transfer_Ratings'!K386),'Transfer_Ratings'!K386,"")</x:f>
      </x:c>
      <x:c r="E386" s="86"/>
      <x:c r="F386" s="86"/>
      <x:c r="G386" s="86"/>
      <x:c r="H386" s="86"/>
      <x:c r="I386" s="86"/>
      <x:c r="J386" s="82" t="str">
        <x:f>IF(C386="","Choose position",IF(COUNT(E386:I386)&lt;5,"",IF(OR(MIN(E386:I386)&lt;0.1,MAX(E386:I386)&gt;10),"Invalid score",IF(INDEX('Position_Rubric'!$H$6:$H$14,M386)&lt;&gt;1,"Check weights",ROUND(E386*INDEX('Position_Rubric'!$C$6:$C$14,M386)+F386*INDEX('Position_Rubric'!$D$6:$D$14,M386)+G386*INDEX('Position_Rubric'!$E$6:$E$14,M386)+H386*INDEX('Position_Rubric'!$F$6:$F$14,M386)+I386*INDEX('Position_Rubric'!$G$6:$G$14,M386),1)))))</x:f>
      </x:c>
      <x:c r="K386" s="82" t="str">
        <x:f>IF(AND(ISNUMBER(J386),ISNUMBER(D386)),J386-D386,"")</x:f>
      </x:c>
      <x:c r="L386" s="69" t="str">
        <x:f>IF(COUNT(E386:I386)&lt;5,"Needs component scores",IF(ISNUMBER(J386),"Calculated",J386))</x:f>
        <x:v>Needs component scores</x:v>
      </x:c>
      <x:c r="M386" s="69" t="n">
        <x:f>IF(C386="","",MATCH(C386,'Position_Rubric'!$A$6:$A$14,0))</x:f>
        <x:v>8</x:v>
      </x:c>
      <x:c r="N386" s="69" t="str"/>
    </x:row>
    <x:row r="387" ht="25" customHeight="1">
      <x:c r="A387" s="69" t="str">
        <x:v>summer-S26-1157</x:v>
      </x:c>
      <x:c r="B387" s="69" t="str">
        <x:v>Nicolas Jackson</x:v>
      </x:c>
      <x:c r="C387" s="69" t="str">
        <x:v>ST</x:v>
      </x:c>
      <x:c r="D387" s="82" t="str">
        <x:f>IF(ISNUMBER('Transfer_Ratings'!K387),'Transfer_Ratings'!K387,"")</x:f>
      </x:c>
      <x:c r="E387" s="86"/>
      <x:c r="F387" s="86"/>
      <x:c r="G387" s="86"/>
      <x:c r="H387" s="86"/>
      <x:c r="I387" s="86"/>
      <x:c r="J387" s="82" t="str">
        <x:f>IF(C387="","Choose position",IF(COUNT(E387:I387)&lt;5,"",IF(OR(MIN(E387:I387)&lt;0.1,MAX(E387:I387)&gt;10),"Invalid score",IF(INDEX('Position_Rubric'!$H$6:$H$14,M387)&lt;&gt;1,"Check weights",ROUND(E387*INDEX('Position_Rubric'!$C$6:$C$14,M387)+F387*INDEX('Position_Rubric'!$D$6:$D$14,M387)+G387*INDEX('Position_Rubric'!$E$6:$E$14,M387)+H387*INDEX('Position_Rubric'!$F$6:$F$14,M387)+I387*INDEX('Position_Rubric'!$G$6:$G$14,M387),1)))))</x:f>
      </x:c>
      <x:c r="K387" s="82" t="str">
        <x:f>IF(AND(ISNUMBER(J387),ISNUMBER(D387)),J387-D387,"")</x:f>
      </x:c>
      <x:c r="L387" s="69" t="str">
        <x:f>IF(COUNT(E387:I387)&lt;5,"Needs component scores",IF(ISNUMBER(J387),"Calculated",J387))</x:f>
        <x:v>Needs component scores</x:v>
      </x:c>
      <x:c r="M387" s="69" t="n">
        <x:f>IF(C387="","",MATCH(C387,'Position_Rubric'!$A$6:$A$14,0))</x:f>
        <x:v>8</x:v>
      </x:c>
      <x:c r="N387" s="69" t="str"/>
    </x:row>
    <x:row r="388" ht="25" customHeight="1">
      <x:c r="A388" s="69" t="str">
        <x:v>summer-S26-1160</x:v>
      </x:c>
      <x:c r="B388" s="69" t="str">
        <x:v>Tomas Bobcek</x:v>
      </x:c>
      <x:c r="C388" s="69" t="str">
        <x:v>ST</x:v>
      </x:c>
      <x:c r="D388" s="82" t="str">
        <x:f>IF(ISNUMBER('Transfer_Ratings'!K388),'Transfer_Ratings'!K388,"")</x:f>
      </x:c>
      <x:c r="E388" s="86"/>
      <x:c r="F388" s="86"/>
      <x:c r="G388" s="86"/>
      <x:c r="H388" s="86"/>
      <x:c r="I388" s="86"/>
      <x:c r="J388" s="82" t="str">
        <x:f>IF(C388="","Choose position",IF(COUNT(E388:I388)&lt;5,"",IF(OR(MIN(E388:I388)&lt;0.1,MAX(E388:I388)&gt;10),"Invalid score",IF(INDEX('Position_Rubric'!$H$6:$H$14,M388)&lt;&gt;1,"Check weights",ROUND(E388*INDEX('Position_Rubric'!$C$6:$C$14,M388)+F388*INDEX('Position_Rubric'!$D$6:$D$14,M388)+G388*INDEX('Position_Rubric'!$E$6:$E$14,M388)+H388*INDEX('Position_Rubric'!$F$6:$F$14,M388)+I388*INDEX('Position_Rubric'!$G$6:$G$14,M388),1)))))</x:f>
      </x:c>
      <x:c r="K388" s="82" t="str">
        <x:f>IF(AND(ISNUMBER(J388),ISNUMBER(D388)),J388-D388,"")</x:f>
      </x:c>
      <x:c r="L388" s="69" t="str">
        <x:f>IF(COUNT(E388:I388)&lt;5,"Needs component scores",IF(ISNUMBER(J388),"Calculated",J388))</x:f>
        <x:v>Needs component scores</x:v>
      </x:c>
      <x:c r="M388" s="69" t="n">
        <x:f>IF(C388="","",MATCH(C388,'Position_Rubric'!$A$6:$A$14,0))</x:f>
        <x:v>8</x:v>
      </x:c>
      <x:c r="N388" s="69" t="str"/>
    </x:row>
    <x:row r="389" ht="25" customHeight="1">
      <x:c r="A389" s="69" t="str">
        <x:v>summer-S26-1161</x:v>
      </x:c>
      <x:c r="B389" s="69" t="str">
        <x:v>Álvaro Morata</x:v>
      </x:c>
      <x:c r="C389" s="69" t="str">
        <x:v>ST</x:v>
      </x:c>
      <x:c r="D389" s="82" t="str">
        <x:f>IF(ISNUMBER('Transfer_Ratings'!K389),'Transfer_Ratings'!K389,"")</x:f>
      </x:c>
      <x:c r="E389" s="86"/>
      <x:c r="F389" s="86"/>
      <x:c r="G389" s="86"/>
      <x:c r="H389" s="86"/>
      <x:c r="I389" s="86"/>
      <x:c r="J389" s="82" t="str">
        <x:f>IF(C389="","Choose position",IF(COUNT(E389:I389)&lt;5,"",IF(OR(MIN(E389:I389)&lt;0.1,MAX(E389:I389)&gt;10),"Invalid score",IF(INDEX('Position_Rubric'!$H$6:$H$14,M389)&lt;&gt;1,"Check weights",ROUND(E389*INDEX('Position_Rubric'!$C$6:$C$14,M389)+F389*INDEX('Position_Rubric'!$D$6:$D$14,M389)+G389*INDEX('Position_Rubric'!$E$6:$E$14,M389)+H389*INDEX('Position_Rubric'!$F$6:$F$14,M389)+I389*INDEX('Position_Rubric'!$G$6:$G$14,M389),1)))))</x:f>
      </x:c>
      <x:c r="K389" s="82" t="str">
        <x:f>IF(AND(ISNUMBER(J389),ISNUMBER(D389)),J389-D389,"")</x:f>
      </x:c>
      <x:c r="L389" s="69" t="str">
        <x:f>IF(COUNT(E389:I389)&lt;5,"Needs component scores",IF(ISNUMBER(J389),"Calculated",J389))</x:f>
        <x:v>Needs component scores</x:v>
      </x:c>
      <x:c r="M389" s="69" t="n">
        <x:f>IF(C389="","",MATCH(C389,'Position_Rubric'!$A$6:$A$14,0))</x:f>
        <x:v>8</x:v>
      </x:c>
      <x:c r="N389" s="69" t="str"/>
    </x:row>
    <x:row r="390" ht="25" customHeight="1">
      <x:c r="A390" s="69" t="str">
        <x:v>summer-S26-1166</x:v>
      </x:c>
      <x:c r="B390" s="69" t="str">
        <x:v>Walid Cheddira</x:v>
      </x:c>
      <x:c r="C390" s="69" t="str">
        <x:v>ST</x:v>
      </x:c>
      <x:c r="D390" s="82" t="str">
        <x:f>IF(ISNUMBER('Transfer_Ratings'!K390),'Transfer_Ratings'!K390,"")</x:f>
      </x:c>
      <x:c r="E390" s="86"/>
      <x:c r="F390" s="86"/>
      <x:c r="G390" s="86"/>
      <x:c r="H390" s="86"/>
      <x:c r="I390" s="86"/>
      <x:c r="J390" s="82" t="str">
        <x:f>IF(C390="","Choose position",IF(COUNT(E390:I390)&lt;5,"",IF(OR(MIN(E390:I390)&lt;0.1,MAX(E390:I390)&gt;10),"Invalid score",IF(INDEX('Position_Rubric'!$H$6:$H$14,M390)&lt;&gt;1,"Check weights",ROUND(E390*INDEX('Position_Rubric'!$C$6:$C$14,M390)+F390*INDEX('Position_Rubric'!$D$6:$D$14,M390)+G390*INDEX('Position_Rubric'!$E$6:$E$14,M390)+H390*INDEX('Position_Rubric'!$F$6:$F$14,M390)+I390*INDEX('Position_Rubric'!$G$6:$G$14,M390),1)))))</x:f>
      </x:c>
      <x:c r="K390" s="82" t="str">
        <x:f>IF(AND(ISNUMBER(J390),ISNUMBER(D390)),J390-D390,"")</x:f>
      </x:c>
      <x:c r="L390" s="69" t="str">
        <x:f>IF(COUNT(E390:I390)&lt;5,"Needs component scores",IF(ISNUMBER(J390),"Calculated",J390))</x:f>
        <x:v>Needs component scores</x:v>
      </x:c>
      <x:c r="M390" s="69" t="n">
        <x:f>IF(C390="","",MATCH(C390,'Position_Rubric'!$A$6:$A$14,0))</x:f>
        <x:v>8</x:v>
      </x:c>
      <x:c r="N390" s="69" t="str"/>
    </x:row>
    <x:row r="391" ht="25" customHeight="1">
      <x:c r="A391" s="69" t="str">
        <x:v>summer-S26-1167</x:v>
      </x:c>
      <x:c r="B391" s="69" t="str">
        <x:v>William Bøving</x:v>
      </x:c>
      <x:c r="C391" s="69" t="str">
        <x:v>ST</x:v>
      </x:c>
      <x:c r="D391" s="82" t="str">
        <x:f>IF(ISNUMBER('Transfer_Ratings'!K391),'Transfer_Ratings'!K391,"")</x:f>
      </x:c>
      <x:c r="E391" s="86"/>
      <x:c r="F391" s="86"/>
      <x:c r="G391" s="86"/>
      <x:c r="H391" s="86"/>
      <x:c r="I391" s="86"/>
      <x:c r="J391" s="82" t="str">
        <x:f>IF(C391="","Choose position",IF(COUNT(E391:I391)&lt;5,"",IF(OR(MIN(E391:I391)&lt;0.1,MAX(E391:I391)&gt;10),"Invalid score",IF(INDEX('Position_Rubric'!$H$6:$H$14,M391)&lt;&gt;1,"Check weights",ROUND(E391*INDEX('Position_Rubric'!$C$6:$C$14,M391)+F391*INDEX('Position_Rubric'!$D$6:$D$14,M391)+G391*INDEX('Position_Rubric'!$E$6:$E$14,M391)+H391*INDEX('Position_Rubric'!$F$6:$F$14,M391)+I391*INDEX('Position_Rubric'!$G$6:$G$14,M391),1)))))</x:f>
      </x:c>
      <x:c r="K391" s="82" t="str">
        <x:f>IF(AND(ISNUMBER(J391),ISNUMBER(D391)),J391-D391,"")</x:f>
      </x:c>
      <x:c r="L391" s="69" t="str">
        <x:f>IF(COUNT(E391:I391)&lt;5,"Needs component scores",IF(ISNUMBER(J391),"Calculated",J391))</x:f>
        <x:v>Needs component scores</x:v>
      </x:c>
      <x:c r="M391" s="69" t="n">
        <x:f>IF(C391="","",MATCH(C391,'Position_Rubric'!$A$6:$A$14,0))</x:f>
        <x:v>8</x:v>
      </x:c>
      <x:c r="N391" s="69" t="str"/>
    </x:row>
    <x:row r="392" ht="25" customHeight="1">
      <x:c r="A392" s="69" t="str">
        <x:v>summer-S26-1169</x:v>
      </x:c>
      <x:c r="B392" s="69" t="str">
        <x:v>Jon Karrikaburu</x:v>
      </x:c>
      <x:c r="C392" s="69" t="str">
        <x:v>ST</x:v>
      </x:c>
      <x:c r="D392" s="82" t="str">
        <x:f>IF(ISNUMBER('Transfer_Ratings'!K392),'Transfer_Ratings'!K392,"")</x:f>
      </x:c>
      <x:c r="E392" s="86"/>
      <x:c r="F392" s="86"/>
      <x:c r="G392" s="86"/>
      <x:c r="H392" s="86"/>
      <x:c r="I392" s="86"/>
      <x:c r="J392" s="82" t="str">
        <x:f>IF(C392="","Choose position",IF(COUNT(E392:I392)&lt;5,"",IF(OR(MIN(E392:I392)&lt;0.1,MAX(E392:I392)&gt;10),"Invalid score",IF(INDEX('Position_Rubric'!$H$6:$H$14,M392)&lt;&gt;1,"Check weights",ROUND(E392*INDEX('Position_Rubric'!$C$6:$C$14,M392)+F392*INDEX('Position_Rubric'!$D$6:$D$14,M392)+G392*INDEX('Position_Rubric'!$E$6:$E$14,M392)+H392*INDEX('Position_Rubric'!$F$6:$F$14,M392)+I392*INDEX('Position_Rubric'!$G$6:$G$14,M392),1)))))</x:f>
      </x:c>
      <x:c r="K392" s="82" t="str">
        <x:f>IF(AND(ISNUMBER(J392),ISNUMBER(D392)),J392-D392,"")</x:f>
      </x:c>
      <x:c r="L392" s="69" t="str">
        <x:f>IF(COUNT(E392:I392)&lt;5,"Needs component scores",IF(ISNUMBER(J392),"Calculated",J392))</x:f>
        <x:v>Needs component scores</x:v>
      </x:c>
      <x:c r="M392" s="69" t="n">
        <x:f>IF(C392="","",MATCH(C392,'Position_Rubric'!$A$6:$A$14,0))</x:f>
        <x:v>8</x:v>
      </x:c>
      <x:c r="N392" s="69" t="str"/>
    </x:row>
    <x:row r="393" ht="25" customHeight="1">
      <x:c r="A393" s="69" t="str">
        <x:v>summer-S26-1192</x:v>
      </x:c>
      <x:c r="B393" s="69" t="str">
        <x:v>Alvin Okoro</x:v>
      </x:c>
      <x:c r="C393" s="69" t="str">
        <x:v>ST</x:v>
      </x:c>
      <x:c r="D393" s="82" t="str">
        <x:f>IF(ISNUMBER('Transfer_Ratings'!K393),'Transfer_Ratings'!K393,"")</x:f>
      </x:c>
      <x:c r="E393" s="86"/>
      <x:c r="F393" s="86"/>
      <x:c r="G393" s="86"/>
      <x:c r="H393" s="86"/>
      <x:c r="I393" s="86"/>
      <x:c r="J393" s="82" t="str">
        <x:f>IF(C393="","Choose position",IF(COUNT(E393:I393)&lt;5,"",IF(OR(MIN(E393:I393)&lt;0.1,MAX(E393:I393)&gt;10),"Invalid score",IF(INDEX('Position_Rubric'!$H$6:$H$14,M393)&lt;&gt;1,"Check weights",ROUND(E393*INDEX('Position_Rubric'!$C$6:$C$14,M393)+F393*INDEX('Position_Rubric'!$D$6:$D$14,M393)+G393*INDEX('Position_Rubric'!$E$6:$E$14,M393)+H393*INDEX('Position_Rubric'!$F$6:$F$14,M393)+I393*INDEX('Position_Rubric'!$G$6:$G$14,M393),1)))))</x:f>
      </x:c>
      <x:c r="K393" s="82" t="str">
        <x:f>IF(AND(ISNUMBER(J393),ISNUMBER(D393)),J393-D393,"")</x:f>
      </x:c>
      <x:c r="L393" s="69" t="str">
        <x:f>IF(COUNT(E393:I393)&lt;5,"Needs component scores",IF(ISNUMBER(J393),"Calculated",J393))</x:f>
        <x:v>Needs component scores</x:v>
      </x:c>
      <x:c r="M393" s="69" t="n">
        <x:f>IF(C393="","",MATCH(C393,'Position_Rubric'!$A$6:$A$14,0))</x:f>
        <x:v>8</x:v>
      </x:c>
      <x:c r="N393" s="69" t="str"/>
    </x:row>
    <x:row r="394" ht="25" customHeight="1">
      <x:c r="A394" s="69" t="str">
        <x:v>summer-S26-1193</x:v>
      </x:c>
      <x:c r="B394" s="69" t="str">
        <x:v>Sebastiano Esposito</x:v>
      </x:c>
      <x:c r="C394" s="69" t="str">
        <x:v>ST</x:v>
      </x:c>
      <x:c r="D394" s="82" t="str">
        <x:f>IF(ISNUMBER('Transfer_Ratings'!K394),'Transfer_Ratings'!K394,"")</x:f>
      </x:c>
      <x:c r="E394" s="86"/>
      <x:c r="F394" s="86"/>
      <x:c r="G394" s="86"/>
      <x:c r="H394" s="86"/>
      <x:c r="I394" s="86"/>
      <x:c r="J394" s="82" t="str">
        <x:f>IF(C394="","Choose position",IF(COUNT(E394:I394)&lt;5,"",IF(OR(MIN(E394:I394)&lt;0.1,MAX(E394:I394)&gt;10),"Invalid score",IF(INDEX('Position_Rubric'!$H$6:$H$14,M394)&lt;&gt;1,"Check weights",ROUND(E394*INDEX('Position_Rubric'!$C$6:$C$14,M394)+F394*INDEX('Position_Rubric'!$D$6:$D$14,M394)+G394*INDEX('Position_Rubric'!$E$6:$E$14,M394)+H394*INDEX('Position_Rubric'!$F$6:$F$14,M394)+I394*INDEX('Position_Rubric'!$G$6:$G$14,M394),1)))))</x:f>
      </x:c>
      <x:c r="K394" s="82" t="str">
        <x:f>IF(AND(ISNUMBER(J394),ISNUMBER(D394)),J394-D394,"")</x:f>
      </x:c>
      <x:c r="L394" s="69" t="str">
        <x:f>IF(COUNT(E394:I394)&lt;5,"Needs component scores",IF(ISNUMBER(J394),"Calculated",J394))</x:f>
        <x:v>Needs component scores</x:v>
      </x:c>
      <x:c r="M394" s="69" t="n">
        <x:f>IF(C394="","",MATCH(C394,'Position_Rubric'!$A$6:$A$14,0))</x:f>
        <x:v>8</x:v>
      </x:c>
      <x:c r="N394" s="69" t="str"/>
    </x:row>
    <x:row r="395" ht="25" customHeight="1">
      <x:c r="A395" s="69" t="str">
        <x:v>summer-S26-1195</x:v>
      </x:c>
      <x:c r="B395" s="69" t="str">
        <x:v>Gabriele Artistico</x:v>
      </x:c>
      <x:c r="C395" s="69" t="str">
        <x:v>ST</x:v>
      </x:c>
      <x:c r="D395" s="82" t="str">
        <x:f>IF(ISNUMBER('Transfer_Ratings'!K395),'Transfer_Ratings'!K395,"")</x:f>
      </x:c>
      <x:c r="E395" s="86"/>
      <x:c r="F395" s="86"/>
      <x:c r="G395" s="86"/>
      <x:c r="H395" s="86"/>
      <x:c r="I395" s="86"/>
      <x:c r="J395" s="82" t="str">
        <x:f>IF(C395="","Choose position",IF(COUNT(E395:I395)&lt;5,"",IF(OR(MIN(E395:I395)&lt;0.1,MAX(E395:I395)&gt;10),"Invalid score",IF(INDEX('Position_Rubric'!$H$6:$H$14,M395)&lt;&gt;1,"Check weights",ROUND(E395*INDEX('Position_Rubric'!$C$6:$C$14,M395)+F395*INDEX('Position_Rubric'!$D$6:$D$14,M395)+G395*INDEX('Position_Rubric'!$E$6:$E$14,M395)+H395*INDEX('Position_Rubric'!$F$6:$F$14,M395)+I395*INDEX('Position_Rubric'!$G$6:$G$14,M395),1)))))</x:f>
      </x:c>
      <x:c r="K395" s="82" t="str">
        <x:f>IF(AND(ISNUMBER(J395),ISNUMBER(D395)),J395-D395,"")</x:f>
      </x:c>
      <x:c r="L395" s="69" t="str">
        <x:f>IF(COUNT(E395:I395)&lt;5,"Needs component scores",IF(ISNUMBER(J395),"Calculated",J395))</x:f>
        <x:v>Needs component scores</x:v>
      </x:c>
      <x:c r="M395" s="69" t="n">
        <x:f>IF(C395="","",MATCH(C395,'Position_Rubric'!$A$6:$A$14,0))</x:f>
        <x:v>8</x:v>
      </x:c>
      <x:c r="N395" s="69" t="str"/>
    </x:row>
    <x:row r="396" ht="25" customHeight="1">
      <x:c r="A396" s="69" t="str">
        <x:v>summer-S26-1196</x:v>
      </x:c>
      <x:c r="B396" s="69" t="str">
        <x:v>Daniel Birligea</x:v>
      </x:c>
      <x:c r="C396" s="69" t="str">
        <x:v>ST</x:v>
      </x:c>
      <x:c r="D396" s="82" t="str">
        <x:f>IF(ISNUMBER('Transfer_Ratings'!K396),'Transfer_Ratings'!K396,"")</x:f>
      </x:c>
      <x:c r="E396" s="86"/>
      <x:c r="F396" s="86"/>
      <x:c r="G396" s="86"/>
      <x:c r="H396" s="86"/>
      <x:c r="I396" s="86"/>
      <x:c r="J396" s="82" t="str">
        <x:f>IF(C396="","Choose position",IF(COUNT(E396:I396)&lt;5,"",IF(OR(MIN(E396:I396)&lt;0.1,MAX(E396:I396)&gt;10),"Invalid score",IF(INDEX('Position_Rubric'!$H$6:$H$14,M396)&lt;&gt;1,"Check weights",ROUND(E396*INDEX('Position_Rubric'!$C$6:$C$14,M396)+F396*INDEX('Position_Rubric'!$D$6:$D$14,M396)+G396*INDEX('Position_Rubric'!$E$6:$E$14,M396)+H396*INDEX('Position_Rubric'!$F$6:$F$14,M396)+I396*INDEX('Position_Rubric'!$G$6:$G$14,M396),1)))))</x:f>
      </x:c>
      <x:c r="K396" s="82" t="str">
        <x:f>IF(AND(ISNUMBER(J396),ISNUMBER(D396)),J396-D396,"")</x:f>
      </x:c>
      <x:c r="L396" s="69" t="str">
        <x:f>IF(COUNT(E396:I396)&lt;5,"Needs component scores",IF(ISNUMBER(J396),"Calculated",J396))</x:f>
        <x:v>Needs component scores</x:v>
      </x:c>
      <x:c r="M396" s="69" t="n">
        <x:f>IF(C396="","",MATCH(C396,'Position_Rubric'!$A$6:$A$14,0))</x:f>
        <x:v>8</x:v>
      </x:c>
      <x:c r="N396" s="69" t="str"/>
    </x:row>
    <x:row r="397" ht="25" customHeight="1">
      <x:c r="A397" s="69" t="str">
        <x:v>summer-S26-1197</x:v>
      </x:c>
      <x:c r="B397" s="69" t="str">
        <x:v>Andrea Pinamonti</x:v>
      </x:c>
      <x:c r="C397" s="69" t="str">
        <x:v>ST</x:v>
      </x:c>
      <x:c r="D397" s="82" t="str">
        <x:f>IF(ISNUMBER('Transfer_Ratings'!K397),'Transfer_Ratings'!K397,"")</x:f>
      </x:c>
      <x:c r="E397" s="86"/>
      <x:c r="F397" s="86"/>
      <x:c r="G397" s="86"/>
      <x:c r="H397" s="86"/>
      <x:c r="I397" s="86"/>
      <x:c r="J397" s="82" t="str">
        <x:f>IF(C397="","Choose position",IF(COUNT(E397:I397)&lt;5,"",IF(OR(MIN(E397:I397)&lt;0.1,MAX(E397:I397)&gt;10),"Invalid score",IF(INDEX('Position_Rubric'!$H$6:$H$14,M397)&lt;&gt;1,"Check weights",ROUND(E397*INDEX('Position_Rubric'!$C$6:$C$14,M397)+F397*INDEX('Position_Rubric'!$D$6:$D$14,M397)+G397*INDEX('Position_Rubric'!$E$6:$E$14,M397)+H397*INDEX('Position_Rubric'!$F$6:$F$14,M397)+I397*INDEX('Position_Rubric'!$G$6:$G$14,M397),1)))))</x:f>
      </x:c>
      <x:c r="K397" s="82" t="str">
        <x:f>IF(AND(ISNUMBER(J397),ISNUMBER(D397)),J397-D397,"")</x:f>
      </x:c>
      <x:c r="L397" s="69" t="str">
        <x:f>IF(COUNT(E397:I397)&lt;5,"Needs component scores",IF(ISNUMBER(J397),"Calculated",J397))</x:f>
        <x:v>Needs component scores</x:v>
      </x:c>
      <x:c r="M397" s="69" t="n">
        <x:f>IF(C397="","",MATCH(C397,'Position_Rubric'!$A$6:$A$14,0))</x:f>
        <x:v>8</x:v>
      </x:c>
      <x:c r="N397" s="69" t="str"/>
    </x:row>
    <x:row r="398" ht="25" customHeight="1">
      <x:c r="A398" s="69" t="str">
        <x:v>summer-S26-1216</x:v>
      </x:c>
      <x:c r="B398" s="69" t="str">
        <x:v>Ollie Watkins</x:v>
      </x:c>
      <x:c r="C398" s="69" t="str">
        <x:v>ST</x:v>
      </x:c>
      <x:c r="D398" s="82" t="str">
        <x:f>IF(ISNUMBER('Transfer_Ratings'!K398),'Transfer_Ratings'!K398,"")</x:f>
      </x:c>
      <x:c r="E398" s="86"/>
      <x:c r="F398" s="86"/>
      <x:c r="G398" s="86"/>
      <x:c r="H398" s="86"/>
      <x:c r="I398" s="86"/>
      <x:c r="J398" s="82" t="str">
        <x:f>IF(C398="","Choose position",IF(COUNT(E398:I398)&lt;5,"",IF(OR(MIN(E398:I398)&lt;0.1,MAX(E398:I398)&gt;10),"Invalid score",IF(INDEX('Position_Rubric'!$H$6:$H$14,M398)&lt;&gt;1,"Check weights",ROUND(E398*INDEX('Position_Rubric'!$C$6:$C$14,M398)+F398*INDEX('Position_Rubric'!$D$6:$D$14,M398)+G398*INDEX('Position_Rubric'!$E$6:$E$14,M398)+H398*INDEX('Position_Rubric'!$F$6:$F$14,M398)+I398*INDEX('Position_Rubric'!$G$6:$G$14,M398),1)))))</x:f>
      </x:c>
      <x:c r="K398" s="82" t="str">
        <x:f>IF(AND(ISNUMBER(J398),ISNUMBER(D398)),J398-D398,"")</x:f>
      </x:c>
      <x:c r="L398" s="69" t="str">
        <x:f>IF(COUNT(E398:I398)&lt;5,"Needs component scores",IF(ISNUMBER(J398),"Calculated",J398))</x:f>
        <x:v>Needs component scores</x:v>
      </x:c>
      <x:c r="M398" s="69" t="n">
        <x:f>IF(C398="","",MATCH(C398,'Position_Rubric'!$A$6:$A$14,0))</x:f>
        <x:v>8</x:v>
      </x:c>
      <x:c r="N398" s="69" t="str"/>
    </x:row>
    <x:row r="399" ht="25" customHeight="1">
      <x:c r="A399" s="69" t="str">
        <x:v>summer-S26-1220</x:v>
      </x:c>
      <x:c r="B399" s="69" t="str">
        <x:v>Alieu Njie</x:v>
      </x:c>
      <x:c r="C399" s="69" t="str">
        <x:v>ST</x:v>
      </x:c>
      <x:c r="D399" s="82" t="str">
        <x:f>IF(ISNUMBER('Transfer_Ratings'!K399),'Transfer_Ratings'!K399,"")</x:f>
      </x:c>
      <x:c r="E399" s="86"/>
      <x:c r="F399" s="86"/>
      <x:c r="G399" s="86"/>
      <x:c r="H399" s="86"/>
      <x:c r="I399" s="86"/>
      <x:c r="J399" s="82" t="str">
        <x:f>IF(C399="","Choose position",IF(COUNT(E399:I399)&lt;5,"",IF(OR(MIN(E399:I399)&lt;0.1,MAX(E399:I399)&gt;10),"Invalid score",IF(INDEX('Position_Rubric'!$H$6:$H$14,M399)&lt;&gt;1,"Check weights",ROUND(E399*INDEX('Position_Rubric'!$C$6:$C$14,M399)+F399*INDEX('Position_Rubric'!$D$6:$D$14,M399)+G399*INDEX('Position_Rubric'!$E$6:$E$14,M399)+H399*INDEX('Position_Rubric'!$F$6:$F$14,M399)+I399*INDEX('Position_Rubric'!$G$6:$G$14,M399),1)))))</x:f>
      </x:c>
      <x:c r="K399" s="82" t="str">
        <x:f>IF(AND(ISNUMBER(J399),ISNUMBER(D399)),J399-D399,"")</x:f>
      </x:c>
      <x:c r="L399" s="69" t="str">
        <x:f>IF(COUNT(E399:I399)&lt;5,"Needs component scores",IF(ISNUMBER(J399),"Calculated",J399))</x:f>
        <x:v>Needs component scores</x:v>
      </x:c>
      <x:c r="M399" s="69" t="n">
        <x:f>IF(C399="","",MATCH(C399,'Position_Rubric'!$A$6:$A$14,0))</x:f>
        <x:v>8</x:v>
      </x:c>
      <x:c r="N399" s="69" t="str"/>
    </x:row>
    <x:row r="400" ht="25" customHeight="1">
      <x:c r="A400" s="69" t="str">
        <x:v>summer-S26-1224</x:v>
      </x:c>
      <x:c r="B400" s="69" t="str">
        <x:v>Eman Kospo</x:v>
      </x:c>
      <x:c r="C400" s="69" t="str">
        <x:v>ST</x:v>
      </x:c>
      <x:c r="D400" s="82" t="str">
        <x:f>IF(ISNUMBER('Transfer_Ratings'!K400),'Transfer_Ratings'!K400,"")</x:f>
      </x:c>
      <x:c r="E400" s="86"/>
      <x:c r="F400" s="86"/>
      <x:c r="G400" s="86"/>
      <x:c r="H400" s="86"/>
      <x:c r="I400" s="86"/>
      <x:c r="J400" s="82" t="str">
        <x:f>IF(C400="","Choose position",IF(COUNT(E400:I400)&lt;5,"",IF(OR(MIN(E400:I400)&lt;0.1,MAX(E400:I400)&gt;10),"Invalid score",IF(INDEX('Position_Rubric'!$H$6:$H$14,M400)&lt;&gt;1,"Check weights",ROUND(E400*INDEX('Position_Rubric'!$C$6:$C$14,M400)+F400*INDEX('Position_Rubric'!$D$6:$D$14,M400)+G400*INDEX('Position_Rubric'!$E$6:$E$14,M400)+H400*INDEX('Position_Rubric'!$F$6:$F$14,M400)+I400*INDEX('Position_Rubric'!$G$6:$G$14,M400),1)))))</x:f>
      </x:c>
      <x:c r="K400" s="82" t="str">
        <x:f>IF(AND(ISNUMBER(J400),ISNUMBER(D400)),J400-D400,"")</x:f>
      </x:c>
      <x:c r="L400" s="69" t="str">
        <x:f>IF(COUNT(E400:I400)&lt;5,"Needs component scores",IF(ISNUMBER(J400),"Calculated",J400))</x:f>
        <x:v>Needs component scores</x:v>
      </x:c>
      <x:c r="M400" s="69" t="n">
        <x:f>IF(C400="","",MATCH(C400,'Position_Rubric'!$A$6:$A$14,0))</x:f>
        <x:v>8</x:v>
      </x:c>
      <x:c r="N400" s="69" t="str"/>
    </x:row>
    <x:row r="401" ht="25" customHeight="1">
      <x:c r="A401" s="69" t="str">
        <x:v>summer-S26-1232</x:v>
      </x:c>
      <x:c r="B401" s="69" t="str">
        <x:v>Alessandro Vogt</x:v>
      </x:c>
      <x:c r="C401" s="69" t="str">
        <x:v>ST</x:v>
      </x:c>
      <x:c r="D401" s="82" t="str">
        <x:f>IF(ISNUMBER('Transfer_Ratings'!K401),'Transfer_Ratings'!K401,"")</x:f>
      </x:c>
      <x:c r="E401" s="86"/>
      <x:c r="F401" s="86"/>
      <x:c r="G401" s="86"/>
      <x:c r="H401" s="86"/>
      <x:c r="I401" s="86"/>
      <x:c r="J401" s="82" t="str">
        <x:f>IF(C401="","Choose position",IF(COUNT(E401:I401)&lt;5,"",IF(OR(MIN(E401:I401)&lt;0.1,MAX(E401:I401)&gt;10),"Invalid score",IF(INDEX('Position_Rubric'!$H$6:$H$14,M401)&lt;&gt;1,"Check weights",ROUND(E401*INDEX('Position_Rubric'!$C$6:$C$14,M401)+F401*INDEX('Position_Rubric'!$D$6:$D$14,M401)+G401*INDEX('Position_Rubric'!$E$6:$E$14,M401)+H401*INDEX('Position_Rubric'!$F$6:$F$14,M401)+I401*INDEX('Position_Rubric'!$G$6:$G$14,M401),1)))))</x:f>
      </x:c>
      <x:c r="K401" s="82" t="str">
        <x:f>IF(AND(ISNUMBER(J401),ISNUMBER(D401)),J401-D401,"")</x:f>
      </x:c>
      <x:c r="L401" s="69" t="str">
        <x:f>IF(COUNT(E401:I401)&lt;5,"Needs component scores",IF(ISNUMBER(J401),"Calculated",J401))</x:f>
        <x:v>Needs component scores</x:v>
      </x:c>
      <x:c r="M401" s="69" t="n">
        <x:f>IF(C401="","",MATCH(C401,'Position_Rubric'!$A$6:$A$14,0))</x:f>
        <x:v>8</x:v>
      </x:c>
      <x:c r="N401" s="69" t="str"/>
    </x:row>
    <x:row r="402" ht="25" customHeight="1">
      <x:c r="A402" s="69" t="str">
        <x:v>summer-S26-1239</x:v>
      </x:c>
      <x:c r="B402" s="69" t="str">
        <x:v>David Datro Fofana</x:v>
      </x:c>
      <x:c r="C402" s="69" t="str">
        <x:v>ST</x:v>
      </x:c>
      <x:c r="D402" s="82" t="str">
        <x:f>IF(ISNUMBER('Transfer_Ratings'!K402),'Transfer_Ratings'!K402,"")</x:f>
      </x:c>
      <x:c r="E402" s="86"/>
      <x:c r="F402" s="86"/>
      <x:c r="G402" s="86"/>
      <x:c r="H402" s="86"/>
      <x:c r="I402" s="86"/>
      <x:c r="J402" s="82" t="str">
        <x:f>IF(C402="","Choose position",IF(COUNT(E402:I402)&lt;5,"",IF(OR(MIN(E402:I402)&lt;0.1,MAX(E402:I402)&gt;10),"Invalid score",IF(INDEX('Position_Rubric'!$H$6:$H$14,M402)&lt;&gt;1,"Check weights",ROUND(E402*INDEX('Position_Rubric'!$C$6:$C$14,M402)+F402*INDEX('Position_Rubric'!$D$6:$D$14,M402)+G402*INDEX('Position_Rubric'!$E$6:$E$14,M402)+H402*INDEX('Position_Rubric'!$F$6:$F$14,M402)+I402*INDEX('Position_Rubric'!$G$6:$G$14,M402),1)))))</x:f>
      </x:c>
      <x:c r="K402" s="82" t="str">
        <x:f>IF(AND(ISNUMBER(J402),ISNUMBER(D402)),J402-D402,"")</x:f>
      </x:c>
      <x:c r="L402" s="69" t="str">
        <x:f>IF(COUNT(E402:I402)&lt;5,"Needs component scores",IF(ISNUMBER(J402),"Calculated",J402))</x:f>
        <x:v>Needs component scores</x:v>
      </x:c>
      <x:c r="M402" s="69" t="n">
        <x:f>IF(C402="","",MATCH(C402,'Position_Rubric'!$A$6:$A$14,0))</x:f>
        <x:v>8</x:v>
      </x:c>
      <x:c r="N402" s="69" t="str"/>
    </x:row>
    <x:row r="403" ht="25" customHeight="1">
      <x:c r="A403" s="69" t="str">
        <x:v>summer-S26-1240</x:v>
      </x:c>
      <x:c r="B403" s="69" t="str">
        <x:v>Conrad Harder</x:v>
      </x:c>
      <x:c r="C403" s="69" t="str">
        <x:v>ST</x:v>
      </x:c>
      <x:c r="D403" s="82" t="str">
        <x:f>IF(ISNUMBER('Transfer_Ratings'!K403),'Transfer_Ratings'!K403,"")</x:f>
      </x:c>
      <x:c r="E403" s="86"/>
      <x:c r="F403" s="86"/>
      <x:c r="G403" s="86"/>
      <x:c r="H403" s="86"/>
      <x:c r="I403" s="86"/>
      <x:c r="J403" s="82" t="str">
        <x:f>IF(C403="","Choose position",IF(COUNT(E403:I403)&lt;5,"",IF(OR(MIN(E403:I403)&lt;0.1,MAX(E403:I403)&gt;10),"Invalid score",IF(INDEX('Position_Rubric'!$H$6:$H$14,M403)&lt;&gt;1,"Check weights",ROUND(E403*INDEX('Position_Rubric'!$C$6:$C$14,M403)+F403*INDEX('Position_Rubric'!$D$6:$D$14,M403)+G403*INDEX('Position_Rubric'!$E$6:$E$14,M403)+H403*INDEX('Position_Rubric'!$F$6:$F$14,M403)+I403*INDEX('Position_Rubric'!$G$6:$G$14,M403),1)))))</x:f>
      </x:c>
      <x:c r="K403" s="82" t="str">
        <x:f>IF(AND(ISNUMBER(J403),ISNUMBER(D403)),J403-D403,"")</x:f>
      </x:c>
      <x:c r="L403" s="69" t="str">
        <x:f>IF(COUNT(E403:I403)&lt;5,"Needs component scores",IF(ISNUMBER(J403),"Calculated",J403))</x:f>
        <x:v>Needs component scores</x:v>
      </x:c>
      <x:c r="M403" s="69" t="n">
        <x:f>IF(C403="","",MATCH(C403,'Position_Rubric'!$A$6:$A$14,0))</x:f>
        <x:v>8</x:v>
      </x:c>
      <x:c r="N403" s="69" t="str"/>
    </x:row>
    <x:row r="404" ht="25" customHeight="1">
      <x:c r="A404" s="69" t="str">
        <x:v>summer-S26-1241</x:v>
      </x:c>
      <x:c r="B404" s="69" t="str">
        <x:v>Luís Semedo</x:v>
      </x:c>
      <x:c r="C404" s="69" t="str">
        <x:v>ST</x:v>
      </x:c>
      <x:c r="D404" s="82" t="str">
        <x:f>IF(ISNUMBER('Transfer_Ratings'!K404),'Transfer_Ratings'!K404,"")</x:f>
      </x:c>
      <x:c r="E404" s="86"/>
      <x:c r="F404" s="86"/>
      <x:c r="G404" s="86"/>
      <x:c r="H404" s="86"/>
      <x:c r="I404" s="86"/>
      <x:c r="J404" s="82" t="str">
        <x:f>IF(C404="","Choose position",IF(COUNT(E404:I404)&lt;5,"",IF(OR(MIN(E404:I404)&lt;0.1,MAX(E404:I404)&gt;10),"Invalid score",IF(INDEX('Position_Rubric'!$H$6:$H$14,M404)&lt;&gt;1,"Check weights",ROUND(E404*INDEX('Position_Rubric'!$C$6:$C$14,M404)+F404*INDEX('Position_Rubric'!$D$6:$D$14,M404)+G404*INDEX('Position_Rubric'!$E$6:$E$14,M404)+H404*INDEX('Position_Rubric'!$F$6:$F$14,M404)+I404*INDEX('Position_Rubric'!$G$6:$G$14,M404),1)))))</x:f>
      </x:c>
      <x:c r="K404" s="82" t="str">
        <x:f>IF(AND(ISNUMBER(J404),ISNUMBER(D404)),J404-D404,"")</x:f>
      </x:c>
      <x:c r="L404" s="69" t="str">
        <x:f>IF(COUNT(E404:I404)&lt;5,"Needs component scores",IF(ISNUMBER(J404),"Calculated",J404))</x:f>
        <x:v>Needs component scores</x:v>
      </x:c>
      <x:c r="M404" s="69" t="n">
        <x:f>IF(C404="","",MATCH(C404,'Position_Rubric'!$A$6:$A$14,0))</x:f>
        <x:v>8</x:v>
      </x:c>
      <x:c r="N404" s="69" t="str"/>
    </x:row>
    <x:row r="405" ht="25" customHeight="1">
      <x:c r="A405" s="69" t="str">
        <x:v>summer-S26-1242</x:v>
      </x:c>
      <x:c r="B405" s="69" t="str">
        <x:v>Marc Guiu</x:v>
      </x:c>
      <x:c r="C405" s="69" t="str">
        <x:v>ST</x:v>
      </x:c>
      <x:c r="D405" s="82" t="str">
        <x:f>IF(ISNUMBER('Transfer_Ratings'!K405),'Transfer_Ratings'!K405,"")</x:f>
      </x:c>
      <x:c r="E405" s="86"/>
      <x:c r="F405" s="86"/>
      <x:c r="G405" s="86"/>
      <x:c r="H405" s="86"/>
      <x:c r="I405" s="86"/>
      <x:c r="J405" s="82" t="str">
        <x:f>IF(C405="","Choose position",IF(COUNT(E405:I405)&lt;5,"",IF(OR(MIN(E405:I405)&lt;0.1,MAX(E405:I405)&gt;10),"Invalid score",IF(INDEX('Position_Rubric'!$H$6:$H$14,M405)&lt;&gt;1,"Check weights",ROUND(E405*INDEX('Position_Rubric'!$C$6:$C$14,M405)+F405*INDEX('Position_Rubric'!$D$6:$D$14,M405)+G405*INDEX('Position_Rubric'!$E$6:$E$14,M405)+H405*INDEX('Position_Rubric'!$F$6:$F$14,M405)+I405*INDEX('Position_Rubric'!$G$6:$G$14,M405),1)))))</x:f>
      </x:c>
      <x:c r="K405" s="82" t="str">
        <x:f>IF(AND(ISNUMBER(J405),ISNUMBER(D405)),J405-D405,"")</x:f>
      </x:c>
      <x:c r="L405" s="69" t="str">
        <x:f>IF(COUNT(E405:I405)&lt;5,"Needs component scores",IF(ISNUMBER(J405),"Calculated",J405))</x:f>
        <x:v>Needs component scores</x:v>
      </x:c>
      <x:c r="M405" s="69" t="n">
        <x:f>IF(C405="","",MATCH(C405,'Position_Rubric'!$A$6:$A$14,0))</x:f>
        <x:v>8</x:v>
      </x:c>
      <x:c r="N405" s="69" t="str"/>
    </x:row>
    <x:row r="406" ht="25" customHeight="1">
      <x:c r="A406" s="69" t="str">
        <x:v>summer-S26-1248</x:v>
      </x:c>
      <x:c r="B406" s="69" t="str">
        <x:v>Ilyas Ansah</x:v>
      </x:c>
      <x:c r="C406" s="69" t="str">
        <x:v>ST</x:v>
      </x:c>
      <x:c r="D406" s="82" t="str">
        <x:f>IF(ISNUMBER('Transfer_Ratings'!K406),'Transfer_Ratings'!K406,"")</x:f>
      </x:c>
      <x:c r="E406" s="86"/>
      <x:c r="F406" s="86"/>
      <x:c r="G406" s="86"/>
      <x:c r="H406" s="86"/>
      <x:c r="I406" s="86"/>
      <x:c r="J406" s="82" t="str">
        <x:f>IF(C406="","Choose position",IF(COUNT(E406:I406)&lt;5,"",IF(OR(MIN(E406:I406)&lt;0.1,MAX(E406:I406)&gt;10),"Invalid score",IF(INDEX('Position_Rubric'!$H$6:$H$14,M406)&lt;&gt;1,"Check weights",ROUND(E406*INDEX('Position_Rubric'!$C$6:$C$14,M406)+F406*INDEX('Position_Rubric'!$D$6:$D$14,M406)+G406*INDEX('Position_Rubric'!$E$6:$E$14,M406)+H406*INDEX('Position_Rubric'!$F$6:$F$14,M406)+I406*INDEX('Position_Rubric'!$G$6:$G$14,M406),1)))))</x:f>
      </x:c>
      <x:c r="K406" s="82" t="str">
        <x:f>IF(AND(ISNUMBER(J406),ISNUMBER(D406)),J406-D406,"")</x:f>
      </x:c>
      <x:c r="L406" s="69" t="str">
        <x:f>IF(COUNT(E406:I406)&lt;5,"Needs component scores",IF(ISNUMBER(J406),"Calculated",J406))</x:f>
        <x:v>Needs component scores</x:v>
      </x:c>
      <x:c r="M406" s="69" t="n">
        <x:f>IF(C406="","",MATCH(C406,'Position_Rubric'!$A$6:$A$14,0))</x:f>
        <x:v>8</x:v>
      </x:c>
      <x:c r="N406" s="69" t="str"/>
    </x:row>
    <x:row r="407" ht="25" customHeight="1">
      <x:c r="A407" s="69" t="str">
        <x:v>summer-S26-1252</x:v>
      </x:c>
      <x:c r="B407" s="69" t="str">
        <x:v>Gonzalo Petit</x:v>
      </x:c>
      <x:c r="C407" s="69" t="str">
        <x:v>ST</x:v>
      </x:c>
      <x:c r="D407" s="82" t="str">
        <x:f>IF(ISNUMBER('Transfer_Ratings'!K407),'Transfer_Ratings'!K407,"")</x:f>
      </x:c>
      <x:c r="E407" s="86"/>
      <x:c r="F407" s="86"/>
      <x:c r="G407" s="86"/>
      <x:c r="H407" s="86"/>
      <x:c r="I407" s="86"/>
      <x:c r="J407" s="82" t="str">
        <x:f>IF(C407="","Choose position",IF(COUNT(E407:I407)&lt;5,"",IF(OR(MIN(E407:I407)&lt;0.1,MAX(E407:I407)&gt;10),"Invalid score",IF(INDEX('Position_Rubric'!$H$6:$H$14,M407)&lt;&gt;1,"Check weights",ROUND(E407*INDEX('Position_Rubric'!$C$6:$C$14,M407)+F407*INDEX('Position_Rubric'!$D$6:$D$14,M407)+G407*INDEX('Position_Rubric'!$E$6:$E$14,M407)+H407*INDEX('Position_Rubric'!$F$6:$F$14,M407)+I407*INDEX('Position_Rubric'!$G$6:$G$14,M407),1)))))</x:f>
      </x:c>
      <x:c r="K407" s="82" t="str">
        <x:f>IF(AND(ISNUMBER(J407),ISNUMBER(D407)),J407-D407,"")</x:f>
      </x:c>
      <x:c r="L407" s="69" t="str">
        <x:f>IF(COUNT(E407:I407)&lt;5,"Needs component scores",IF(ISNUMBER(J407),"Calculated",J407))</x:f>
        <x:v>Needs component scores</x:v>
      </x:c>
      <x:c r="M407" s="69" t="n">
        <x:f>IF(C407="","",MATCH(C407,'Position_Rubric'!$A$6:$A$14,0))</x:f>
        <x:v>8</x:v>
      </x:c>
      <x:c r="N407" s="69" t="str"/>
    </x:row>
    <x:row r="408" ht="25" customHeight="1">
      <x:c r="A408" s="69" t="str">
        <x:v>summer-S26-1259</x:v>
      </x:c>
      <x:c r="B408" s="69" t="str">
        <x:v>Lazar Jovanovic</x:v>
      </x:c>
      <x:c r="C408" s="69" t="str">
        <x:v>ST</x:v>
      </x:c>
      <x:c r="D408" s="82" t="str">
        <x:f>IF(ISNUMBER('Transfer_Ratings'!K408),'Transfer_Ratings'!K408,"")</x:f>
      </x:c>
      <x:c r="E408" s="86"/>
      <x:c r="F408" s="86"/>
      <x:c r="G408" s="86"/>
      <x:c r="H408" s="86"/>
      <x:c r="I408" s="86"/>
      <x:c r="J408" s="82" t="str">
        <x:f>IF(C408="","Choose position",IF(COUNT(E408:I408)&lt;5,"",IF(OR(MIN(E408:I408)&lt;0.1,MAX(E408:I408)&gt;10),"Invalid score",IF(INDEX('Position_Rubric'!$H$6:$H$14,M408)&lt;&gt;1,"Check weights",ROUND(E408*INDEX('Position_Rubric'!$C$6:$C$14,M408)+F408*INDEX('Position_Rubric'!$D$6:$D$14,M408)+G408*INDEX('Position_Rubric'!$E$6:$E$14,M408)+H408*INDEX('Position_Rubric'!$F$6:$F$14,M408)+I408*INDEX('Position_Rubric'!$G$6:$G$14,M408),1)))))</x:f>
      </x:c>
      <x:c r="K408" s="82" t="str">
        <x:f>IF(AND(ISNUMBER(J408),ISNUMBER(D408)),J408-D408,"")</x:f>
      </x:c>
      <x:c r="L408" s="69" t="str">
        <x:f>IF(COUNT(E408:I408)&lt;5,"Needs component scores",IF(ISNUMBER(J408),"Calculated",J408))</x:f>
        <x:v>Needs component scores</x:v>
      </x:c>
      <x:c r="M408" s="69" t="n">
        <x:f>IF(C408="","",MATCH(C408,'Position_Rubric'!$A$6:$A$14,0))</x:f>
        <x:v>8</x:v>
      </x:c>
      <x:c r="N408" s="69" t="str"/>
    </x:row>
    <x:row r="409" ht="25" customHeight="1">
      <x:c r="A409" s="69" t="str">
        <x:v>summer-S26-1262</x:v>
      </x:c>
      <x:c r="B409" s="69" t="str">
        <x:v>Christian Gomis</x:v>
      </x:c>
      <x:c r="C409" s="69" t="str">
        <x:v>ST</x:v>
      </x:c>
      <x:c r="D409" s="82" t="str">
        <x:f>IF(ISNUMBER('Transfer_Ratings'!K409),'Transfer_Ratings'!K409,"")</x:f>
      </x:c>
      <x:c r="E409" s="86"/>
      <x:c r="F409" s="86"/>
      <x:c r="G409" s="86"/>
      <x:c r="H409" s="86"/>
      <x:c r="I409" s="86"/>
      <x:c r="J409" s="82" t="str">
        <x:f>IF(C409="","Choose position",IF(COUNT(E409:I409)&lt;5,"",IF(OR(MIN(E409:I409)&lt;0.1,MAX(E409:I409)&gt;10),"Invalid score",IF(INDEX('Position_Rubric'!$H$6:$H$14,M409)&lt;&gt;1,"Check weights",ROUND(E409*INDEX('Position_Rubric'!$C$6:$C$14,M409)+F409*INDEX('Position_Rubric'!$D$6:$D$14,M409)+G409*INDEX('Position_Rubric'!$E$6:$E$14,M409)+H409*INDEX('Position_Rubric'!$F$6:$F$14,M409)+I409*INDEX('Position_Rubric'!$G$6:$G$14,M409),1)))))</x:f>
      </x:c>
      <x:c r="K409" s="82" t="str">
        <x:f>IF(AND(ISNUMBER(J409),ISNUMBER(D409)),J409-D409,"")</x:f>
      </x:c>
      <x:c r="L409" s="69" t="str">
        <x:f>IF(COUNT(E409:I409)&lt;5,"Needs component scores",IF(ISNUMBER(J409),"Calculated",J409))</x:f>
        <x:v>Needs component scores</x:v>
      </x:c>
      <x:c r="M409" s="69" t="n">
        <x:f>IF(C409="","",MATCH(C409,'Position_Rubric'!$A$6:$A$14,0))</x:f>
        <x:v>8</x:v>
      </x:c>
      <x:c r="N409" s="69" t="str"/>
    </x:row>
    <x:row r="410" ht="25" customHeight="1">
      <x:c r="A410" s="69" t="str">
        <x:v>summer-S26-1267</x:v>
      </x:c>
      <x:c r="B410" s="69" t="str">
        <x:v>Gabriel Jesus</x:v>
      </x:c>
      <x:c r="C410" s="69" t="str">
        <x:v>ST</x:v>
      </x:c>
      <x:c r="D410" s="82" t="str">
        <x:f>IF(ISNUMBER('Transfer_Ratings'!K410),'Transfer_Ratings'!K410,"")</x:f>
      </x:c>
      <x:c r="E410" s="86"/>
      <x:c r="F410" s="86"/>
      <x:c r="G410" s="86"/>
      <x:c r="H410" s="86"/>
      <x:c r="I410" s="86"/>
      <x:c r="J410" s="82" t="str">
        <x:f>IF(C410="","Choose position",IF(COUNT(E410:I410)&lt;5,"",IF(OR(MIN(E410:I410)&lt;0.1,MAX(E410:I410)&gt;10),"Invalid score",IF(INDEX('Position_Rubric'!$H$6:$H$14,M410)&lt;&gt;1,"Check weights",ROUND(E410*INDEX('Position_Rubric'!$C$6:$C$14,M410)+F410*INDEX('Position_Rubric'!$D$6:$D$14,M410)+G410*INDEX('Position_Rubric'!$E$6:$E$14,M410)+H410*INDEX('Position_Rubric'!$F$6:$F$14,M410)+I410*INDEX('Position_Rubric'!$G$6:$G$14,M410),1)))))</x:f>
      </x:c>
      <x:c r="K410" s="82" t="str">
        <x:f>IF(AND(ISNUMBER(J410),ISNUMBER(D410)),J410-D410,"")</x:f>
      </x:c>
      <x:c r="L410" s="69" t="str">
        <x:f>IF(COUNT(E410:I410)&lt;5,"Needs component scores",IF(ISNUMBER(J410),"Calculated",J410))</x:f>
        <x:v>Needs component scores</x:v>
      </x:c>
      <x:c r="M410" s="69" t="n">
        <x:f>IF(C410="","",MATCH(C410,'Position_Rubric'!$A$6:$A$14,0))</x:f>
        <x:v>8</x:v>
      </x:c>
      <x:c r="N410" s="69" t="str"/>
    </x:row>
    <x:row r="411" ht="25" customHeight="1">
      <x:c r="A411" s="69" t="str">
        <x:v>summer-S26-1270</x:v>
      </x:c>
      <x:c r="B411" s="69" t="str">
        <x:v>Rayan Philippe</x:v>
      </x:c>
      <x:c r="C411" s="69" t="str">
        <x:v>ST</x:v>
      </x:c>
      <x:c r="D411" s="82" t="str">
        <x:f>IF(ISNUMBER('Transfer_Ratings'!K411),'Transfer_Ratings'!K411,"")</x:f>
      </x:c>
      <x:c r="E411" s="86"/>
      <x:c r="F411" s="86"/>
      <x:c r="G411" s="86"/>
      <x:c r="H411" s="86"/>
      <x:c r="I411" s="86"/>
      <x:c r="J411" s="82" t="str">
        <x:f>IF(C411="","Choose position",IF(COUNT(E411:I411)&lt;5,"",IF(OR(MIN(E411:I411)&lt;0.1,MAX(E411:I411)&gt;10),"Invalid score",IF(INDEX('Position_Rubric'!$H$6:$H$14,M411)&lt;&gt;1,"Check weights",ROUND(E411*INDEX('Position_Rubric'!$C$6:$C$14,M411)+F411*INDEX('Position_Rubric'!$D$6:$D$14,M411)+G411*INDEX('Position_Rubric'!$E$6:$E$14,M411)+H411*INDEX('Position_Rubric'!$F$6:$F$14,M411)+I411*INDEX('Position_Rubric'!$G$6:$G$14,M411),1)))))</x:f>
      </x:c>
      <x:c r="K411" s="82" t="str">
        <x:f>IF(AND(ISNUMBER(J411),ISNUMBER(D411)),J411-D411,"")</x:f>
      </x:c>
      <x:c r="L411" s="69" t="str">
        <x:f>IF(COUNT(E411:I411)&lt;5,"Needs component scores",IF(ISNUMBER(J411),"Calculated",J411))</x:f>
        <x:v>Needs component scores</x:v>
      </x:c>
      <x:c r="M411" s="69" t="n">
        <x:f>IF(C411="","",MATCH(C411,'Position_Rubric'!$A$6:$A$14,0))</x:f>
        <x:v>8</x:v>
      </x:c>
      <x:c r="N411" s="69" t="str"/>
    </x:row>
    <x:row r="412" ht="25" customHeight="1">
      <x:c r="A412" s="69" t="str">
        <x:v>summer-S26-1280</x:v>
      </x:c>
      <x:c r="B412" s="69" t="str">
        <x:v>Matias Fernandez-Pardo</x:v>
      </x:c>
      <x:c r="C412" s="69" t="str">
        <x:v>ST</x:v>
      </x:c>
      <x:c r="D412" s="82" t="str">
        <x:f>IF(ISNUMBER('Transfer_Ratings'!K412),'Transfer_Ratings'!K412,"")</x:f>
      </x:c>
      <x:c r="E412" s="86"/>
      <x:c r="F412" s="86"/>
      <x:c r="G412" s="86"/>
      <x:c r="H412" s="86"/>
      <x:c r="I412" s="86"/>
      <x:c r="J412" s="82" t="str">
        <x:f>IF(C412="","Choose position",IF(COUNT(E412:I412)&lt;5,"",IF(OR(MIN(E412:I412)&lt;0.1,MAX(E412:I412)&gt;10),"Invalid score",IF(INDEX('Position_Rubric'!$H$6:$H$14,M412)&lt;&gt;1,"Check weights",ROUND(E412*INDEX('Position_Rubric'!$C$6:$C$14,M412)+F412*INDEX('Position_Rubric'!$D$6:$D$14,M412)+G412*INDEX('Position_Rubric'!$E$6:$E$14,M412)+H412*INDEX('Position_Rubric'!$F$6:$F$14,M412)+I412*INDEX('Position_Rubric'!$G$6:$G$14,M412),1)))))</x:f>
      </x:c>
      <x:c r="K412" s="82" t="str">
        <x:f>IF(AND(ISNUMBER(J412),ISNUMBER(D412)),J412-D412,"")</x:f>
      </x:c>
      <x:c r="L412" s="69" t="str">
        <x:f>IF(COUNT(E412:I412)&lt;5,"Needs component scores",IF(ISNUMBER(J412),"Calculated",J412))</x:f>
        <x:v>Needs component scores</x:v>
      </x:c>
      <x:c r="M412" s="69" t="n">
        <x:f>IF(C412="","",MATCH(C412,'Position_Rubric'!$A$6:$A$14,0))</x:f>
        <x:v>8</x:v>
      </x:c>
      <x:c r="N412" s="69" t="str"/>
    </x:row>
    <x:row r="413" ht="25" customHeight="1">
      <x:c r="A413" s="69" t="str">
        <x:v>summer-S26-1282</x:v>
      </x:c>
      <x:c r="B413" s="69" t="str">
        <x:v>Arijon Ibrahimović</x:v>
      </x:c>
      <x:c r="C413" s="69" t="str">
        <x:v>ST</x:v>
      </x:c>
      <x:c r="D413" s="82" t="str">
        <x:f>IF(ISNUMBER('Transfer_Ratings'!K413),'Transfer_Ratings'!K413,"")</x:f>
      </x:c>
      <x:c r="E413" s="86"/>
      <x:c r="F413" s="86"/>
      <x:c r="G413" s="86"/>
      <x:c r="H413" s="86"/>
      <x:c r="I413" s="86"/>
      <x:c r="J413" s="82" t="str">
        <x:f>IF(C413="","Choose position",IF(COUNT(E413:I413)&lt;5,"",IF(OR(MIN(E413:I413)&lt;0.1,MAX(E413:I413)&gt;10),"Invalid score",IF(INDEX('Position_Rubric'!$H$6:$H$14,M413)&lt;&gt;1,"Check weights",ROUND(E413*INDEX('Position_Rubric'!$C$6:$C$14,M413)+F413*INDEX('Position_Rubric'!$D$6:$D$14,M413)+G413*INDEX('Position_Rubric'!$E$6:$E$14,M413)+H413*INDEX('Position_Rubric'!$F$6:$F$14,M413)+I413*INDEX('Position_Rubric'!$G$6:$G$14,M413),1)))))</x:f>
      </x:c>
      <x:c r="K413" s="82" t="str">
        <x:f>IF(AND(ISNUMBER(J413),ISNUMBER(D413)),J413-D413,"")</x:f>
      </x:c>
      <x:c r="L413" s="69" t="str">
        <x:f>IF(COUNT(E413:I413)&lt;5,"Needs component scores",IF(ISNUMBER(J413),"Calculated",J413))</x:f>
        <x:v>Needs component scores</x:v>
      </x:c>
      <x:c r="M413" s="69" t="n">
        <x:f>IF(C413="","",MATCH(C413,'Position_Rubric'!$A$6:$A$14,0))</x:f>
        <x:v>8</x:v>
      </x:c>
      <x:c r="N413" s="69" t="str"/>
    </x:row>
    <x:row r="414" ht="25" customHeight="1">
      <x:c r="A414" s="69" t="str">
        <x:v>summer-S26-1283</x:v>
      </x:c>
      <x:c r="B414" s="69" t="str">
        <x:v>Timothé Nkada</x:v>
      </x:c>
      <x:c r="C414" s="69" t="str">
        <x:v>ST</x:v>
      </x:c>
      <x:c r="D414" s="82" t="str">
        <x:f>IF(ISNUMBER('Transfer_Ratings'!K414),'Transfer_Ratings'!K414,"")</x:f>
      </x:c>
      <x:c r="E414" s="86"/>
      <x:c r="F414" s="86"/>
      <x:c r="G414" s="86"/>
      <x:c r="H414" s="86"/>
      <x:c r="I414" s="86"/>
      <x:c r="J414" s="82" t="str">
        <x:f>IF(C414="","Choose position",IF(COUNT(E414:I414)&lt;5,"",IF(OR(MIN(E414:I414)&lt;0.1,MAX(E414:I414)&gt;10),"Invalid score",IF(INDEX('Position_Rubric'!$H$6:$H$14,M414)&lt;&gt;1,"Check weights",ROUND(E414*INDEX('Position_Rubric'!$C$6:$C$14,M414)+F414*INDEX('Position_Rubric'!$D$6:$D$14,M414)+G414*INDEX('Position_Rubric'!$E$6:$E$14,M414)+H414*INDEX('Position_Rubric'!$F$6:$F$14,M414)+I414*INDEX('Position_Rubric'!$G$6:$G$14,M414),1)))))</x:f>
      </x:c>
      <x:c r="K414" s="82" t="str">
        <x:f>IF(AND(ISNUMBER(J414),ISNUMBER(D414)),J414-D414,"")</x:f>
      </x:c>
      <x:c r="L414" s="69" t="str">
        <x:f>IF(COUNT(E414:I414)&lt;5,"Needs component scores",IF(ISNUMBER(J414),"Calculated",J414))</x:f>
        <x:v>Needs component scores</x:v>
      </x:c>
      <x:c r="M414" s="69" t="n">
        <x:f>IF(C414="","",MATCH(C414,'Position_Rubric'!$A$6:$A$14,0))</x:f>
        <x:v>8</x:v>
      </x:c>
      <x:c r="N414" s="69" t="str"/>
    </x:row>
    <x:row r="415" ht="25" customHeight="1">
      <x:c r="A415" s="69" t="str">
        <x:v>summer-S26-1288</x:v>
      </x:c>
      <x:c r="B415" s="69" t="str">
        <x:v>Louey Ben Farhat</x:v>
      </x:c>
      <x:c r="C415" s="69" t="str">
        <x:v>ST</x:v>
      </x:c>
      <x:c r="D415" s="82" t="str">
        <x:f>IF(ISNUMBER('Transfer_Ratings'!K415),'Transfer_Ratings'!K415,"")</x:f>
      </x:c>
      <x:c r="E415" s="86"/>
      <x:c r="F415" s="86"/>
      <x:c r="G415" s="86"/>
      <x:c r="H415" s="86"/>
      <x:c r="I415" s="86"/>
      <x:c r="J415" s="82" t="str">
        <x:f>IF(C415="","Choose position",IF(COUNT(E415:I415)&lt;5,"",IF(OR(MIN(E415:I415)&lt;0.1,MAX(E415:I415)&gt;10),"Invalid score",IF(INDEX('Position_Rubric'!$H$6:$H$14,M415)&lt;&gt;1,"Check weights",ROUND(E415*INDEX('Position_Rubric'!$C$6:$C$14,M415)+F415*INDEX('Position_Rubric'!$D$6:$D$14,M415)+G415*INDEX('Position_Rubric'!$E$6:$E$14,M415)+H415*INDEX('Position_Rubric'!$F$6:$F$14,M415)+I415*INDEX('Position_Rubric'!$G$6:$G$14,M415),1)))))</x:f>
      </x:c>
      <x:c r="K415" s="82" t="str">
        <x:f>IF(AND(ISNUMBER(J415),ISNUMBER(D415)),J415-D415,"")</x:f>
      </x:c>
      <x:c r="L415" s="69" t="str">
        <x:f>IF(COUNT(E415:I415)&lt;5,"Needs component scores",IF(ISNUMBER(J415),"Calculated",J415))</x:f>
        <x:v>Needs component scores</x:v>
      </x:c>
      <x:c r="M415" s="69" t="n">
        <x:f>IF(C415="","",MATCH(C415,'Position_Rubric'!$A$6:$A$14,0))</x:f>
        <x:v>8</x:v>
      </x:c>
      <x:c r="N415" s="69" t="str"/>
    </x:row>
    <x:row r="416" ht="25" customHeight="1">
      <x:c r="A416" s="69" t="str">
        <x:v>summer-S26-1289</x:v>
      </x:c>
      <x:c r="B416" s="69" t="str">
        <x:v>Habib Diallo</x:v>
      </x:c>
      <x:c r="C416" s="69" t="str">
        <x:v>ST</x:v>
      </x:c>
      <x:c r="D416" s="82" t="str">
        <x:f>IF(ISNUMBER('Transfer_Ratings'!K416),'Transfer_Ratings'!K416,"")</x:f>
      </x:c>
      <x:c r="E416" s="86"/>
      <x:c r="F416" s="86"/>
      <x:c r="G416" s="86"/>
      <x:c r="H416" s="86"/>
      <x:c r="I416" s="86"/>
      <x:c r="J416" s="82" t="str">
        <x:f>IF(C416="","Choose position",IF(COUNT(E416:I416)&lt;5,"",IF(OR(MIN(E416:I416)&lt;0.1,MAX(E416:I416)&gt;10),"Invalid score",IF(INDEX('Position_Rubric'!$H$6:$H$14,M416)&lt;&gt;1,"Check weights",ROUND(E416*INDEX('Position_Rubric'!$C$6:$C$14,M416)+F416*INDEX('Position_Rubric'!$D$6:$D$14,M416)+G416*INDEX('Position_Rubric'!$E$6:$E$14,M416)+H416*INDEX('Position_Rubric'!$F$6:$F$14,M416)+I416*INDEX('Position_Rubric'!$G$6:$G$14,M416),1)))))</x:f>
      </x:c>
      <x:c r="K416" s="82" t="str">
        <x:f>IF(AND(ISNUMBER(J416),ISNUMBER(D416)),J416-D416,"")</x:f>
      </x:c>
      <x:c r="L416" s="69" t="str">
        <x:f>IF(COUNT(E416:I416)&lt;5,"Needs component scores",IF(ISNUMBER(J416),"Calculated",J416))</x:f>
        <x:v>Needs component scores</x:v>
      </x:c>
      <x:c r="M416" s="69" t="n">
        <x:f>IF(C416="","",MATCH(C416,'Position_Rubric'!$A$6:$A$14,0))</x:f>
        <x:v>8</x:v>
      </x:c>
      <x:c r="N416" s="69" t="str"/>
    </x:row>
    <x:row r="417" ht="25" customHeight="1">
      <x:c r="A417" s="69" t="str">
        <x:v>summer-S26-1295</x:v>
      </x:c>
      <x:c r="B417" s="69" t="str">
        <x:v>Caleb Ekuban</x:v>
      </x:c>
      <x:c r="C417" s="69" t="str">
        <x:v>ST</x:v>
      </x:c>
      <x:c r="D417" s="82" t="str">
        <x:f>IF(ISNUMBER('Transfer_Ratings'!K417),'Transfer_Ratings'!K417,"")</x:f>
      </x:c>
      <x:c r="E417" s="86"/>
      <x:c r="F417" s="86"/>
      <x:c r="G417" s="86"/>
      <x:c r="H417" s="86"/>
      <x:c r="I417" s="86"/>
      <x:c r="J417" s="82" t="str">
        <x:f>IF(C417="","Choose position",IF(COUNT(E417:I417)&lt;5,"",IF(OR(MIN(E417:I417)&lt;0.1,MAX(E417:I417)&gt;10),"Invalid score",IF(INDEX('Position_Rubric'!$H$6:$H$14,M417)&lt;&gt;1,"Check weights",ROUND(E417*INDEX('Position_Rubric'!$C$6:$C$14,M417)+F417*INDEX('Position_Rubric'!$D$6:$D$14,M417)+G417*INDEX('Position_Rubric'!$E$6:$E$14,M417)+H417*INDEX('Position_Rubric'!$F$6:$F$14,M417)+I417*INDEX('Position_Rubric'!$G$6:$G$14,M417),1)))))</x:f>
      </x:c>
      <x:c r="K417" s="82" t="str">
        <x:f>IF(AND(ISNUMBER(J417),ISNUMBER(D417)),J417-D417,"")</x:f>
      </x:c>
      <x:c r="L417" s="69" t="str">
        <x:f>IF(COUNT(E417:I417)&lt;5,"Needs component scores",IF(ISNUMBER(J417),"Calculated",J417))</x:f>
        <x:v>Needs component scores</x:v>
      </x:c>
      <x:c r="M417" s="69" t="n">
        <x:f>IF(C417="","",MATCH(C417,'Position_Rubric'!$A$6:$A$14,0))</x:f>
        <x:v>8</x:v>
      </x:c>
      <x:c r="N417" s="69" t="str"/>
    </x:row>
    <x:row r="418" ht="25" customHeight="1">
      <x:c r="A418" s="69" t="str">
        <x:v>summer-S26-1300</x:v>
      </x:c>
      <x:c r="B418" s="69" t="str">
        <x:v>Cameron Archer</x:v>
      </x:c>
      <x:c r="C418" s="69" t="str">
        <x:v>ST</x:v>
      </x:c>
      <x:c r="D418" s="82" t="str">
        <x:f>IF(ISNUMBER('Transfer_Ratings'!K418),'Transfer_Ratings'!K418,"")</x:f>
      </x:c>
      <x:c r="E418" s="86"/>
      <x:c r="F418" s="86"/>
      <x:c r="G418" s="86"/>
      <x:c r="H418" s="86"/>
      <x:c r="I418" s="86"/>
      <x:c r="J418" s="82" t="str">
        <x:f>IF(C418="","Choose position",IF(COUNT(E418:I418)&lt;5,"",IF(OR(MIN(E418:I418)&lt;0.1,MAX(E418:I418)&gt;10),"Invalid score",IF(INDEX('Position_Rubric'!$H$6:$H$14,M418)&lt;&gt;1,"Check weights",ROUND(E418*INDEX('Position_Rubric'!$C$6:$C$14,M418)+F418*INDEX('Position_Rubric'!$D$6:$D$14,M418)+G418*INDEX('Position_Rubric'!$E$6:$E$14,M418)+H418*INDEX('Position_Rubric'!$F$6:$F$14,M418)+I418*INDEX('Position_Rubric'!$G$6:$G$14,M418),1)))))</x:f>
      </x:c>
      <x:c r="K418" s="82" t="str">
        <x:f>IF(AND(ISNUMBER(J418),ISNUMBER(D418)),J418-D418,"")</x:f>
      </x:c>
      <x:c r="L418" s="69" t="str">
        <x:f>IF(COUNT(E418:I418)&lt;5,"Needs component scores",IF(ISNUMBER(J418),"Calculated",J418))</x:f>
        <x:v>Needs component scores</x:v>
      </x:c>
      <x:c r="M418" s="69" t="n">
        <x:f>IF(C418="","",MATCH(C418,'Position_Rubric'!$A$6:$A$14,0))</x:f>
        <x:v>8</x:v>
      </x:c>
      <x:c r="N418" s="69" t="str"/>
    </x:row>
    <x:row r="419" ht="25" customHeight="1">
      <x:c r="A419" s="69" t="str">
        <x:v>summer-S26-1310</x:v>
      </x:c>
      <x:c r="B419" s="69" t="str">
        <x:v>David Obou</x:v>
      </x:c>
      <x:c r="C419" s="69" t="str">
        <x:v>ST</x:v>
      </x:c>
      <x:c r="D419" s="82" t="str">
        <x:f>IF(ISNUMBER('Transfer_Ratings'!K419),'Transfer_Ratings'!K419,"")</x:f>
      </x:c>
      <x:c r="E419" s="86"/>
      <x:c r="F419" s="86"/>
      <x:c r="G419" s="86"/>
      <x:c r="H419" s="86"/>
      <x:c r="I419" s="86"/>
      <x:c r="J419" s="82" t="str">
        <x:f>IF(C419="","Choose position",IF(COUNT(E419:I419)&lt;5,"",IF(OR(MIN(E419:I419)&lt;0.1,MAX(E419:I419)&gt;10),"Invalid score",IF(INDEX('Position_Rubric'!$H$6:$H$14,M419)&lt;&gt;1,"Check weights",ROUND(E419*INDEX('Position_Rubric'!$C$6:$C$14,M419)+F419*INDEX('Position_Rubric'!$D$6:$D$14,M419)+G419*INDEX('Position_Rubric'!$E$6:$E$14,M419)+H419*INDEX('Position_Rubric'!$F$6:$F$14,M419)+I419*INDEX('Position_Rubric'!$G$6:$G$14,M419),1)))))</x:f>
      </x:c>
      <x:c r="K419" s="82" t="str">
        <x:f>IF(AND(ISNUMBER(J419),ISNUMBER(D419)),J419-D419,"")</x:f>
      </x:c>
      <x:c r="L419" s="69" t="str">
        <x:f>IF(COUNT(E419:I419)&lt;5,"Needs component scores",IF(ISNUMBER(J419),"Calculated",J419))</x:f>
        <x:v>Needs component scores</x:v>
      </x:c>
      <x:c r="M419" s="69" t="n">
        <x:f>IF(C419="","",MATCH(C419,'Position_Rubric'!$A$6:$A$14,0))</x:f>
        <x:v>8</x:v>
      </x:c>
      <x:c r="N419" s="69" t="str"/>
    </x:row>
    <x:row r="420" ht="25" customHeight="1">
      <x:c r="A420" s="69" t="str">
        <x:v>summer-S26-1311</x:v>
      </x:c>
      <x:c r="B420" s="69" t="str">
        <x:v>Kennedy Okpala</x:v>
      </x:c>
      <x:c r="C420" s="69" t="str">
        <x:v>ST</x:v>
      </x:c>
      <x:c r="D420" s="82" t="str">
        <x:f>IF(ISNUMBER('Transfer_Ratings'!K420),'Transfer_Ratings'!K420,"")</x:f>
      </x:c>
      <x:c r="E420" s="86"/>
      <x:c r="F420" s="86"/>
      <x:c r="G420" s="86"/>
      <x:c r="H420" s="86"/>
      <x:c r="I420" s="86"/>
      <x:c r="J420" s="82" t="str">
        <x:f>IF(C420="","Choose position",IF(COUNT(E420:I420)&lt;5,"",IF(OR(MIN(E420:I420)&lt;0.1,MAX(E420:I420)&gt;10),"Invalid score",IF(INDEX('Position_Rubric'!$H$6:$H$14,M420)&lt;&gt;1,"Check weights",ROUND(E420*INDEX('Position_Rubric'!$C$6:$C$14,M420)+F420*INDEX('Position_Rubric'!$D$6:$D$14,M420)+G420*INDEX('Position_Rubric'!$E$6:$E$14,M420)+H420*INDEX('Position_Rubric'!$F$6:$F$14,M420)+I420*INDEX('Position_Rubric'!$G$6:$G$14,M420),1)))))</x:f>
      </x:c>
      <x:c r="K420" s="82" t="str">
        <x:f>IF(AND(ISNUMBER(J420),ISNUMBER(D420)),J420-D420,"")</x:f>
      </x:c>
      <x:c r="L420" s="69" t="str">
        <x:f>IF(COUNT(E420:I420)&lt;5,"Needs component scores",IF(ISNUMBER(J420),"Calculated",J420))</x:f>
        <x:v>Needs component scores</x:v>
      </x:c>
      <x:c r="M420" s="69" t="n">
        <x:f>IF(C420="","",MATCH(C420,'Position_Rubric'!$A$6:$A$14,0))</x:f>
        <x:v>8</x:v>
      </x:c>
      <x:c r="N420" s="69" t="str"/>
    </x:row>
    <x:row r="421" ht="25" customHeight="1">
      <x:c r="A421" s="69" t="str">
        <x:v>summer-S26-1314</x:v>
      </x:c>
      <x:c r="B421" s="69" t="str">
        <x:v>Jonathan Rowe</x:v>
      </x:c>
      <x:c r="C421" s="69" t="str">
        <x:v>ST</x:v>
      </x:c>
      <x:c r="D421" s="82" t="str">
        <x:f>IF(ISNUMBER('Transfer_Ratings'!K421),'Transfer_Ratings'!K421,"")</x:f>
      </x:c>
      <x:c r="E421" s="86"/>
      <x:c r="F421" s="86"/>
      <x:c r="G421" s="86"/>
      <x:c r="H421" s="86"/>
      <x:c r="I421" s="86"/>
      <x:c r="J421" s="82" t="str">
        <x:f>IF(C421="","Choose position",IF(COUNT(E421:I421)&lt;5,"",IF(OR(MIN(E421:I421)&lt;0.1,MAX(E421:I421)&gt;10),"Invalid score",IF(INDEX('Position_Rubric'!$H$6:$H$14,M421)&lt;&gt;1,"Check weights",ROUND(E421*INDEX('Position_Rubric'!$C$6:$C$14,M421)+F421*INDEX('Position_Rubric'!$D$6:$D$14,M421)+G421*INDEX('Position_Rubric'!$E$6:$E$14,M421)+H421*INDEX('Position_Rubric'!$F$6:$F$14,M421)+I421*INDEX('Position_Rubric'!$G$6:$G$14,M421),1)))))</x:f>
      </x:c>
      <x:c r="K421" s="82" t="str">
        <x:f>IF(AND(ISNUMBER(J421),ISNUMBER(D421)),J421-D421,"")</x:f>
      </x:c>
      <x:c r="L421" s="69" t="str">
        <x:f>IF(COUNT(E421:I421)&lt;5,"Needs component scores",IF(ISNUMBER(J421),"Calculated",J421))</x:f>
        <x:v>Needs component scores</x:v>
      </x:c>
      <x:c r="M421" s="69" t="n">
        <x:f>IF(C421="","",MATCH(C421,'Position_Rubric'!$A$6:$A$14,0))</x:f>
        <x:v>8</x:v>
      </x:c>
      <x:c r="N421" s="69" t="str"/>
    </x:row>
    <x:row r="422" ht="25" customHeight="1">
      <x:c r="A422" s="69" t="str">
        <x:v>summer-S26-1317</x:v>
      </x:c>
      <x:c r="B422" s="69" t="str">
        <x:v>Theo Bair</x:v>
      </x:c>
      <x:c r="C422" s="69" t="str">
        <x:v>ST</x:v>
      </x:c>
      <x:c r="D422" s="82" t="str">
        <x:f>IF(ISNUMBER('Transfer_Ratings'!K422),'Transfer_Ratings'!K422,"")</x:f>
      </x:c>
      <x:c r="E422" s="86"/>
      <x:c r="F422" s="86"/>
      <x:c r="G422" s="86"/>
      <x:c r="H422" s="86"/>
      <x:c r="I422" s="86"/>
      <x:c r="J422" s="82" t="str">
        <x:f>IF(C422="","Choose position",IF(COUNT(E422:I422)&lt;5,"",IF(OR(MIN(E422:I422)&lt;0.1,MAX(E422:I422)&gt;10),"Invalid score",IF(INDEX('Position_Rubric'!$H$6:$H$14,M422)&lt;&gt;1,"Check weights",ROUND(E422*INDEX('Position_Rubric'!$C$6:$C$14,M422)+F422*INDEX('Position_Rubric'!$D$6:$D$14,M422)+G422*INDEX('Position_Rubric'!$E$6:$E$14,M422)+H422*INDEX('Position_Rubric'!$F$6:$F$14,M422)+I422*INDEX('Position_Rubric'!$G$6:$G$14,M422),1)))))</x:f>
      </x:c>
      <x:c r="K422" s="82" t="str">
        <x:f>IF(AND(ISNUMBER(J422),ISNUMBER(D422)),J422-D422,"")</x:f>
      </x:c>
      <x:c r="L422" s="69" t="str">
        <x:f>IF(COUNT(E422:I422)&lt;5,"Needs component scores",IF(ISNUMBER(J422),"Calculated",J422))</x:f>
        <x:v>Needs component scores</x:v>
      </x:c>
      <x:c r="M422" s="69" t="n">
        <x:f>IF(C422="","",MATCH(C422,'Position_Rubric'!$A$6:$A$14,0))</x:f>
        <x:v>8</x:v>
      </x:c>
      <x:c r="N422" s="69" t="str"/>
    </x:row>
    <x:row r="423" ht="25" customHeight="1">
      <x:c r="A423" s="69" t="str">
        <x:v>summer-S26-1320</x:v>
      </x:c>
      <x:c r="B423" s="69" t="str">
        <x:v>Santiago Gimenez</x:v>
      </x:c>
      <x:c r="C423" s="69" t="str">
        <x:v>ST</x:v>
      </x:c>
      <x:c r="D423" s="82" t="str">
        <x:f>IF(ISNUMBER('Transfer_Ratings'!K423),'Transfer_Ratings'!K423,"")</x:f>
      </x:c>
      <x:c r="E423" s="86"/>
      <x:c r="F423" s="86"/>
      <x:c r="G423" s="86"/>
      <x:c r="H423" s="86"/>
      <x:c r="I423" s="86"/>
      <x:c r="J423" s="82" t="str">
        <x:f>IF(C423="","Choose position",IF(COUNT(E423:I423)&lt;5,"",IF(OR(MIN(E423:I423)&lt;0.1,MAX(E423:I423)&gt;10),"Invalid score",IF(INDEX('Position_Rubric'!$H$6:$H$14,M423)&lt;&gt;1,"Check weights",ROUND(E423*INDEX('Position_Rubric'!$C$6:$C$14,M423)+F423*INDEX('Position_Rubric'!$D$6:$D$14,M423)+G423*INDEX('Position_Rubric'!$E$6:$E$14,M423)+H423*INDEX('Position_Rubric'!$F$6:$F$14,M423)+I423*INDEX('Position_Rubric'!$G$6:$G$14,M423),1)))))</x:f>
      </x:c>
      <x:c r="K423" s="82" t="str">
        <x:f>IF(AND(ISNUMBER(J423),ISNUMBER(D423)),J423-D423,"")</x:f>
      </x:c>
      <x:c r="L423" s="69" t="str">
        <x:f>IF(COUNT(E423:I423)&lt;5,"Needs component scores",IF(ISNUMBER(J423),"Calculated",J423))</x:f>
        <x:v>Needs component scores</x:v>
      </x:c>
      <x:c r="M423" s="69" t="n">
        <x:f>IF(C423="","",MATCH(C423,'Position_Rubric'!$A$6:$A$14,0))</x:f>
        <x:v>8</x:v>
      </x:c>
      <x:c r="N423" s="69" t="str"/>
    </x:row>
    <x:row r="424" ht="25" customHeight="1">
      <x:c r="A424" s="69" t="str">
        <x:v>summer-S26-1321</x:v>
      </x:c>
      <x:c r="B424" s="69" t="str">
        <x:v>Jay Enem</x:v>
      </x:c>
      <x:c r="C424" s="69" t="str">
        <x:v>ST</x:v>
      </x:c>
      <x:c r="D424" s="82" t="str">
        <x:f>IF(ISNUMBER('Transfer_Ratings'!K424),'Transfer_Ratings'!K424,"")</x:f>
      </x:c>
      <x:c r="E424" s="86"/>
      <x:c r="F424" s="86"/>
      <x:c r="G424" s="86"/>
      <x:c r="H424" s="86"/>
      <x:c r="I424" s="86"/>
      <x:c r="J424" s="82" t="str">
        <x:f>IF(C424="","Choose position",IF(COUNT(E424:I424)&lt;5,"",IF(OR(MIN(E424:I424)&lt;0.1,MAX(E424:I424)&gt;10),"Invalid score",IF(INDEX('Position_Rubric'!$H$6:$H$14,M424)&lt;&gt;1,"Check weights",ROUND(E424*INDEX('Position_Rubric'!$C$6:$C$14,M424)+F424*INDEX('Position_Rubric'!$D$6:$D$14,M424)+G424*INDEX('Position_Rubric'!$E$6:$E$14,M424)+H424*INDEX('Position_Rubric'!$F$6:$F$14,M424)+I424*INDEX('Position_Rubric'!$G$6:$G$14,M424),1)))))</x:f>
      </x:c>
      <x:c r="K424" s="82" t="str">
        <x:f>IF(AND(ISNUMBER(J424),ISNUMBER(D424)),J424-D424,"")</x:f>
      </x:c>
      <x:c r="L424" s="69" t="str">
        <x:f>IF(COUNT(E424:I424)&lt;5,"Needs component scores",IF(ISNUMBER(J424),"Calculated",J424))</x:f>
        <x:v>Needs component scores</x:v>
      </x:c>
      <x:c r="M424" s="69" t="n">
        <x:f>IF(C424="","",MATCH(C424,'Position_Rubric'!$A$6:$A$14,0))</x:f>
        <x:v>8</x:v>
      </x:c>
      <x:c r="N424" s="69" t="str"/>
    </x:row>
    <x:row r="425" ht="25" customHeight="1">
      <x:c r="A425" s="69" t="str">
        <x:v>summer-S26-1323</x:v>
      </x:c>
      <x:c r="B425" s="69" t="str">
        <x:v>Beto</x:v>
      </x:c>
      <x:c r="C425" s="69" t="str">
        <x:v>ST</x:v>
      </x:c>
      <x:c r="D425" s="82" t="str">
        <x:f>IF(ISNUMBER('Transfer_Ratings'!K425),'Transfer_Ratings'!K425,"")</x:f>
      </x:c>
      <x:c r="E425" s="86"/>
      <x:c r="F425" s="86"/>
      <x:c r="G425" s="86"/>
      <x:c r="H425" s="86"/>
      <x:c r="I425" s="86"/>
      <x:c r="J425" s="82" t="str">
        <x:f>IF(C425="","Choose position",IF(COUNT(E425:I425)&lt;5,"",IF(OR(MIN(E425:I425)&lt;0.1,MAX(E425:I425)&gt;10),"Invalid score",IF(INDEX('Position_Rubric'!$H$6:$H$14,M425)&lt;&gt;1,"Check weights",ROUND(E425*INDEX('Position_Rubric'!$C$6:$C$14,M425)+F425*INDEX('Position_Rubric'!$D$6:$D$14,M425)+G425*INDEX('Position_Rubric'!$E$6:$E$14,M425)+H425*INDEX('Position_Rubric'!$F$6:$F$14,M425)+I425*INDEX('Position_Rubric'!$G$6:$G$14,M425),1)))))</x:f>
      </x:c>
      <x:c r="K425" s="82" t="str">
        <x:f>IF(AND(ISNUMBER(J425),ISNUMBER(D425)),J425-D425,"")</x:f>
      </x:c>
      <x:c r="L425" s="69" t="str">
        <x:f>IF(COUNT(E425:I425)&lt;5,"Needs component scores",IF(ISNUMBER(J425),"Calculated",J425))</x:f>
        <x:v>Needs component scores</x:v>
      </x:c>
      <x:c r="M425" s="69" t="n">
        <x:f>IF(C425="","",MATCH(C425,'Position_Rubric'!$A$6:$A$14,0))</x:f>
        <x:v>8</x:v>
      </x:c>
      <x:c r="N425" s="69" t="str"/>
    </x:row>
    <x:row r="426" ht="25" customHeight="1">
      <x:c r="A426" s="69" t="str">
        <x:v>summer-S26-1328</x:v>
      </x:c>
      <x:c r="B426" s="69" t="str">
        <x:v>Nick Woltemade</x:v>
      </x:c>
      <x:c r="C426" s="69" t="str">
        <x:v>ST</x:v>
      </x:c>
      <x:c r="D426" s="82" t="str">
        <x:f>IF(ISNUMBER('Transfer_Ratings'!K426),'Transfer_Ratings'!K426,"")</x:f>
      </x:c>
      <x:c r="E426" s="86"/>
      <x:c r="F426" s="86"/>
      <x:c r="G426" s="86"/>
      <x:c r="H426" s="86"/>
      <x:c r="I426" s="86"/>
      <x:c r="J426" s="82" t="str">
        <x:f>IF(C426="","Choose position",IF(COUNT(E426:I426)&lt;5,"",IF(OR(MIN(E426:I426)&lt;0.1,MAX(E426:I426)&gt;10),"Invalid score",IF(INDEX('Position_Rubric'!$H$6:$H$14,M426)&lt;&gt;1,"Check weights",ROUND(E426*INDEX('Position_Rubric'!$C$6:$C$14,M426)+F426*INDEX('Position_Rubric'!$D$6:$D$14,M426)+G426*INDEX('Position_Rubric'!$E$6:$E$14,M426)+H426*INDEX('Position_Rubric'!$F$6:$F$14,M426)+I426*INDEX('Position_Rubric'!$G$6:$G$14,M426),1)))))</x:f>
      </x:c>
      <x:c r="K426" s="82" t="str">
        <x:f>IF(AND(ISNUMBER(J426),ISNUMBER(D426)),J426-D426,"")</x:f>
      </x:c>
      <x:c r="L426" s="69" t="str">
        <x:f>IF(COUNT(E426:I426)&lt;5,"Needs component scores",IF(ISNUMBER(J426),"Calculated",J426))</x:f>
        <x:v>Needs component scores</x:v>
      </x:c>
      <x:c r="M426" s="69" t="n">
        <x:f>IF(C426="","",MATCH(C426,'Position_Rubric'!$A$6:$A$14,0))</x:f>
        <x:v>8</x:v>
      </x:c>
      <x:c r="N426" s="69" t="str"/>
    </x:row>
    <x:row r="427" ht="25" customHeight="1">
      <x:c r="A427" s="69" t="str">
        <x:v>summer-S26-1329</x:v>
      </x:c>
      <x:c r="B427" s="69" t="str">
        <x:v>Deivid Washington</x:v>
      </x:c>
      <x:c r="C427" s="69" t="str">
        <x:v>ST</x:v>
      </x:c>
      <x:c r="D427" s="82" t="str">
        <x:f>IF(ISNUMBER('Transfer_Ratings'!K427),'Transfer_Ratings'!K427,"")</x:f>
      </x:c>
      <x:c r="E427" s="86"/>
      <x:c r="F427" s="86"/>
      <x:c r="G427" s="86"/>
      <x:c r="H427" s="86"/>
      <x:c r="I427" s="86"/>
      <x:c r="J427" s="82" t="str">
        <x:f>IF(C427="","Choose position",IF(COUNT(E427:I427)&lt;5,"",IF(OR(MIN(E427:I427)&lt;0.1,MAX(E427:I427)&gt;10),"Invalid score",IF(INDEX('Position_Rubric'!$H$6:$H$14,M427)&lt;&gt;1,"Check weights",ROUND(E427*INDEX('Position_Rubric'!$C$6:$C$14,M427)+F427*INDEX('Position_Rubric'!$D$6:$D$14,M427)+G427*INDEX('Position_Rubric'!$E$6:$E$14,M427)+H427*INDEX('Position_Rubric'!$F$6:$F$14,M427)+I427*INDEX('Position_Rubric'!$G$6:$G$14,M427),1)))))</x:f>
      </x:c>
      <x:c r="K427" s="82" t="str">
        <x:f>IF(AND(ISNUMBER(J427),ISNUMBER(D427)),J427-D427,"")</x:f>
      </x:c>
      <x:c r="L427" s="69" t="str">
        <x:f>IF(COUNT(E427:I427)&lt;5,"Needs component scores",IF(ISNUMBER(J427),"Calculated",J427))</x:f>
        <x:v>Needs component scores</x:v>
      </x:c>
      <x:c r="M427" s="69" t="n">
        <x:f>IF(C427="","",MATCH(C427,'Position_Rubric'!$A$6:$A$14,0))</x:f>
        <x:v>8</x:v>
      </x:c>
      <x:c r="N427" s="69" t="str"/>
    </x:row>
    <x:row r="428" ht="25" customHeight="1">
      <x:c r="A428" s="69" t="str">
        <x:v>summer-S26-1332</x:v>
      </x:c>
      <x:c r="B428" s="69" t="str">
        <x:v>Moise Kean</x:v>
      </x:c>
      <x:c r="C428" s="69" t="str">
        <x:v>ST</x:v>
      </x:c>
      <x:c r="D428" s="82" t="str">
        <x:f>IF(ISNUMBER('Transfer_Ratings'!K428),'Transfer_Ratings'!K428,"")</x:f>
      </x:c>
      <x:c r="E428" s="86"/>
      <x:c r="F428" s="86"/>
      <x:c r="G428" s="86"/>
      <x:c r="H428" s="86"/>
      <x:c r="I428" s="86"/>
      <x:c r="J428" s="82" t="str">
        <x:f>IF(C428="","Choose position",IF(COUNT(E428:I428)&lt;5,"",IF(OR(MIN(E428:I428)&lt;0.1,MAX(E428:I428)&gt;10),"Invalid score",IF(INDEX('Position_Rubric'!$H$6:$H$14,M428)&lt;&gt;1,"Check weights",ROUND(E428*INDEX('Position_Rubric'!$C$6:$C$14,M428)+F428*INDEX('Position_Rubric'!$D$6:$D$14,M428)+G428*INDEX('Position_Rubric'!$E$6:$E$14,M428)+H428*INDEX('Position_Rubric'!$F$6:$F$14,M428)+I428*INDEX('Position_Rubric'!$G$6:$G$14,M428),1)))))</x:f>
      </x:c>
      <x:c r="K428" s="82" t="str">
        <x:f>IF(AND(ISNUMBER(J428),ISNUMBER(D428)),J428-D428,"")</x:f>
      </x:c>
      <x:c r="L428" s="69" t="str">
        <x:f>IF(COUNT(E428:I428)&lt;5,"Needs component scores",IF(ISNUMBER(J428),"Calculated",J428))</x:f>
        <x:v>Needs component scores</x:v>
      </x:c>
      <x:c r="M428" s="69" t="n">
        <x:f>IF(C428="","",MATCH(C428,'Position_Rubric'!$A$6:$A$14,0))</x:f>
        <x:v>8</x:v>
      </x:c>
      <x:c r="N428" s="69" t="str"/>
    </x:row>
    <x:row r="429" ht="25" customHeight="1">
      <x:c r="A429" s="69" t="str">
        <x:v>summer-S26-1333</x:v>
      </x:c>
      <x:c r="B429" s="69" t="str">
        <x:v>Albert Gudmundsson</x:v>
      </x:c>
      <x:c r="C429" s="69" t="str">
        <x:v>ST</x:v>
      </x:c>
      <x:c r="D429" s="82" t="str">
        <x:f>IF(ISNUMBER('Transfer_Ratings'!K429),'Transfer_Ratings'!K429,"")</x:f>
      </x:c>
      <x:c r="E429" s="86"/>
      <x:c r="F429" s="86"/>
      <x:c r="G429" s="86"/>
      <x:c r="H429" s="86"/>
      <x:c r="I429" s="86"/>
      <x:c r="J429" s="82" t="str">
        <x:f>IF(C429="","Choose position",IF(COUNT(E429:I429)&lt;5,"",IF(OR(MIN(E429:I429)&lt;0.1,MAX(E429:I429)&gt;10),"Invalid score",IF(INDEX('Position_Rubric'!$H$6:$H$14,M429)&lt;&gt;1,"Check weights",ROUND(E429*INDEX('Position_Rubric'!$C$6:$C$14,M429)+F429*INDEX('Position_Rubric'!$D$6:$D$14,M429)+G429*INDEX('Position_Rubric'!$E$6:$E$14,M429)+H429*INDEX('Position_Rubric'!$F$6:$F$14,M429)+I429*INDEX('Position_Rubric'!$G$6:$G$14,M429),1)))))</x:f>
      </x:c>
      <x:c r="K429" s="82" t="str">
        <x:f>IF(AND(ISNUMBER(J429),ISNUMBER(D429)),J429-D429,"")</x:f>
      </x:c>
      <x:c r="L429" s="69" t="str">
        <x:f>IF(COUNT(E429:I429)&lt;5,"Needs component scores",IF(ISNUMBER(J429),"Calculated",J429))</x:f>
        <x:v>Needs component scores</x:v>
      </x:c>
      <x:c r="M429" s="69" t="n">
        <x:f>IF(C429="","",MATCH(C429,'Position_Rubric'!$A$6:$A$14,0))</x:f>
        <x:v>8</x:v>
      </x:c>
      <x:c r="N429" s="69" t="str"/>
    </x:row>
    <x:row r="430" ht="25" customHeight="1">
      <x:c r="A430" s="69" t="str">
        <x:v>summer-S26-1335</x:v>
      </x:c>
      <x:c r="B430" s="69" t="str">
        <x:v>Iván Azón</x:v>
      </x:c>
      <x:c r="C430" s="69" t="str">
        <x:v>ST</x:v>
      </x:c>
      <x:c r="D430" s="82" t="str">
        <x:f>IF(ISNUMBER('Transfer_Ratings'!K430),'Transfer_Ratings'!K430,"")</x:f>
      </x:c>
      <x:c r="E430" s="86"/>
      <x:c r="F430" s="86"/>
      <x:c r="G430" s="86"/>
      <x:c r="H430" s="86"/>
      <x:c r="I430" s="86"/>
      <x:c r="J430" s="82" t="str">
        <x:f>IF(C430="","Choose position",IF(COUNT(E430:I430)&lt;5,"",IF(OR(MIN(E430:I430)&lt;0.1,MAX(E430:I430)&gt;10),"Invalid score",IF(INDEX('Position_Rubric'!$H$6:$H$14,M430)&lt;&gt;1,"Check weights",ROUND(E430*INDEX('Position_Rubric'!$C$6:$C$14,M430)+F430*INDEX('Position_Rubric'!$D$6:$D$14,M430)+G430*INDEX('Position_Rubric'!$E$6:$E$14,M430)+H430*INDEX('Position_Rubric'!$F$6:$F$14,M430)+I430*INDEX('Position_Rubric'!$G$6:$G$14,M430),1)))))</x:f>
      </x:c>
      <x:c r="K430" s="82" t="str">
        <x:f>IF(AND(ISNUMBER(J430),ISNUMBER(D430)),J430-D430,"")</x:f>
      </x:c>
      <x:c r="L430" s="69" t="str">
        <x:f>IF(COUNT(E430:I430)&lt;5,"Needs component scores",IF(ISNUMBER(J430),"Calculated",J430))</x:f>
        <x:v>Needs component scores</x:v>
      </x:c>
      <x:c r="M430" s="69" t="n">
        <x:f>IF(C430="","",MATCH(C430,'Position_Rubric'!$A$6:$A$14,0))</x:f>
        <x:v>8</x:v>
      </x:c>
      <x:c r="N430" s="69" t="str"/>
    </x:row>
    <x:row r="431" ht="25" customHeight="1">
      <x:c r="A431" s="69" t="str">
        <x:v>summer-S26-1344</x:v>
      </x:c>
      <x:c r="B431" s="69" t="str">
        <x:v>Jonathan David</x:v>
      </x:c>
      <x:c r="C431" s="69" t="str">
        <x:v>ST</x:v>
      </x:c>
      <x:c r="D431" s="82" t="str">
        <x:f>IF(ISNUMBER('Transfer_Ratings'!K431),'Transfer_Ratings'!K431,"")</x:f>
      </x:c>
      <x:c r="E431" s="86"/>
      <x:c r="F431" s="86"/>
      <x:c r="G431" s="86"/>
      <x:c r="H431" s="86"/>
      <x:c r="I431" s="86"/>
      <x:c r="J431" s="82" t="str">
        <x:f>IF(C431="","Choose position",IF(COUNT(E431:I431)&lt;5,"",IF(OR(MIN(E431:I431)&lt;0.1,MAX(E431:I431)&gt;10),"Invalid score",IF(INDEX('Position_Rubric'!$H$6:$H$14,M431)&lt;&gt;1,"Check weights",ROUND(E431*INDEX('Position_Rubric'!$C$6:$C$14,M431)+F431*INDEX('Position_Rubric'!$D$6:$D$14,M431)+G431*INDEX('Position_Rubric'!$E$6:$E$14,M431)+H431*INDEX('Position_Rubric'!$F$6:$F$14,M431)+I431*INDEX('Position_Rubric'!$G$6:$G$14,M431),1)))))</x:f>
      </x:c>
      <x:c r="K431" s="82" t="str">
        <x:f>IF(AND(ISNUMBER(J431),ISNUMBER(D431)),J431-D431,"")</x:f>
      </x:c>
      <x:c r="L431" s="69" t="str">
        <x:f>IF(COUNT(E431:I431)&lt;5,"Needs component scores",IF(ISNUMBER(J431),"Calculated",J431))</x:f>
        <x:v>Needs component scores</x:v>
      </x:c>
      <x:c r="M431" s="69" t="n">
        <x:f>IF(C431="","",MATCH(C431,'Position_Rubric'!$A$6:$A$14,0))</x:f>
        <x:v>8</x:v>
      </x:c>
      <x:c r="N431" s="69" t="str"/>
    </x:row>
    <x:row r="432" ht="25" customHeight="1">
      <x:c r="A432" s="69" t="str">
        <x:v>summer-S26-1351</x:v>
      </x:c>
      <x:c r="B432" s="69" t="str">
        <x:v>Lucas Stassin</x:v>
      </x:c>
      <x:c r="C432" s="69" t="str">
        <x:v>ST</x:v>
      </x:c>
      <x:c r="D432" s="82" t="str">
        <x:f>IF(ISNUMBER('Transfer_Ratings'!K432),'Transfer_Ratings'!K432,"")</x:f>
      </x:c>
      <x:c r="E432" s="86"/>
      <x:c r="F432" s="86"/>
      <x:c r="G432" s="86"/>
      <x:c r="H432" s="86"/>
      <x:c r="I432" s="86"/>
      <x:c r="J432" s="82" t="str">
        <x:f>IF(C432="","Choose position",IF(COUNT(E432:I432)&lt;5,"",IF(OR(MIN(E432:I432)&lt;0.1,MAX(E432:I432)&gt;10),"Invalid score",IF(INDEX('Position_Rubric'!$H$6:$H$14,M432)&lt;&gt;1,"Check weights",ROUND(E432*INDEX('Position_Rubric'!$C$6:$C$14,M432)+F432*INDEX('Position_Rubric'!$D$6:$D$14,M432)+G432*INDEX('Position_Rubric'!$E$6:$E$14,M432)+H432*INDEX('Position_Rubric'!$F$6:$F$14,M432)+I432*INDEX('Position_Rubric'!$G$6:$G$14,M432),1)))))</x:f>
      </x:c>
      <x:c r="K432" s="82" t="str">
        <x:f>IF(AND(ISNUMBER(J432),ISNUMBER(D432)),J432-D432,"")</x:f>
      </x:c>
      <x:c r="L432" s="69" t="str">
        <x:f>IF(COUNT(E432:I432)&lt;5,"Needs component scores",IF(ISNUMBER(J432),"Calculated",J432))</x:f>
        <x:v>Needs component scores</x:v>
      </x:c>
      <x:c r="M432" s="69" t="n">
        <x:f>IF(C432="","",MATCH(C432,'Position_Rubric'!$A$6:$A$14,0))</x:f>
        <x:v>8</x:v>
      </x:c>
      <x:c r="N432" s="69" t="str"/>
    </x:row>
    <x:row r="433" ht="25" customHeight="1">
      <x:c r="A433" s="69" t="str">
        <x:v>summer-S26-1354</x:v>
      </x:c>
      <x:c r="B433" s="69" t="str">
        <x:v>Boulaye Dia</x:v>
      </x:c>
      <x:c r="C433" s="69" t="str">
        <x:v>ST</x:v>
      </x:c>
      <x:c r="D433" s="82" t="str">
        <x:f>IF(ISNUMBER('Transfer_Ratings'!K433),'Transfer_Ratings'!K433,"")</x:f>
      </x:c>
      <x:c r="E433" s="86"/>
      <x:c r="F433" s="86"/>
      <x:c r="G433" s="86"/>
      <x:c r="H433" s="86"/>
      <x:c r="I433" s="86"/>
      <x:c r="J433" s="82" t="str">
        <x:f>IF(C433="","Choose position",IF(COUNT(E433:I433)&lt;5,"",IF(OR(MIN(E433:I433)&lt;0.1,MAX(E433:I433)&gt;10),"Invalid score",IF(INDEX('Position_Rubric'!$H$6:$H$14,M433)&lt;&gt;1,"Check weights",ROUND(E433*INDEX('Position_Rubric'!$C$6:$C$14,M433)+F433*INDEX('Position_Rubric'!$D$6:$D$14,M433)+G433*INDEX('Position_Rubric'!$E$6:$E$14,M433)+H433*INDEX('Position_Rubric'!$F$6:$F$14,M433)+I433*INDEX('Position_Rubric'!$G$6:$G$14,M433),1)))))</x:f>
      </x:c>
      <x:c r="K433" s="82" t="str">
        <x:f>IF(AND(ISNUMBER(J433),ISNUMBER(D433)),J433-D433,"")</x:f>
      </x:c>
      <x:c r="L433" s="69" t="str">
        <x:f>IF(COUNT(E433:I433)&lt;5,"Needs component scores",IF(ISNUMBER(J433),"Calculated",J433))</x:f>
        <x:v>Needs component scores</x:v>
      </x:c>
      <x:c r="M433" s="69" t="n">
        <x:f>IF(C433="","",MATCH(C433,'Position_Rubric'!$A$6:$A$14,0))</x:f>
        <x:v>8</x:v>
      </x:c>
      <x:c r="N433" s="69" t="str"/>
    </x:row>
    <x:row r="434" ht="25" customHeight="1">
      <x:c r="A434" s="69" t="str">
        <x:v>summer-S26-1361</x:v>
      </x:c>
      <x:c r="B434" s="69" t="str">
        <x:v>Dujuan Richards</x:v>
      </x:c>
      <x:c r="C434" s="69" t="str">
        <x:v>ST</x:v>
      </x:c>
      <x:c r="D434" s="82" t="str">
        <x:f>IF(ISNUMBER('Transfer_Ratings'!K434),'Transfer_Ratings'!K434,"")</x:f>
      </x:c>
      <x:c r="E434" s="86"/>
      <x:c r="F434" s="86"/>
      <x:c r="G434" s="86"/>
      <x:c r="H434" s="86"/>
      <x:c r="I434" s="86"/>
      <x:c r="J434" s="82" t="str">
        <x:f>IF(C434="","Choose position",IF(COUNT(E434:I434)&lt;5,"",IF(OR(MIN(E434:I434)&lt;0.1,MAX(E434:I434)&gt;10),"Invalid score",IF(INDEX('Position_Rubric'!$H$6:$H$14,M434)&lt;&gt;1,"Check weights",ROUND(E434*INDEX('Position_Rubric'!$C$6:$C$14,M434)+F434*INDEX('Position_Rubric'!$D$6:$D$14,M434)+G434*INDEX('Position_Rubric'!$E$6:$E$14,M434)+H434*INDEX('Position_Rubric'!$F$6:$F$14,M434)+I434*INDEX('Position_Rubric'!$G$6:$G$14,M434),1)))))</x:f>
      </x:c>
      <x:c r="K434" s="82" t="str">
        <x:f>IF(AND(ISNUMBER(J434),ISNUMBER(D434)),J434-D434,"")</x:f>
      </x:c>
      <x:c r="L434" s="69" t="str">
        <x:f>IF(COUNT(E434:I434)&lt;5,"Needs component scores",IF(ISNUMBER(J434),"Calculated",J434))</x:f>
        <x:v>Needs component scores</x:v>
      </x:c>
      <x:c r="M434" s="69" t="n">
        <x:f>IF(C434="","",MATCH(C434,'Position_Rubric'!$A$6:$A$14,0))</x:f>
        <x:v>8</x:v>
      </x:c>
      <x:c r="N434" s="69" t="str"/>
    </x:row>
    <x:row r="435" ht="25" customHeight="1">
      <x:c r="A435" s="69" t="str">
        <x:v>summer-S26-1365</x:v>
      </x:c>
      <x:c r="B435" s="69" t="str">
        <x:v>Hwang Hee-chan</x:v>
      </x:c>
      <x:c r="C435" s="69" t="str">
        <x:v>ST</x:v>
      </x:c>
      <x:c r="D435" s="82" t="str">
        <x:f>IF(ISNUMBER('Transfer_Ratings'!K435),'Transfer_Ratings'!K435,"")</x:f>
      </x:c>
      <x:c r="E435" s="86"/>
      <x:c r="F435" s="86"/>
      <x:c r="G435" s="86"/>
      <x:c r="H435" s="86"/>
      <x:c r="I435" s="86"/>
      <x:c r="J435" s="82" t="str">
        <x:f>IF(C435="","Choose position",IF(COUNT(E435:I435)&lt;5,"",IF(OR(MIN(E435:I435)&lt;0.1,MAX(E435:I435)&gt;10),"Invalid score",IF(INDEX('Position_Rubric'!$H$6:$H$14,M435)&lt;&gt;1,"Check weights",ROUND(E435*INDEX('Position_Rubric'!$C$6:$C$14,M435)+F435*INDEX('Position_Rubric'!$D$6:$D$14,M435)+G435*INDEX('Position_Rubric'!$E$6:$E$14,M435)+H435*INDEX('Position_Rubric'!$F$6:$F$14,M435)+I435*INDEX('Position_Rubric'!$G$6:$G$14,M435),1)))))</x:f>
      </x:c>
      <x:c r="K435" s="82" t="str">
        <x:f>IF(AND(ISNUMBER(J435),ISNUMBER(D435)),J435-D435,"")</x:f>
      </x:c>
      <x:c r="L435" s="69" t="str">
        <x:f>IF(COUNT(E435:I435)&lt;5,"Needs component scores",IF(ISNUMBER(J435),"Calculated",J435))</x:f>
        <x:v>Needs component scores</x:v>
      </x:c>
      <x:c r="M435" s="69" t="n">
        <x:f>IF(C435="","",MATCH(C435,'Position_Rubric'!$A$6:$A$14,0))</x:f>
        <x:v>8</x:v>
      </x:c>
      <x:c r="N435" s="69" t="str"/>
    </x:row>
    <x:row r="436" ht="25" customHeight="1">
      <x:c r="A436" s="69" t="str">
        <x:v>summer-S26-1372</x:v>
      </x:c>
      <x:c r="B436" s="69" t="str">
        <x:v>Ibrahima Baldé</x:v>
      </x:c>
      <x:c r="C436" s="69" t="str">
        <x:v>ST</x:v>
      </x:c>
      <x:c r="D436" s="82" t="str">
        <x:f>IF(ISNUMBER('Transfer_Ratings'!K436),'Transfer_Ratings'!K436,"")</x:f>
      </x:c>
      <x:c r="E436" s="86"/>
      <x:c r="F436" s="86"/>
      <x:c r="G436" s="86"/>
      <x:c r="H436" s="86"/>
      <x:c r="I436" s="86"/>
      <x:c r="J436" s="82" t="str">
        <x:f>IF(C436="","Choose position",IF(COUNT(E436:I436)&lt;5,"",IF(OR(MIN(E436:I436)&lt;0.1,MAX(E436:I436)&gt;10),"Invalid score",IF(INDEX('Position_Rubric'!$H$6:$H$14,M436)&lt;&gt;1,"Check weights",ROUND(E436*INDEX('Position_Rubric'!$C$6:$C$14,M436)+F436*INDEX('Position_Rubric'!$D$6:$D$14,M436)+G436*INDEX('Position_Rubric'!$E$6:$E$14,M436)+H436*INDEX('Position_Rubric'!$F$6:$F$14,M436)+I436*INDEX('Position_Rubric'!$G$6:$G$14,M436),1)))))</x:f>
      </x:c>
      <x:c r="K436" s="82" t="str">
        <x:f>IF(AND(ISNUMBER(J436),ISNUMBER(D436)),J436-D436,"")</x:f>
      </x:c>
      <x:c r="L436" s="69" t="str">
        <x:f>IF(COUNT(E436:I436)&lt;5,"Needs component scores",IF(ISNUMBER(J436),"Calculated",J436))</x:f>
        <x:v>Needs component scores</x:v>
      </x:c>
      <x:c r="M436" s="69" t="n">
        <x:f>IF(C436="","",MATCH(C436,'Position_Rubric'!$A$6:$A$14,0))</x:f>
        <x:v>8</x:v>
      </x:c>
      <x:c r="N436" s="69" t="str"/>
    </x:row>
    <x:row r="437" ht="25" customHeight="1">
      <x:c r="A437" s="69" t="str">
        <x:v>summer-S26-1378</x:v>
      </x:c>
      <x:c r="B437" s="69" t="str">
        <x:v>Mark O'Mahony</x:v>
      </x:c>
      <x:c r="C437" s="69" t="str">
        <x:v>ST</x:v>
      </x:c>
      <x:c r="D437" s="82" t="str">
        <x:f>IF(ISNUMBER('Transfer_Ratings'!K437),'Transfer_Ratings'!K437,"")</x:f>
      </x:c>
      <x:c r="E437" s="86"/>
      <x:c r="F437" s="86"/>
      <x:c r="G437" s="86"/>
      <x:c r="H437" s="86"/>
      <x:c r="I437" s="86"/>
      <x:c r="J437" s="82" t="str">
        <x:f>IF(C437="","Choose position",IF(COUNT(E437:I437)&lt;5,"",IF(OR(MIN(E437:I437)&lt;0.1,MAX(E437:I437)&gt;10),"Invalid score",IF(INDEX('Position_Rubric'!$H$6:$H$14,M437)&lt;&gt;1,"Check weights",ROUND(E437*INDEX('Position_Rubric'!$C$6:$C$14,M437)+F437*INDEX('Position_Rubric'!$D$6:$D$14,M437)+G437*INDEX('Position_Rubric'!$E$6:$E$14,M437)+H437*INDEX('Position_Rubric'!$F$6:$F$14,M437)+I437*INDEX('Position_Rubric'!$G$6:$G$14,M437),1)))))</x:f>
      </x:c>
      <x:c r="K437" s="82" t="str">
        <x:f>IF(AND(ISNUMBER(J437),ISNUMBER(D437)),J437-D437,"")</x:f>
      </x:c>
      <x:c r="L437" s="69" t="str">
        <x:f>IF(COUNT(E437:I437)&lt;5,"Needs component scores",IF(ISNUMBER(J437),"Calculated",J437))</x:f>
        <x:v>Needs component scores</x:v>
      </x:c>
      <x:c r="M437" s="69" t="n">
        <x:f>IF(C437="","",MATCH(C437,'Position_Rubric'!$A$6:$A$14,0))</x:f>
        <x:v>8</x:v>
      </x:c>
      <x:c r="N437" s="69" t="str"/>
    </x:row>
    <x:row r="438" ht="25" customHeight="1">
      <x:c r="A438" s="69" t="str">
        <x:v>summer-S26-1380</x:v>
      </x:c>
      <x:c r="B438" s="69" t="str">
        <x:v>Ndjicoura Bomba</x:v>
      </x:c>
      <x:c r="C438" s="69" t="str">
        <x:v>ST</x:v>
      </x:c>
      <x:c r="D438" s="82" t="str">
        <x:f>IF(ISNUMBER('Transfer_Ratings'!K438),'Transfer_Ratings'!K438,"")</x:f>
      </x:c>
      <x:c r="E438" s="86"/>
      <x:c r="F438" s="86"/>
      <x:c r="G438" s="86"/>
      <x:c r="H438" s="86"/>
      <x:c r="I438" s="86"/>
      <x:c r="J438" s="82" t="str">
        <x:f>IF(C438="","Choose position",IF(COUNT(E438:I438)&lt;5,"",IF(OR(MIN(E438:I438)&lt;0.1,MAX(E438:I438)&gt;10),"Invalid score",IF(INDEX('Position_Rubric'!$H$6:$H$14,M438)&lt;&gt;1,"Check weights",ROUND(E438*INDEX('Position_Rubric'!$C$6:$C$14,M438)+F438*INDEX('Position_Rubric'!$D$6:$D$14,M438)+G438*INDEX('Position_Rubric'!$E$6:$E$14,M438)+H438*INDEX('Position_Rubric'!$F$6:$F$14,M438)+I438*INDEX('Position_Rubric'!$G$6:$G$14,M438),1)))))</x:f>
      </x:c>
      <x:c r="K438" s="82" t="str">
        <x:f>IF(AND(ISNUMBER(J438),ISNUMBER(D438)),J438-D438,"")</x:f>
      </x:c>
      <x:c r="L438" s="69" t="str">
        <x:f>IF(COUNT(E438:I438)&lt;5,"Needs component scores",IF(ISNUMBER(J438),"Calculated",J438))</x:f>
        <x:v>Needs component scores</x:v>
      </x:c>
      <x:c r="M438" s="69" t="n">
        <x:f>IF(C438="","",MATCH(C438,'Position_Rubric'!$A$6:$A$14,0))</x:f>
        <x:v>8</x:v>
      </x:c>
      <x:c r="N438" s="69" t="str"/>
    </x:row>
    <x:row r="439" ht="25" customHeight="1">
      <x:c r="A439" s="69" t="str">
        <x:v>summer-S26-1386</x:v>
      </x:c>
      <x:c r="B439" s="69" t="str">
        <x:v>Toni Fernández</x:v>
      </x:c>
      <x:c r="C439" s="69" t="str">
        <x:v>ST</x:v>
      </x:c>
      <x:c r="D439" s="82" t="str">
        <x:f>IF(ISNUMBER('Transfer_Ratings'!K439),'Transfer_Ratings'!K439,"")</x:f>
      </x:c>
      <x:c r="E439" s="86"/>
      <x:c r="F439" s="86"/>
      <x:c r="G439" s="86"/>
      <x:c r="H439" s="86"/>
      <x:c r="I439" s="86"/>
      <x:c r="J439" s="82" t="str">
        <x:f>IF(C439="","Choose position",IF(COUNT(E439:I439)&lt;5,"",IF(OR(MIN(E439:I439)&lt;0.1,MAX(E439:I439)&gt;10),"Invalid score",IF(INDEX('Position_Rubric'!$H$6:$H$14,M439)&lt;&gt;1,"Check weights",ROUND(E439*INDEX('Position_Rubric'!$C$6:$C$14,M439)+F439*INDEX('Position_Rubric'!$D$6:$D$14,M439)+G439*INDEX('Position_Rubric'!$E$6:$E$14,M439)+H439*INDEX('Position_Rubric'!$F$6:$F$14,M439)+I439*INDEX('Position_Rubric'!$G$6:$G$14,M439),1)))))</x:f>
      </x:c>
      <x:c r="K439" s="82" t="str">
        <x:f>IF(AND(ISNUMBER(J439),ISNUMBER(D439)),J439-D439,"")</x:f>
      </x:c>
      <x:c r="L439" s="69" t="str">
        <x:f>IF(COUNT(E439:I439)&lt;5,"Needs component scores",IF(ISNUMBER(J439),"Calculated",J439))</x:f>
        <x:v>Needs component scores</x:v>
      </x:c>
      <x:c r="M439" s="69" t="n">
        <x:f>IF(C439="","",MATCH(C439,'Position_Rubric'!$A$6:$A$14,0))</x:f>
        <x:v>8</x:v>
      </x:c>
      <x:c r="N439" s="69" t="str"/>
    </x:row>
    <x:row r="440" ht="25" customHeight="1">
      <x:c r="A440" s="69" t="str">
        <x:v>summer-S26-1399</x:v>
      </x:c>
      <x:c r="B440" s="69" t="str">
        <x:v>Petar Ratkov</x:v>
      </x:c>
      <x:c r="C440" s="69" t="str">
        <x:v>ST</x:v>
      </x:c>
      <x:c r="D440" s="82" t="str">
        <x:f>IF(ISNUMBER('Transfer_Ratings'!K440),'Transfer_Ratings'!K440,"")</x:f>
      </x:c>
      <x:c r="E440" s="86"/>
      <x:c r="F440" s="86"/>
      <x:c r="G440" s="86"/>
      <x:c r="H440" s="86"/>
      <x:c r="I440" s="86"/>
      <x:c r="J440" s="82" t="str">
        <x:f>IF(C440="","Choose position",IF(COUNT(E440:I440)&lt;5,"",IF(OR(MIN(E440:I440)&lt;0.1,MAX(E440:I440)&gt;10),"Invalid score",IF(INDEX('Position_Rubric'!$H$6:$H$14,M440)&lt;&gt;1,"Check weights",ROUND(E440*INDEX('Position_Rubric'!$C$6:$C$14,M440)+F440*INDEX('Position_Rubric'!$D$6:$D$14,M440)+G440*INDEX('Position_Rubric'!$E$6:$E$14,M440)+H440*INDEX('Position_Rubric'!$F$6:$F$14,M440)+I440*INDEX('Position_Rubric'!$G$6:$G$14,M440),1)))))</x:f>
      </x:c>
      <x:c r="K440" s="82" t="str">
        <x:f>IF(AND(ISNUMBER(J440),ISNUMBER(D440)),J440-D440,"")</x:f>
      </x:c>
      <x:c r="L440" s="69" t="str">
        <x:f>IF(COUNT(E440:I440)&lt;5,"Needs component scores",IF(ISNUMBER(J440),"Calculated",J440))</x:f>
        <x:v>Needs component scores</x:v>
      </x:c>
      <x:c r="M440" s="69" t="n">
        <x:f>IF(C440="","",MATCH(C440,'Position_Rubric'!$A$6:$A$14,0))</x:f>
        <x:v>8</x:v>
      </x:c>
      <x:c r="N440" s="69" t="str"/>
    </x:row>
    <x:row r="441" ht="25" customHeight="1">
      <x:c r="A441" s="69" t="str">
        <x:v>summer-S26-1413</x:v>
      </x:c>
      <x:c r="B441" s="69" t="str">
        <x:v>Zian Flemming</x:v>
      </x:c>
      <x:c r="C441" s="69" t="str">
        <x:v>ST</x:v>
      </x:c>
      <x:c r="D441" s="82" t="str">
        <x:f>IF(ISNUMBER('Transfer_Ratings'!K441),'Transfer_Ratings'!K441,"")</x:f>
      </x:c>
      <x:c r="E441" s="86"/>
      <x:c r="F441" s="86"/>
      <x:c r="G441" s="86"/>
      <x:c r="H441" s="86"/>
      <x:c r="I441" s="86"/>
      <x:c r="J441" s="82" t="str">
        <x:f>IF(C441="","Choose position",IF(COUNT(E441:I441)&lt;5,"",IF(OR(MIN(E441:I441)&lt;0.1,MAX(E441:I441)&gt;10),"Invalid score",IF(INDEX('Position_Rubric'!$H$6:$H$14,M441)&lt;&gt;1,"Check weights",ROUND(E441*INDEX('Position_Rubric'!$C$6:$C$14,M441)+F441*INDEX('Position_Rubric'!$D$6:$D$14,M441)+G441*INDEX('Position_Rubric'!$E$6:$E$14,M441)+H441*INDEX('Position_Rubric'!$F$6:$F$14,M441)+I441*INDEX('Position_Rubric'!$G$6:$G$14,M441),1)))))</x:f>
      </x:c>
      <x:c r="K441" s="82" t="str">
        <x:f>IF(AND(ISNUMBER(J441),ISNUMBER(D441)),J441-D441,"")</x:f>
      </x:c>
      <x:c r="L441" s="69" t="str">
        <x:f>IF(COUNT(E441:I441)&lt;5,"Needs component scores",IF(ISNUMBER(J441),"Calculated",J441))</x:f>
        <x:v>Needs component scores</x:v>
      </x:c>
      <x:c r="M441" s="69" t="n">
        <x:f>IF(C441="","",MATCH(C441,'Position_Rubric'!$A$6:$A$14,0))</x:f>
        <x:v>8</x:v>
      </x:c>
      <x:c r="N441" s="69" t="str"/>
    </x:row>
    <x:row r="442" ht="25" customHeight="1">
      <x:c r="A442" s="69" t="str">
        <x:v>summer-S26-1416</x:v>
      </x:c>
      <x:c r="B442" s="69" t="str">
        <x:v>Robinio Vaz</x:v>
      </x:c>
      <x:c r="C442" s="69" t="str">
        <x:v>ST</x:v>
      </x:c>
      <x:c r="D442" s="82" t="str">
        <x:f>IF(ISNUMBER('Transfer_Ratings'!K442),'Transfer_Ratings'!K442,"")</x:f>
      </x:c>
      <x:c r="E442" s="86"/>
      <x:c r="F442" s="86"/>
      <x:c r="G442" s="86"/>
      <x:c r="H442" s="86"/>
      <x:c r="I442" s="86"/>
      <x:c r="J442" s="82" t="str">
        <x:f>IF(C442="","Choose position",IF(COUNT(E442:I442)&lt;5,"",IF(OR(MIN(E442:I442)&lt;0.1,MAX(E442:I442)&gt;10),"Invalid score",IF(INDEX('Position_Rubric'!$H$6:$H$14,M442)&lt;&gt;1,"Check weights",ROUND(E442*INDEX('Position_Rubric'!$C$6:$C$14,M442)+F442*INDEX('Position_Rubric'!$D$6:$D$14,M442)+G442*INDEX('Position_Rubric'!$E$6:$E$14,M442)+H442*INDEX('Position_Rubric'!$F$6:$F$14,M442)+I442*INDEX('Position_Rubric'!$G$6:$G$14,M442),1)))))</x:f>
      </x:c>
      <x:c r="K442" s="82" t="str">
        <x:f>IF(AND(ISNUMBER(J442),ISNUMBER(D442)),J442-D442,"")</x:f>
      </x:c>
      <x:c r="L442" s="69" t="str">
        <x:f>IF(COUNT(E442:I442)&lt;5,"Needs component scores",IF(ISNUMBER(J442),"Calculated",J442))</x:f>
        <x:v>Needs component scores</x:v>
      </x:c>
      <x:c r="M442" s="69" t="n">
        <x:f>IF(C442="","",MATCH(C442,'Position_Rubric'!$A$6:$A$14,0))</x:f>
        <x:v>8</x:v>
      </x:c>
      <x:c r="N442" s="69" t="str"/>
    </x:row>
    <x:row r="443" ht="25" customHeight="1">
      <x:c r="A443" s="69" t="str">
        <x:v>summer-S26-1434</x:v>
      </x:c>
      <x:c r="B443" s="69" t="str">
        <x:v>Jean-Mattéo Bahoya</x:v>
      </x:c>
      <x:c r="C443" s="69" t="str">
        <x:v>ST</x:v>
      </x:c>
      <x:c r="D443" s="82" t="str">
        <x:f>IF(ISNUMBER('Transfer_Ratings'!K443),'Transfer_Ratings'!K443,"")</x:f>
      </x:c>
      <x:c r="E443" s="86"/>
      <x:c r="F443" s="86"/>
      <x:c r="G443" s="86"/>
      <x:c r="H443" s="86"/>
      <x:c r="I443" s="86"/>
      <x:c r="J443" s="82" t="str">
        <x:f>IF(C443="","Choose position",IF(COUNT(E443:I443)&lt;5,"",IF(OR(MIN(E443:I443)&lt;0.1,MAX(E443:I443)&gt;10),"Invalid score",IF(INDEX('Position_Rubric'!$H$6:$H$14,M443)&lt;&gt;1,"Check weights",ROUND(E443*INDEX('Position_Rubric'!$C$6:$C$14,M443)+F443*INDEX('Position_Rubric'!$D$6:$D$14,M443)+G443*INDEX('Position_Rubric'!$E$6:$E$14,M443)+H443*INDEX('Position_Rubric'!$F$6:$F$14,M443)+I443*INDEX('Position_Rubric'!$G$6:$G$14,M443),1)))))</x:f>
      </x:c>
      <x:c r="K443" s="82" t="str">
        <x:f>IF(AND(ISNUMBER(J443),ISNUMBER(D443)),J443-D443,"")</x:f>
      </x:c>
      <x:c r="L443" s="69" t="str">
        <x:f>IF(COUNT(E443:I443)&lt;5,"Needs component scores",IF(ISNUMBER(J443),"Calculated",J443))</x:f>
        <x:v>Needs component scores</x:v>
      </x:c>
      <x:c r="M443" s="69" t="n">
        <x:f>IF(C443="","",MATCH(C443,'Position_Rubric'!$A$6:$A$14,0))</x:f>
        <x:v>8</x:v>
      </x:c>
      <x:c r="N443" s="69" t="str"/>
    </x:row>
    <x:row r="444" ht="25" customHeight="1">
      <x:c r="A444" s="69" t="str">
        <x:v>summer-S26-1442</x:v>
      </x:c>
      <x:c r="B444" s="69" t="str">
        <x:v>Kingstone Mutandwa</x:v>
      </x:c>
      <x:c r="C444" s="69" t="str">
        <x:v>ST</x:v>
      </x:c>
      <x:c r="D444" s="82" t="str">
        <x:f>IF(ISNUMBER('Transfer_Ratings'!K444),'Transfer_Ratings'!K444,"")</x:f>
      </x:c>
      <x:c r="E444" s="86"/>
      <x:c r="F444" s="86"/>
      <x:c r="G444" s="86"/>
      <x:c r="H444" s="86"/>
      <x:c r="I444" s="86"/>
      <x:c r="J444" s="82" t="str">
        <x:f>IF(C444="","Choose position",IF(COUNT(E444:I444)&lt;5,"",IF(OR(MIN(E444:I444)&lt;0.1,MAX(E444:I444)&gt;10),"Invalid score",IF(INDEX('Position_Rubric'!$H$6:$H$14,M444)&lt;&gt;1,"Check weights",ROUND(E444*INDEX('Position_Rubric'!$C$6:$C$14,M444)+F444*INDEX('Position_Rubric'!$D$6:$D$14,M444)+G444*INDEX('Position_Rubric'!$E$6:$E$14,M444)+H444*INDEX('Position_Rubric'!$F$6:$F$14,M444)+I444*INDEX('Position_Rubric'!$G$6:$G$14,M444),1)))))</x:f>
      </x:c>
      <x:c r="K444" s="82" t="str">
        <x:f>IF(AND(ISNUMBER(J444),ISNUMBER(D444)),J444-D444,"")</x:f>
      </x:c>
      <x:c r="L444" s="69" t="str">
        <x:f>IF(COUNT(E444:I444)&lt;5,"Needs component scores",IF(ISNUMBER(J444),"Calculated",J444))</x:f>
        <x:v>Needs component scores</x:v>
      </x:c>
      <x:c r="M444" s="69" t="n">
        <x:f>IF(C444="","",MATCH(C444,'Position_Rubric'!$A$6:$A$14,0))</x:f>
        <x:v>8</x:v>
      </x:c>
      <x:c r="N444" s="69" t="str"/>
    </x:row>
    <x:row r="445" ht="25" customHeight="1">
      <x:c r="A445" s="69" t="str">
        <x:v>summer-S26-1461</x:v>
      </x:c>
      <x:c r="B445" s="69" t="str">
        <x:v>Mounaïm El Idrissy</x:v>
      </x:c>
      <x:c r="C445" s="69" t="str">
        <x:v>ST</x:v>
      </x:c>
      <x:c r="D445" s="82" t="str">
        <x:f>IF(ISNUMBER('Transfer_Ratings'!K445),'Transfer_Ratings'!K445,"")</x:f>
      </x:c>
      <x:c r="E445" s="86"/>
      <x:c r="F445" s="86"/>
      <x:c r="G445" s="86"/>
      <x:c r="H445" s="86"/>
      <x:c r="I445" s="86"/>
      <x:c r="J445" s="82" t="str">
        <x:f>IF(C445="","Choose position",IF(COUNT(E445:I445)&lt;5,"",IF(OR(MIN(E445:I445)&lt;0.1,MAX(E445:I445)&gt;10),"Invalid score",IF(INDEX('Position_Rubric'!$H$6:$H$14,M445)&lt;&gt;1,"Check weights",ROUND(E445*INDEX('Position_Rubric'!$C$6:$C$14,M445)+F445*INDEX('Position_Rubric'!$D$6:$D$14,M445)+G445*INDEX('Position_Rubric'!$E$6:$E$14,M445)+H445*INDEX('Position_Rubric'!$F$6:$F$14,M445)+I445*INDEX('Position_Rubric'!$G$6:$G$14,M445),1)))))</x:f>
      </x:c>
      <x:c r="K445" s="82" t="str">
        <x:f>IF(AND(ISNUMBER(J445),ISNUMBER(D445)),J445-D445,"")</x:f>
      </x:c>
      <x:c r="L445" s="69" t="str">
        <x:f>IF(COUNT(E445:I445)&lt;5,"Needs component scores",IF(ISNUMBER(J445),"Calculated",J445))</x:f>
        <x:v>Needs component scores</x:v>
      </x:c>
      <x:c r="M445" s="69" t="n">
        <x:f>IF(C445="","",MATCH(C445,'Position_Rubric'!$A$6:$A$14,0))</x:f>
        <x:v>8</x:v>
      </x:c>
      <x:c r="N445" s="69" t="str"/>
    </x:row>
    <x:row r="446" ht="25" customHeight="1">
      <x:c r="A446" s="69" t="str">
        <x:v>summer-S26-1463</x:v>
      </x:c>
      <x:c r="B446" s="69" t="str">
        <x:v>Chido Obi</x:v>
      </x:c>
      <x:c r="C446" s="69" t="str">
        <x:v>ST</x:v>
      </x:c>
      <x:c r="D446" s="82" t="str">
        <x:f>IF(ISNUMBER('Transfer_Ratings'!K446),'Transfer_Ratings'!K446,"")</x:f>
      </x:c>
      <x:c r="E446" s="86"/>
      <x:c r="F446" s="86"/>
      <x:c r="G446" s="86"/>
      <x:c r="H446" s="86"/>
      <x:c r="I446" s="86"/>
      <x:c r="J446" s="82" t="str">
        <x:f>IF(C446="","Choose position",IF(COUNT(E446:I446)&lt;5,"",IF(OR(MIN(E446:I446)&lt;0.1,MAX(E446:I446)&gt;10),"Invalid score",IF(INDEX('Position_Rubric'!$H$6:$H$14,M446)&lt;&gt;1,"Check weights",ROUND(E446*INDEX('Position_Rubric'!$C$6:$C$14,M446)+F446*INDEX('Position_Rubric'!$D$6:$D$14,M446)+G446*INDEX('Position_Rubric'!$E$6:$E$14,M446)+H446*INDEX('Position_Rubric'!$F$6:$F$14,M446)+I446*INDEX('Position_Rubric'!$G$6:$G$14,M446),1)))))</x:f>
      </x:c>
      <x:c r="K446" s="82" t="str">
        <x:f>IF(AND(ISNUMBER(J446),ISNUMBER(D446)),J446-D446,"")</x:f>
      </x:c>
      <x:c r="L446" s="69" t="str">
        <x:f>IF(COUNT(E446:I446)&lt;5,"Needs component scores",IF(ISNUMBER(J446),"Calculated",J446))</x:f>
        <x:v>Needs component scores</x:v>
      </x:c>
      <x:c r="M446" s="69" t="n">
        <x:f>IF(C446="","",MATCH(C446,'Position_Rubric'!$A$6:$A$14,0))</x:f>
        <x:v>8</x:v>
      </x:c>
      <x:c r="N446" s="69" t="str"/>
    </x:row>
    <x:row r="447" ht="25" customHeight="1">
      <x:c r="A447" s="69" t="str">
        <x:v>summer-S26-1465</x:v>
      </x:c>
      <x:c r="B447" s="69" t="str">
        <x:v>Tomas Cvancara</x:v>
      </x:c>
      <x:c r="C447" s="69" t="str">
        <x:v>ST</x:v>
      </x:c>
      <x:c r="D447" s="82" t="str">
        <x:f>IF(ISNUMBER('Transfer_Ratings'!K447),'Transfer_Ratings'!K447,"")</x:f>
      </x:c>
      <x:c r="E447" s="86"/>
      <x:c r="F447" s="86"/>
      <x:c r="G447" s="86"/>
      <x:c r="H447" s="86"/>
      <x:c r="I447" s="86"/>
      <x:c r="J447" s="82" t="str">
        <x:f>IF(C447="","Choose position",IF(COUNT(E447:I447)&lt;5,"",IF(OR(MIN(E447:I447)&lt;0.1,MAX(E447:I447)&gt;10),"Invalid score",IF(INDEX('Position_Rubric'!$H$6:$H$14,M447)&lt;&gt;1,"Check weights",ROUND(E447*INDEX('Position_Rubric'!$C$6:$C$14,M447)+F447*INDEX('Position_Rubric'!$D$6:$D$14,M447)+G447*INDEX('Position_Rubric'!$E$6:$E$14,M447)+H447*INDEX('Position_Rubric'!$F$6:$F$14,M447)+I447*INDEX('Position_Rubric'!$G$6:$G$14,M447),1)))))</x:f>
      </x:c>
      <x:c r="K447" s="82" t="str">
        <x:f>IF(AND(ISNUMBER(J447),ISNUMBER(D447)),J447-D447,"")</x:f>
      </x:c>
      <x:c r="L447" s="69" t="str">
        <x:f>IF(COUNT(E447:I447)&lt;5,"Needs component scores",IF(ISNUMBER(J447),"Calculated",J447))</x:f>
        <x:v>Needs component scores</x:v>
      </x:c>
      <x:c r="M447" s="69" t="n">
        <x:f>IF(C447="","",MATCH(C447,'Position_Rubric'!$A$6:$A$14,0))</x:f>
        <x:v>8</x:v>
      </x:c>
      <x:c r="N447" s="69" t="str"/>
    </x:row>
    <x:row r="448" ht="25" customHeight="1">
      <x:c r="A448" s="69" t="str">
        <x:v>summer-S26-1480</x:v>
      </x:c>
      <x:c r="B448" s="69" t="str">
        <x:v>Matheus França</x:v>
      </x:c>
      <x:c r="C448" s="69" t="str">
        <x:v>ST</x:v>
      </x:c>
      <x:c r="D448" s="82" t="str">
        <x:f>IF(ISNUMBER('Transfer_Ratings'!K448),'Transfer_Ratings'!K448,"")</x:f>
      </x:c>
      <x:c r="E448" s="86"/>
      <x:c r="F448" s="86"/>
      <x:c r="G448" s="86"/>
      <x:c r="H448" s="86"/>
      <x:c r="I448" s="86"/>
      <x:c r="J448" s="82" t="str">
        <x:f>IF(C448="","Choose position",IF(COUNT(E448:I448)&lt;5,"",IF(OR(MIN(E448:I448)&lt;0.1,MAX(E448:I448)&gt;10),"Invalid score",IF(INDEX('Position_Rubric'!$H$6:$H$14,M448)&lt;&gt;1,"Check weights",ROUND(E448*INDEX('Position_Rubric'!$C$6:$C$14,M448)+F448*INDEX('Position_Rubric'!$D$6:$D$14,M448)+G448*INDEX('Position_Rubric'!$E$6:$E$14,M448)+H448*INDEX('Position_Rubric'!$F$6:$F$14,M448)+I448*INDEX('Position_Rubric'!$G$6:$G$14,M448),1)))))</x:f>
      </x:c>
      <x:c r="K448" s="82" t="str">
        <x:f>IF(AND(ISNUMBER(J448),ISNUMBER(D448)),J448-D448,"")</x:f>
      </x:c>
      <x:c r="L448" s="69" t="str">
        <x:f>IF(COUNT(E448:I448)&lt;5,"Needs component scores",IF(ISNUMBER(J448),"Calculated",J448))</x:f>
        <x:v>Needs component scores</x:v>
      </x:c>
      <x:c r="M448" s="69" t="n">
        <x:f>IF(C448="","",MATCH(C448,'Position_Rubric'!$A$6:$A$14,0))</x:f>
        <x:v>8</x:v>
      </x:c>
      <x:c r="N448" s="69" t="str"/>
    </x:row>
    <x:row r="449" ht="25" customHeight="1">
      <x:c r="A449" s="69" t="str">
        <x:v>summer-S26-1489</x:v>
      </x:c>
      <x:c r="B449" s="69" t="str">
        <x:v>Giovani Versini</x:v>
      </x:c>
      <x:c r="C449" s="69" t="str">
        <x:v>ST</x:v>
      </x:c>
      <x:c r="D449" s="82" t="str">
        <x:f>IF(ISNUMBER('Transfer_Ratings'!K449),'Transfer_Ratings'!K449,"")</x:f>
      </x:c>
      <x:c r="E449" s="86"/>
      <x:c r="F449" s="86"/>
      <x:c r="G449" s="86"/>
      <x:c r="H449" s="86"/>
      <x:c r="I449" s="86"/>
      <x:c r="J449" s="82" t="str">
        <x:f>IF(C449="","Choose position",IF(COUNT(E449:I449)&lt;5,"",IF(OR(MIN(E449:I449)&lt;0.1,MAX(E449:I449)&gt;10),"Invalid score",IF(INDEX('Position_Rubric'!$H$6:$H$14,M449)&lt;&gt;1,"Check weights",ROUND(E449*INDEX('Position_Rubric'!$C$6:$C$14,M449)+F449*INDEX('Position_Rubric'!$D$6:$D$14,M449)+G449*INDEX('Position_Rubric'!$E$6:$E$14,M449)+H449*INDEX('Position_Rubric'!$F$6:$F$14,M449)+I449*INDEX('Position_Rubric'!$G$6:$G$14,M449),1)))))</x:f>
      </x:c>
      <x:c r="K449" s="82" t="str">
        <x:f>IF(AND(ISNUMBER(J449),ISNUMBER(D449)),J449-D449,"")</x:f>
      </x:c>
      <x:c r="L449" s="69" t="str">
        <x:f>IF(COUNT(E449:I449)&lt;5,"Needs component scores",IF(ISNUMBER(J449),"Calculated",J449))</x:f>
        <x:v>Needs component scores</x:v>
      </x:c>
      <x:c r="M449" s="69" t="n">
        <x:f>IF(C449="","",MATCH(C449,'Position_Rubric'!$A$6:$A$14,0))</x:f>
        <x:v>8</x:v>
      </x:c>
      <x:c r="N449" s="69" t="str"/>
    </x:row>
    <x:row r="450" ht="25" customHeight="1">
      <x:c r="A450" s="69" t="str">
        <x:v>summer-S26-1492</x:v>
      </x:c>
      <x:c r="B450" s="69" t="str">
        <x:v>Casper Tengstedt</x:v>
      </x:c>
      <x:c r="C450" s="69" t="str">
        <x:v>ST</x:v>
      </x:c>
      <x:c r="D450" s="82" t="str">
        <x:f>IF(ISNUMBER('Transfer_Ratings'!K450),'Transfer_Ratings'!K450,"")</x:f>
      </x:c>
      <x:c r="E450" s="86"/>
      <x:c r="F450" s="86"/>
      <x:c r="G450" s="86"/>
      <x:c r="H450" s="86"/>
      <x:c r="I450" s="86"/>
      <x:c r="J450" s="82" t="str">
        <x:f>IF(C450="","Choose position",IF(COUNT(E450:I450)&lt;5,"",IF(OR(MIN(E450:I450)&lt;0.1,MAX(E450:I450)&gt;10),"Invalid score",IF(INDEX('Position_Rubric'!$H$6:$H$14,M450)&lt;&gt;1,"Check weights",ROUND(E450*INDEX('Position_Rubric'!$C$6:$C$14,M450)+F450*INDEX('Position_Rubric'!$D$6:$D$14,M450)+G450*INDEX('Position_Rubric'!$E$6:$E$14,M450)+H450*INDEX('Position_Rubric'!$F$6:$F$14,M450)+I450*INDEX('Position_Rubric'!$G$6:$G$14,M450),1)))))</x:f>
      </x:c>
      <x:c r="K450" s="82" t="str">
        <x:f>IF(AND(ISNUMBER(J450),ISNUMBER(D450)),J450-D450,"")</x:f>
      </x:c>
      <x:c r="L450" s="69" t="str">
        <x:f>IF(COUNT(E450:I450)&lt;5,"Needs component scores",IF(ISNUMBER(J450),"Calculated",J450))</x:f>
        <x:v>Needs component scores</x:v>
      </x:c>
      <x:c r="M450" s="69" t="n">
        <x:f>IF(C450="","",MATCH(C450,'Position_Rubric'!$A$6:$A$14,0))</x:f>
        <x:v>8</x:v>
      </x:c>
      <x:c r="N450" s="69" t="str"/>
    </x:row>
    <x:row r="451" ht="25" customHeight="1">
      <x:c r="A451" s="69" t="str">
        <x:v>summer-S26-1507</x:v>
      </x:c>
      <x:c r="B451" s="69" t="str">
        <x:v>Sean Neave</x:v>
      </x:c>
      <x:c r="C451" s="69" t="str">
        <x:v>ST</x:v>
      </x:c>
      <x:c r="D451" s="82" t="str">
        <x:f>IF(ISNUMBER('Transfer_Ratings'!K451),'Transfer_Ratings'!K451,"")</x:f>
      </x:c>
      <x:c r="E451" s="86"/>
      <x:c r="F451" s="86"/>
      <x:c r="G451" s="86"/>
      <x:c r="H451" s="86"/>
      <x:c r="I451" s="86"/>
      <x:c r="J451" s="82" t="str">
        <x:f>IF(C451="","Choose position",IF(COUNT(E451:I451)&lt;5,"",IF(OR(MIN(E451:I451)&lt;0.1,MAX(E451:I451)&gt;10),"Invalid score",IF(INDEX('Position_Rubric'!$H$6:$H$14,M451)&lt;&gt;1,"Check weights",ROUND(E451*INDEX('Position_Rubric'!$C$6:$C$14,M451)+F451*INDEX('Position_Rubric'!$D$6:$D$14,M451)+G451*INDEX('Position_Rubric'!$E$6:$E$14,M451)+H451*INDEX('Position_Rubric'!$F$6:$F$14,M451)+I451*INDEX('Position_Rubric'!$G$6:$G$14,M451),1)))))</x:f>
      </x:c>
      <x:c r="K451" s="82" t="str">
        <x:f>IF(AND(ISNUMBER(J451),ISNUMBER(D451)),J451-D451,"")</x:f>
      </x:c>
      <x:c r="L451" s="69" t="str">
        <x:f>IF(COUNT(E451:I451)&lt;5,"Needs component scores",IF(ISNUMBER(J451),"Calculated",J451))</x:f>
        <x:v>Needs component scores</x:v>
      </x:c>
      <x:c r="M451" s="69" t="n">
        <x:f>IF(C451="","",MATCH(C451,'Position_Rubric'!$A$6:$A$14,0))</x:f>
        <x:v>8</x:v>
      </x:c>
      <x:c r="N451" s="69" t="str"/>
    </x:row>
    <x:row r="452" ht="25" customHeight="1">
      <x:c r="A452" s="69" t="str">
        <x:v>summer-S26-0492</x:v>
      </x:c>
      <x:c r="B452" s="69" t="str">
        <x:v>Morgan Rogers</x:v>
      </x:c>
      <x:c r="C452" s="69" t="str">
        <x:v>ST</x:v>
      </x:c>
      <x:c r="D452" s="82" t="str">
        <x:f>IF(ISNUMBER('Transfer_Ratings'!K452),'Transfer_Ratings'!K452,"")</x:f>
      </x:c>
      <x:c r="E452" s="86"/>
      <x:c r="F452" s="86"/>
      <x:c r="G452" s="86"/>
      <x:c r="H452" s="86"/>
      <x:c r="I452" s="86"/>
      <x:c r="J452" s="82" t="str">
        <x:f>IF(C452="","Choose position",IF(COUNT(E452:I452)&lt;5,"",IF(OR(MIN(E452:I452)&lt;0.1,MAX(E452:I452)&gt;10),"Invalid score",IF(INDEX('Position_Rubric'!$H$6:$H$14,M452)&lt;&gt;1,"Check weights",ROUND(E452*INDEX('Position_Rubric'!$C$6:$C$14,M452)+F452*INDEX('Position_Rubric'!$D$6:$D$14,M452)+G452*INDEX('Position_Rubric'!$E$6:$E$14,M452)+H452*INDEX('Position_Rubric'!$F$6:$F$14,M452)+I452*INDEX('Position_Rubric'!$G$6:$G$14,M452),1)))))</x:f>
      </x:c>
      <x:c r="K452" s="82" t="str">
        <x:f>IF(AND(ISNUMBER(J452),ISNUMBER(D452)),J452-D452,"")</x:f>
      </x:c>
      <x:c r="L452" s="69" t="str">
        <x:f>IF(COUNT(E452:I452)&lt;5,"Needs component scores",IF(ISNUMBER(J452),"Calculated",J452))</x:f>
        <x:v>Needs component scores</x:v>
      </x:c>
      <x:c r="M452" s="69" t="n">
        <x:f>IF(C452="","",MATCH(C452,'Position_Rubric'!$A$6:$A$14,0))</x:f>
        <x:v>8</x:v>
      </x:c>
      <x:c r="N452" s="69" t="str"/>
    </x:row>
    <x:row r="453" ht="25" customHeight="1">
      <x:c r="A453" s="69" t="str">
        <x:v>summer-S26-1230</x:v>
      </x:c>
      <x:c r="B453" s="69" t="str">
        <x:v>Bradley Barcola</x:v>
      </x:c>
      <x:c r="C453" s="69" t="str">
        <x:v>ST</x:v>
      </x:c>
      <x:c r="D453" s="82" t="str">
        <x:f>IF(ISNUMBER('Transfer_Ratings'!K453),'Transfer_Ratings'!K453,"")</x:f>
      </x:c>
      <x:c r="E453" s="86"/>
      <x:c r="F453" s="86"/>
      <x:c r="G453" s="86"/>
      <x:c r="H453" s="86"/>
      <x:c r="I453" s="86"/>
      <x:c r="J453" s="82" t="str">
        <x:f>IF(C453="","Choose position",IF(COUNT(E453:I453)&lt;5,"",IF(OR(MIN(E453:I453)&lt;0.1,MAX(E453:I453)&gt;10),"Invalid score",IF(INDEX('Position_Rubric'!$H$6:$H$14,M453)&lt;&gt;1,"Check weights",ROUND(E453*INDEX('Position_Rubric'!$C$6:$C$14,M453)+F453*INDEX('Position_Rubric'!$D$6:$D$14,M453)+G453*INDEX('Position_Rubric'!$E$6:$E$14,M453)+H453*INDEX('Position_Rubric'!$F$6:$F$14,M453)+I453*INDEX('Position_Rubric'!$G$6:$G$14,M453),1)))))</x:f>
      </x:c>
      <x:c r="K453" s="82" t="str">
        <x:f>IF(AND(ISNUMBER(J453),ISNUMBER(D453)),J453-D453,"")</x:f>
      </x:c>
      <x:c r="L453" s="69" t="str">
        <x:f>IF(COUNT(E453:I453)&lt;5,"Needs component scores",IF(ISNUMBER(J453),"Calculated",J453))</x:f>
        <x:v>Needs component scores</x:v>
      </x:c>
      <x:c r="M453" s="69" t="n">
        <x:f>IF(C453="","",MATCH(C453,'Position_Rubric'!$A$6:$A$14,0))</x:f>
        <x:v>8</x:v>
      </x:c>
      <x:c r="N453" s="69" t="str"/>
    </x:row>
    <x:row r="454" ht="25" customHeight="1">
      <x:c r="A454" s="69" t="str">
        <x:v>summer-S26-1254</x:v>
      </x:c>
      <x:c r="B454" s="69" t="str">
        <x:v>Ibrahim Mbaye</x:v>
      </x:c>
      <x:c r="C454" s="69" t="str">
        <x:v>ST</x:v>
      </x:c>
      <x:c r="D454" s="82" t="str">
        <x:f>IF(ISNUMBER('Transfer_Ratings'!K454),'Transfer_Ratings'!K454,"")</x:f>
      </x:c>
      <x:c r="E454" s="86"/>
      <x:c r="F454" s="86"/>
      <x:c r="G454" s="86"/>
      <x:c r="H454" s="86"/>
      <x:c r="I454" s="86"/>
      <x:c r="J454" s="82" t="str">
        <x:f>IF(C454="","Choose position",IF(COUNT(E454:I454)&lt;5,"",IF(OR(MIN(E454:I454)&lt;0.1,MAX(E454:I454)&gt;10),"Invalid score",IF(INDEX('Position_Rubric'!$H$6:$H$14,M454)&lt;&gt;1,"Check weights",ROUND(E454*INDEX('Position_Rubric'!$C$6:$C$14,M454)+F454*INDEX('Position_Rubric'!$D$6:$D$14,M454)+G454*INDEX('Position_Rubric'!$E$6:$E$14,M454)+H454*INDEX('Position_Rubric'!$F$6:$F$14,M454)+I454*INDEX('Position_Rubric'!$G$6:$G$14,M454),1)))))</x:f>
      </x:c>
      <x:c r="K454" s="82" t="str">
        <x:f>IF(AND(ISNUMBER(J454),ISNUMBER(D454)),J454-D454,"")</x:f>
      </x:c>
      <x:c r="L454" s="69" t="str">
        <x:f>IF(COUNT(E454:I454)&lt;5,"Needs component scores",IF(ISNUMBER(J454),"Calculated",J454))</x:f>
        <x:v>Needs component scores</x:v>
      </x:c>
      <x:c r="M454" s="69" t="n">
        <x:f>IF(C454="","",MATCH(C454,'Position_Rubric'!$A$6:$A$14,0))</x:f>
        <x:v>8</x:v>
      </x:c>
      <x:c r="N454" s="69" t="str"/>
    </x:row>
    <x:row r="455" ht="25" customHeight="1">
      <x:c r="A455" s="69" t="str">
        <x:v>historical-2</x:v>
      </x:c>
      <x:c r="B455" s="69" t="str">
        <x:v>Ousmane Dembélé</x:v>
      </x:c>
      <x:c r="C455" s="69" t="str">
        <x:v>WINGER</x:v>
      </x:c>
      <x:c r="D455" s="82" t="n">
        <x:f>IF(ISNUMBER('Transfer_Ratings'!K455),'Transfer_Ratings'!K455,"")</x:f>
        <x:v>6.4</x:v>
      </x:c>
      <x:c r="E455" s="86"/>
      <x:c r="F455" s="86"/>
      <x:c r="G455" s="86"/>
      <x:c r="H455" s="86"/>
      <x:c r="I455" s="86"/>
      <x:c r="J455" s="82" t="str">
        <x:f>IF(C455="","Choose position",IF(COUNT(E455:I455)&lt;5,"",IF(OR(MIN(E455:I455)&lt;0.1,MAX(E455:I455)&gt;10),"Invalid score",IF(INDEX('Position_Rubric'!$H$6:$H$14,M455)&lt;&gt;1,"Check weights",ROUND(E455*INDEX('Position_Rubric'!$C$6:$C$14,M455)+F455*INDEX('Position_Rubric'!$D$6:$D$14,M455)+G455*INDEX('Position_Rubric'!$E$6:$E$14,M455)+H455*INDEX('Position_Rubric'!$F$6:$F$14,M455)+I455*INDEX('Position_Rubric'!$G$6:$G$14,M455),1)))))</x:f>
      </x:c>
      <x:c r="K455" s="82" t="str">
        <x:f>IF(AND(ISNUMBER(J455),ISNUMBER(D455)),J455-D455,"")</x:f>
      </x:c>
      <x:c r="L455" s="69" t="str">
        <x:f>IF(COUNT(E455:I455)&lt;5,"Needs component scores",IF(ISNUMBER(J455),"Calculated",J455))</x:f>
        <x:v>Needs component scores</x:v>
      </x:c>
      <x:c r="M455" s="69" t="n">
        <x:f>IF(C455="","",MATCH(C455,'Position_Rubric'!$A$6:$A$14,0))</x:f>
        <x:v>7</x:v>
      </x:c>
      <x:c r="N455" s="69" t="str"/>
    </x:row>
    <x:row r="456" ht="25" customHeight="1">
      <x:c r="A456" s="69" t="str">
        <x:v>historical-11</x:v>
      </x:c>
      <x:c r="B456" s="69" t="str">
        <x:v>Bradley Barcola</x:v>
      </x:c>
      <x:c r="C456" s="69" t="str">
        <x:v>WINGER</x:v>
      </x:c>
      <x:c r="D456" s="82" t="str">
        <x:f>IF(ISNUMBER('Transfer_Ratings'!K456),'Transfer_Ratings'!K456,"")</x:f>
      </x:c>
      <x:c r="E456" s="86"/>
      <x:c r="F456" s="86"/>
      <x:c r="G456" s="86"/>
      <x:c r="H456" s="86"/>
      <x:c r="I456" s="86"/>
      <x:c r="J456" s="82" t="str">
        <x:f>IF(C456="","Choose position",IF(COUNT(E456:I456)&lt;5,"",IF(OR(MIN(E456:I456)&lt;0.1,MAX(E456:I456)&gt;10),"Invalid score",IF(INDEX('Position_Rubric'!$H$6:$H$14,M456)&lt;&gt;1,"Check weights",ROUND(E456*INDEX('Position_Rubric'!$C$6:$C$14,M456)+F456*INDEX('Position_Rubric'!$D$6:$D$14,M456)+G456*INDEX('Position_Rubric'!$E$6:$E$14,M456)+H456*INDEX('Position_Rubric'!$F$6:$F$14,M456)+I456*INDEX('Position_Rubric'!$G$6:$G$14,M456),1)))))</x:f>
      </x:c>
      <x:c r="K456" s="82" t="str">
        <x:f>IF(AND(ISNUMBER(J456),ISNUMBER(D456)),J456-D456,"")</x:f>
      </x:c>
      <x:c r="L456" s="69" t="str">
        <x:f>IF(COUNT(E456:I456)&lt;5,"Needs component scores",IF(ISNUMBER(J456),"Calculated",J456))</x:f>
        <x:v>Needs component scores</x:v>
      </x:c>
      <x:c r="M456" s="69" t="n">
        <x:f>IF(C456="","",MATCH(C456,'Position_Rubric'!$A$6:$A$14,0))</x:f>
        <x:v>7</x:v>
      </x:c>
      <x:c r="N456" s="69" t="str"/>
    </x:row>
    <x:row r="457" ht="25" customHeight="1">
      <x:c r="A457" s="69" t="str">
        <x:v>historical-12</x:v>
      </x:c>
      <x:c r="B457" s="69" t="str">
        <x:v>Yan Diomande</x:v>
      </x:c>
      <x:c r="C457" s="69" t="str">
        <x:v>WINGER</x:v>
      </x:c>
      <x:c r="D457" s="82" t="str">
        <x:f>IF(ISNUMBER('Transfer_Ratings'!K457),'Transfer_Ratings'!K457,"")</x:f>
      </x:c>
      <x:c r="E457" s="86"/>
      <x:c r="F457" s="86"/>
      <x:c r="G457" s="86"/>
      <x:c r="H457" s="86"/>
      <x:c r="I457" s="86"/>
      <x:c r="J457" s="82" t="str">
        <x:f>IF(C457="","Choose position",IF(COUNT(E457:I457)&lt;5,"",IF(OR(MIN(E457:I457)&lt;0.1,MAX(E457:I457)&gt;10),"Invalid score",IF(INDEX('Position_Rubric'!$H$6:$H$14,M457)&lt;&gt;1,"Check weights",ROUND(E457*INDEX('Position_Rubric'!$C$6:$C$14,M457)+F457*INDEX('Position_Rubric'!$D$6:$D$14,M457)+G457*INDEX('Position_Rubric'!$E$6:$E$14,M457)+H457*INDEX('Position_Rubric'!$F$6:$F$14,M457)+I457*INDEX('Position_Rubric'!$G$6:$G$14,M457),1)))))</x:f>
      </x:c>
      <x:c r="K457" s="82" t="str">
        <x:f>IF(AND(ISNUMBER(J457),ISNUMBER(D457)),J457-D457,"")</x:f>
      </x:c>
      <x:c r="L457" s="69" t="str">
        <x:f>IF(COUNT(E457:I457)&lt;5,"Needs component scores",IF(ISNUMBER(J457),"Calculated",J457))</x:f>
        <x:v>Needs component scores</x:v>
      </x:c>
      <x:c r="M457" s="69" t="n">
        <x:f>IF(C457="","",MATCH(C457,'Position_Rubric'!$A$6:$A$14,0))</x:f>
        <x:v>7</x:v>
      </x:c>
      <x:c r="N457" s="69" t="str"/>
    </x:row>
    <x:row r="458" ht="25" customHeight="1">
      <x:c r="A458" s="69" t="str">
        <x:v>historical-15</x:v>
      </x:c>
      <x:c r="B458" s="69" t="str">
        <x:v>Jack Grealish</x:v>
      </x:c>
      <x:c r="C458" s="69" t="str">
        <x:v>WINGER</x:v>
      </x:c>
      <x:c r="D458" s="82" t="n">
        <x:f>IF(ISNUMBER('Transfer_Ratings'!K458),'Transfer_Ratings'!K458,"")</x:f>
        <x:v>6.5</x:v>
      </x:c>
      <x:c r="E458" s="86"/>
      <x:c r="F458" s="86"/>
      <x:c r="G458" s="86"/>
      <x:c r="H458" s="86"/>
      <x:c r="I458" s="86"/>
      <x:c r="J458" s="82" t="str">
        <x:f>IF(C458="","Choose position",IF(COUNT(E458:I458)&lt;5,"",IF(OR(MIN(E458:I458)&lt;0.1,MAX(E458:I458)&gt;10),"Invalid score",IF(INDEX('Position_Rubric'!$H$6:$H$14,M458)&lt;&gt;1,"Check weights",ROUND(E458*INDEX('Position_Rubric'!$C$6:$C$14,M458)+F458*INDEX('Position_Rubric'!$D$6:$D$14,M458)+G458*INDEX('Position_Rubric'!$E$6:$E$14,M458)+H458*INDEX('Position_Rubric'!$F$6:$F$14,M458)+I458*INDEX('Position_Rubric'!$G$6:$G$14,M458),1)))))</x:f>
      </x:c>
      <x:c r="K458" s="82" t="str">
        <x:f>IF(AND(ISNUMBER(J458),ISNUMBER(D458)),J458-D458,"")</x:f>
      </x:c>
      <x:c r="L458" s="69" t="str">
        <x:f>IF(COUNT(E458:I458)&lt;5,"Needs component scores",IF(ISNUMBER(J458),"Calculated",J458))</x:f>
        <x:v>Needs component scores</x:v>
      </x:c>
      <x:c r="M458" s="69" t="n">
        <x:f>IF(C458="","",MATCH(C458,'Position_Rubric'!$A$6:$A$14,0))</x:f>
        <x:v>7</x:v>
      </x:c>
      <x:c r="N458" s="69" t="str"/>
    </x:row>
    <x:row r="459" ht="25" customHeight="1">
      <x:c r="A459" s="69" t="str">
        <x:v>historical-27</x:v>
      </x:c>
      <x:c r="B459" s="69" t="str">
        <x:v>Antony</x:v>
      </x:c>
      <x:c r="C459" s="69" t="str">
        <x:v>WINGER</x:v>
      </x:c>
      <x:c r="D459" s="82" t="n">
        <x:f>IF(ISNUMBER('Transfer_Ratings'!K459),'Transfer_Ratings'!K459,"")</x:f>
        <x:v>2.2</x:v>
      </x:c>
      <x:c r="E459" s="86"/>
      <x:c r="F459" s="86"/>
      <x:c r="G459" s="86"/>
      <x:c r="H459" s="86"/>
      <x:c r="I459" s="86"/>
      <x:c r="J459" s="82" t="str">
        <x:f>IF(C459="","Choose position",IF(COUNT(E459:I459)&lt;5,"",IF(OR(MIN(E459:I459)&lt;0.1,MAX(E459:I459)&gt;10),"Invalid score",IF(INDEX('Position_Rubric'!$H$6:$H$14,M459)&lt;&gt;1,"Check weights",ROUND(E459*INDEX('Position_Rubric'!$C$6:$C$14,M459)+F459*INDEX('Position_Rubric'!$D$6:$D$14,M459)+G459*INDEX('Position_Rubric'!$E$6:$E$14,M459)+H459*INDEX('Position_Rubric'!$F$6:$F$14,M459)+I459*INDEX('Position_Rubric'!$G$6:$G$14,M459),1)))))</x:f>
      </x:c>
      <x:c r="K459" s="82" t="str">
        <x:f>IF(AND(ISNUMBER(J459),ISNUMBER(D459)),J459-D459,"")</x:f>
      </x:c>
      <x:c r="L459" s="69" t="str">
        <x:f>IF(COUNT(E459:I459)&lt;5,"Needs component scores",IF(ISNUMBER(J459),"Calculated",J459))</x:f>
        <x:v>Needs component scores</x:v>
      </x:c>
      <x:c r="M459" s="69" t="n">
        <x:f>IF(C459="","",MATCH(C459,'Position_Rubric'!$A$6:$A$14,0))</x:f>
        <x:v>7</x:v>
      </x:c>
      <x:c r="N459" s="69" t="str"/>
    </x:row>
    <x:row r="460" ht="25" customHeight="1">
      <x:c r="A460" s="69" t="str">
        <x:v>historical-38</x:v>
      </x:c>
      <x:c r="B460" s="69" t="str">
        <x:v>Jadon Sancho</x:v>
      </x:c>
      <x:c r="C460" s="69" t="str">
        <x:v>WINGER</x:v>
      </x:c>
      <x:c r="D460" s="82" t="n">
        <x:f>IF(ISNUMBER('Transfer_Ratings'!K460),'Transfer_Ratings'!K460,"")</x:f>
        <x:v>2.4</x:v>
      </x:c>
      <x:c r="E460" s="86"/>
      <x:c r="F460" s="86"/>
      <x:c r="G460" s="86"/>
      <x:c r="H460" s="86"/>
      <x:c r="I460" s="86"/>
      <x:c r="J460" s="82" t="str">
        <x:f>IF(C460="","Choose position",IF(COUNT(E460:I460)&lt;5,"",IF(OR(MIN(E460:I460)&lt;0.1,MAX(E460:I460)&gt;10),"Invalid score",IF(INDEX('Position_Rubric'!$H$6:$H$14,M460)&lt;&gt;1,"Check weights",ROUND(E460*INDEX('Position_Rubric'!$C$6:$C$14,M460)+F460*INDEX('Position_Rubric'!$D$6:$D$14,M460)+G460*INDEX('Position_Rubric'!$E$6:$E$14,M460)+H460*INDEX('Position_Rubric'!$F$6:$F$14,M460)+I460*INDEX('Position_Rubric'!$G$6:$G$14,M460),1)))))</x:f>
      </x:c>
      <x:c r="K460" s="82" t="str">
        <x:f>IF(AND(ISNUMBER(J460),ISNUMBER(D460)),J460-D460,"")</x:f>
      </x:c>
      <x:c r="L460" s="69" t="str">
        <x:f>IF(COUNT(E460:I460)&lt;5,"Needs component scores",IF(ISNUMBER(J460),"Calculated",J460))</x:f>
        <x:v>Needs component scores</x:v>
      </x:c>
      <x:c r="M460" s="69" t="n">
        <x:f>IF(C460="","",MATCH(C460,'Position_Rubric'!$A$6:$A$14,0))</x:f>
        <x:v>7</x:v>
      </x:c>
      <x:c r="N460" s="69" t="str"/>
    </x:row>
    <x:row r="461" ht="25" customHeight="1">
      <x:c r="A461" s="69" t="str">
        <x:v>historical-46</x:v>
      </x:c>
      <x:c r="B461" s="69" t="str">
        <x:v>Nicolas Pépé</x:v>
      </x:c>
      <x:c r="C461" s="69" t="str">
        <x:v>WINGER</x:v>
      </x:c>
      <x:c r="D461" s="82" t="n">
        <x:f>IF(ISNUMBER('Transfer_Ratings'!K461),'Transfer_Ratings'!K461,"")</x:f>
        <x:v>3.5</x:v>
      </x:c>
      <x:c r="E461" s="86"/>
      <x:c r="F461" s="86"/>
      <x:c r="G461" s="86"/>
      <x:c r="H461" s="86"/>
      <x:c r="I461" s="86"/>
      <x:c r="J461" s="82" t="str">
        <x:f>IF(C461="","Choose position",IF(COUNT(E461:I461)&lt;5,"",IF(OR(MIN(E461:I461)&lt;0.1,MAX(E461:I461)&gt;10),"Invalid score",IF(INDEX('Position_Rubric'!$H$6:$H$14,M461)&lt;&gt;1,"Check weights",ROUND(E461*INDEX('Position_Rubric'!$C$6:$C$14,M461)+F461*INDEX('Position_Rubric'!$D$6:$D$14,M461)+G461*INDEX('Position_Rubric'!$E$6:$E$14,M461)+H461*INDEX('Position_Rubric'!$F$6:$F$14,M461)+I461*INDEX('Position_Rubric'!$G$6:$G$14,M461),1)))))</x:f>
      </x:c>
      <x:c r="K461" s="82" t="str">
        <x:f>IF(AND(ISNUMBER(J461),ISNUMBER(D461)),J461-D461,"")</x:f>
      </x:c>
      <x:c r="L461" s="69" t="str">
        <x:f>IF(COUNT(E461:I461)&lt;5,"Needs component scores",IF(ISNUMBER(J461),"Calculated",J461))</x:f>
        <x:v>Needs component scores</x:v>
      </x:c>
      <x:c r="M461" s="69" t="n">
        <x:f>IF(C461="","",MATCH(C461,'Position_Rubric'!$A$6:$A$14,0))</x:f>
        <x:v>7</x:v>
      </x:c>
      <x:c r="N461" s="69" t="str"/>
    </x:row>
    <x:row r="462" ht="25" customHeight="1">
      <x:c r="A462" s="69" t="str">
        <x:v>historical-48</x:v>
      </x:c>
      <x:c r="B462" s="69" t="str">
        <x:v>Anthony Gordon</x:v>
      </x:c>
      <x:c r="C462" s="69" t="str">
        <x:v>WINGER</x:v>
      </x:c>
      <x:c r="D462" s="82" t="str">
        <x:f>IF(ISNUMBER('Transfer_Ratings'!K462),'Transfer_Ratings'!K462,"")</x:f>
      </x:c>
      <x:c r="E462" s="86"/>
      <x:c r="F462" s="86"/>
      <x:c r="G462" s="86"/>
      <x:c r="H462" s="86"/>
      <x:c r="I462" s="86"/>
      <x:c r="J462" s="82" t="str">
        <x:f>IF(C462="","Choose position",IF(COUNT(E462:I462)&lt;5,"",IF(OR(MIN(E462:I462)&lt;0.1,MAX(E462:I462)&gt;10),"Invalid score",IF(INDEX('Position_Rubric'!$H$6:$H$14,M462)&lt;&gt;1,"Check weights",ROUND(E462*INDEX('Position_Rubric'!$C$6:$C$14,M462)+F462*INDEX('Position_Rubric'!$D$6:$D$14,M462)+G462*INDEX('Position_Rubric'!$E$6:$E$14,M462)+H462*INDEX('Position_Rubric'!$F$6:$F$14,M462)+I462*INDEX('Position_Rubric'!$G$6:$G$14,M462),1)))))</x:f>
      </x:c>
      <x:c r="K462" s="82" t="str">
        <x:f>IF(AND(ISNUMBER(J462),ISNUMBER(D462)),J462-D462,"")</x:f>
      </x:c>
      <x:c r="L462" s="69" t="str">
        <x:f>IF(COUNT(E462:I462)&lt;5,"Needs component scores",IF(ISNUMBER(J462),"Calculated",J462))</x:f>
        <x:v>Needs component scores</x:v>
      </x:c>
      <x:c r="M462" s="69" t="n">
        <x:f>IF(C462="","",MATCH(C462,'Position_Rubric'!$A$6:$A$14,0))</x:f>
        <x:v>7</x:v>
      </x:c>
      <x:c r="N462" s="69" t="str"/>
    </x:row>
    <x:row r="463" ht="25" customHeight="1">
      <x:c r="A463" s="69" t="str">
        <x:v>historical-50</x:v>
      </x:c>
      <x:c r="B463" s="69" t="str">
        <x:v>Khvicha Kvaratskhelia</x:v>
      </x:c>
      <x:c r="C463" s="69" t="str">
        <x:v>WINGER</x:v>
      </x:c>
      <x:c r="D463" s="82" t="n">
        <x:f>IF(ISNUMBER('Transfer_Ratings'!K463),'Transfer_Ratings'!K463,"")</x:f>
        <x:v>8.6</x:v>
      </x:c>
      <x:c r="E463" s="86"/>
      <x:c r="F463" s="86"/>
      <x:c r="G463" s="86"/>
      <x:c r="H463" s="86"/>
      <x:c r="I463" s="86"/>
      <x:c r="J463" s="82" t="str">
        <x:f>IF(C463="","Choose position",IF(COUNT(E463:I463)&lt;5,"",IF(OR(MIN(E463:I463)&lt;0.1,MAX(E463:I463)&gt;10),"Invalid score",IF(INDEX('Position_Rubric'!$H$6:$H$14,M463)&lt;&gt;1,"Check weights",ROUND(E463*INDEX('Position_Rubric'!$C$6:$C$14,M463)+F463*INDEX('Position_Rubric'!$D$6:$D$14,M463)+G463*INDEX('Position_Rubric'!$E$6:$E$14,M463)+H463*INDEX('Position_Rubric'!$F$6:$F$14,M463)+I463*INDEX('Position_Rubric'!$G$6:$G$14,M463),1)))))</x:f>
      </x:c>
      <x:c r="K463" s="82" t="str">
        <x:f>IF(AND(ISNUMBER(J463),ISNUMBER(D463)),J463-D463,"")</x:f>
      </x:c>
      <x:c r="L463" s="69" t="str">
        <x:f>IF(COUNT(E463:I463)&lt;5,"Needs component scores",IF(ISNUMBER(J463),"Calculated",J463))</x:f>
        <x:v>Needs component scores</x:v>
      </x:c>
      <x:c r="M463" s="69" t="n">
        <x:f>IF(C463="","",MATCH(C463,'Position_Rubric'!$A$6:$A$14,0))</x:f>
        <x:v>7</x:v>
      </x:c>
      <x:c r="N463" s="69" t="str"/>
    </x:row>
    <x:row r="464" ht="25" customHeight="1">
      <x:c r="A464" s="69" t="str">
        <x:v>historical-61</x:v>
      </x:c>
      <x:c r="B464" s="69" t="str">
        <x:v>Bryan Mbeumo</x:v>
      </x:c>
      <x:c r="C464" s="69" t="str">
        <x:v>WINGER</x:v>
      </x:c>
      <x:c r="D464" s="82" t="n">
        <x:f>IF(ISNUMBER('Transfer_Ratings'!K464),'Transfer_Ratings'!K464,"")</x:f>
        <x:v>8.5</x:v>
      </x:c>
      <x:c r="E464" s="86"/>
      <x:c r="F464" s="86"/>
      <x:c r="G464" s="86"/>
      <x:c r="H464" s="86"/>
      <x:c r="I464" s="86"/>
      <x:c r="J464" s="82" t="str">
        <x:f>IF(C464="","Choose position",IF(COUNT(E464:I464)&lt;5,"",IF(OR(MIN(E464:I464)&lt;0.1,MAX(E464:I464)&gt;10),"Invalid score",IF(INDEX('Position_Rubric'!$H$6:$H$14,M464)&lt;&gt;1,"Check weights",ROUND(E464*INDEX('Position_Rubric'!$C$6:$C$14,M464)+F464*INDEX('Position_Rubric'!$D$6:$D$14,M464)+G464*INDEX('Position_Rubric'!$E$6:$E$14,M464)+H464*INDEX('Position_Rubric'!$F$6:$F$14,M464)+I464*INDEX('Position_Rubric'!$G$6:$G$14,M464),1)))))</x:f>
      </x:c>
      <x:c r="K464" s="82" t="str">
        <x:f>IF(AND(ISNUMBER(J464),ISNUMBER(D464)),J464-D464,"")</x:f>
      </x:c>
      <x:c r="L464" s="69" t="str">
        <x:f>IF(COUNT(E464:I464)&lt;5,"Needs component scores",IF(ISNUMBER(J464),"Calculated",J464))</x:f>
        <x:v>Needs component scores</x:v>
      </x:c>
      <x:c r="M464" s="69" t="n">
        <x:f>IF(C464="","",MATCH(C464,'Position_Rubric'!$A$6:$A$14,0))</x:f>
        <x:v>7</x:v>
      </x:c>
      <x:c r="N464" s="69" t="str"/>
    </x:row>
    <x:row r="465" ht="25" customHeight="1">
      <x:c r="A465" s="69" t="str">
        <x:v>historical-63</x:v>
      </x:c>
      <x:c r="B465" s="69" t="str">
        <x:v>Ángel Di María</x:v>
      </x:c>
      <x:c r="C465" s="69" t="str">
        <x:v>WINGER</x:v>
      </x:c>
      <x:c r="D465" s="82" t="n">
        <x:f>IF(ISNUMBER('Transfer_Ratings'!K465),'Transfer_Ratings'!K465,"")</x:f>
        <x:v>4.7</x:v>
      </x:c>
      <x:c r="E465" s="86"/>
      <x:c r="F465" s="86"/>
      <x:c r="G465" s="86"/>
      <x:c r="H465" s="86"/>
      <x:c r="I465" s="86"/>
      <x:c r="J465" s="82" t="str">
        <x:f>IF(C465="","Choose position",IF(COUNT(E465:I465)&lt;5,"",IF(OR(MIN(E465:I465)&lt;0.1,MAX(E465:I465)&gt;10),"Invalid score",IF(INDEX('Position_Rubric'!$H$6:$H$14,M465)&lt;&gt;1,"Check weights",ROUND(E465*INDEX('Position_Rubric'!$C$6:$C$14,M465)+F465*INDEX('Position_Rubric'!$D$6:$D$14,M465)+G465*INDEX('Position_Rubric'!$E$6:$E$14,M465)+H465*INDEX('Position_Rubric'!$F$6:$F$14,M465)+I465*INDEX('Position_Rubric'!$G$6:$G$14,M465),1)))))</x:f>
      </x:c>
      <x:c r="K465" s="82" t="str">
        <x:f>IF(AND(ISNUMBER(J465),ISNUMBER(D465)),J465-D465,"")</x:f>
      </x:c>
      <x:c r="L465" s="69" t="str">
        <x:f>IF(COUNT(E465:I465)&lt;5,"Needs component scores",IF(ISNUMBER(J465),"Calculated",J465))</x:f>
        <x:v>Needs component scores</x:v>
      </x:c>
      <x:c r="M465" s="69" t="n">
        <x:f>IF(C465="","",MATCH(C465,'Position_Rubric'!$A$6:$A$14,0))</x:f>
        <x:v>7</x:v>
      </x:c>
      <x:c r="N465" s="69" t="str"/>
    </x:row>
    <x:row r="466" ht="25" customHeight="1">
      <x:c r="A466" s="69" t="str">
        <x:v>historical-66</x:v>
      </x:c>
      <x:c r="B466" s="69" t="str">
        <x:v>Iliman Ndiaye</x:v>
      </x:c>
      <x:c r="C466" s="69" t="str">
        <x:v>WINGER</x:v>
      </x:c>
      <x:c r="D466" s="82" t="str">
        <x:f>IF(ISNUMBER('Transfer_Ratings'!K466),'Transfer_Ratings'!K466,"")</x:f>
      </x:c>
      <x:c r="E466" s="86"/>
      <x:c r="F466" s="86"/>
      <x:c r="G466" s="86"/>
      <x:c r="H466" s="86"/>
      <x:c r="I466" s="86"/>
      <x:c r="J466" s="82" t="str">
        <x:f>IF(C466="","Choose position",IF(COUNT(E466:I466)&lt;5,"",IF(OR(MIN(E466:I466)&lt;0.1,MAX(E466:I466)&gt;10),"Invalid score",IF(INDEX('Position_Rubric'!$H$6:$H$14,M466)&lt;&gt;1,"Check weights",ROUND(E466*INDEX('Position_Rubric'!$C$6:$C$14,M466)+F466*INDEX('Position_Rubric'!$D$6:$D$14,M466)+G466*INDEX('Position_Rubric'!$E$6:$E$14,M466)+H466*INDEX('Position_Rubric'!$F$6:$F$14,M466)+I466*INDEX('Position_Rubric'!$G$6:$G$14,M466),1)))))</x:f>
      </x:c>
      <x:c r="K466" s="82" t="str">
        <x:f>IF(AND(ISNUMBER(J466),ISNUMBER(D466)),J466-D466,"")</x:f>
      </x:c>
      <x:c r="L466" s="69" t="str">
        <x:f>IF(COUNT(E466:I466)&lt;5,"Needs component scores",IF(ISNUMBER(J466),"Calculated",J466))</x:f>
        <x:v>Needs component scores</x:v>
      </x:c>
      <x:c r="M466" s="69" t="n">
        <x:f>IF(C466="","",MATCH(C466,'Position_Rubric'!$A$6:$A$14,0))</x:f>
        <x:v>7</x:v>
      </x:c>
      <x:c r="N466" s="69" t="str"/>
    </x:row>
    <x:row r="467" ht="25" customHeight="1">
      <x:c r="A467" s="69" t="str">
        <x:v>historical-70</x:v>
      </x:c>
      <x:c r="B467" s="69" t="str">
        <x:v>Antoine Semenyo</x:v>
      </x:c>
      <x:c r="C467" s="69" t="str">
        <x:v>WINGER</x:v>
      </x:c>
      <x:c r="D467" s="82" t="n">
        <x:f>IF(ISNUMBER('Transfer_Ratings'!K467),'Transfer_Ratings'!K467,"")</x:f>
        <x:v>8.5</x:v>
      </x:c>
      <x:c r="E467" s="86"/>
      <x:c r="F467" s="86"/>
      <x:c r="G467" s="86"/>
      <x:c r="H467" s="86"/>
      <x:c r="I467" s="86"/>
      <x:c r="J467" s="82" t="str">
        <x:f>IF(C467="","Choose position",IF(COUNT(E467:I467)&lt;5,"",IF(OR(MIN(E467:I467)&lt;0.1,MAX(E467:I467)&gt;10),"Invalid score",IF(INDEX('Position_Rubric'!$H$6:$H$14,M467)&lt;&gt;1,"Check weights",ROUND(E467*INDEX('Position_Rubric'!$C$6:$C$14,M467)+F467*INDEX('Position_Rubric'!$D$6:$D$14,M467)+G467*INDEX('Position_Rubric'!$E$6:$E$14,M467)+H467*INDEX('Position_Rubric'!$F$6:$F$14,M467)+I467*INDEX('Position_Rubric'!$G$6:$G$14,M467),1)))))</x:f>
      </x:c>
      <x:c r="K467" s="82" t="str">
        <x:f>IF(AND(ISNUMBER(J467),ISNUMBER(D467)),J467-D467,"")</x:f>
      </x:c>
      <x:c r="L467" s="69" t="str">
        <x:f>IF(COUNT(E467:I467)&lt;5,"Needs component scores",IF(ISNUMBER(J467),"Calculated",J467))</x:f>
        <x:v>Needs component scores</x:v>
      </x:c>
      <x:c r="M467" s="69" t="n">
        <x:f>IF(C467="","",MATCH(C467,'Position_Rubric'!$A$6:$A$14,0))</x:f>
        <x:v>7</x:v>
      </x:c>
      <x:c r="N467" s="69" t="str"/>
    </x:row>
    <x:row r="468" ht="25" customHeight="1">
      <x:c r="A468" s="69" t="str">
        <x:v>historical-75</x:v>
      </x:c>
      <x:c r="B468" s="69" t="str">
        <x:v>Luis Díaz</x:v>
      </x:c>
      <x:c r="C468" s="69" t="str">
        <x:v>WINGER</x:v>
      </x:c>
      <x:c r="D468" s="82" t="n">
        <x:f>IF(ISNUMBER('Transfer_Ratings'!K468),'Transfer_Ratings'!K468,"")</x:f>
        <x:v>8.8</x:v>
      </x:c>
      <x:c r="E468" s="86"/>
      <x:c r="F468" s="86"/>
      <x:c r="G468" s="86"/>
      <x:c r="H468" s="86"/>
      <x:c r="I468" s="86"/>
      <x:c r="J468" s="82" t="str">
        <x:f>IF(C468="","Choose position",IF(COUNT(E468:I468)&lt;5,"",IF(OR(MIN(E468:I468)&lt;0.1,MAX(E468:I468)&gt;10),"Invalid score",IF(INDEX('Position_Rubric'!$H$6:$H$14,M468)&lt;&gt;1,"Check weights",ROUND(E468*INDEX('Position_Rubric'!$C$6:$C$14,M468)+F468*INDEX('Position_Rubric'!$D$6:$D$14,M468)+G468*INDEX('Position_Rubric'!$E$6:$E$14,M468)+H468*INDEX('Position_Rubric'!$F$6:$F$14,M468)+I468*INDEX('Position_Rubric'!$G$6:$G$14,M468),1)))))</x:f>
      </x:c>
      <x:c r="K468" s="82" t="str">
        <x:f>IF(AND(ISNUMBER(J468),ISNUMBER(D468)),J468-D468,"")</x:f>
      </x:c>
      <x:c r="L468" s="69" t="str">
        <x:f>IF(COUNT(E468:I468)&lt;5,"Needs component scores",IF(ISNUMBER(J468),"Calculated",J468))</x:f>
        <x:v>Needs component scores</x:v>
      </x:c>
      <x:c r="M468" s="69" t="n">
        <x:f>IF(C468="","",MATCH(C468,'Position_Rubric'!$A$6:$A$14,0))</x:f>
        <x:v>7</x:v>
      </x:c>
      <x:c r="N468" s="69" t="str"/>
    </x:row>
    <x:row r="469" ht="25" customHeight="1">
      <x:c r="A469" s="69" t="str">
        <x:v>historical-77</x:v>
      </x:c>
      <x:c r="B469" s="69" t="str">
        <x:v>Mykhaylo Mudryk</x:v>
      </x:c>
      <x:c r="C469" s="69" t="str">
        <x:v>WINGER</x:v>
      </x:c>
      <x:c r="D469" s="82" t="n">
        <x:f>IF(ISNUMBER('Transfer_Ratings'!K469),'Transfer_Ratings'!K469,"")</x:f>
        <x:v>2.8</x:v>
      </x:c>
      <x:c r="E469" s="86"/>
      <x:c r="F469" s="86"/>
      <x:c r="G469" s="86"/>
      <x:c r="H469" s="86"/>
      <x:c r="I469" s="86"/>
      <x:c r="J469" s="82" t="str">
        <x:f>IF(C469="","Choose position",IF(COUNT(E469:I469)&lt;5,"",IF(OR(MIN(E469:I469)&lt;0.1,MAX(E469:I469)&gt;10),"Invalid score",IF(INDEX('Position_Rubric'!$H$6:$H$14,M469)&lt;&gt;1,"Check weights",ROUND(E469*INDEX('Position_Rubric'!$C$6:$C$14,M469)+F469*INDEX('Position_Rubric'!$D$6:$D$14,M469)+G469*INDEX('Position_Rubric'!$E$6:$E$14,M469)+H469*INDEX('Position_Rubric'!$F$6:$F$14,M469)+I469*INDEX('Position_Rubric'!$G$6:$G$14,M469),1)))))</x:f>
      </x:c>
      <x:c r="K469" s="82" t="str">
        <x:f>IF(AND(ISNUMBER(J469),ISNUMBER(D469)),J469-D469,"")</x:f>
      </x:c>
      <x:c r="L469" s="69" t="str">
        <x:f>IF(COUNT(E469:I469)&lt;5,"Needs component scores",IF(ISNUMBER(J469),"Calculated",J469))</x:f>
        <x:v>Needs component scores</x:v>
      </x:c>
      <x:c r="M469" s="69" t="n">
        <x:f>IF(C469="","",MATCH(C469,'Position_Rubric'!$A$6:$A$14,0))</x:f>
        <x:v>7</x:v>
      </x:c>
      <x:c r="N469" s="69" t="str"/>
    </x:row>
    <x:row r="470" ht="25" customHeight="1">
      <x:c r="A470" s="69" t="str">
        <x:v>historical-81</x:v>
      </x:c>
      <x:c r="B470" s="69" t="str">
        <x:v>Riyad Mahrez</x:v>
      </x:c>
      <x:c r="C470" s="69" t="str">
        <x:v>WINGER</x:v>
      </x:c>
      <x:c r="D470" s="82" t="n">
        <x:f>IF(ISNUMBER('Transfer_Ratings'!K470),'Transfer_Ratings'!K470,"")</x:f>
        <x:v>9.3</x:v>
      </x:c>
      <x:c r="E470" s="86"/>
      <x:c r="F470" s="86"/>
      <x:c r="G470" s="86"/>
      <x:c r="H470" s="86"/>
      <x:c r="I470" s="86"/>
      <x:c r="J470" s="82" t="str">
        <x:f>IF(C470="","Choose position",IF(COUNT(E470:I470)&lt;5,"",IF(OR(MIN(E470:I470)&lt;0.1,MAX(E470:I470)&gt;10),"Invalid score",IF(INDEX('Position_Rubric'!$H$6:$H$14,M470)&lt;&gt;1,"Check weights",ROUND(E470*INDEX('Position_Rubric'!$C$6:$C$14,M470)+F470*INDEX('Position_Rubric'!$D$6:$D$14,M470)+G470*INDEX('Position_Rubric'!$E$6:$E$14,M470)+H470*INDEX('Position_Rubric'!$F$6:$F$14,M470)+I470*INDEX('Position_Rubric'!$G$6:$G$14,M470),1)))))</x:f>
      </x:c>
      <x:c r="K470" s="82" t="str">
        <x:f>IF(AND(ISNUMBER(J470),ISNUMBER(D470)),J470-D470,"")</x:f>
      </x:c>
      <x:c r="L470" s="69" t="str">
        <x:f>IF(COUNT(E470:I470)&lt;5,"Needs component scores",IF(ISNUMBER(J470),"Calculated",J470))</x:f>
        <x:v>Needs component scores</x:v>
      </x:c>
      <x:c r="M470" s="69" t="n">
        <x:f>IF(C470="","",MATCH(C470,'Position_Rubric'!$A$6:$A$14,0))</x:f>
        <x:v>7</x:v>
      </x:c>
      <x:c r="N470" s="69" t="str"/>
    </x:row>
    <x:row r="471" ht="25" customHeight="1">
      <x:c r="A471" s="69" t="str">
        <x:v>historical-95</x:v>
      </x:c>
      <x:c r="B471" s="69" t="str">
        <x:v>Christian Pulisic</x:v>
      </x:c>
      <x:c r="C471" s="69" t="str">
        <x:v>WINGER</x:v>
      </x:c>
      <x:c r="D471" s="82" t="n">
        <x:f>IF(ISNUMBER('Transfer_Ratings'!K471),'Transfer_Ratings'!K471,"")</x:f>
        <x:v>7</x:v>
      </x:c>
      <x:c r="E471" s="86"/>
      <x:c r="F471" s="86"/>
      <x:c r="G471" s="86"/>
      <x:c r="H471" s="86"/>
      <x:c r="I471" s="86"/>
      <x:c r="J471" s="82" t="str">
        <x:f>IF(C471="","Choose position",IF(COUNT(E471:I471)&lt;5,"",IF(OR(MIN(E471:I471)&lt;0.1,MAX(E471:I471)&gt;10),"Invalid score",IF(INDEX('Position_Rubric'!$H$6:$H$14,M471)&lt;&gt;1,"Check weights",ROUND(E471*INDEX('Position_Rubric'!$C$6:$C$14,M471)+F471*INDEX('Position_Rubric'!$D$6:$D$14,M471)+G471*INDEX('Position_Rubric'!$E$6:$E$14,M471)+H471*INDEX('Position_Rubric'!$F$6:$F$14,M471)+I471*INDEX('Position_Rubric'!$G$6:$G$14,M471),1)))))</x:f>
      </x:c>
      <x:c r="K471" s="82" t="str">
        <x:f>IF(AND(ISNUMBER(J471),ISNUMBER(D471)),J471-D471,"")</x:f>
      </x:c>
      <x:c r="L471" s="69" t="str">
        <x:f>IF(COUNT(E471:I471)&lt;5,"Needs component scores",IF(ISNUMBER(J471),"Calculated",J471))</x:f>
        <x:v>Needs component scores</x:v>
      </x:c>
      <x:c r="M471" s="69" t="n">
        <x:f>IF(C471="","",MATCH(C471,'Position_Rubric'!$A$6:$A$14,0))</x:f>
        <x:v>7</x:v>
      </x:c>
      <x:c r="N471" s="69" t="str"/>
    </x:row>
    <x:row r="472" ht="25" customHeight="1">
      <x:c r="A472" s="69" t="str">
        <x:v>historical-96</x:v>
      </x:c>
      <x:c r="B472" s="69" t="str">
        <x:v>Mohammed Kudus</x:v>
      </x:c>
      <x:c r="C472" s="69" t="str">
        <x:v>WINGER</x:v>
      </x:c>
      <x:c r="D472" s="82" t="n">
        <x:f>IF(ISNUMBER('Transfer_Ratings'!K472),'Transfer_Ratings'!K472,"")</x:f>
        <x:v>7.7</x:v>
      </x:c>
      <x:c r="E472" s="86"/>
      <x:c r="F472" s="86"/>
      <x:c r="G472" s="86"/>
      <x:c r="H472" s="86"/>
      <x:c r="I472" s="86"/>
      <x:c r="J472" s="82" t="str">
        <x:f>IF(C472="","Choose position",IF(COUNT(E472:I472)&lt;5,"",IF(OR(MIN(E472:I472)&lt;0.1,MAX(E472:I472)&gt;10),"Invalid score",IF(INDEX('Position_Rubric'!$H$6:$H$14,M472)&lt;&gt;1,"Check weights",ROUND(E472*INDEX('Position_Rubric'!$C$6:$C$14,M472)+F472*INDEX('Position_Rubric'!$D$6:$D$14,M472)+G472*INDEX('Position_Rubric'!$E$6:$E$14,M472)+H472*INDEX('Position_Rubric'!$F$6:$F$14,M472)+I472*INDEX('Position_Rubric'!$G$6:$G$14,M472),1)))))</x:f>
      </x:c>
      <x:c r="K472" s="82" t="str">
        <x:f>IF(AND(ISNUMBER(J472),ISNUMBER(D472)),J472-D472,"")</x:f>
      </x:c>
      <x:c r="L472" s="69" t="str">
        <x:f>IF(COUNT(E472:I472)&lt;5,"Needs component scores",IF(ISNUMBER(J472),"Calculated",J472))</x:f>
        <x:v>Needs component scores</x:v>
      </x:c>
      <x:c r="M472" s="69" t="n">
        <x:f>IF(C472="","",MATCH(C472,'Position_Rubric'!$A$6:$A$14,0))</x:f>
        <x:v>7</x:v>
      </x:c>
      <x:c r="N472" s="69" t="str"/>
    </x:row>
    <x:row r="473" ht="25" customHeight="1">
      <x:c r="A473" s="69" t="str">
        <x:v>historical-99</x:v>
      </x:c>
      <x:c r="B473" s="69" t="str">
        <x:v>Raheem Sterling</x:v>
      </x:c>
      <x:c r="C473" s="69" t="str">
        <x:v>WINGER</x:v>
      </x:c>
      <x:c r="D473" s="82" t="n">
        <x:f>IF(ISNUMBER('Transfer_Ratings'!K473),'Transfer_Ratings'!K473,"")</x:f>
        <x:v>9.2</x:v>
      </x:c>
      <x:c r="E473" s="86"/>
      <x:c r="F473" s="86"/>
      <x:c r="G473" s="86"/>
      <x:c r="H473" s="86"/>
      <x:c r="I473" s="86"/>
      <x:c r="J473" s="82" t="str">
        <x:f>IF(C473="","Choose position",IF(COUNT(E473:I473)&lt;5,"",IF(OR(MIN(E473:I473)&lt;0.1,MAX(E473:I473)&gt;10),"Invalid score",IF(INDEX('Position_Rubric'!$H$6:$H$14,M473)&lt;&gt;1,"Check weights",ROUND(E473*INDEX('Position_Rubric'!$C$6:$C$14,M473)+F473*INDEX('Position_Rubric'!$D$6:$D$14,M473)+G473*INDEX('Position_Rubric'!$E$6:$E$14,M473)+H473*INDEX('Position_Rubric'!$F$6:$F$14,M473)+I473*INDEX('Position_Rubric'!$G$6:$G$14,M473),1)))))</x:f>
      </x:c>
      <x:c r="K473" s="82" t="str">
        <x:f>IF(AND(ISNUMBER(J473),ISNUMBER(D473)),J473-D473,"")</x:f>
      </x:c>
      <x:c r="L473" s="69" t="str">
        <x:f>IF(COUNT(E473:I473)&lt;5,"Needs component scores",IF(ISNUMBER(J473),"Calculated",J473))</x:f>
        <x:v>Needs component scores</x:v>
      </x:c>
      <x:c r="M473" s="69" t="n">
        <x:f>IF(C473="","",MATCH(C473,'Position_Rubric'!$A$6:$A$14,0))</x:f>
        <x:v>7</x:v>
      </x:c>
      <x:c r="N473" s="69" t="str"/>
    </x:row>
    <x:row r="474" ht="25" customHeight="1">
      <x:c r="A474" s="69" t="str">
        <x:v>historical-103</x:v>
      </x:c>
      <x:c r="B474" s="69" t="str">
        <x:v>Ángel Di María</x:v>
      </x:c>
      <x:c r="C474" s="69" t="str">
        <x:v>WINGER</x:v>
      </x:c>
      <x:c r="D474" s="82" t="n">
        <x:f>IF(ISNUMBER('Transfer_Ratings'!K474),'Transfer_Ratings'!K474,"")</x:f>
        <x:v>9.3</x:v>
      </x:c>
      <x:c r="E474" s="86"/>
      <x:c r="F474" s="86"/>
      <x:c r="G474" s="86"/>
      <x:c r="H474" s="86"/>
      <x:c r="I474" s="86"/>
      <x:c r="J474" s="82" t="str">
        <x:f>IF(C474="","Choose position",IF(COUNT(E474:I474)&lt;5,"",IF(OR(MIN(E474:I474)&lt;0.1,MAX(E474:I474)&gt;10),"Invalid score",IF(INDEX('Position_Rubric'!$H$6:$H$14,M474)&lt;&gt;1,"Check weights",ROUND(E474*INDEX('Position_Rubric'!$C$6:$C$14,M474)+F474*INDEX('Position_Rubric'!$D$6:$D$14,M474)+G474*INDEX('Position_Rubric'!$E$6:$E$14,M474)+H474*INDEX('Position_Rubric'!$F$6:$F$14,M474)+I474*INDEX('Position_Rubric'!$G$6:$G$14,M474),1)))))</x:f>
      </x:c>
      <x:c r="K474" s="82" t="str">
        <x:f>IF(AND(ISNUMBER(J474),ISNUMBER(D474)),J474-D474,"")</x:f>
      </x:c>
      <x:c r="L474" s="69" t="str">
        <x:f>IF(COUNT(E474:I474)&lt;5,"Needs component scores",IF(ISNUMBER(J474),"Calculated",J474))</x:f>
        <x:v>Needs component scores</x:v>
      </x:c>
      <x:c r="M474" s="69" t="n">
        <x:f>IF(C474="","",MATCH(C474,'Position_Rubric'!$A$6:$A$14,0))</x:f>
        <x:v>7</x:v>
      </x:c>
      <x:c r="N474" s="69" t="str"/>
    </x:row>
    <x:row r="475" ht="25" customHeight="1">
      <x:c r="A475" s="69" t="str">
        <x:v>historical-110</x:v>
      </x:c>
      <x:c r="B475" s="69" t="str">
        <x:v>Anthony Elanga</x:v>
      </x:c>
      <x:c r="C475" s="69" t="str">
        <x:v>WINGER</x:v>
      </x:c>
      <x:c r="D475" s="82" t="n">
        <x:f>IF(ISNUMBER('Transfer_Ratings'!K475),'Transfer_Ratings'!K475,"")</x:f>
        <x:v>7.4</x:v>
      </x:c>
      <x:c r="E475" s="86"/>
      <x:c r="F475" s="86"/>
      <x:c r="G475" s="86"/>
      <x:c r="H475" s="86"/>
      <x:c r="I475" s="86"/>
      <x:c r="J475" s="82" t="str">
        <x:f>IF(C475="","Choose position",IF(COUNT(E475:I475)&lt;5,"",IF(OR(MIN(E475:I475)&lt;0.1,MAX(E475:I475)&gt;10),"Invalid score",IF(INDEX('Position_Rubric'!$H$6:$H$14,M475)&lt;&gt;1,"Check weights",ROUND(E475*INDEX('Position_Rubric'!$C$6:$C$14,M475)+F475*INDEX('Position_Rubric'!$D$6:$D$14,M475)+G475*INDEX('Position_Rubric'!$E$6:$E$14,M475)+H475*INDEX('Position_Rubric'!$F$6:$F$14,M475)+I475*INDEX('Position_Rubric'!$G$6:$G$14,M475),1)))))</x:f>
      </x:c>
      <x:c r="K475" s="82" t="str">
        <x:f>IF(AND(ISNUMBER(J475),ISNUMBER(D475)),J475-D475,"")</x:f>
      </x:c>
      <x:c r="L475" s="69" t="str">
        <x:f>IF(COUNT(E475:I475)&lt;5,"Needs component scores",IF(ISNUMBER(J475),"Calculated",J475))</x:f>
        <x:v>Needs component scores</x:v>
      </x:c>
      <x:c r="M475" s="69" t="n">
        <x:f>IF(C475="","",MATCH(C475,'Position_Rubric'!$A$6:$A$14,0))</x:f>
        <x:v>7</x:v>
      </x:c>
      <x:c r="N475" s="69" t="str"/>
    </x:row>
    <x:row r="476" ht="25" customHeight="1">
      <x:c r="A476" s="69" t="str">
        <x:v>historical-114</x:v>
      </x:c>
      <x:c r="B476" s="69" t="str">
        <x:v>Moussa Diaby</x:v>
      </x:c>
      <x:c r="C476" s="69" t="str">
        <x:v>WINGER</x:v>
      </x:c>
      <x:c r="D476" s="82" t="n">
        <x:f>IF(ISNUMBER('Transfer_Ratings'!K476),'Transfer_Ratings'!K476,"")</x:f>
        <x:v>7.4</x:v>
      </x:c>
      <x:c r="E476" s="86"/>
      <x:c r="F476" s="86"/>
      <x:c r="G476" s="86"/>
      <x:c r="H476" s="86"/>
      <x:c r="I476" s="86"/>
      <x:c r="J476" s="82" t="str">
        <x:f>IF(C476="","Choose position",IF(COUNT(E476:I476)&lt;5,"",IF(OR(MIN(E476:I476)&lt;0.1,MAX(E476:I476)&gt;10),"Invalid score",IF(INDEX('Position_Rubric'!$H$6:$H$14,M476)&lt;&gt;1,"Check weights",ROUND(E476*INDEX('Position_Rubric'!$C$6:$C$14,M476)+F476*INDEX('Position_Rubric'!$D$6:$D$14,M476)+G476*INDEX('Position_Rubric'!$E$6:$E$14,M476)+H476*INDEX('Position_Rubric'!$F$6:$F$14,M476)+I476*INDEX('Position_Rubric'!$G$6:$G$14,M476),1)))))</x:f>
      </x:c>
      <x:c r="K476" s="82" t="str">
        <x:f>IF(AND(ISNUMBER(J476),ISNUMBER(D476)),J476-D476,"")</x:f>
      </x:c>
      <x:c r="L476" s="69" t="str">
        <x:f>IF(COUNT(E476:I476)&lt;5,"Needs component scores",IF(ISNUMBER(J476),"Calculated",J476))</x:f>
        <x:v>Needs component scores</x:v>
      </x:c>
      <x:c r="M476" s="69" t="n">
        <x:f>IF(C476="","",MATCH(C476,'Position_Rubric'!$A$6:$A$14,0))</x:f>
        <x:v>7</x:v>
      </x:c>
      <x:c r="N476" s="69" t="str"/>
    </x:row>
    <x:row r="477" ht="25" customHeight="1">
      <x:c r="A477" s="69" t="str">
        <x:v>historical-118</x:v>
      </x:c>
      <x:c r="B477" s="69" t="str">
        <x:v>Malcom</x:v>
      </x:c>
      <x:c r="C477" s="69" t="str">
        <x:v>WINGER</x:v>
      </x:c>
      <x:c r="D477" s="82" t="n">
        <x:f>IF(ISNUMBER('Transfer_Ratings'!K477),'Transfer_Ratings'!K477,"")</x:f>
        <x:v>7.6</x:v>
      </x:c>
      <x:c r="E477" s="86"/>
      <x:c r="F477" s="86"/>
      <x:c r="G477" s="86"/>
      <x:c r="H477" s="86"/>
      <x:c r="I477" s="86"/>
      <x:c r="J477" s="82" t="str">
        <x:f>IF(C477="","Choose position",IF(COUNT(E477:I477)&lt;5,"",IF(OR(MIN(E477:I477)&lt;0.1,MAX(E477:I477)&gt;10),"Invalid score",IF(INDEX('Position_Rubric'!$H$6:$H$14,M477)&lt;&gt;1,"Check weights",ROUND(E477*INDEX('Position_Rubric'!$C$6:$C$14,M477)+F477*INDEX('Position_Rubric'!$D$6:$D$14,M477)+G477*INDEX('Position_Rubric'!$E$6:$E$14,M477)+H477*INDEX('Position_Rubric'!$F$6:$F$14,M477)+I477*INDEX('Position_Rubric'!$G$6:$G$14,M477),1)))))</x:f>
      </x:c>
      <x:c r="K477" s="82" t="str">
        <x:f>IF(AND(ISNUMBER(J477),ISNUMBER(D477)),J477-D477,"")</x:f>
      </x:c>
      <x:c r="L477" s="69" t="str">
        <x:f>IF(COUNT(E477:I477)&lt;5,"Needs component scores",IF(ISNUMBER(J477),"Calculated",J477))</x:f>
        <x:v>Needs component scores</x:v>
      </x:c>
      <x:c r="M477" s="69" t="n">
        <x:f>IF(C477="","",MATCH(C477,'Position_Rubric'!$A$6:$A$14,0))</x:f>
        <x:v>7</x:v>
      </x:c>
      <x:c r="N477" s="69" t="str"/>
    </x:row>
    <x:row r="478" ht="25" customHeight="1">
      <x:c r="A478" s="69" t="str">
        <x:v>historical-124</x:v>
      </x:c>
      <x:c r="B478" s="69" t="str">
        <x:v>Jérémy Doku</x:v>
      </x:c>
      <x:c r="C478" s="69" t="str">
        <x:v>WINGER</x:v>
      </x:c>
      <x:c r="D478" s="82" t="n">
        <x:f>IF(ISNUMBER('Transfer_Ratings'!K478),'Transfer_Ratings'!K478,"")</x:f>
        <x:v>9.1</x:v>
      </x:c>
      <x:c r="E478" s="86"/>
      <x:c r="F478" s="86"/>
      <x:c r="G478" s="86"/>
      <x:c r="H478" s="86"/>
      <x:c r="I478" s="86"/>
      <x:c r="J478" s="82" t="str">
        <x:f>IF(C478="","Choose position",IF(COUNT(E478:I478)&lt;5,"",IF(OR(MIN(E478:I478)&lt;0.1,MAX(E478:I478)&gt;10),"Invalid score",IF(INDEX('Position_Rubric'!$H$6:$H$14,M478)&lt;&gt;1,"Check weights",ROUND(E478*INDEX('Position_Rubric'!$C$6:$C$14,M478)+F478*INDEX('Position_Rubric'!$D$6:$D$14,M478)+G478*INDEX('Position_Rubric'!$E$6:$E$14,M478)+H478*INDEX('Position_Rubric'!$F$6:$F$14,M478)+I478*INDEX('Position_Rubric'!$G$6:$G$14,M478),1)))))</x:f>
      </x:c>
      <x:c r="K478" s="82" t="str">
        <x:f>IF(AND(ISNUMBER(J478),ISNUMBER(D478)),J478-D478,"")</x:f>
      </x:c>
      <x:c r="L478" s="69" t="str">
        <x:f>IF(COUNT(E478:I478)&lt;5,"Needs component scores",IF(ISNUMBER(J478),"Calculated",J478))</x:f>
        <x:v>Needs component scores</x:v>
      </x:c>
      <x:c r="M478" s="69" t="n">
        <x:f>IF(C478="","",MATCH(C478,'Position_Rubric'!$A$6:$A$14,0))</x:f>
        <x:v>7</x:v>
      </x:c>
      <x:c r="N478" s="69" t="str"/>
    </x:row>
    <x:row r="479" ht="25" customHeight="1">
      <x:c r="A479" s="69" t="str">
        <x:v>historical-125</x:v>
      </x:c>
      <x:c r="B479" s="69" t="str">
        <x:v>Pedro Neto</x:v>
      </x:c>
      <x:c r="C479" s="69" t="str">
        <x:v>WINGER</x:v>
      </x:c>
      <x:c r="D479" s="82" t="n">
        <x:f>IF(ISNUMBER('Transfer_Ratings'!K479),'Transfer_Ratings'!K479,"")</x:f>
        <x:v>8.3</x:v>
      </x:c>
      <x:c r="E479" s="86"/>
      <x:c r="F479" s="86"/>
      <x:c r="G479" s="86"/>
      <x:c r="H479" s="86"/>
      <x:c r="I479" s="86"/>
      <x:c r="J479" s="82" t="str">
        <x:f>IF(C479="","Choose position",IF(COUNT(E479:I479)&lt;5,"",IF(OR(MIN(E479:I479)&lt;0.1,MAX(E479:I479)&gt;10),"Invalid score",IF(INDEX('Position_Rubric'!$H$6:$H$14,M479)&lt;&gt;1,"Check weights",ROUND(E479*INDEX('Position_Rubric'!$C$6:$C$14,M479)+F479*INDEX('Position_Rubric'!$D$6:$D$14,M479)+G479*INDEX('Position_Rubric'!$E$6:$E$14,M479)+H479*INDEX('Position_Rubric'!$F$6:$F$14,M479)+I479*INDEX('Position_Rubric'!$G$6:$G$14,M479),1)))))</x:f>
      </x:c>
      <x:c r="K479" s="82" t="str">
        <x:f>IF(AND(ISNUMBER(J479),ISNUMBER(D479)),J479-D479,"")</x:f>
      </x:c>
      <x:c r="L479" s="69" t="str">
        <x:f>IF(COUNT(E479:I479)&lt;5,"Needs component scores",IF(ISNUMBER(J479),"Calculated",J479))</x:f>
        <x:v>Needs component scores</x:v>
      </x:c>
      <x:c r="M479" s="69" t="n">
        <x:f>IF(C479="","",MATCH(C479,'Position_Rubric'!$A$6:$A$14,0))</x:f>
        <x:v>7</x:v>
      </x:c>
      <x:c r="N479" s="69" t="str"/>
    </x:row>
    <x:row r="480" ht="25" customHeight="1">
      <x:c r="A480" s="69" t="str">
        <x:v>historical-132</x:v>
      </x:c>
      <x:c r="B480" s="69" t="str">
        <x:v>Raphinha</x:v>
      </x:c>
      <x:c r="C480" s="69" t="str">
        <x:v>WINGER</x:v>
      </x:c>
      <x:c r="D480" s="82" t="n">
        <x:f>IF(ISNUMBER('Transfer_Ratings'!K480),'Transfer_Ratings'!K480,"")</x:f>
        <x:v>9.7</x:v>
      </x:c>
      <x:c r="E480" s="86"/>
      <x:c r="F480" s="86"/>
      <x:c r="G480" s="86"/>
      <x:c r="H480" s="86"/>
      <x:c r="I480" s="86"/>
      <x:c r="J480" s="82" t="str">
        <x:f>IF(C480="","Choose position",IF(COUNT(E480:I480)&lt;5,"",IF(OR(MIN(E480:I480)&lt;0.1,MAX(E480:I480)&gt;10),"Invalid score",IF(INDEX('Position_Rubric'!$H$6:$H$14,M480)&lt;&gt;1,"Check weights",ROUND(E480*INDEX('Position_Rubric'!$C$6:$C$14,M480)+F480*INDEX('Position_Rubric'!$D$6:$D$14,M480)+G480*INDEX('Position_Rubric'!$E$6:$E$14,M480)+H480*INDEX('Position_Rubric'!$F$6:$F$14,M480)+I480*INDEX('Position_Rubric'!$G$6:$G$14,M480),1)))))</x:f>
      </x:c>
      <x:c r="K480" s="82" t="str">
        <x:f>IF(AND(ISNUMBER(J480),ISNUMBER(D480)),J480-D480,"")</x:f>
      </x:c>
      <x:c r="L480" s="69" t="str">
        <x:f>IF(COUNT(E480:I480)&lt;5,"Needs component scores",IF(ISNUMBER(J480),"Calculated",J480))</x:f>
        <x:v>Needs component scores</x:v>
      </x:c>
      <x:c r="M480" s="69" t="n">
        <x:f>IF(C480="","",MATCH(C480,'Position_Rubric'!$A$6:$A$14,0))</x:f>
        <x:v>7</x:v>
      </x:c>
      <x:c r="N480" s="69" t="str"/>
    </x:row>
    <x:row r="481" ht="25" customHeight="1">
      <x:c r="A481" s="69" t="str">
        <x:v>historical-137</x:v>
      </x:c>
      <x:c r="B481" s="69" t="str">
        <x:v>Raheem Sterling</x:v>
      </x:c>
      <x:c r="C481" s="69" t="str">
        <x:v>WINGER</x:v>
      </x:c>
      <x:c r="D481" s="82" t="n">
        <x:f>IF(ISNUMBER('Transfer_Ratings'!K481),'Transfer_Ratings'!K481,"")</x:f>
        <x:v>5.6</x:v>
      </x:c>
      <x:c r="E481" s="86"/>
      <x:c r="F481" s="86"/>
      <x:c r="G481" s="86"/>
      <x:c r="H481" s="86"/>
      <x:c r="I481" s="86"/>
      <x:c r="J481" s="82" t="str">
        <x:f>IF(C481="","Choose position",IF(COUNT(E481:I481)&lt;5,"",IF(OR(MIN(E481:I481)&lt;0.1,MAX(E481:I481)&gt;10),"Invalid score",IF(INDEX('Position_Rubric'!$H$6:$H$14,M481)&lt;&gt;1,"Check weights",ROUND(E481*INDEX('Position_Rubric'!$C$6:$C$14,M481)+F481*INDEX('Position_Rubric'!$D$6:$D$14,M481)+G481*INDEX('Position_Rubric'!$E$6:$E$14,M481)+H481*INDEX('Position_Rubric'!$F$6:$F$14,M481)+I481*INDEX('Position_Rubric'!$G$6:$G$14,M481),1)))))</x:f>
      </x:c>
      <x:c r="K481" s="82" t="str">
        <x:f>IF(AND(ISNUMBER(J481),ISNUMBER(D481)),J481-D481,"")</x:f>
      </x:c>
      <x:c r="L481" s="69" t="str">
        <x:f>IF(COUNT(E481:I481)&lt;5,"Needs component scores",IF(ISNUMBER(J481),"Calculated",J481))</x:f>
        <x:v>Needs component scores</x:v>
      </x:c>
      <x:c r="M481" s="69" t="n">
        <x:f>IF(C481="","",MATCH(C481,'Position_Rubric'!$A$6:$A$14,0))</x:f>
        <x:v>7</x:v>
      </x:c>
      <x:c r="N481" s="69" t="str"/>
    </x:row>
    <x:row r="482" ht="25" customHeight="1">
      <x:c r="A482" s="69" t="str">
        <x:v>historical-138</x:v>
      </x:c>
      <x:c r="B482" s="69" t="str">
        <x:v>Noni Madueke</x:v>
      </x:c>
      <x:c r="C482" s="69" t="str">
        <x:v>WINGER</x:v>
      </x:c>
      <x:c r="D482" s="82" t="n">
        <x:f>IF(ISNUMBER('Transfer_Ratings'!K482),'Transfer_Ratings'!K482,"")</x:f>
        <x:v>7.5</x:v>
      </x:c>
      <x:c r="E482" s="86"/>
      <x:c r="F482" s="86"/>
      <x:c r="G482" s="86"/>
      <x:c r="H482" s="86"/>
      <x:c r="I482" s="86"/>
      <x:c r="J482" s="82" t="str">
        <x:f>IF(C482="","Choose position",IF(COUNT(E482:I482)&lt;5,"",IF(OR(MIN(E482:I482)&lt;0.1,MAX(E482:I482)&gt;10),"Invalid score",IF(INDEX('Position_Rubric'!$H$6:$H$14,M482)&lt;&gt;1,"Check weights",ROUND(E482*INDEX('Position_Rubric'!$C$6:$C$14,M482)+F482*INDEX('Position_Rubric'!$D$6:$D$14,M482)+G482*INDEX('Position_Rubric'!$E$6:$E$14,M482)+H482*INDEX('Position_Rubric'!$F$6:$F$14,M482)+I482*INDEX('Position_Rubric'!$G$6:$G$14,M482),1)))))</x:f>
      </x:c>
      <x:c r="K482" s="82" t="str">
        <x:f>IF(AND(ISNUMBER(J482),ISNUMBER(D482)),J482-D482,"")</x:f>
      </x:c>
      <x:c r="L482" s="69" t="str">
        <x:f>IF(COUNT(E482:I482)&lt;5,"Needs component scores",IF(ISNUMBER(J482),"Calculated",J482))</x:f>
        <x:v>Needs component scores</x:v>
      </x:c>
      <x:c r="M482" s="69" t="n">
        <x:f>IF(C482="","",MATCH(C482,'Position_Rubric'!$A$6:$A$14,0))</x:f>
        <x:v>7</x:v>
      </x:c>
      <x:c r="N482" s="69" t="str"/>
    </x:row>
    <x:row r="483" ht="25" customHeight="1">
      <x:c r="A483" s="69" t="str">
        <x:v>historical-139</x:v>
      </x:c>
      <x:c r="B483" s="69" t="str">
        <x:v>Jamie Gittens</x:v>
      </x:c>
      <x:c r="C483" s="69" t="str">
        <x:v>WINGER</x:v>
      </x:c>
      <x:c r="D483" s="82" t="n">
        <x:f>IF(ISNUMBER('Transfer_Ratings'!K483),'Transfer_Ratings'!K483,"")</x:f>
        <x:v>7</x:v>
      </x:c>
      <x:c r="E483" s="86"/>
      <x:c r="F483" s="86"/>
      <x:c r="G483" s="86"/>
      <x:c r="H483" s="86"/>
      <x:c r="I483" s="86"/>
      <x:c r="J483" s="82" t="str">
        <x:f>IF(C483="","Choose position",IF(COUNT(E483:I483)&lt;5,"",IF(OR(MIN(E483:I483)&lt;0.1,MAX(E483:I483)&gt;10),"Invalid score",IF(INDEX('Position_Rubric'!$H$6:$H$14,M483)&lt;&gt;1,"Check weights",ROUND(E483*INDEX('Position_Rubric'!$C$6:$C$14,M483)+F483*INDEX('Position_Rubric'!$D$6:$D$14,M483)+G483*INDEX('Position_Rubric'!$E$6:$E$14,M483)+H483*INDEX('Position_Rubric'!$F$6:$F$14,M483)+I483*INDEX('Position_Rubric'!$G$6:$G$14,M483),1)))))</x:f>
      </x:c>
      <x:c r="K483" s="82" t="str">
        <x:f>IF(AND(ISNUMBER(J483),ISNUMBER(D483)),J483-D483,"")</x:f>
      </x:c>
      <x:c r="L483" s="69" t="str">
        <x:f>IF(COUNT(E483:I483)&lt;5,"Needs component scores",IF(ISNUMBER(J483),"Calculated",J483))</x:f>
        <x:v>Needs component scores</x:v>
      </x:c>
      <x:c r="M483" s="69" t="n">
        <x:f>IF(C483="","",MATCH(C483,'Position_Rubric'!$A$6:$A$14,0))</x:f>
        <x:v>7</x:v>
      </x:c>
      <x:c r="N483" s="69" t="str"/>
    </x:row>
    <x:row r="484" ht="25" customHeight="1">
      <x:c r="A484" s="69" t="str">
        <x:v>historical-140</x:v>
      </x:c>
      <x:c r="B484" s="69" t="str">
        <x:v>Hulk</x:v>
      </x:c>
      <x:c r="C484" s="69" t="str">
        <x:v>WINGER</x:v>
      </x:c>
      <x:c r="D484" s="82" t="n">
        <x:f>IF(ISNUMBER('Transfer_Ratings'!K484),'Transfer_Ratings'!K484,"")</x:f>
        <x:v>8.6</x:v>
      </x:c>
      <x:c r="E484" s="86"/>
      <x:c r="F484" s="86"/>
      <x:c r="G484" s="86"/>
      <x:c r="H484" s="86"/>
      <x:c r="I484" s="86"/>
      <x:c r="J484" s="82" t="str">
        <x:f>IF(C484="","Choose position",IF(COUNT(E484:I484)&lt;5,"",IF(OR(MIN(E484:I484)&lt;0.1,MAX(E484:I484)&gt;10),"Invalid score",IF(INDEX('Position_Rubric'!$H$6:$H$14,M484)&lt;&gt;1,"Check weights",ROUND(E484*INDEX('Position_Rubric'!$C$6:$C$14,M484)+F484*INDEX('Position_Rubric'!$D$6:$D$14,M484)+G484*INDEX('Position_Rubric'!$E$6:$E$14,M484)+H484*INDEX('Position_Rubric'!$F$6:$F$14,M484)+I484*INDEX('Position_Rubric'!$G$6:$G$14,M484),1)))))</x:f>
      </x:c>
      <x:c r="K484" s="82" t="str">
        <x:f>IF(AND(ISNUMBER(J484),ISNUMBER(D484)),J484-D484,"")</x:f>
      </x:c>
      <x:c r="L484" s="69" t="str">
        <x:f>IF(COUNT(E484:I484)&lt;5,"Needs component scores",IF(ISNUMBER(J484),"Calculated",J484))</x:f>
        <x:v>Needs component scores</x:v>
      </x:c>
      <x:c r="M484" s="69" t="n">
        <x:f>IF(C484="","",MATCH(C484,'Position_Rubric'!$A$6:$A$14,0))</x:f>
        <x:v>7</x:v>
      </x:c>
      <x:c r="N484" s="69" t="str"/>
    </x:row>
    <x:row r="485" ht="25" customHeight="1">
      <x:c r="A485" s="69" t="str">
        <x:v>historical-142</x:v>
      </x:c>
      <x:c r="B485" s="69" t="str">
        <x:v>Moussa Diaby</x:v>
      </x:c>
      <x:c r="C485" s="69" t="str">
        <x:v>WINGER</x:v>
      </x:c>
      <x:c r="D485" s="82" t="n">
        <x:f>IF(ISNUMBER('Transfer_Ratings'!K485),'Transfer_Ratings'!K485,"")</x:f>
        <x:v>7.3</x:v>
      </x:c>
      <x:c r="E485" s="86"/>
      <x:c r="F485" s="86"/>
      <x:c r="G485" s="86"/>
      <x:c r="H485" s="86"/>
      <x:c r="I485" s="86"/>
      <x:c r="J485" s="82" t="str">
        <x:f>IF(C485="","Choose position",IF(COUNT(E485:I485)&lt;5,"",IF(OR(MIN(E485:I485)&lt;0.1,MAX(E485:I485)&gt;10),"Invalid score",IF(INDEX('Position_Rubric'!$H$6:$H$14,M485)&lt;&gt;1,"Check weights",ROUND(E485*INDEX('Position_Rubric'!$C$6:$C$14,M485)+F485*INDEX('Position_Rubric'!$D$6:$D$14,M485)+G485*INDEX('Position_Rubric'!$E$6:$E$14,M485)+H485*INDEX('Position_Rubric'!$F$6:$F$14,M485)+I485*INDEX('Position_Rubric'!$G$6:$G$14,M485),1)))))</x:f>
      </x:c>
      <x:c r="K485" s="82" t="str">
        <x:f>IF(AND(ISNUMBER(J485),ISNUMBER(D485)),J485-D485,"")</x:f>
      </x:c>
      <x:c r="L485" s="69" t="str">
        <x:f>IF(COUNT(E485:I485)&lt;5,"Needs component scores",IF(ISNUMBER(J485),"Calculated",J485))</x:f>
        <x:v>Needs component scores</x:v>
      </x:c>
      <x:c r="M485" s="69" t="n">
        <x:f>IF(C485="","",MATCH(C485,'Position_Rubric'!$A$6:$A$14,0))</x:f>
        <x:v>7</x:v>
      </x:c>
      <x:c r="N485" s="69" t="str"/>
    </x:row>
    <x:row r="486" ht="25" customHeight="1">
      <x:c r="A486" s="69" t="str">
        <x:v>historical-143</x:v>
      </x:c>
      <x:c r="B486" s="69" t="str">
        <x:v>Brennan Johnson</x:v>
      </x:c>
      <x:c r="C486" s="69" t="str">
        <x:v>WINGER</x:v>
      </x:c>
      <x:c r="D486" s="82" t="n">
        <x:f>IF(ISNUMBER('Transfer_Ratings'!K486),'Transfer_Ratings'!K486,"")</x:f>
        <x:v>8.3</x:v>
      </x:c>
      <x:c r="E486" s="86"/>
      <x:c r="F486" s="86"/>
      <x:c r="G486" s="86"/>
      <x:c r="H486" s="86"/>
      <x:c r="I486" s="86"/>
      <x:c r="J486" s="82" t="str">
        <x:f>IF(C486="","Choose position",IF(COUNT(E486:I486)&lt;5,"",IF(OR(MIN(E486:I486)&lt;0.1,MAX(E486:I486)&gt;10),"Invalid score",IF(INDEX('Position_Rubric'!$H$6:$H$14,M486)&lt;&gt;1,"Check weights",ROUND(E486*INDEX('Position_Rubric'!$C$6:$C$14,M486)+F486*INDEX('Position_Rubric'!$D$6:$D$14,M486)+G486*INDEX('Position_Rubric'!$E$6:$E$14,M486)+H486*INDEX('Position_Rubric'!$F$6:$F$14,M486)+I486*INDEX('Position_Rubric'!$G$6:$G$14,M486),1)))))</x:f>
      </x:c>
      <x:c r="K486" s="82" t="str">
        <x:f>IF(AND(ISNUMBER(J486),ISNUMBER(D486)),J486-D486,"")</x:f>
      </x:c>
      <x:c r="L486" s="69" t="str">
        <x:f>IF(COUNT(E486:I486)&lt;5,"Needs component scores",IF(ISNUMBER(J486),"Calculated",J486))</x:f>
        <x:v>Needs component scores</x:v>
      </x:c>
      <x:c r="M486" s="69" t="n">
        <x:f>IF(C486="","",MATCH(C486,'Position_Rubric'!$A$6:$A$14,0))</x:f>
        <x:v>7</x:v>
      </x:c>
      <x:c r="N486" s="69" t="str"/>
    </x:row>
    <x:row r="487" ht="25" customHeight="1">
      <x:c r="A487" s="69" t="str">
        <x:v>historical-144</x:v>
      </x:c>
      <x:c r="B487" s="69" t="str">
        <x:v>Ibrahim Mbaye</x:v>
      </x:c>
      <x:c r="C487" s="69" t="str">
        <x:v>WINGER</x:v>
      </x:c>
      <x:c r="D487" s="82" t="str">
        <x:f>IF(ISNUMBER('Transfer_Ratings'!K487),'Transfer_Ratings'!K487,"")</x:f>
      </x:c>
      <x:c r="E487" s="86"/>
      <x:c r="F487" s="86"/>
      <x:c r="G487" s="86"/>
      <x:c r="H487" s="86"/>
      <x:c r="I487" s="86"/>
      <x:c r="J487" s="82" t="str">
        <x:f>IF(C487="","Choose position",IF(COUNT(E487:I487)&lt;5,"",IF(OR(MIN(E487:I487)&lt;0.1,MAX(E487:I487)&gt;10),"Invalid score",IF(INDEX('Position_Rubric'!$H$6:$H$14,M487)&lt;&gt;1,"Check weights",ROUND(E487*INDEX('Position_Rubric'!$C$6:$C$14,M487)+F487*INDEX('Position_Rubric'!$D$6:$D$14,M487)+G487*INDEX('Position_Rubric'!$E$6:$E$14,M487)+H487*INDEX('Position_Rubric'!$F$6:$F$14,M487)+I487*INDEX('Position_Rubric'!$G$6:$G$14,M487),1)))))</x:f>
      </x:c>
      <x:c r="K487" s="82" t="str">
        <x:f>IF(AND(ISNUMBER(J487),ISNUMBER(D487)),J487-D487,"")</x:f>
      </x:c>
      <x:c r="L487" s="69" t="str">
        <x:f>IF(COUNT(E487:I487)&lt;5,"Needs component scores",IF(ISNUMBER(J487),"Calculated",J487))</x:f>
        <x:v>Needs component scores</x:v>
      </x:c>
      <x:c r="M487" s="69" t="n">
        <x:f>IF(C487="","",MATCH(C487,'Position_Rubric'!$A$6:$A$14,0))</x:f>
        <x:v>7</x:v>
      </x:c>
      <x:c r="N487" s="69" t="str"/>
    </x:row>
    <x:row r="488" ht="25" customHeight="1">
      <x:c r="A488" s="69" t="str">
        <x:v>historical-152</x:v>
      </x:c>
      <x:c r="B488" s="69" t="str">
        <x:v>Michael Olise</x:v>
      </x:c>
      <x:c r="C488" s="69" t="str">
        <x:v>WINGER</x:v>
      </x:c>
      <x:c r="D488" s="82" t="n">
        <x:f>IF(ISNUMBER('Transfer_Ratings'!K488),'Transfer_Ratings'!K488,"")</x:f>
        <x:v>9.8</x:v>
      </x:c>
      <x:c r="E488" s="86"/>
      <x:c r="F488" s="86"/>
      <x:c r="G488" s="86"/>
      <x:c r="H488" s="86"/>
      <x:c r="I488" s="86"/>
      <x:c r="J488" s="82" t="str">
        <x:f>IF(C488="","Choose position",IF(COUNT(E488:I488)&lt;5,"",IF(OR(MIN(E488:I488)&lt;0.1,MAX(E488:I488)&gt;10),"Invalid score",IF(INDEX('Position_Rubric'!$H$6:$H$14,M488)&lt;&gt;1,"Check weights",ROUND(E488*INDEX('Position_Rubric'!$C$6:$C$14,M488)+F488*INDEX('Position_Rubric'!$D$6:$D$14,M488)+G488*INDEX('Position_Rubric'!$E$6:$E$14,M488)+H488*INDEX('Position_Rubric'!$F$6:$F$14,M488)+I488*INDEX('Position_Rubric'!$G$6:$G$14,M488),1)))))</x:f>
      </x:c>
      <x:c r="K488" s="82" t="str">
        <x:f>IF(AND(ISNUMBER(J488),ISNUMBER(D488)),J488-D488,"")</x:f>
      </x:c>
      <x:c r="L488" s="69" t="str">
        <x:f>IF(COUNT(E488:I488)&lt;5,"Needs component scores",IF(ISNUMBER(J488),"Calculated",J488))</x:f>
        <x:v>Needs component scores</x:v>
      </x:c>
      <x:c r="M488" s="69" t="n">
        <x:f>IF(C488="","",MATCH(C488,'Position_Rubric'!$A$6:$A$14,0))</x:f>
        <x:v>7</x:v>
      </x:c>
      <x:c r="N488" s="69" t="str"/>
    </x:row>
    <x:row r="489" ht="25" customHeight="1">
      <x:c r="A489" s="69" t="str">
        <x:v>historical-160</x:v>
      </x:c>
      <x:c r="B489" s="69" t="str">
        <x:v>Leroy Sané</x:v>
      </x:c>
      <x:c r="C489" s="69" t="str">
        <x:v>WINGER</x:v>
      </x:c>
      <x:c r="D489" s="82" t="n">
        <x:f>IF(ISNUMBER('Transfer_Ratings'!K489),'Transfer_Ratings'!K489,"")</x:f>
        <x:v>9.1</x:v>
      </x:c>
      <x:c r="E489" s="86"/>
      <x:c r="F489" s="86"/>
      <x:c r="G489" s="86"/>
      <x:c r="H489" s="86"/>
      <x:c r="I489" s="86"/>
      <x:c r="J489" s="82" t="str">
        <x:f>IF(C489="","Choose position",IF(COUNT(E489:I489)&lt;5,"",IF(OR(MIN(E489:I489)&lt;0.1,MAX(E489:I489)&gt;10),"Invalid score",IF(INDEX('Position_Rubric'!$H$6:$H$14,M489)&lt;&gt;1,"Check weights",ROUND(E489*INDEX('Position_Rubric'!$C$6:$C$14,M489)+F489*INDEX('Position_Rubric'!$D$6:$D$14,M489)+G489*INDEX('Position_Rubric'!$E$6:$E$14,M489)+H489*INDEX('Position_Rubric'!$F$6:$F$14,M489)+I489*INDEX('Position_Rubric'!$G$6:$G$14,M489),1)))))</x:f>
      </x:c>
      <x:c r="K489" s="82" t="str">
        <x:f>IF(AND(ISNUMBER(J489),ISNUMBER(D489)),J489-D489,"")</x:f>
      </x:c>
      <x:c r="L489" s="69" t="str">
        <x:f>IF(COUNT(E489:I489)&lt;5,"Needs component scores",IF(ISNUMBER(J489),"Calculated",J489))</x:f>
        <x:v>Needs component scores</x:v>
      </x:c>
      <x:c r="M489" s="69" t="n">
        <x:f>IF(C489="","",MATCH(C489,'Position_Rubric'!$A$6:$A$14,0))</x:f>
        <x:v>7</x:v>
      </x:c>
      <x:c r="N489" s="69" t="str"/>
    </x:row>
    <x:row r="490" ht="25" customHeight="1">
      <x:c r="A490" s="69" t="str">
        <x:v>historical-164</x:v>
      </x:c>
      <x:c r="B490" s="69" t="str">
        <x:v>Geovany Quenda</x:v>
      </x:c>
      <x:c r="C490" s="69" t="str">
        <x:v>WINGER</x:v>
      </x:c>
      <x:c r="D490" s="82" t="n">
        <x:f>IF(ISNUMBER('Transfer_Ratings'!K490),'Transfer_Ratings'!K490,"")</x:f>
        <x:v>7.8</x:v>
      </x:c>
      <x:c r="E490" s="86"/>
      <x:c r="F490" s="86"/>
      <x:c r="G490" s="86"/>
      <x:c r="H490" s="86"/>
      <x:c r="I490" s="86"/>
      <x:c r="J490" s="82" t="str">
        <x:f>IF(C490="","Choose position",IF(COUNT(E490:I490)&lt;5,"",IF(OR(MIN(E490:I490)&lt;0.1,MAX(E490:I490)&gt;10),"Invalid score",IF(INDEX('Position_Rubric'!$H$6:$H$14,M490)&lt;&gt;1,"Check weights",ROUND(E490*INDEX('Position_Rubric'!$C$6:$C$14,M490)+F490*INDEX('Position_Rubric'!$D$6:$D$14,M490)+G490*INDEX('Position_Rubric'!$E$6:$E$14,M490)+H490*INDEX('Position_Rubric'!$F$6:$F$14,M490)+I490*INDEX('Position_Rubric'!$G$6:$G$14,M490),1)))))</x:f>
      </x:c>
      <x:c r="K490" s="82" t="str">
        <x:f>IF(AND(ISNUMBER(J490),ISNUMBER(D490)),J490-D490,"")</x:f>
      </x:c>
      <x:c r="L490" s="69" t="str">
        <x:f>IF(COUNT(E490:I490)&lt;5,"Needs component scores",IF(ISNUMBER(J490),"Calculated",J490))</x:f>
        <x:v>Needs component scores</x:v>
      </x:c>
      <x:c r="M490" s="69" t="n">
        <x:f>IF(C490="","",MATCH(C490,'Position_Rubric'!$A$6:$A$14,0))</x:f>
        <x:v>7</x:v>
      </x:c>
      <x:c r="N490" s="69" t="str"/>
    </x:row>
    <x:row r="491" ht="25" customHeight="1">
      <x:c r="A491" s="69" t="str">
        <x:v>historical-168</x:v>
      </x:c>
      <x:c r="B491" s="69" t="str">
        <x:v>Désiré Doué</x:v>
      </x:c>
      <x:c r="C491" s="69" t="str">
        <x:v>WINGER</x:v>
      </x:c>
      <x:c r="D491" s="82" t="n">
        <x:f>IF(ISNUMBER('Transfer_Ratings'!K491),'Transfer_Ratings'!K491,"")</x:f>
        <x:v>9.5</x:v>
      </x:c>
      <x:c r="E491" s="86"/>
      <x:c r="F491" s="86"/>
      <x:c r="G491" s="86"/>
      <x:c r="H491" s="86"/>
      <x:c r="I491" s="86"/>
      <x:c r="J491" s="82" t="str">
        <x:f>IF(C491="","Choose position",IF(COUNT(E491:I491)&lt;5,"",IF(OR(MIN(E491:I491)&lt;0.1,MAX(E491:I491)&gt;10),"Invalid score",IF(INDEX('Position_Rubric'!$H$6:$H$14,M491)&lt;&gt;1,"Check weights",ROUND(E491*INDEX('Position_Rubric'!$C$6:$C$14,M491)+F491*INDEX('Position_Rubric'!$D$6:$D$14,M491)+G491*INDEX('Position_Rubric'!$E$6:$E$14,M491)+H491*INDEX('Position_Rubric'!$F$6:$F$14,M491)+I491*INDEX('Position_Rubric'!$G$6:$G$14,M491),1)))))</x:f>
      </x:c>
      <x:c r="K491" s="82" t="str">
        <x:f>IF(AND(ISNUMBER(J491),ISNUMBER(D491)),J491-D491,"")</x:f>
      </x:c>
      <x:c r="L491" s="69" t="str">
        <x:f>IF(COUNT(E491:I491)&lt;5,"Needs component scores",IF(ISNUMBER(J491),"Calculated",J491))</x:f>
        <x:v>Needs component scores</x:v>
      </x:c>
      <x:c r="M491" s="69" t="n">
        <x:f>IF(C491="","",MATCH(C491,'Position_Rubric'!$A$6:$A$14,0))</x:f>
        <x:v>7</x:v>
      </x:c>
      <x:c r="N491" s="69" t="str"/>
    </x:row>
    <x:row r="492" ht="25" customHeight="1">
      <x:c r="A492" s="69" t="str">
        <x:v>historical-170</x:v>
      </x:c>
      <x:c r="B492" s="69" t="str">
        <x:v>Galeno</x:v>
      </x:c>
      <x:c r="C492" s="69" t="str">
        <x:v>WINGER</x:v>
      </x:c>
      <x:c r="D492" s="82" t="n">
        <x:f>IF(ISNUMBER('Transfer_Ratings'!K492),'Transfer_Ratings'!K492,"")</x:f>
        <x:v>7.5</x:v>
      </x:c>
      <x:c r="E492" s="86"/>
      <x:c r="F492" s="86"/>
      <x:c r="G492" s="86"/>
      <x:c r="H492" s="86"/>
      <x:c r="I492" s="86"/>
      <x:c r="J492" s="82" t="str">
        <x:f>IF(C492="","Choose position",IF(COUNT(E492:I492)&lt;5,"",IF(OR(MIN(E492:I492)&lt;0.1,MAX(E492:I492)&gt;10),"Invalid score",IF(INDEX('Position_Rubric'!$H$6:$H$14,M492)&lt;&gt;1,"Check weights",ROUND(E492*INDEX('Position_Rubric'!$C$6:$C$14,M492)+F492*INDEX('Position_Rubric'!$D$6:$D$14,M492)+G492*INDEX('Position_Rubric'!$E$6:$E$14,M492)+H492*INDEX('Position_Rubric'!$F$6:$F$14,M492)+I492*INDEX('Position_Rubric'!$G$6:$G$14,M492),1)))))</x:f>
      </x:c>
      <x:c r="K492" s="82" t="str">
        <x:f>IF(AND(ISNUMBER(J492),ISNUMBER(D492)),J492-D492,"")</x:f>
      </x:c>
      <x:c r="L492" s="69" t="str">
        <x:f>IF(COUNT(E492:I492)&lt;5,"Needs component scores",IF(ISNUMBER(J492),"Calculated",J492))</x:f>
        <x:v>Needs component scores</x:v>
      </x:c>
      <x:c r="M492" s="69" t="n">
        <x:f>IF(C492="","",MATCH(C492,'Position_Rubric'!$A$6:$A$14,0))</x:f>
        <x:v>7</x:v>
      </x:c>
      <x:c r="N492" s="69" t="str"/>
    </x:row>
    <x:row r="493" ht="25" customHeight="1">
      <x:c r="A493" s="69" t="str">
        <x:v>historical-178</x:v>
      </x:c>
      <x:c r="B493" s="69" t="str">
        <x:v>Ousmane Dembélé</x:v>
      </x:c>
      <x:c r="C493" s="69" t="str">
        <x:v>WINGER</x:v>
      </x:c>
      <x:c r="D493" s="82" t="n">
        <x:f>IF(ISNUMBER('Transfer_Ratings'!K493),'Transfer_Ratings'!K493,"")</x:f>
        <x:v>9.3</x:v>
      </x:c>
      <x:c r="E493" s="86"/>
      <x:c r="F493" s="86"/>
      <x:c r="G493" s="86"/>
      <x:c r="H493" s="86"/>
      <x:c r="I493" s="86"/>
      <x:c r="J493" s="82" t="str">
        <x:f>IF(C493="","Choose position",IF(COUNT(E493:I493)&lt;5,"",IF(OR(MIN(E493:I493)&lt;0.1,MAX(E493:I493)&gt;10),"Invalid score",IF(INDEX('Position_Rubric'!$H$6:$H$14,M493)&lt;&gt;1,"Check weights",ROUND(E493*INDEX('Position_Rubric'!$C$6:$C$14,M493)+F493*INDEX('Position_Rubric'!$D$6:$D$14,M493)+G493*INDEX('Position_Rubric'!$E$6:$E$14,M493)+H493*INDEX('Position_Rubric'!$F$6:$F$14,M493)+I493*INDEX('Position_Rubric'!$G$6:$G$14,M493),1)))))</x:f>
      </x:c>
      <x:c r="K493" s="82" t="str">
        <x:f>IF(AND(ISNUMBER(J493),ISNUMBER(D493)),J493-D493,"")</x:f>
      </x:c>
      <x:c r="L493" s="69" t="str">
        <x:f>IF(COUNT(E493:I493)&lt;5,"Needs component scores",IF(ISNUMBER(J493),"Calculated",J493))</x:f>
        <x:v>Needs component scores</x:v>
      </x:c>
      <x:c r="M493" s="69" t="n">
        <x:f>IF(C493="","",MATCH(C493,'Position_Rubric'!$A$6:$A$14,0))</x:f>
        <x:v>7</x:v>
      </x:c>
      <x:c r="N493" s="69" t="str"/>
    </x:row>
    <x:row r="494" ht="25" customHeight="1">
      <x:c r="A494" s="69" t="str">
        <x:v>historical-182</x:v>
      </x:c>
      <x:c r="B494" s="69" t="str">
        <x:v>Hirving Lozano</x:v>
      </x:c>
      <x:c r="C494" s="69" t="str">
        <x:v>WINGER</x:v>
      </x:c>
      <x:c r="D494" s="82" t="n">
        <x:f>IF(ISNUMBER('Transfer_Ratings'!K494),'Transfer_Ratings'!K494,"")</x:f>
        <x:v>7.3</x:v>
      </x:c>
      <x:c r="E494" s="86"/>
      <x:c r="F494" s="86"/>
      <x:c r="G494" s="86"/>
      <x:c r="H494" s="86"/>
      <x:c r="I494" s="86"/>
      <x:c r="J494" s="82" t="str">
        <x:f>IF(C494="","Choose position",IF(COUNT(E494:I494)&lt;5,"",IF(OR(MIN(E494:I494)&lt;0.1,MAX(E494:I494)&gt;10),"Invalid score",IF(INDEX('Position_Rubric'!$H$6:$H$14,M494)&lt;&gt;1,"Check weights",ROUND(E494*INDEX('Position_Rubric'!$C$6:$C$14,M494)+F494*INDEX('Position_Rubric'!$D$6:$D$14,M494)+G494*INDEX('Position_Rubric'!$E$6:$E$14,M494)+H494*INDEX('Position_Rubric'!$F$6:$F$14,M494)+I494*INDEX('Position_Rubric'!$G$6:$G$14,M494),1)))))</x:f>
      </x:c>
      <x:c r="K494" s="82" t="str">
        <x:f>IF(AND(ISNUMBER(J494),ISNUMBER(D494)),J494-D494,"")</x:f>
      </x:c>
      <x:c r="L494" s="69" t="str">
        <x:f>IF(COUNT(E494:I494)&lt;5,"Needs component scores",IF(ISNUMBER(J494),"Calculated",J494))</x:f>
        <x:v>Needs component scores</x:v>
      </x:c>
      <x:c r="M494" s="69" t="n">
        <x:f>IF(C494="","",MATCH(C494,'Position_Rubric'!$A$6:$A$14,0))</x:f>
        <x:v>7</x:v>
      </x:c>
      <x:c r="N494" s="69" t="str"/>
    </x:row>
    <x:row r="495" ht="25" customHeight="1">
      <x:c r="A495" s="69" t="str">
        <x:v>historical-184</x:v>
      </x:c>
      <x:c r="B495" s="69" t="str">
        <x:v>Rafael Leão</x:v>
      </x:c>
      <x:c r="C495" s="69" t="str">
        <x:v>WINGER</x:v>
      </x:c>
      <x:c r="D495" s="82" t="n">
        <x:f>IF(ISNUMBER('Transfer_Ratings'!K495),'Transfer_Ratings'!K495,"")</x:f>
        <x:v>9.1</x:v>
      </x:c>
      <x:c r="E495" s="86"/>
      <x:c r="F495" s="86"/>
      <x:c r="G495" s="86"/>
      <x:c r="H495" s="86"/>
      <x:c r="I495" s="86"/>
      <x:c r="J495" s="82" t="str">
        <x:f>IF(C495="","Choose position",IF(COUNT(E495:I495)&lt;5,"",IF(OR(MIN(E495:I495)&lt;0.1,MAX(E495:I495)&gt;10),"Invalid score",IF(INDEX('Position_Rubric'!$H$6:$H$14,M495)&lt;&gt;1,"Check weights",ROUND(E495*INDEX('Position_Rubric'!$C$6:$C$14,M495)+F495*INDEX('Position_Rubric'!$D$6:$D$14,M495)+G495*INDEX('Position_Rubric'!$E$6:$E$14,M495)+H495*INDEX('Position_Rubric'!$F$6:$F$14,M495)+I495*INDEX('Position_Rubric'!$G$6:$G$14,M495),1)))))</x:f>
      </x:c>
      <x:c r="K495" s="82" t="str">
        <x:f>IF(AND(ISNUMBER(J495),ISNUMBER(D495)),J495-D495,"")</x:f>
      </x:c>
      <x:c r="L495" s="69" t="str">
        <x:f>IF(COUNT(E495:I495)&lt;5,"Needs component scores",IF(ISNUMBER(J495),"Calculated",J495))</x:f>
        <x:v>Needs component scores</x:v>
      </x:c>
      <x:c r="M495" s="69" t="n">
        <x:f>IF(C495="","",MATCH(C495,'Position_Rubric'!$A$6:$A$14,0))</x:f>
        <x:v>7</x:v>
      </x:c>
      <x:c r="N495" s="69" t="str"/>
    </x:row>
    <x:row r="496" ht="25" customHeight="1">
      <x:c r="A496" s="69" t="str">
        <x:v>historical-187</x:v>
      </x:c>
      <x:c r="B496" s="69" t="str">
        <x:v>Luis Díaz</x:v>
      </x:c>
      <x:c r="C496" s="69" t="str">
        <x:v>WINGER</x:v>
      </x:c>
      <x:c r="D496" s="82" t="n">
        <x:f>IF(ISNUMBER('Transfer_Ratings'!K496),'Transfer_Ratings'!K496,"")</x:f>
        <x:v>9.4</x:v>
      </x:c>
      <x:c r="E496" s="86"/>
      <x:c r="F496" s="86"/>
      <x:c r="G496" s="86"/>
      <x:c r="H496" s="86"/>
      <x:c r="I496" s="86"/>
      <x:c r="J496" s="82" t="str">
        <x:f>IF(C496="","Choose position",IF(COUNT(E496:I496)&lt;5,"",IF(OR(MIN(E496:I496)&lt;0.1,MAX(E496:I496)&gt;10),"Invalid score",IF(INDEX('Position_Rubric'!$H$6:$H$14,M496)&lt;&gt;1,"Check weights",ROUND(E496*INDEX('Position_Rubric'!$C$6:$C$14,M496)+F496*INDEX('Position_Rubric'!$D$6:$D$14,M496)+G496*INDEX('Position_Rubric'!$E$6:$E$14,M496)+H496*INDEX('Position_Rubric'!$F$6:$F$14,M496)+I496*INDEX('Position_Rubric'!$G$6:$G$14,M496),1)))))</x:f>
      </x:c>
      <x:c r="K496" s="82" t="str">
        <x:f>IF(AND(ISNUMBER(J496),ISNUMBER(D496)),J496-D496,"")</x:f>
      </x:c>
      <x:c r="L496" s="69" t="str">
        <x:f>IF(COUNT(E496:I496)&lt;5,"Needs component scores",IF(ISNUMBER(J496),"Calculated",J496))</x:f>
        <x:v>Needs component scores</x:v>
      </x:c>
      <x:c r="M496" s="69" t="n">
        <x:f>IF(C496="","",MATCH(C496,'Position_Rubric'!$A$6:$A$14,0))</x:f>
        <x:v>7</x:v>
      </x:c>
      <x:c r="N496" s="69" t="str"/>
    </x:row>
    <x:row r="497" ht="25" customHeight="1">
      <x:c r="A497" s="69" t="str">
        <x:v>historical-188</x:v>
      </x:c>
      <x:c r="B497" s="69" t="str">
        <x:v>Leroy Sané</x:v>
      </x:c>
      <x:c r="C497" s="69" t="str">
        <x:v>WINGER</x:v>
      </x:c>
      <x:c r="D497" s="82" t="n">
        <x:f>IF(ISNUMBER('Transfer_Ratings'!K497),'Transfer_Ratings'!K497,"")</x:f>
        <x:v>8.4</x:v>
      </x:c>
      <x:c r="E497" s="86"/>
      <x:c r="F497" s="86"/>
      <x:c r="G497" s="86"/>
      <x:c r="H497" s="86"/>
      <x:c r="I497" s="86"/>
      <x:c r="J497" s="82" t="str">
        <x:f>IF(C497="","Choose position",IF(COUNT(E497:I497)&lt;5,"",IF(OR(MIN(E497:I497)&lt;0.1,MAX(E497:I497)&gt;10),"Invalid score",IF(INDEX('Position_Rubric'!$H$6:$H$14,M497)&lt;&gt;1,"Check weights",ROUND(E497*INDEX('Position_Rubric'!$C$6:$C$14,M497)+F497*INDEX('Position_Rubric'!$D$6:$D$14,M497)+G497*INDEX('Position_Rubric'!$E$6:$E$14,M497)+H497*INDEX('Position_Rubric'!$F$6:$F$14,M497)+I497*INDEX('Position_Rubric'!$G$6:$G$14,M497),1)))))</x:f>
      </x:c>
      <x:c r="K497" s="82" t="str">
        <x:f>IF(AND(ISNUMBER(J497),ISNUMBER(D497)),J497-D497,"")</x:f>
      </x:c>
      <x:c r="L497" s="69" t="str">
        <x:f>IF(COUNT(E497:I497)&lt;5,"Needs component scores",IF(ISNUMBER(J497),"Calculated",J497))</x:f>
        <x:v>Needs component scores</x:v>
      </x:c>
      <x:c r="M497" s="69" t="n">
        <x:f>IF(C497="","",MATCH(C497,'Position_Rubric'!$A$6:$A$14,0))</x:f>
        <x:v>7</x:v>
      </x:c>
      <x:c r="N497" s="69" t="str"/>
    </x:row>
    <x:row r="498" ht="25" customHeight="1">
      <x:c r="A498" s="69" t="str">
        <x:v>historical-198</x:v>
      </x:c>
      <x:c r="B498" s="69" t="str">
        <x:v>Alejandro Garnacho</x:v>
      </x:c>
      <x:c r="C498" s="69" t="str">
        <x:v>WINGER</x:v>
      </x:c>
      <x:c r="D498" s="82" t="n">
        <x:f>IF(ISNUMBER('Transfer_Ratings'!K498),'Transfer_Ratings'!K498,"")</x:f>
        <x:v>7.1</x:v>
      </x:c>
      <x:c r="E498" s="86"/>
      <x:c r="F498" s="86"/>
      <x:c r="G498" s="86"/>
      <x:c r="H498" s="86"/>
      <x:c r="I498" s="86"/>
      <x:c r="J498" s="82" t="str">
        <x:f>IF(C498="","Choose position",IF(COUNT(E498:I498)&lt;5,"",IF(OR(MIN(E498:I498)&lt;0.1,MAX(E498:I498)&gt;10),"Invalid score",IF(INDEX('Position_Rubric'!$H$6:$H$14,M498)&lt;&gt;1,"Check weights",ROUND(E498*INDEX('Position_Rubric'!$C$6:$C$14,M498)+F498*INDEX('Position_Rubric'!$D$6:$D$14,M498)+G498*INDEX('Position_Rubric'!$E$6:$E$14,M498)+H498*INDEX('Position_Rubric'!$F$6:$F$14,M498)+I498*INDEX('Position_Rubric'!$G$6:$G$14,M498),1)))))</x:f>
      </x:c>
      <x:c r="K498" s="82" t="str">
        <x:f>IF(AND(ISNUMBER(J498),ISNUMBER(D498)),J498-D498,"")</x:f>
      </x:c>
      <x:c r="L498" s="69" t="str">
        <x:f>IF(COUNT(E498:I498)&lt;5,"Needs component scores",IF(ISNUMBER(J498),"Calculated",J498))</x:f>
        <x:v>Needs component scores</x:v>
      </x:c>
      <x:c r="M498" s="69" t="n">
        <x:f>IF(C498="","",MATCH(C498,'Position_Rubric'!$A$6:$A$14,0))</x:f>
        <x:v>7</x:v>
      </x:c>
      <x:c r="N498" s="69" t="str"/>
    </x:row>
    <x:row r="499" ht="25" customHeight="1">
      <x:c r="A499" s="69" t="str">
        <x:v>historical-199</x:v>
      </x:c>
      <x:c r="B499" s="69" t="str">
        <x:v>Anthony Gordon</x:v>
      </x:c>
      <x:c r="C499" s="69" t="str">
        <x:v>WINGER</x:v>
      </x:c>
      <x:c r="D499" s="82" t="n">
        <x:f>IF(ISNUMBER('Transfer_Ratings'!K499),'Transfer_Ratings'!K499,"")</x:f>
        <x:v>8.5</x:v>
      </x:c>
      <x:c r="E499" s="86"/>
      <x:c r="F499" s="86"/>
      <x:c r="G499" s="86"/>
      <x:c r="H499" s="86"/>
      <x:c r="I499" s="86"/>
      <x:c r="J499" s="82" t="str">
        <x:f>IF(C499="","Choose position",IF(COUNT(E499:I499)&lt;5,"",IF(OR(MIN(E499:I499)&lt;0.1,MAX(E499:I499)&gt;10),"Invalid score",IF(INDEX('Position_Rubric'!$H$6:$H$14,M499)&lt;&gt;1,"Check weights",ROUND(E499*INDEX('Position_Rubric'!$C$6:$C$14,M499)+F499*INDEX('Position_Rubric'!$D$6:$D$14,M499)+G499*INDEX('Position_Rubric'!$E$6:$E$14,M499)+H499*INDEX('Position_Rubric'!$F$6:$F$14,M499)+I499*INDEX('Position_Rubric'!$G$6:$G$14,M499),1)))))</x:f>
      </x:c>
      <x:c r="K499" s="82" t="str">
        <x:f>IF(AND(ISNUMBER(J499),ISNUMBER(D499)),J499-D499,"")</x:f>
      </x:c>
      <x:c r="L499" s="69" t="str">
        <x:f>IF(COUNT(E499:I499)&lt;5,"Needs component scores",IF(ISNUMBER(J499),"Calculated",J499))</x:f>
        <x:v>Needs component scores</x:v>
      </x:c>
      <x:c r="M499" s="69" t="n">
        <x:f>IF(C499="","",MATCH(C499,'Position_Rubric'!$A$6:$A$14,0))</x:f>
        <x:v>7</x:v>
      </x:c>
      <x:c r="N499" s="69" t="str"/>
    </x:row>
    <x:row r="500" ht="25" customHeight="1">
      <x:c r="A500" s="69" t="str">
        <x:v>summer-S26-0002</x:v>
      </x:c>
      <x:c r="B500" s="69" t="str">
        <x:v>Anass Zaroury</x:v>
      </x:c>
      <x:c r="C500" s="69" t="str">
        <x:v>WINGER</x:v>
      </x:c>
      <x:c r="D500" s="82" t="str">
        <x:f>IF(ISNUMBER('Transfer_Ratings'!K500),'Transfer_Ratings'!K500,"")</x:f>
      </x:c>
      <x:c r="E500" s="86"/>
      <x:c r="F500" s="86"/>
      <x:c r="G500" s="86"/>
      <x:c r="H500" s="86"/>
      <x:c r="I500" s="86"/>
      <x:c r="J500" s="82" t="str">
        <x:f>IF(C500="","Choose position",IF(COUNT(E500:I500)&lt;5,"",IF(OR(MIN(E500:I500)&lt;0.1,MAX(E500:I500)&gt;10),"Invalid score",IF(INDEX('Position_Rubric'!$H$6:$H$14,M500)&lt;&gt;1,"Check weights",ROUND(E500*INDEX('Position_Rubric'!$C$6:$C$14,M500)+F500*INDEX('Position_Rubric'!$D$6:$D$14,M500)+G500*INDEX('Position_Rubric'!$E$6:$E$14,M500)+H500*INDEX('Position_Rubric'!$F$6:$F$14,M500)+I500*INDEX('Position_Rubric'!$G$6:$G$14,M500),1)))))</x:f>
      </x:c>
      <x:c r="K500" s="82" t="str">
        <x:f>IF(AND(ISNUMBER(J500),ISNUMBER(D500)),J500-D500,"")</x:f>
      </x:c>
      <x:c r="L500" s="69" t="str">
        <x:f>IF(COUNT(E500:I500)&lt;5,"Needs component scores",IF(ISNUMBER(J500),"Calculated",J500))</x:f>
        <x:v>Needs component scores</x:v>
      </x:c>
      <x:c r="M500" s="69" t="n">
        <x:f>IF(C500="","",MATCH(C500,'Position_Rubric'!$A$6:$A$14,0))</x:f>
        <x:v>7</x:v>
      </x:c>
      <x:c r="N500" s="69" t="str"/>
    </x:row>
    <x:row r="501" ht="25" customHeight="1">
      <x:c r="A501" s="69" t="str">
        <x:v>summer-S26-0006</x:v>
      </x:c>
      <x:c r="B501" s="69" t="str">
        <x:v>Leon Ayinde</x:v>
      </x:c>
      <x:c r="C501" s="69" t="str">
        <x:v>WINGER</x:v>
      </x:c>
      <x:c r="D501" s="82" t="str">
        <x:f>IF(ISNUMBER('Transfer_Ratings'!K501),'Transfer_Ratings'!K501,"")</x:f>
      </x:c>
      <x:c r="E501" s="86"/>
      <x:c r="F501" s="86"/>
      <x:c r="G501" s="86"/>
      <x:c r="H501" s="86"/>
      <x:c r="I501" s="86"/>
      <x:c r="J501" s="82" t="str">
        <x:f>IF(C501="","Choose position",IF(COUNT(E501:I501)&lt;5,"",IF(OR(MIN(E501:I501)&lt;0.1,MAX(E501:I501)&gt;10),"Invalid score",IF(INDEX('Position_Rubric'!$H$6:$H$14,M501)&lt;&gt;1,"Check weights",ROUND(E501*INDEX('Position_Rubric'!$C$6:$C$14,M501)+F501*INDEX('Position_Rubric'!$D$6:$D$14,M501)+G501*INDEX('Position_Rubric'!$E$6:$E$14,M501)+H501*INDEX('Position_Rubric'!$F$6:$F$14,M501)+I501*INDEX('Position_Rubric'!$G$6:$G$14,M501),1)))))</x:f>
      </x:c>
      <x:c r="K501" s="82" t="str">
        <x:f>IF(AND(ISNUMBER(J501),ISNUMBER(D501)),J501-D501,"")</x:f>
      </x:c>
      <x:c r="L501" s="69" t="str">
        <x:f>IF(COUNT(E501:I501)&lt;5,"Needs component scores",IF(ISNUMBER(J501),"Calculated",J501))</x:f>
        <x:v>Needs component scores</x:v>
      </x:c>
      <x:c r="M501" s="69" t="n">
        <x:f>IF(C501="","",MATCH(C501,'Position_Rubric'!$A$6:$A$14,0))</x:f>
        <x:v>7</x:v>
      </x:c>
      <x:c r="N501" s="69" t="str"/>
    </x:row>
    <x:row r="502" ht="25" customHeight="1">
      <x:c r="A502" s="69" t="str">
        <x:v>summer-S26-0013</x:v>
      </x:c>
      <x:c r="B502" s="69" t="str">
        <x:v>Luis Sinisterra</x:v>
      </x:c>
      <x:c r="C502" s="69" t="str">
        <x:v>WINGER</x:v>
      </x:c>
      <x:c r="D502" s="82" t="str">
        <x:f>IF(ISNUMBER('Transfer_Ratings'!K502),'Transfer_Ratings'!K502,"")</x:f>
      </x:c>
      <x:c r="E502" s="86"/>
      <x:c r="F502" s="86"/>
      <x:c r="G502" s="86"/>
      <x:c r="H502" s="86"/>
      <x:c r="I502" s="86"/>
      <x:c r="J502" s="82" t="str">
        <x:f>IF(C502="","Choose position",IF(COUNT(E502:I502)&lt;5,"",IF(OR(MIN(E502:I502)&lt;0.1,MAX(E502:I502)&gt;10),"Invalid score",IF(INDEX('Position_Rubric'!$H$6:$H$14,M502)&lt;&gt;1,"Check weights",ROUND(E502*INDEX('Position_Rubric'!$C$6:$C$14,M502)+F502*INDEX('Position_Rubric'!$D$6:$D$14,M502)+G502*INDEX('Position_Rubric'!$E$6:$E$14,M502)+H502*INDEX('Position_Rubric'!$F$6:$F$14,M502)+I502*INDEX('Position_Rubric'!$G$6:$G$14,M502),1)))))</x:f>
      </x:c>
      <x:c r="K502" s="82" t="str">
        <x:f>IF(AND(ISNUMBER(J502),ISNUMBER(D502)),J502-D502,"")</x:f>
      </x:c>
      <x:c r="L502" s="69" t="str">
        <x:f>IF(COUNT(E502:I502)&lt;5,"Needs component scores",IF(ISNUMBER(J502),"Calculated",J502))</x:f>
        <x:v>Needs component scores</x:v>
      </x:c>
      <x:c r="M502" s="69" t="n">
        <x:f>IF(C502="","",MATCH(C502,'Position_Rubric'!$A$6:$A$14,0))</x:f>
        <x:v>7</x:v>
      </x:c>
      <x:c r="N502" s="69" t="str"/>
    </x:row>
    <x:row r="503" ht="25" customHeight="1">
      <x:c r="A503" s="69" t="str">
        <x:v>summer-S26-0017</x:v>
      </x:c>
      <x:c r="B503" s="69" t="str">
        <x:v>Jakub Kaminski</x:v>
      </x:c>
      <x:c r="C503" s="69" t="str">
        <x:v>WINGER</x:v>
      </x:c>
      <x:c r="D503" s="82" t="str">
        <x:f>IF(ISNUMBER('Transfer_Ratings'!K503),'Transfer_Ratings'!K503,"")</x:f>
      </x:c>
      <x:c r="E503" s="86"/>
      <x:c r="F503" s="86"/>
      <x:c r="G503" s="86"/>
      <x:c r="H503" s="86"/>
      <x:c r="I503" s="86"/>
      <x:c r="J503" s="82" t="str">
        <x:f>IF(C503="","Choose position",IF(COUNT(E503:I503)&lt;5,"",IF(OR(MIN(E503:I503)&lt;0.1,MAX(E503:I503)&gt;10),"Invalid score",IF(INDEX('Position_Rubric'!$H$6:$H$14,M503)&lt;&gt;1,"Check weights",ROUND(E503*INDEX('Position_Rubric'!$C$6:$C$14,M503)+F503*INDEX('Position_Rubric'!$D$6:$D$14,M503)+G503*INDEX('Position_Rubric'!$E$6:$E$14,M503)+H503*INDEX('Position_Rubric'!$F$6:$F$14,M503)+I503*INDEX('Position_Rubric'!$G$6:$G$14,M503),1)))))</x:f>
      </x:c>
      <x:c r="K503" s="82" t="str">
        <x:f>IF(AND(ISNUMBER(J503),ISNUMBER(D503)),J503-D503,"")</x:f>
      </x:c>
      <x:c r="L503" s="69" t="str">
        <x:f>IF(COUNT(E503:I503)&lt;5,"Needs component scores",IF(ISNUMBER(J503),"Calculated",J503))</x:f>
        <x:v>Needs component scores</x:v>
      </x:c>
      <x:c r="M503" s="69" t="n">
        <x:f>IF(C503="","",MATCH(C503,'Position_Rubric'!$A$6:$A$14,0))</x:f>
        <x:v>7</x:v>
      </x:c>
      <x:c r="N503" s="69" t="str"/>
    </x:row>
    <x:row r="504" ht="25" customHeight="1">
      <x:c r="A504" s="69" t="str">
        <x:v>summer-S26-0018</x:v>
      </x:c>
      <x:c r="B504" s="69" t="str">
        <x:v>Patrick Wimmer</x:v>
      </x:c>
      <x:c r="C504" s="69" t="str">
        <x:v>WINGER</x:v>
      </x:c>
      <x:c r="D504" s="82" t="str">
        <x:f>IF(ISNUMBER('Transfer_Ratings'!K504),'Transfer_Ratings'!K504,"")</x:f>
      </x:c>
      <x:c r="E504" s="86"/>
      <x:c r="F504" s="86"/>
      <x:c r="G504" s="86"/>
      <x:c r="H504" s="86"/>
      <x:c r="I504" s="86"/>
      <x:c r="J504" s="82" t="str">
        <x:f>IF(C504="","Choose position",IF(COUNT(E504:I504)&lt;5,"",IF(OR(MIN(E504:I504)&lt;0.1,MAX(E504:I504)&gt;10),"Invalid score",IF(INDEX('Position_Rubric'!$H$6:$H$14,M504)&lt;&gt;1,"Check weights",ROUND(E504*INDEX('Position_Rubric'!$C$6:$C$14,M504)+F504*INDEX('Position_Rubric'!$D$6:$D$14,M504)+G504*INDEX('Position_Rubric'!$E$6:$E$14,M504)+H504*INDEX('Position_Rubric'!$F$6:$F$14,M504)+I504*INDEX('Position_Rubric'!$G$6:$G$14,M504),1)))))</x:f>
      </x:c>
      <x:c r="K504" s="82" t="str">
        <x:f>IF(AND(ISNUMBER(J504),ISNUMBER(D504)),J504-D504,"")</x:f>
      </x:c>
      <x:c r="L504" s="69" t="str">
        <x:f>IF(COUNT(E504:I504)&lt;5,"Needs component scores",IF(ISNUMBER(J504),"Calculated",J504))</x:f>
        <x:v>Needs component scores</x:v>
      </x:c>
      <x:c r="M504" s="69" t="n">
        <x:f>IF(C504="","",MATCH(C504,'Position_Rubric'!$A$6:$A$14,0))</x:f>
        <x:v>7</x:v>
      </x:c>
      <x:c r="N504" s="69" t="str"/>
    </x:row>
    <x:row r="505" ht="25" customHeight="1">
      <x:c r="A505" s="69" t="str">
        <x:v>summer-S26-0024</x:v>
      </x:c>
      <x:c r="B505" s="69" t="str">
        <x:v>Alisson Santos</x:v>
      </x:c>
      <x:c r="C505" s="69" t="str">
        <x:v>WINGER</x:v>
      </x:c>
      <x:c r="D505" s="82" t="str">
        <x:f>IF(ISNUMBER('Transfer_Ratings'!K505),'Transfer_Ratings'!K505,"")</x:f>
      </x:c>
      <x:c r="E505" s="86"/>
      <x:c r="F505" s="86"/>
      <x:c r="G505" s="86"/>
      <x:c r="H505" s="86"/>
      <x:c r="I505" s="86"/>
      <x:c r="J505" s="82" t="str">
        <x:f>IF(C505="","Choose position",IF(COUNT(E505:I505)&lt;5,"",IF(OR(MIN(E505:I505)&lt;0.1,MAX(E505:I505)&gt;10),"Invalid score",IF(INDEX('Position_Rubric'!$H$6:$H$14,M505)&lt;&gt;1,"Check weights",ROUND(E505*INDEX('Position_Rubric'!$C$6:$C$14,M505)+F505*INDEX('Position_Rubric'!$D$6:$D$14,M505)+G505*INDEX('Position_Rubric'!$E$6:$E$14,M505)+H505*INDEX('Position_Rubric'!$F$6:$F$14,M505)+I505*INDEX('Position_Rubric'!$G$6:$G$14,M505),1)))))</x:f>
      </x:c>
      <x:c r="K505" s="82" t="str">
        <x:f>IF(AND(ISNUMBER(J505),ISNUMBER(D505)),J505-D505,"")</x:f>
      </x:c>
      <x:c r="L505" s="69" t="str">
        <x:f>IF(COUNT(E505:I505)&lt;5,"Needs component scores",IF(ISNUMBER(J505),"Calculated",J505))</x:f>
        <x:v>Needs component scores</x:v>
      </x:c>
      <x:c r="M505" s="69" t="n">
        <x:f>IF(C505="","",MATCH(C505,'Position_Rubric'!$A$6:$A$14,0))</x:f>
        <x:v>7</x:v>
      </x:c>
      <x:c r="N505" s="69" t="str"/>
    </x:row>
    <x:row r="506" ht="25" customHeight="1">
      <x:c r="A506" s="69" t="str">
        <x:v>summer-S26-0030</x:v>
      </x:c>
      <x:c r="B506" s="69" t="str">
        <x:v>Zadok Yohanna</x:v>
      </x:c>
      <x:c r="C506" s="69" t="str">
        <x:v>WINGER</x:v>
      </x:c>
      <x:c r="D506" s="82" t="str">
        <x:f>IF(ISNUMBER('Transfer_Ratings'!K506),'Transfer_Ratings'!K506,"")</x:f>
      </x:c>
      <x:c r="E506" s="86"/>
      <x:c r="F506" s="86"/>
      <x:c r="G506" s="86"/>
      <x:c r="H506" s="86"/>
      <x:c r="I506" s="86"/>
      <x:c r="J506" s="82" t="str">
        <x:f>IF(C506="","Choose position",IF(COUNT(E506:I506)&lt;5,"",IF(OR(MIN(E506:I506)&lt;0.1,MAX(E506:I506)&gt;10),"Invalid score",IF(INDEX('Position_Rubric'!$H$6:$H$14,M506)&lt;&gt;1,"Check weights",ROUND(E506*INDEX('Position_Rubric'!$C$6:$C$14,M506)+F506*INDEX('Position_Rubric'!$D$6:$D$14,M506)+G506*INDEX('Position_Rubric'!$E$6:$E$14,M506)+H506*INDEX('Position_Rubric'!$F$6:$F$14,M506)+I506*INDEX('Position_Rubric'!$G$6:$G$14,M506),1)))))</x:f>
      </x:c>
      <x:c r="K506" s="82" t="str">
        <x:f>IF(AND(ISNUMBER(J506),ISNUMBER(D506)),J506-D506,"")</x:f>
      </x:c>
      <x:c r="L506" s="69" t="str">
        <x:f>IF(COUNT(E506:I506)&lt;5,"Needs component scores",IF(ISNUMBER(J506),"Calculated",J506))</x:f>
        <x:v>Needs component scores</x:v>
      </x:c>
      <x:c r="M506" s="69" t="n">
        <x:f>IF(C506="","",MATCH(C506,'Position_Rubric'!$A$6:$A$14,0))</x:f>
        <x:v>7</x:v>
      </x:c>
      <x:c r="N506" s="69" t="str"/>
    </x:row>
    <x:row r="507" ht="25" customHeight="1">
      <x:c r="A507" s="69" t="str">
        <x:v>summer-S26-0037</x:v>
      </x:c>
      <x:c r="B507" s="69" t="str">
        <x:v>Kerim Alajbegovic</x:v>
      </x:c>
      <x:c r="C507" s="69" t="str">
        <x:v>WINGER</x:v>
      </x:c>
      <x:c r="D507" s="82" t="str">
        <x:f>IF(ISNUMBER('Transfer_Ratings'!K507),'Transfer_Ratings'!K507,"")</x:f>
      </x:c>
      <x:c r="E507" s="86"/>
      <x:c r="F507" s="86"/>
      <x:c r="G507" s="86"/>
      <x:c r="H507" s="86"/>
      <x:c r="I507" s="86"/>
      <x:c r="J507" s="82" t="str">
        <x:f>IF(C507="","Choose position",IF(COUNT(E507:I507)&lt;5,"",IF(OR(MIN(E507:I507)&lt;0.1,MAX(E507:I507)&gt;10),"Invalid score",IF(INDEX('Position_Rubric'!$H$6:$H$14,M507)&lt;&gt;1,"Check weights",ROUND(E507*INDEX('Position_Rubric'!$C$6:$C$14,M507)+F507*INDEX('Position_Rubric'!$D$6:$D$14,M507)+G507*INDEX('Position_Rubric'!$E$6:$E$14,M507)+H507*INDEX('Position_Rubric'!$F$6:$F$14,M507)+I507*INDEX('Position_Rubric'!$G$6:$G$14,M507),1)))))</x:f>
      </x:c>
      <x:c r="K507" s="82" t="str">
        <x:f>IF(AND(ISNUMBER(J507),ISNUMBER(D507)),J507-D507,"")</x:f>
      </x:c>
      <x:c r="L507" s="69" t="str">
        <x:f>IF(COUNT(E507:I507)&lt;5,"Needs component scores",IF(ISNUMBER(J507),"Calculated",J507))</x:f>
        <x:v>Needs component scores</x:v>
      </x:c>
      <x:c r="M507" s="69" t="n">
        <x:f>IF(C507="","",MATCH(C507,'Position_Rubric'!$A$6:$A$14,0))</x:f>
        <x:v>7</x:v>
      </x:c>
      <x:c r="N507" s="69" t="str"/>
    </x:row>
    <x:row r="508" ht="25" customHeight="1">
      <x:c r="A508" s="69" t="str">
        <x:v>summer-S26-0069</x:v>
      </x:c>
      <x:c r="B508" s="69" t="str">
        <x:v>Noah Weisshaupt</x:v>
      </x:c>
      <x:c r="C508" s="69" t="str">
        <x:v>WINGER</x:v>
      </x:c>
      <x:c r="D508" s="82" t="str">
        <x:f>IF(ISNUMBER('Transfer_Ratings'!K508),'Transfer_Ratings'!K508,"")</x:f>
      </x:c>
      <x:c r="E508" s="86"/>
      <x:c r="F508" s="86"/>
      <x:c r="G508" s="86"/>
      <x:c r="H508" s="86"/>
      <x:c r="I508" s="86"/>
      <x:c r="J508" s="82" t="str">
        <x:f>IF(C508="","Choose position",IF(COUNT(E508:I508)&lt;5,"",IF(OR(MIN(E508:I508)&lt;0.1,MAX(E508:I508)&gt;10),"Invalid score",IF(INDEX('Position_Rubric'!$H$6:$H$14,M508)&lt;&gt;1,"Check weights",ROUND(E508*INDEX('Position_Rubric'!$C$6:$C$14,M508)+F508*INDEX('Position_Rubric'!$D$6:$D$14,M508)+G508*INDEX('Position_Rubric'!$E$6:$E$14,M508)+H508*INDEX('Position_Rubric'!$F$6:$F$14,M508)+I508*INDEX('Position_Rubric'!$G$6:$G$14,M508),1)))))</x:f>
      </x:c>
      <x:c r="K508" s="82" t="str">
        <x:f>IF(AND(ISNUMBER(J508),ISNUMBER(D508)),J508-D508,"")</x:f>
      </x:c>
      <x:c r="L508" s="69" t="str">
        <x:f>IF(COUNT(E508:I508)&lt;5,"Needs component scores",IF(ISNUMBER(J508),"Calculated",J508))</x:f>
        <x:v>Needs component scores</x:v>
      </x:c>
      <x:c r="M508" s="69" t="n">
        <x:f>IF(C508="","",MATCH(C508,'Position_Rubric'!$A$6:$A$14,0))</x:f>
        <x:v>7</x:v>
      </x:c>
      <x:c r="N508" s="69" t="str"/>
    </x:row>
    <x:row r="509" ht="25" customHeight="1">
      <x:c r="A509" s="69" t="str">
        <x:v>summer-S26-0072</x:v>
      </x:c>
      <x:c r="B509" s="69" t="str">
        <x:v>Kaïl Boudache</x:v>
      </x:c>
      <x:c r="C509" s="69" t="str">
        <x:v>WINGER</x:v>
      </x:c>
      <x:c r="D509" s="82" t="str">
        <x:f>IF(ISNUMBER('Transfer_Ratings'!K509),'Transfer_Ratings'!K509,"")</x:f>
      </x:c>
      <x:c r="E509" s="86"/>
      <x:c r="F509" s="86"/>
      <x:c r="G509" s="86"/>
      <x:c r="H509" s="86"/>
      <x:c r="I509" s="86"/>
      <x:c r="J509" s="82" t="str">
        <x:f>IF(C509="","Choose position",IF(COUNT(E509:I509)&lt;5,"",IF(OR(MIN(E509:I509)&lt;0.1,MAX(E509:I509)&gt;10),"Invalid score",IF(INDEX('Position_Rubric'!$H$6:$H$14,M509)&lt;&gt;1,"Check weights",ROUND(E509*INDEX('Position_Rubric'!$C$6:$C$14,M509)+F509*INDEX('Position_Rubric'!$D$6:$D$14,M509)+G509*INDEX('Position_Rubric'!$E$6:$E$14,M509)+H509*INDEX('Position_Rubric'!$F$6:$F$14,M509)+I509*INDEX('Position_Rubric'!$G$6:$G$14,M509),1)))))</x:f>
      </x:c>
      <x:c r="K509" s="82" t="str">
        <x:f>IF(AND(ISNUMBER(J509),ISNUMBER(D509)),J509-D509,"")</x:f>
      </x:c>
      <x:c r="L509" s="69" t="str">
        <x:f>IF(COUNT(E509:I509)&lt;5,"Needs component scores",IF(ISNUMBER(J509),"Calculated",J509))</x:f>
        <x:v>Needs component scores</x:v>
      </x:c>
      <x:c r="M509" s="69" t="n">
        <x:f>IF(C509="","",MATCH(C509,'Position_Rubric'!$A$6:$A$14,0))</x:f>
        <x:v>7</x:v>
      </x:c>
      <x:c r="N509" s="69" t="str"/>
    </x:row>
    <x:row r="510" ht="25" customHeight="1">
      <x:c r="A510" s="69" t="str">
        <x:v>summer-S26-0073</x:v>
      </x:c>
      <x:c r="B510" s="69" t="str">
        <x:v>Nicolò Zaniolo</x:v>
      </x:c>
      <x:c r="C510" s="69" t="str">
        <x:v>WINGER</x:v>
      </x:c>
      <x:c r="D510" s="82" t="str">
        <x:f>IF(ISNUMBER('Transfer_Ratings'!K510),'Transfer_Ratings'!K510,"")</x:f>
      </x:c>
      <x:c r="E510" s="86"/>
      <x:c r="F510" s="86"/>
      <x:c r="G510" s="86"/>
      <x:c r="H510" s="86"/>
      <x:c r="I510" s="86"/>
      <x:c r="J510" s="82" t="str">
        <x:f>IF(C510="","Choose position",IF(COUNT(E510:I510)&lt;5,"",IF(OR(MIN(E510:I510)&lt;0.1,MAX(E510:I510)&gt;10),"Invalid score",IF(INDEX('Position_Rubric'!$H$6:$H$14,M510)&lt;&gt;1,"Check weights",ROUND(E510*INDEX('Position_Rubric'!$C$6:$C$14,M510)+F510*INDEX('Position_Rubric'!$D$6:$D$14,M510)+G510*INDEX('Position_Rubric'!$E$6:$E$14,M510)+H510*INDEX('Position_Rubric'!$F$6:$F$14,M510)+I510*INDEX('Position_Rubric'!$G$6:$G$14,M510),1)))))</x:f>
      </x:c>
      <x:c r="K510" s="82" t="str">
        <x:f>IF(AND(ISNUMBER(J510),ISNUMBER(D510)),J510-D510,"")</x:f>
      </x:c>
      <x:c r="L510" s="69" t="str">
        <x:f>IF(COUNT(E510:I510)&lt;5,"Needs component scores",IF(ISNUMBER(J510),"Calculated",J510))</x:f>
        <x:v>Needs component scores</x:v>
      </x:c>
      <x:c r="M510" s="69" t="n">
        <x:f>IF(C510="","",MATCH(C510,'Position_Rubric'!$A$6:$A$14,0))</x:f>
        <x:v>7</x:v>
      </x:c>
      <x:c r="N510" s="69" t="str"/>
    </x:row>
    <x:row r="511" ht="25" customHeight="1">
      <x:c r="A511" s="69" t="str">
        <x:v>summer-S26-0076</x:v>
      </x:c>
      <x:c r="B511" s="69" t="str">
        <x:v>Tjas Begic</x:v>
      </x:c>
      <x:c r="C511" s="69" t="str">
        <x:v>WINGER</x:v>
      </x:c>
      <x:c r="D511" s="82" t="str">
        <x:f>IF(ISNUMBER('Transfer_Ratings'!K511),'Transfer_Ratings'!K511,"")</x:f>
      </x:c>
      <x:c r="E511" s="86"/>
      <x:c r="F511" s="86"/>
      <x:c r="G511" s="86"/>
      <x:c r="H511" s="86"/>
      <x:c r="I511" s="86"/>
      <x:c r="J511" s="82" t="str">
        <x:f>IF(C511="","Choose position",IF(COUNT(E511:I511)&lt;5,"",IF(OR(MIN(E511:I511)&lt;0.1,MAX(E511:I511)&gt;10),"Invalid score",IF(INDEX('Position_Rubric'!$H$6:$H$14,M511)&lt;&gt;1,"Check weights",ROUND(E511*INDEX('Position_Rubric'!$C$6:$C$14,M511)+F511*INDEX('Position_Rubric'!$D$6:$D$14,M511)+G511*INDEX('Position_Rubric'!$E$6:$E$14,M511)+H511*INDEX('Position_Rubric'!$F$6:$F$14,M511)+I511*INDEX('Position_Rubric'!$G$6:$G$14,M511),1)))))</x:f>
      </x:c>
      <x:c r="K511" s="82" t="str">
        <x:f>IF(AND(ISNUMBER(J511),ISNUMBER(D511)),J511-D511,"")</x:f>
      </x:c>
      <x:c r="L511" s="69" t="str">
        <x:f>IF(COUNT(E511:I511)&lt;5,"Needs component scores",IF(ISNUMBER(J511),"Calculated",J511))</x:f>
        <x:v>Needs component scores</x:v>
      </x:c>
      <x:c r="M511" s="69" t="n">
        <x:f>IF(C511="","",MATCH(C511,'Position_Rubric'!$A$6:$A$14,0))</x:f>
        <x:v>7</x:v>
      </x:c>
      <x:c r="N511" s="69" t="str"/>
    </x:row>
    <x:row r="512" ht="25" customHeight="1">
      <x:c r="A512" s="69" t="str">
        <x:v>summer-S26-0078</x:v>
      </x:c>
      <x:c r="B512" s="69" t="str">
        <x:v>Issa Soumaré</x:v>
      </x:c>
      <x:c r="C512" s="69" t="str">
        <x:v>WINGER</x:v>
      </x:c>
      <x:c r="D512" s="82" t="str">
        <x:f>IF(ISNUMBER('Transfer_Ratings'!K512),'Transfer_Ratings'!K512,"")</x:f>
      </x:c>
      <x:c r="E512" s="86"/>
      <x:c r="F512" s="86"/>
      <x:c r="G512" s="86"/>
      <x:c r="H512" s="86"/>
      <x:c r="I512" s="86"/>
      <x:c r="J512" s="82" t="str">
        <x:f>IF(C512="","Choose position",IF(COUNT(E512:I512)&lt;5,"",IF(OR(MIN(E512:I512)&lt;0.1,MAX(E512:I512)&gt;10),"Invalid score",IF(INDEX('Position_Rubric'!$H$6:$H$14,M512)&lt;&gt;1,"Check weights",ROUND(E512*INDEX('Position_Rubric'!$C$6:$C$14,M512)+F512*INDEX('Position_Rubric'!$D$6:$D$14,M512)+G512*INDEX('Position_Rubric'!$E$6:$E$14,M512)+H512*INDEX('Position_Rubric'!$F$6:$F$14,M512)+I512*INDEX('Position_Rubric'!$G$6:$G$14,M512),1)))))</x:f>
      </x:c>
      <x:c r="K512" s="82" t="str">
        <x:f>IF(AND(ISNUMBER(J512),ISNUMBER(D512)),J512-D512,"")</x:f>
      </x:c>
      <x:c r="L512" s="69" t="str">
        <x:f>IF(COUNT(E512:I512)&lt;5,"Needs component scores",IF(ISNUMBER(J512),"Calculated",J512))</x:f>
        <x:v>Needs component scores</x:v>
      </x:c>
      <x:c r="M512" s="69" t="n">
        <x:f>IF(C512="","",MATCH(C512,'Position_Rubric'!$A$6:$A$14,0))</x:f>
        <x:v>7</x:v>
      </x:c>
      <x:c r="N512" s="69" t="str"/>
    </x:row>
    <x:row r="513" ht="25" customHeight="1">
      <x:c r="A513" s="69" t="str">
        <x:v>summer-S26-0079</x:v>
      </x:c>
      <x:c r="B513" s="69" t="str">
        <x:v>Isaac Heath</x:v>
      </x:c>
      <x:c r="C513" s="69" t="str">
        <x:v>WINGER</x:v>
      </x:c>
      <x:c r="D513" s="82" t="str">
        <x:f>IF(ISNUMBER('Transfer_Ratings'!K513),'Transfer_Ratings'!K513,"")</x:f>
      </x:c>
      <x:c r="E513" s="86"/>
      <x:c r="F513" s="86"/>
      <x:c r="G513" s="86"/>
      <x:c r="H513" s="86"/>
      <x:c r="I513" s="86"/>
      <x:c r="J513" s="82" t="str">
        <x:f>IF(C513="","Choose position",IF(COUNT(E513:I513)&lt;5,"",IF(OR(MIN(E513:I513)&lt;0.1,MAX(E513:I513)&gt;10),"Invalid score",IF(INDEX('Position_Rubric'!$H$6:$H$14,M513)&lt;&gt;1,"Check weights",ROUND(E513*INDEX('Position_Rubric'!$C$6:$C$14,M513)+F513*INDEX('Position_Rubric'!$D$6:$D$14,M513)+G513*INDEX('Position_Rubric'!$E$6:$E$14,M513)+H513*INDEX('Position_Rubric'!$F$6:$F$14,M513)+I513*INDEX('Position_Rubric'!$G$6:$G$14,M513),1)))))</x:f>
      </x:c>
      <x:c r="K513" s="82" t="str">
        <x:f>IF(AND(ISNUMBER(J513),ISNUMBER(D513)),J513-D513,"")</x:f>
      </x:c>
      <x:c r="L513" s="69" t="str">
        <x:f>IF(COUNT(E513:I513)&lt;5,"Needs component scores",IF(ISNUMBER(J513),"Calculated",J513))</x:f>
        <x:v>Needs component scores</x:v>
      </x:c>
      <x:c r="M513" s="69" t="n">
        <x:f>IF(C513="","",MATCH(C513,'Position_Rubric'!$A$6:$A$14,0))</x:f>
        <x:v>7</x:v>
      </x:c>
      <x:c r="N513" s="69" t="str"/>
    </x:row>
    <x:row r="514" ht="25" customHeight="1">
      <x:c r="A514" s="69" t="str">
        <x:v>summer-S26-0081</x:v>
      </x:c>
      <x:c r="B514" s="69" t="str">
        <x:v>Anthony Bermont</x:v>
      </x:c>
      <x:c r="C514" s="69" t="str">
        <x:v>WINGER</x:v>
      </x:c>
      <x:c r="D514" s="82" t="str">
        <x:f>IF(ISNUMBER('Transfer_Ratings'!K514),'Transfer_Ratings'!K514,"")</x:f>
      </x:c>
      <x:c r="E514" s="86"/>
      <x:c r="F514" s="86"/>
      <x:c r="G514" s="86"/>
      <x:c r="H514" s="86"/>
      <x:c r="I514" s="86"/>
      <x:c r="J514" s="82" t="str">
        <x:f>IF(C514="","Choose position",IF(COUNT(E514:I514)&lt;5,"",IF(OR(MIN(E514:I514)&lt;0.1,MAX(E514:I514)&gt;10),"Invalid score",IF(INDEX('Position_Rubric'!$H$6:$H$14,M514)&lt;&gt;1,"Check weights",ROUND(E514*INDEX('Position_Rubric'!$C$6:$C$14,M514)+F514*INDEX('Position_Rubric'!$D$6:$D$14,M514)+G514*INDEX('Position_Rubric'!$E$6:$E$14,M514)+H514*INDEX('Position_Rubric'!$F$6:$F$14,M514)+I514*INDEX('Position_Rubric'!$G$6:$G$14,M514),1)))))</x:f>
      </x:c>
      <x:c r="K514" s="82" t="str">
        <x:f>IF(AND(ISNUMBER(J514),ISNUMBER(D514)),J514-D514,"")</x:f>
      </x:c>
      <x:c r="L514" s="69" t="str">
        <x:f>IF(COUNT(E514:I514)&lt;5,"Needs component scores",IF(ISNUMBER(J514),"Calculated",J514))</x:f>
        <x:v>Needs component scores</x:v>
      </x:c>
      <x:c r="M514" s="69" t="n">
        <x:f>IF(C514="","",MATCH(C514,'Position_Rubric'!$A$6:$A$14,0))</x:f>
        <x:v>7</x:v>
      </x:c>
      <x:c r="N514" s="69" t="str"/>
    </x:row>
    <x:row r="515" ht="25" customHeight="1">
      <x:c r="A515" s="69" t="str">
        <x:v>summer-S26-0093</x:v>
      </x:c>
      <x:c r="B515" s="69" t="str">
        <x:v>Afonso Moreira</x:v>
      </x:c>
      <x:c r="C515" s="69" t="str">
        <x:v>WINGER</x:v>
      </x:c>
      <x:c r="D515" s="82" t="str">
        <x:f>IF(ISNUMBER('Transfer_Ratings'!K515),'Transfer_Ratings'!K515,"")</x:f>
      </x:c>
      <x:c r="E515" s="86"/>
      <x:c r="F515" s="86"/>
      <x:c r="G515" s="86"/>
      <x:c r="H515" s="86"/>
      <x:c r="I515" s="86"/>
      <x:c r="J515" s="82" t="str">
        <x:f>IF(C515="","Choose position",IF(COUNT(E515:I515)&lt;5,"",IF(OR(MIN(E515:I515)&lt;0.1,MAX(E515:I515)&gt;10),"Invalid score",IF(INDEX('Position_Rubric'!$H$6:$H$14,M515)&lt;&gt;1,"Check weights",ROUND(E515*INDEX('Position_Rubric'!$C$6:$C$14,M515)+F515*INDEX('Position_Rubric'!$D$6:$D$14,M515)+G515*INDEX('Position_Rubric'!$E$6:$E$14,M515)+H515*INDEX('Position_Rubric'!$F$6:$F$14,M515)+I515*INDEX('Position_Rubric'!$G$6:$G$14,M515),1)))))</x:f>
      </x:c>
      <x:c r="K515" s="82" t="str">
        <x:f>IF(AND(ISNUMBER(J515),ISNUMBER(D515)),J515-D515,"")</x:f>
      </x:c>
      <x:c r="L515" s="69" t="str">
        <x:f>IF(COUNT(E515:I515)&lt;5,"Needs component scores",IF(ISNUMBER(J515),"Calculated",J515))</x:f>
        <x:v>Needs component scores</x:v>
      </x:c>
      <x:c r="M515" s="69" t="n">
        <x:f>IF(C515="","",MATCH(C515,'Position_Rubric'!$A$6:$A$14,0))</x:f>
        <x:v>7</x:v>
      </x:c>
      <x:c r="N515" s="69" t="str"/>
    </x:row>
    <x:row r="516" ht="25" customHeight="1">
      <x:c r="A516" s="69" t="str">
        <x:v>summer-S26-0098</x:v>
      </x:c>
      <x:c r="B516" s="69" t="str">
        <x:v>Tommaso Corazza</x:v>
      </x:c>
      <x:c r="C516" s="69" t="str">
        <x:v>WINGER</x:v>
      </x:c>
      <x:c r="D516" s="82" t="str">
        <x:f>IF(ISNUMBER('Transfer_Ratings'!K516),'Transfer_Ratings'!K516,"")</x:f>
      </x:c>
      <x:c r="E516" s="86"/>
      <x:c r="F516" s="86"/>
      <x:c r="G516" s="86"/>
      <x:c r="H516" s="86"/>
      <x:c r="I516" s="86"/>
      <x:c r="J516" s="82" t="str">
        <x:f>IF(C516="","Choose position",IF(COUNT(E516:I516)&lt;5,"",IF(OR(MIN(E516:I516)&lt;0.1,MAX(E516:I516)&gt;10),"Invalid score",IF(INDEX('Position_Rubric'!$H$6:$H$14,M516)&lt;&gt;1,"Check weights",ROUND(E516*INDEX('Position_Rubric'!$C$6:$C$14,M516)+F516*INDEX('Position_Rubric'!$D$6:$D$14,M516)+G516*INDEX('Position_Rubric'!$E$6:$E$14,M516)+H516*INDEX('Position_Rubric'!$F$6:$F$14,M516)+I516*INDEX('Position_Rubric'!$G$6:$G$14,M516),1)))))</x:f>
      </x:c>
      <x:c r="K516" s="82" t="str">
        <x:f>IF(AND(ISNUMBER(J516),ISNUMBER(D516)),J516-D516,"")</x:f>
      </x:c>
      <x:c r="L516" s="69" t="str">
        <x:f>IF(COUNT(E516:I516)&lt;5,"Needs component scores",IF(ISNUMBER(J516),"Calculated",J516))</x:f>
        <x:v>Needs component scores</x:v>
      </x:c>
      <x:c r="M516" s="69" t="n">
        <x:f>IF(C516="","",MATCH(C516,'Position_Rubric'!$A$6:$A$14,0))</x:f>
        <x:v>7</x:v>
      </x:c>
      <x:c r="N516" s="69" t="str"/>
    </x:row>
    <x:row r="517" ht="25" customHeight="1">
      <x:c r="A517" s="69" t="str">
        <x:v>summer-S26-0114</x:v>
      </x:c>
      <x:c r="B517" s="69" t="str">
        <x:v>Michael Dacosta</x:v>
      </x:c>
      <x:c r="C517" s="69" t="str">
        <x:v>WINGER</x:v>
      </x:c>
      <x:c r="D517" s="82" t="str">
        <x:f>IF(ISNUMBER('Transfer_Ratings'!K517),'Transfer_Ratings'!K517,"")</x:f>
      </x:c>
      <x:c r="E517" s="86"/>
      <x:c r="F517" s="86"/>
      <x:c r="G517" s="86"/>
      <x:c r="H517" s="86"/>
      <x:c r="I517" s="86"/>
      <x:c r="J517" s="82" t="str">
        <x:f>IF(C517="","Choose position",IF(COUNT(E517:I517)&lt;5,"",IF(OR(MIN(E517:I517)&lt;0.1,MAX(E517:I517)&gt;10),"Invalid score",IF(INDEX('Position_Rubric'!$H$6:$H$14,M517)&lt;&gt;1,"Check weights",ROUND(E517*INDEX('Position_Rubric'!$C$6:$C$14,M517)+F517*INDEX('Position_Rubric'!$D$6:$D$14,M517)+G517*INDEX('Position_Rubric'!$E$6:$E$14,M517)+H517*INDEX('Position_Rubric'!$F$6:$F$14,M517)+I517*INDEX('Position_Rubric'!$G$6:$G$14,M517),1)))))</x:f>
      </x:c>
      <x:c r="K517" s="82" t="str">
        <x:f>IF(AND(ISNUMBER(J517),ISNUMBER(D517)),J517-D517,"")</x:f>
      </x:c>
      <x:c r="L517" s="69" t="str">
        <x:f>IF(COUNT(E517:I517)&lt;5,"Needs component scores",IF(ISNUMBER(J517),"Calculated",J517))</x:f>
        <x:v>Needs component scores</x:v>
      </x:c>
      <x:c r="M517" s="69" t="n">
        <x:f>IF(C517="","",MATCH(C517,'Position_Rubric'!$A$6:$A$14,0))</x:f>
        <x:v>7</x:v>
      </x:c>
      <x:c r="N517" s="69" t="str"/>
    </x:row>
    <x:row r="518" ht="25" customHeight="1">
      <x:c r="A518" s="69" t="str">
        <x:v>summer-S26-0135</x:v>
      </x:c>
      <x:c r="B518" s="69" t="str">
        <x:v>Ilyes Hamache</x:v>
      </x:c>
      <x:c r="C518" s="69" t="str">
        <x:v>WINGER</x:v>
      </x:c>
      <x:c r="D518" s="82" t="str">
        <x:f>IF(ISNUMBER('Transfer_Ratings'!K518),'Transfer_Ratings'!K518,"")</x:f>
      </x:c>
      <x:c r="E518" s="86"/>
      <x:c r="F518" s="86"/>
      <x:c r="G518" s="86"/>
      <x:c r="H518" s="86"/>
      <x:c r="I518" s="86"/>
      <x:c r="J518" s="82" t="str">
        <x:f>IF(C518="","Choose position",IF(COUNT(E518:I518)&lt;5,"",IF(OR(MIN(E518:I518)&lt;0.1,MAX(E518:I518)&gt;10),"Invalid score",IF(INDEX('Position_Rubric'!$H$6:$H$14,M518)&lt;&gt;1,"Check weights",ROUND(E518*INDEX('Position_Rubric'!$C$6:$C$14,M518)+F518*INDEX('Position_Rubric'!$D$6:$D$14,M518)+G518*INDEX('Position_Rubric'!$E$6:$E$14,M518)+H518*INDEX('Position_Rubric'!$F$6:$F$14,M518)+I518*INDEX('Position_Rubric'!$G$6:$G$14,M518),1)))))</x:f>
      </x:c>
      <x:c r="K518" s="82" t="str">
        <x:f>IF(AND(ISNUMBER(J518),ISNUMBER(D518)),J518-D518,"")</x:f>
      </x:c>
      <x:c r="L518" s="69" t="str">
        <x:f>IF(COUNT(E518:I518)&lt;5,"Needs component scores",IF(ISNUMBER(J518),"Calculated",J518))</x:f>
        <x:v>Needs component scores</x:v>
      </x:c>
      <x:c r="M518" s="69" t="n">
        <x:f>IF(C518="","",MATCH(C518,'Position_Rubric'!$A$6:$A$14,0))</x:f>
        <x:v>7</x:v>
      </x:c>
      <x:c r="N518" s="69" t="str"/>
    </x:row>
    <x:row r="519" ht="25" customHeight="1">
      <x:c r="A519" s="69" t="str">
        <x:v>summer-S26-0143</x:v>
      </x:c>
      <x:c r="B519" s="69" t="str">
        <x:v>Demba Seck</x:v>
      </x:c>
      <x:c r="C519" s="69" t="str">
        <x:v>WINGER</x:v>
      </x:c>
      <x:c r="D519" s="82" t="str">
        <x:f>IF(ISNUMBER('Transfer_Ratings'!K519),'Transfer_Ratings'!K519,"")</x:f>
      </x:c>
      <x:c r="E519" s="86"/>
      <x:c r="F519" s="86"/>
      <x:c r="G519" s="86"/>
      <x:c r="H519" s="86"/>
      <x:c r="I519" s="86"/>
      <x:c r="J519" s="82" t="str">
        <x:f>IF(C519="","Choose position",IF(COUNT(E519:I519)&lt;5,"",IF(OR(MIN(E519:I519)&lt;0.1,MAX(E519:I519)&gt;10),"Invalid score",IF(INDEX('Position_Rubric'!$H$6:$H$14,M519)&lt;&gt;1,"Check weights",ROUND(E519*INDEX('Position_Rubric'!$C$6:$C$14,M519)+F519*INDEX('Position_Rubric'!$D$6:$D$14,M519)+G519*INDEX('Position_Rubric'!$E$6:$E$14,M519)+H519*INDEX('Position_Rubric'!$F$6:$F$14,M519)+I519*INDEX('Position_Rubric'!$G$6:$G$14,M519),1)))))</x:f>
      </x:c>
      <x:c r="K519" s="82" t="str">
        <x:f>IF(AND(ISNUMBER(J519),ISNUMBER(D519)),J519-D519,"")</x:f>
      </x:c>
      <x:c r="L519" s="69" t="str">
        <x:f>IF(COUNT(E519:I519)&lt;5,"Needs component scores",IF(ISNUMBER(J519),"Calculated",J519))</x:f>
        <x:v>Needs component scores</x:v>
      </x:c>
      <x:c r="M519" s="69" t="n">
        <x:f>IF(C519="","",MATCH(C519,'Position_Rubric'!$A$6:$A$14,0))</x:f>
        <x:v>7</x:v>
      </x:c>
      <x:c r="N519" s="69" t="str"/>
    </x:row>
    <x:row r="520" ht="25" customHeight="1">
      <x:c r="A520" s="69" t="str">
        <x:v>summer-S26-0148</x:v>
      </x:c>
      <x:c r="B520" s="69" t="str">
        <x:v>Aiman Dardari</x:v>
      </x:c>
      <x:c r="C520" s="69" t="str">
        <x:v>WINGER</x:v>
      </x:c>
      <x:c r="D520" s="82" t="str">
        <x:f>IF(ISNUMBER('Transfer_Ratings'!K520),'Transfer_Ratings'!K520,"")</x:f>
      </x:c>
      <x:c r="E520" s="86"/>
      <x:c r="F520" s="86"/>
      <x:c r="G520" s="86"/>
      <x:c r="H520" s="86"/>
      <x:c r="I520" s="86"/>
      <x:c r="J520" s="82" t="str">
        <x:f>IF(C520="","Choose position",IF(COUNT(E520:I520)&lt;5,"",IF(OR(MIN(E520:I520)&lt;0.1,MAX(E520:I520)&gt;10),"Invalid score",IF(INDEX('Position_Rubric'!$H$6:$H$14,M520)&lt;&gt;1,"Check weights",ROUND(E520*INDEX('Position_Rubric'!$C$6:$C$14,M520)+F520*INDEX('Position_Rubric'!$D$6:$D$14,M520)+G520*INDEX('Position_Rubric'!$E$6:$E$14,M520)+H520*INDEX('Position_Rubric'!$F$6:$F$14,M520)+I520*INDEX('Position_Rubric'!$G$6:$G$14,M520),1)))))</x:f>
      </x:c>
      <x:c r="K520" s="82" t="str">
        <x:f>IF(AND(ISNUMBER(J520),ISNUMBER(D520)),J520-D520,"")</x:f>
      </x:c>
      <x:c r="L520" s="69" t="str">
        <x:f>IF(COUNT(E520:I520)&lt;5,"Needs component scores",IF(ISNUMBER(J520),"Calculated",J520))</x:f>
        <x:v>Needs component scores</x:v>
      </x:c>
      <x:c r="M520" s="69" t="n">
        <x:f>IF(C520="","",MATCH(C520,'Position_Rubric'!$A$6:$A$14,0))</x:f>
        <x:v>7</x:v>
      </x:c>
      <x:c r="N520" s="69" t="str"/>
    </x:row>
    <x:row r="521" ht="25" customHeight="1">
      <x:c r="A521" s="69" t="str">
        <x:v>summer-S26-0152</x:v>
      </x:c>
      <x:c r="B521" s="69" t="str">
        <x:v>Mathys Detourbet</x:v>
      </x:c>
      <x:c r="C521" s="69" t="str">
        <x:v>WINGER</x:v>
      </x:c>
      <x:c r="D521" s="82" t="str">
        <x:f>IF(ISNUMBER('Transfer_Ratings'!K521),'Transfer_Ratings'!K521,"")</x:f>
      </x:c>
      <x:c r="E521" s="86"/>
      <x:c r="F521" s="86"/>
      <x:c r="G521" s="86"/>
      <x:c r="H521" s="86"/>
      <x:c r="I521" s="86"/>
      <x:c r="J521" s="82" t="str">
        <x:f>IF(C521="","Choose position",IF(COUNT(E521:I521)&lt;5,"",IF(OR(MIN(E521:I521)&lt;0.1,MAX(E521:I521)&gt;10),"Invalid score",IF(INDEX('Position_Rubric'!$H$6:$H$14,M521)&lt;&gt;1,"Check weights",ROUND(E521*INDEX('Position_Rubric'!$C$6:$C$14,M521)+F521*INDEX('Position_Rubric'!$D$6:$D$14,M521)+G521*INDEX('Position_Rubric'!$E$6:$E$14,M521)+H521*INDEX('Position_Rubric'!$F$6:$F$14,M521)+I521*INDEX('Position_Rubric'!$G$6:$G$14,M521),1)))))</x:f>
      </x:c>
      <x:c r="K521" s="82" t="str">
        <x:f>IF(AND(ISNUMBER(J521),ISNUMBER(D521)),J521-D521,"")</x:f>
      </x:c>
      <x:c r="L521" s="69" t="str">
        <x:f>IF(COUNT(E521:I521)&lt;5,"Needs component scores",IF(ISNUMBER(J521),"Calculated",J521))</x:f>
        <x:v>Needs component scores</x:v>
      </x:c>
      <x:c r="M521" s="69" t="n">
        <x:f>IF(C521="","",MATCH(C521,'Position_Rubric'!$A$6:$A$14,0))</x:f>
        <x:v>7</x:v>
      </x:c>
      <x:c r="N521" s="69" t="str"/>
    </x:row>
    <x:row r="522" ht="25" customHeight="1">
      <x:c r="A522" s="69" t="str">
        <x:v>summer-S26-0153</x:v>
      </x:c>
      <x:c r="B522" s="69" t="str">
        <x:v>Kornel Lisman</x:v>
      </x:c>
      <x:c r="C522" s="69" t="str">
        <x:v>WINGER</x:v>
      </x:c>
      <x:c r="D522" s="82" t="str">
        <x:f>IF(ISNUMBER('Transfer_Ratings'!K522),'Transfer_Ratings'!K522,"")</x:f>
      </x:c>
      <x:c r="E522" s="86"/>
      <x:c r="F522" s="86"/>
      <x:c r="G522" s="86"/>
      <x:c r="H522" s="86"/>
      <x:c r="I522" s="86"/>
      <x:c r="J522" s="82" t="str">
        <x:f>IF(C522="","Choose position",IF(COUNT(E522:I522)&lt;5,"",IF(OR(MIN(E522:I522)&lt;0.1,MAX(E522:I522)&gt;10),"Invalid score",IF(INDEX('Position_Rubric'!$H$6:$H$14,M522)&lt;&gt;1,"Check weights",ROUND(E522*INDEX('Position_Rubric'!$C$6:$C$14,M522)+F522*INDEX('Position_Rubric'!$D$6:$D$14,M522)+G522*INDEX('Position_Rubric'!$E$6:$E$14,M522)+H522*INDEX('Position_Rubric'!$F$6:$F$14,M522)+I522*INDEX('Position_Rubric'!$G$6:$G$14,M522),1)))))</x:f>
      </x:c>
      <x:c r="K522" s="82" t="str">
        <x:f>IF(AND(ISNUMBER(J522),ISNUMBER(D522)),J522-D522,"")</x:f>
      </x:c>
      <x:c r="L522" s="69" t="str">
        <x:f>IF(COUNT(E522:I522)&lt;5,"Needs component scores",IF(ISNUMBER(J522),"Calculated",J522))</x:f>
        <x:v>Needs component scores</x:v>
      </x:c>
      <x:c r="M522" s="69" t="n">
        <x:f>IF(C522="","",MATCH(C522,'Position_Rubric'!$A$6:$A$14,0))</x:f>
        <x:v>7</x:v>
      </x:c>
      <x:c r="N522" s="69" t="str"/>
    </x:row>
    <x:row r="523" ht="25" customHeight="1">
      <x:c r="A523" s="69" t="str">
        <x:v>summer-S26-0164</x:v>
      </x:c>
      <x:c r="B523" s="69" t="str">
        <x:v>Ansu Fati</x:v>
      </x:c>
      <x:c r="C523" s="69" t="str">
        <x:v>WINGER</x:v>
      </x:c>
      <x:c r="D523" s="82" t="str">
        <x:f>IF(ISNUMBER('Transfer_Ratings'!K523),'Transfer_Ratings'!K523,"")</x:f>
      </x:c>
      <x:c r="E523" s="86"/>
      <x:c r="F523" s="86"/>
      <x:c r="G523" s="86"/>
      <x:c r="H523" s="86"/>
      <x:c r="I523" s="86"/>
      <x:c r="J523" s="82" t="str">
        <x:f>IF(C523="","Choose position",IF(COUNT(E523:I523)&lt;5,"",IF(OR(MIN(E523:I523)&lt;0.1,MAX(E523:I523)&gt;10),"Invalid score",IF(INDEX('Position_Rubric'!$H$6:$H$14,M523)&lt;&gt;1,"Check weights",ROUND(E523*INDEX('Position_Rubric'!$C$6:$C$14,M523)+F523*INDEX('Position_Rubric'!$D$6:$D$14,M523)+G523*INDEX('Position_Rubric'!$E$6:$E$14,M523)+H523*INDEX('Position_Rubric'!$F$6:$F$14,M523)+I523*INDEX('Position_Rubric'!$G$6:$G$14,M523),1)))))</x:f>
      </x:c>
      <x:c r="K523" s="82" t="str">
        <x:f>IF(AND(ISNUMBER(J523),ISNUMBER(D523)),J523-D523,"")</x:f>
      </x:c>
      <x:c r="L523" s="69" t="str">
        <x:f>IF(COUNT(E523:I523)&lt;5,"Needs component scores",IF(ISNUMBER(J523),"Calculated",J523))</x:f>
        <x:v>Needs component scores</x:v>
      </x:c>
      <x:c r="M523" s="69" t="n">
        <x:f>IF(C523="","",MATCH(C523,'Position_Rubric'!$A$6:$A$14,0))</x:f>
        <x:v>7</x:v>
      </x:c>
      <x:c r="N523" s="69" t="str"/>
    </x:row>
    <x:row r="524" ht="25" customHeight="1">
      <x:c r="A524" s="69" t="str">
        <x:v>summer-S26-0167</x:v>
      </x:c>
      <x:c r="B524" s="69" t="str">
        <x:v>Rodrigo Rêgo</x:v>
      </x:c>
      <x:c r="C524" s="69" t="str">
        <x:v>WINGER</x:v>
      </x:c>
      <x:c r="D524" s="82" t="str">
        <x:f>IF(ISNUMBER('Transfer_Ratings'!K524),'Transfer_Ratings'!K524,"")</x:f>
      </x:c>
      <x:c r="E524" s="86"/>
      <x:c r="F524" s="86"/>
      <x:c r="G524" s="86"/>
      <x:c r="H524" s="86"/>
      <x:c r="I524" s="86"/>
      <x:c r="J524" s="82" t="str">
        <x:f>IF(C524="","Choose position",IF(COUNT(E524:I524)&lt;5,"",IF(OR(MIN(E524:I524)&lt;0.1,MAX(E524:I524)&gt;10),"Invalid score",IF(INDEX('Position_Rubric'!$H$6:$H$14,M524)&lt;&gt;1,"Check weights",ROUND(E524*INDEX('Position_Rubric'!$C$6:$C$14,M524)+F524*INDEX('Position_Rubric'!$D$6:$D$14,M524)+G524*INDEX('Position_Rubric'!$E$6:$E$14,M524)+H524*INDEX('Position_Rubric'!$F$6:$F$14,M524)+I524*INDEX('Position_Rubric'!$G$6:$G$14,M524),1)))))</x:f>
      </x:c>
      <x:c r="K524" s="82" t="str">
        <x:f>IF(AND(ISNUMBER(J524),ISNUMBER(D524)),J524-D524,"")</x:f>
      </x:c>
      <x:c r="L524" s="69" t="str">
        <x:f>IF(COUNT(E524:I524)&lt;5,"Needs component scores",IF(ISNUMBER(J524),"Calculated",J524))</x:f>
        <x:v>Needs component scores</x:v>
      </x:c>
      <x:c r="M524" s="69" t="n">
        <x:f>IF(C524="","",MATCH(C524,'Position_Rubric'!$A$6:$A$14,0))</x:f>
        <x:v>7</x:v>
      </x:c>
      <x:c r="N524" s="69" t="str"/>
    </x:row>
    <x:row r="525" ht="25" customHeight="1">
      <x:c r="A525" s="69" t="str">
        <x:v>summer-S26-0209</x:v>
      </x:c>
      <x:c r="B525" s="69" t="str">
        <x:v>Diego Bri</x:v>
      </x:c>
      <x:c r="C525" s="69" t="str">
        <x:v>WINGER</x:v>
      </x:c>
      <x:c r="D525" s="82" t="str">
        <x:f>IF(ISNUMBER('Transfer_Ratings'!K525),'Transfer_Ratings'!K525,"")</x:f>
      </x:c>
      <x:c r="E525" s="86"/>
      <x:c r="F525" s="86"/>
      <x:c r="G525" s="86"/>
      <x:c r="H525" s="86"/>
      <x:c r="I525" s="86"/>
      <x:c r="J525" s="82" t="str">
        <x:f>IF(C525="","Choose position",IF(COUNT(E525:I525)&lt;5,"",IF(OR(MIN(E525:I525)&lt;0.1,MAX(E525:I525)&gt;10),"Invalid score",IF(INDEX('Position_Rubric'!$H$6:$H$14,M525)&lt;&gt;1,"Check weights",ROUND(E525*INDEX('Position_Rubric'!$C$6:$C$14,M525)+F525*INDEX('Position_Rubric'!$D$6:$D$14,M525)+G525*INDEX('Position_Rubric'!$E$6:$E$14,M525)+H525*INDEX('Position_Rubric'!$F$6:$F$14,M525)+I525*INDEX('Position_Rubric'!$G$6:$G$14,M525),1)))))</x:f>
      </x:c>
      <x:c r="K525" s="82" t="str">
        <x:f>IF(AND(ISNUMBER(J525),ISNUMBER(D525)),J525-D525,"")</x:f>
      </x:c>
      <x:c r="L525" s="69" t="str">
        <x:f>IF(COUNT(E525:I525)&lt;5,"Needs component scores",IF(ISNUMBER(J525),"Calculated",J525))</x:f>
        <x:v>Needs component scores</x:v>
      </x:c>
      <x:c r="M525" s="69" t="n">
        <x:f>IF(C525="","",MATCH(C525,'Position_Rubric'!$A$6:$A$14,0))</x:f>
        <x:v>7</x:v>
      </x:c>
      <x:c r="N525" s="69" t="str"/>
    </x:row>
    <x:row r="526" ht="25" customHeight="1">
      <x:c r="A526" s="69" t="str">
        <x:v>summer-S26-0210</x:v>
      </x:c>
      <x:c r="B526" s="69" t="str">
        <x:v>Mathys Detourbet</x:v>
      </x:c>
      <x:c r="C526" s="69" t="str">
        <x:v>WINGER</x:v>
      </x:c>
      <x:c r="D526" s="82" t="str">
        <x:f>IF(ISNUMBER('Transfer_Ratings'!K526),'Transfer_Ratings'!K526,"")</x:f>
      </x:c>
      <x:c r="E526" s="86"/>
      <x:c r="F526" s="86"/>
      <x:c r="G526" s="86"/>
      <x:c r="H526" s="86"/>
      <x:c r="I526" s="86"/>
      <x:c r="J526" s="82" t="str">
        <x:f>IF(C526="","Choose position",IF(COUNT(E526:I526)&lt;5,"",IF(OR(MIN(E526:I526)&lt;0.1,MAX(E526:I526)&gt;10),"Invalid score",IF(INDEX('Position_Rubric'!$H$6:$H$14,M526)&lt;&gt;1,"Check weights",ROUND(E526*INDEX('Position_Rubric'!$C$6:$C$14,M526)+F526*INDEX('Position_Rubric'!$D$6:$D$14,M526)+G526*INDEX('Position_Rubric'!$E$6:$E$14,M526)+H526*INDEX('Position_Rubric'!$F$6:$F$14,M526)+I526*INDEX('Position_Rubric'!$G$6:$G$14,M526),1)))))</x:f>
      </x:c>
      <x:c r="K526" s="82" t="str">
        <x:f>IF(AND(ISNUMBER(J526),ISNUMBER(D526)),J526-D526,"")</x:f>
      </x:c>
      <x:c r="L526" s="69" t="str">
        <x:f>IF(COUNT(E526:I526)&lt;5,"Needs component scores",IF(ISNUMBER(J526),"Calculated",J526))</x:f>
        <x:v>Needs component scores</x:v>
      </x:c>
      <x:c r="M526" s="69" t="n">
        <x:f>IF(C526="","",MATCH(C526,'Position_Rubric'!$A$6:$A$14,0))</x:f>
        <x:v>7</x:v>
      </x:c>
      <x:c r="N526" s="69" t="str"/>
    </x:row>
    <x:row r="527" ht="25" customHeight="1">
      <x:c r="A527" s="69" t="str">
        <x:v>summer-S26-0211</x:v>
      </x:c>
      <x:c r="B527" s="69" t="str">
        <x:v>Álex Calatrava</x:v>
      </x:c>
      <x:c r="C527" s="69" t="str">
        <x:v>WINGER</x:v>
      </x:c>
      <x:c r="D527" s="82" t="str">
        <x:f>IF(ISNUMBER('Transfer_Ratings'!K527),'Transfer_Ratings'!K527,"")</x:f>
      </x:c>
      <x:c r="E527" s="86"/>
      <x:c r="F527" s="86"/>
      <x:c r="G527" s="86"/>
      <x:c r="H527" s="86"/>
      <x:c r="I527" s="86"/>
      <x:c r="J527" s="82" t="str">
        <x:f>IF(C527="","Choose position",IF(COUNT(E527:I527)&lt;5,"",IF(OR(MIN(E527:I527)&lt;0.1,MAX(E527:I527)&gt;10),"Invalid score",IF(INDEX('Position_Rubric'!$H$6:$H$14,M527)&lt;&gt;1,"Check weights",ROUND(E527*INDEX('Position_Rubric'!$C$6:$C$14,M527)+F527*INDEX('Position_Rubric'!$D$6:$D$14,M527)+G527*INDEX('Position_Rubric'!$E$6:$E$14,M527)+H527*INDEX('Position_Rubric'!$F$6:$F$14,M527)+I527*INDEX('Position_Rubric'!$G$6:$G$14,M527),1)))))</x:f>
      </x:c>
      <x:c r="K527" s="82" t="str">
        <x:f>IF(AND(ISNUMBER(J527),ISNUMBER(D527)),J527-D527,"")</x:f>
      </x:c>
      <x:c r="L527" s="69" t="str">
        <x:f>IF(COUNT(E527:I527)&lt;5,"Needs component scores",IF(ISNUMBER(J527),"Calculated",J527))</x:f>
        <x:v>Needs component scores</x:v>
      </x:c>
      <x:c r="M527" s="69" t="n">
        <x:f>IF(C527="","",MATCH(C527,'Position_Rubric'!$A$6:$A$14,0))</x:f>
        <x:v>7</x:v>
      </x:c>
      <x:c r="N527" s="69" t="str"/>
    </x:row>
    <x:row r="528" ht="25" customHeight="1">
      <x:c r="A528" s="69" t="str">
        <x:v>summer-S26-0218</x:v>
      </x:c>
      <x:c r="B528" s="69" t="str">
        <x:v>Dani Rodríguez</x:v>
      </x:c>
      <x:c r="C528" s="69" t="str">
        <x:v>WINGER</x:v>
      </x:c>
      <x:c r="D528" s="82" t="str">
        <x:f>IF(ISNUMBER('Transfer_Ratings'!K528),'Transfer_Ratings'!K528,"")</x:f>
      </x:c>
      <x:c r="E528" s="86"/>
      <x:c r="F528" s="86"/>
      <x:c r="G528" s="86"/>
      <x:c r="H528" s="86"/>
      <x:c r="I528" s="86"/>
      <x:c r="J528" s="82" t="str">
        <x:f>IF(C528="","Choose position",IF(COUNT(E528:I528)&lt;5,"",IF(OR(MIN(E528:I528)&lt;0.1,MAX(E528:I528)&gt;10),"Invalid score",IF(INDEX('Position_Rubric'!$H$6:$H$14,M528)&lt;&gt;1,"Check weights",ROUND(E528*INDEX('Position_Rubric'!$C$6:$C$14,M528)+F528*INDEX('Position_Rubric'!$D$6:$D$14,M528)+G528*INDEX('Position_Rubric'!$E$6:$E$14,M528)+H528*INDEX('Position_Rubric'!$F$6:$F$14,M528)+I528*INDEX('Position_Rubric'!$G$6:$G$14,M528),1)))))</x:f>
      </x:c>
      <x:c r="K528" s="82" t="str">
        <x:f>IF(AND(ISNUMBER(J528),ISNUMBER(D528)),J528-D528,"")</x:f>
      </x:c>
      <x:c r="L528" s="69" t="str">
        <x:f>IF(COUNT(E528:I528)&lt;5,"Needs component scores",IF(ISNUMBER(J528),"Calculated",J528))</x:f>
        <x:v>Needs component scores</x:v>
      </x:c>
      <x:c r="M528" s="69" t="n">
        <x:f>IF(C528="","",MATCH(C528,'Position_Rubric'!$A$6:$A$14,0))</x:f>
        <x:v>7</x:v>
      </x:c>
      <x:c r="N528" s="69" t="str"/>
    </x:row>
    <x:row r="529" ht="25" customHeight="1">
      <x:c r="A529" s="69" t="str">
        <x:v>summer-S26-0235</x:v>
      </x:c>
      <x:c r="B529" s="69" t="str">
        <x:v>Noah Pesch</x:v>
      </x:c>
      <x:c r="C529" s="69" t="str">
        <x:v>WINGER</x:v>
      </x:c>
      <x:c r="D529" s="82" t="str">
        <x:f>IF(ISNUMBER('Transfer_Ratings'!K529),'Transfer_Ratings'!K529,"")</x:f>
      </x:c>
      <x:c r="E529" s="86"/>
      <x:c r="F529" s="86"/>
      <x:c r="G529" s="86"/>
      <x:c r="H529" s="86"/>
      <x:c r="I529" s="86"/>
      <x:c r="J529" s="82" t="str">
        <x:f>IF(C529="","Choose position",IF(COUNT(E529:I529)&lt;5,"",IF(OR(MIN(E529:I529)&lt;0.1,MAX(E529:I529)&gt;10),"Invalid score",IF(INDEX('Position_Rubric'!$H$6:$H$14,M529)&lt;&gt;1,"Check weights",ROUND(E529*INDEX('Position_Rubric'!$C$6:$C$14,M529)+F529*INDEX('Position_Rubric'!$D$6:$D$14,M529)+G529*INDEX('Position_Rubric'!$E$6:$E$14,M529)+H529*INDEX('Position_Rubric'!$F$6:$F$14,M529)+I529*INDEX('Position_Rubric'!$G$6:$G$14,M529),1)))))</x:f>
      </x:c>
      <x:c r="K529" s="82" t="str">
        <x:f>IF(AND(ISNUMBER(J529),ISNUMBER(D529)),J529-D529,"")</x:f>
      </x:c>
      <x:c r="L529" s="69" t="str">
        <x:f>IF(COUNT(E529:I529)&lt;5,"Needs component scores",IF(ISNUMBER(J529),"Calculated",J529))</x:f>
        <x:v>Needs component scores</x:v>
      </x:c>
      <x:c r="M529" s="69" t="n">
        <x:f>IF(C529="","",MATCH(C529,'Position_Rubric'!$A$6:$A$14,0))</x:f>
        <x:v>7</x:v>
      </x:c>
      <x:c r="N529" s="69" t="str"/>
    </x:row>
    <x:row r="530" ht="25" customHeight="1">
      <x:c r="A530" s="69" t="str">
        <x:v>summer-S26-0248</x:v>
      </x:c>
      <x:c r="B530" s="69" t="str">
        <x:v>Federico Chinetti</x:v>
      </x:c>
      <x:c r="C530" s="69" t="str">
        <x:v>WINGER</x:v>
      </x:c>
      <x:c r="D530" s="82" t="str">
        <x:f>IF(ISNUMBER('Transfer_Ratings'!K530),'Transfer_Ratings'!K530,"")</x:f>
      </x:c>
      <x:c r="E530" s="86"/>
      <x:c r="F530" s="86"/>
      <x:c r="G530" s="86"/>
      <x:c r="H530" s="86"/>
      <x:c r="I530" s="86"/>
      <x:c r="J530" s="82" t="str">
        <x:f>IF(C530="","Choose position",IF(COUNT(E530:I530)&lt;5,"",IF(OR(MIN(E530:I530)&lt;0.1,MAX(E530:I530)&gt;10),"Invalid score",IF(INDEX('Position_Rubric'!$H$6:$H$14,M530)&lt;&gt;1,"Check weights",ROUND(E530*INDEX('Position_Rubric'!$C$6:$C$14,M530)+F530*INDEX('Position_Rubric'!$D$6:$D$14,M530)+G530*INDEX('Position_Rubric'!$E$6:$E$14,M530)+H530*INDEX('Position_Rubric'!$F$6:$F$14,M530)+I530*INDEX('Position_Rubric'!$G$6:$G$14,M530),1)))))</x:f>
      </x:c>
      <x:c r="K530" s="82" t="str">
        <x:f>IF(AND(ISNUMBER(J530),ISNUMBER(D530)),J530-D530,"")</x:f>
      </x:c>
      <x:c r="L530" s="69" t="str">
        <x:f>IF(COUNT(E530:I530)&lt;5,"Needs component scores",IF(ISNUMBER(J530),"Calculated",J530))</x:f>
        <x:v>Needs component scores</x:v>
      </x:c>
      <x:c r="M530" s="69" t="n">
        <x:f>IF(C530="","",MATCH(C530,'Position_Rubric'!$A$6:$A$14,0))</x:f>
        <x:v>7</x:v>
      </x:c>
      <x:c r="N530" s="69" t="str"/>
    </x:row>
    <x:row r="531" ht="25" customHeight="1">
      <x:c r="A531" s="69" t="str">
        <x:v>summer-S26-0251</x:v>
      </x:c>
      <x:c r="B531" s="69" t="str">
        <x:v>Bazoumana Touré</x:v>
      </x:c>
      <x:c r="C531" s="69" t="str">
        <x:v>WINGER</x:v>
      </x:c>
      <x:c r="D531" s="82" t="str">
        <x:f>IF(ISNUMBER('Transfer_Ratings'!K531),'Transfer_Ratings'!K531,"")</x:f>
      </x:c>
      <x:c r="E531" s="86"/>
      <x:c r="F531" s="86"/>
      <x:c r="G531" s="86"/>
      <x:c r="H531" s="86"/>
      <x:c r="I531" s="86"/>
      <x:c r="J531" s="82" t="str">
        <x:f>IF(C531="","Choose position",IF(COUNT(E531:I531)&lt;5,"",IF(OR(MIN(E531:I531)&lt;0.1,MAX(E531:I531)&gt;10),"Invalid score",IF(INDEX('Position_Rubric'!$H$6:$H$14,M531)&lt;&gt;1,"Check weights",ROUND(E531*INDEX('Position_Rubric'!$C$6:$C$14,M531)+F531*INDEX('Position_Rubric'!$D$6:$D$14,M531)+G531*INDEX('Position_Rubric'!$E$6:$E$14,M531)+H531*INDEX('Position_Rubric'!$F$6:$F$14,M531)+I531*INDEX('Position_Rubric'!$G$6:$G$14,M531),1)))))</x:f>
      </x:c>
      <x:c r="K531" s="82" t="str">
        <x:f>IF(AND(ISNUMBER(J531),ISNUMBER(D531)),J531-D531,"")</x:f>
      </x:c>
      <x:c r="L531" s="69" t="str">
        <x:f>IF(COUNT(E531:I531)&lt;5,"Needs component scores",IF(ISNUMBER(J531),"Calculated",J531))</x:f>
        <x:v>Needs component scores</x:v>
      </x:c>
      <x:c r="M531" s="69" t="n">
        <x:f>IF(C531="","",MATCH(C531,'Position_Rubric'!$A$6:$A$14,0))</x:f>
        <x:v>7</x:v>
      </x:c>
      <x:c r="N531" s="69" t="str"/>
    </x:row>
    <x:row r="532" ht="25" customHeight="1">
      <x:c r="A532" s="69" t="str">
        <x:v>summer-S26-0256</x:v>
      </x:c>
      <x:c r="B532" s="69" t="str">
        <x:v>Tyrique George</x:v>
      </x:c>
      <x:c r="C532" s="69" t="str">
        <x:v>WINGER</x:v>
      </x:c>
      <x:c r="D532" s="82" t="str">
        <x:f>IF(ISNUMBER('Transfer_Ratings'!K532),'Transfer_Ratings'!K532,"")</x:f>
      </x:c>
      <x:c r="E532" s="86"/>
      <x:c r="F532" s="86"/>
      <x:c r="G532" s="86"/>
      <x:c r="H532" s="86"/>
      <x:c r="I532" s="86"/>
      <x:c r="J532" s="82" t="str">
        <x:f>IF(C532="","Choose position",IF(COUNT(E532:I532)&lt;5,"",IF(OR(MIN(E532:I532)&lt;0.1,MAX(E532:I532)&gt;10),"Invalid score",IF(INDEX('Position_Rubric'!$H$6:$H$14,M532)&lt;&gt;1,"Check weights",ROUND(E532*INDEX('Position_Rubric'!$C$6:$C$14,M532)+F532*INDEX('Position_Rubric'!$D$6:$D$14,M532)+G532*INDEX('Position_Rubric'!$E$6:$E$14,M532)+H532*INDEX('Position_Rubric'!$F$6:$F$14,M532)+I532*INDEX('Position_Rubric'!$G$6:$G$14,M532),1)))))</x:f>
      </x:c>
      <x:c r="K532" s="82" t="str">
        <x:f>IF(AND(ISNUMBER(J532),ISNUMBER(D532)),J532-D532,"")</x:f>
      </x:c>
      <x:c r="L532" s="69" t="str">
        <x:f>IF(COUNT(E532:I532)&lt;5,"Needs component scores",IF(ISNUMBER(J532),"Calculated",J532))</x:f>
        <x:v>Needs component scores</x:v>
      </x:c>
      <x:c r="M532" s="69" t="n">
        <x:f>IF(C532="","",MATCH(C532,'Position_Rubric'!$A$6:$A$14,0))</x:f>
        <x:v>7</x:v>
      </x:c>
      <x:c r="N532" s="69" t="str"/>
    </x:row>
    <x:row r="533" ht="25" customHeight="1">
      <x:c r="A533" s="69" t="str">
        <x:v>summer-S26-0261</x:v>
      </x:c>
      <x:c r="B533" s="69" t="str">
        <x:v>Yoon Do-young</x:v>
      </x:c>
      <x:c r="C533" s="69" t="str">
        <x:v>WINGER</x:v>
      </x:c>
      <x:c r="D533" s="82" t="str">
        <x:f>IF(ISNUMBER('Transfer_Ratings'!K533),'Transfer_Ratings'!K533,"")</x:f>
      </x:c>
      <x:c r="E533" s="86"/>
      <x:c r="F533" s="86"/>
      <x:c r="G533" s="86"/>
      <x:c r="H533" s="86"/>
      <x:c r="I533" s="86"/>
      <x:c r="J533" s="82" t="str">
        <x:f>IF(C533="","Choose position",IF(COUNT(E533:I533)&lt;5,"",IF(OR(MIN(E533:I533)&lt;0.1,MAX(E533:I533)&gt;10),"Invalid score",IF(INDEX('Position_Rubric'!$H$6:$H$14,M533)&lt;&gt;1,"Check weights",ROUND(E533*INDEX('Position_Rubric'!$C$6:$C$14,M533)+F533*INDEX('Position_Rubric'!$D$6:$D$14,M533)+G533*INDEX('Position_Rubric'!$E$6:$E$14,M533)+H533*INDEX('Position_Rubric'!$F$6:$F$14,M533)+I533*INDEX('Position_Rubric'!$G$6:$G$14,M533),1)))))</x:f>
      </x:c>
      <x:c r="K533" s="82" t="str">
        <x:f>IF(AND(ISNUMBER(J533),ISNUMBER(D533)),J533-D533,"")</x:f>
      </x:c>
      <x:c r="L533" s="69" t="str">
        <x:f>IF(COUNT(E533:I533)&lt;5,"Needs component scores",IF(ISNUMBER(J533),"Calculated",J533))</x:f>
        <x:v>Needs component scores</x:v>
      </x:c>
      <x:c r="M533" s="69" t="n">
        <x:f>IF(C533="","",MATCH(C533,'Position_Rubric'!$A$6:$A$14,0))</x:f>
        <x:v>7</x:v>
      </x:c>
      <x:c r="N533" s="69" t="str"/>
    </x:row>
    <x:row r="534" ht="25" customHeight="1">
      <x:c r="A534" s="69" t="str">
        <x:v>summer-S26-0264</x:v>
      </x:c>
      <x:c r="B534" s="69" t="str">
        <x:v>Jaidon Anthony</x:v>
      </x:c>
      <x:c r="C534" s="69" t="str">
        <x:v>WINGER</x:v>
      </x:c>
      <x:c r="D534" s="82" t="str">
        <x:f>IF(ISNUMBER('Transfer_Ratings'!K534),'Transfer_Ratings'!K534,"")</x:f>
      </x:c>
      <x:c r="E534" s="86"/>
      <x:c r="F534" s="86"/>
      <x:c r="G534" s="86"/>
      <x:c r="H534" s="86"/>
      <x:c r="I534" s="86"/>
      <x:c r="J534" s="82" t="str">
        <x:f>IF(C534="","Choose position",IF(COUNT(E534:I534)&lt;5,"",IF(OR(MIN(E534:I534)&lt;0.1,MAX(E534:I534)&gt;10),"Invalid score",IF(INDEX('Position_Rubric'!$H$6:$H$14,M534)&lt;&gt;1,"Check weights",ROUND(E534*INDEX('Position_Rubric'!$C$6:$C$14,M534)+F534*INDEX('Position_Rubric'!$D$6:$D$14,M534)+G534*INDEX('Position_Rubric'!$E$6:$E$14,M534)+H534*INDEX('Position_Rubric'!$F$6:$F$14,M534)+I534*INDEX('Position_Rubric'!$G$6:$G$14,M534),1)))))</x:f>
      </x:c>
      <x:c r="K534" s="82" t="str">
        <x:f>IF(AND(ISNUMBER(J534),ISNUMBER(D534)),J534-D534,"")</x:f>
      </x:c>
      <x:c r="L534" s="69" t="str">
        <x:f>IF(COUNT(E534:I534)&lt;5,"Needs component scores",IF(ISNUMBER(J534),"Calculated",J534))</x:f>
        <x:v>Needs component scores</x:v>
      </x:c>
      <x:c r="M534" s="69" t="n">
        <x:f>IF(C534="","",MATCH(C534,'Position_Rubric'!$A$6:$A$14,0))</x:f>
        <x:v>7</x:v>
      </x:c>
      <x:c r="N534" s="69" t="str"/>
    </x:row>
    <x:row r="535" ht="25" customHeight="1">
      <x:c r="A535" s="69" t="str">
        <x:v>summer-S26-0266</x:v>
      </x:c>
      <x:c r="B535" s="69" t="str">
        <x:v>Billal Brahimi</x:v>
      </x:c>
      <x:c r="C535" s="69" t="str">
        <x:v>WINGER</x:v>
      </x:c>
      <x:c r="D535" s="82" t="str">
        <x:f>IF(ISNUMBER('Transfer_Ratings'!K535),'Transfer_Ratings'!K535,"")</x:f>
      </x:c>
      <x:c r="E535" s="86"/>
      <x:c r="F535" s="86"/>
      <x:c r="G535" s="86"/>
      <x:c r="H535" s="86"/>
      <x:c r="I535" s="86"/>
      <x:c r="J535" s="82" t="str">
        <x:f>IF(C535="","Choose position",IF(COUNT(E535:I535)&lt;5,"",IF(OR(MIN(E535:I535)&lt;0.1,MAX(E535:I535)&gt;10),"Invalid score",IF(INDEX('Position_Rubric'!$H$6:$H$14,M535)&lt;&gt;1,"Check weights",ROUND(E535*INDEX('Position_Rubric'!$C$6:$C$14,M535)+F535*INDEX('Position_Rubric'!$D$6:$D$14,M535)+G535*INDEX('Position_Rubric'!$E$6:$E$14,M535)+H535*INDEX('Position_Rubric'!$F$6:$F$14,M535)+I535*INDEX('Position_Rubric'!$G$6:$G$14,M535),1)))))</x:f>
      </x:c>
      <x:c r="K535" s="82" t="str">
        <x:f>IF(AND(ISNUMBER(J535),ISNUMBER(D535)),J535-D535,"")</x:f>
      </x:c>
      <x:c r="L535" s="69" t="str">
        <x:f>IF(COUNT(E535:I535)&lt;5,"Needs component scores",IF(ISNUMBER(J535),"Calculated",J535))</x:f>
        <x:v>Needs component scores</x:v>
      </x:c>
      <x:c r="M535" s="69" t="n">
        <x:f>IF(C535="","",MATCH(C535,'Position_Rubric'!$A$6:$A$14,0))</x:f>
        <x:v>7</x:v>
      </x:c>
      <x:c r="N535" s="69" t="str"/>
    </x:row>
    <x:row r="536" ht="25" customHeight="1">
      <x:c r="A536" s="69" t="str">
        <x:v>summer-S26-0270</x:v>
      </x:c>
      <x:c r="B536" s="69" t="str">
        <x:v>Luis Chacón</x:v>
      </x:c>
      <x:c r="C536" s="69" t="str">
        <x:v>WINGER</x:v>
      </x:c>
      <x:c r="D536" s="82" t="str">
        <x:f>IF(ISNUMBER('Transfer_Ratings'!K536),'Transfer_Ratings'!K536,"")</x:f>
      </x:c>
      <x:c r="E536" s="86"/>
      <x:c r="F536" s="86"/>
      <x:c r="G536" s="86"/>
      <x:c r="H536" s="86"/>
      <x:c r="I536" s="86"/>
      <x:c r="J536" s="82" t="str">
        <x:f>IF(C536="","Choose position",IF(COUNT(E536:I536)&lt;5,"",IF(OR(MIN(E536:I536)&lt;0.1,MAX(E536:I536)&gt;10),"Invalid score",IF(INDEX('Position_Rubric'!$H$6:$H$14,M536)&lt;&gt;1,"Check weights",ROUND(E536*INDEX('Position_Rubric'!$C$6:$C$14,M536)+F536*INDEX('Position_Rubric'!$D$6:$D$14,M536)+G536*INDEX('Position_Rubric'!$E$6:$E$14,M536)+H536*INDEX('Position_Rubric'!$F$6:$F$14,M536)+I536*INDEX('Position_Rubric'!$G$6:$G$14,M536),1)))))</x:f>
      </x:c>
      <x:c r="K536" s="82" t="str">
        <x:f>IF(AND(ISNUMBER(J536),ISNUMBER(D536)),J536-D536,"")</x:f>
      </x:c>
      <x:c r="L536" s="69" t="str">
        <x:f>IF(COUNT(E536:I536)&lt;5,"Needs component scores",IF(ISNUMBER(J536),"Calculated",J536))</x:f>
        <x:v>Needs component scores</x:v>
      </x:c>
      <x:c r="M536" s="69" t="n">
        <x:f>IF(C536="","",MATCH(C536,'Position_Rubric'!$A$6:$A$14,0))</x:f>
        <x:v>7</x:v>
      </x:c>
      <x:c r="N536" s="69" t="str"/>
    </x:row>
    <x:row r="537" ht="25" customHeight="1">
      <x:c r="A537" s="69" t="str">
        <x:v>summer-S26-0279</x:v>
      </x:c>
      <x:c r="B537" s="69" t="str">
        <x:v>Harry Wilson</x:v>
      </x:c>
      <x:c r="C537" s="69" t="str">
        <x:v>WINGER</x:v>
      </x:c>
      <x:c r="D537" s="82" t="str">
        <x:f>IF(ISNUMBER('Transfer_Ratings'!K537),'Transfer_Ratings'!K537,"")</x:f>
      </x:c>
      <x:c r="E537" s="86"/>
      <x:c r="F537" s="86"/>
      <x:c r="G537" s="86"/>
      <x:c r="H537" s="86"/>
      <x:c r="I537" s="86"/>
      <x:c r="J537" s="82" t="str">
        <x:f>IF(C537="","Choose position",IF(COUNT(E537:I537)&lt;5,"",IF(OR(MIN(E537:I537)&lt;0.1,MAX(E537:I537)&gt;10),"Invalid score",IF(INDEX('Position_Rubric'!$H$6:$H$14,M537)&lt;&gt;1,"Check weights",ROUND(E537*INDEX('Position_Rubric'!$C$6:$C$14,M537)+F537*INDEX('Position_Rubric'!$D$6:$D$14,M537)+G537*INDEX('Position_Rubric'!$E$6:$E$14,M537)+H537*INDEX('Position_Rubric'!$F$6:$F$14,M537)+I537*INDEX('Position_Rubric'!$G$6:$G$14,M537),1)))))</x:f>
      </x:c>
      <x:c r="K537" s="82" t="str">
        <x:f>IF(AND(ISNUMBER(J537),ISNUMBER(D537)),J537-D537,"")</x:f>
      </x:c>
      <x:c r="L537" s="69" t="str">
        <x:f>IF(COUNT(E537:I537)&lt;5,"Needs component scores",IF(ISNUMBER(J537),"Calculated",J537))</x:f>
        <x:v>Needs component scores</x:v>
      </x:c>
      <x:c r="M537" s="69" t="n">
        <x:f>IF(C537="","",MATCH(C537,'Position_Rubric'!$A$6:$A$14,0))</x:f>
        <x:v>7</x:v>
      </x:c>
      <x:c r="N537" s="69" t="str"/>
    </x:row>
    <x:row r="538" ht="25" customHeight="1">
      <x:c r="A538" s="69" t="str">
        <x:v>summer-S26-0285</x:v>
      </x:c>
      <x:c r="B538" s="69" t="str">
        <x:v>Marco Ladisa</x:v>
      </x:c>
      <x:c r="C538" s="69" t="str">
        <x:v>WINGER</x:v>
      </x:c>
      <x:c r="D538" s="82" t="str">
        <x:f>IF(ISNUMBER('Transfer_Ratings'!K538),'Transfer_Ratings'!K538,"")</x:f>
      </x:c>
      <x:c r="E538" s="86"/>
      <x:c r="F538" s="86"/>
      <x:c r="G538" s="86"/>
      <x:c r="H538" s="86"/>
      <x:c r="I538" s="86"/>
      <x:c r="J538" s="82" t="str">
        <x:f>IF(C538="","Choose position",IF(COUNT(E538:I538)&lt;5,"",IF(OR(MIN(E538:I538)&lt;0.1,MAX(E538:I538)&gt;10),"Invalid score",IF(INDEX('Position_Rubric'!$H$6:$H$14,M538)&lt;&gt;1,"Check weights",ROUND(E538*INDEX('Position_Rubric'!$C$6:$C$14,M538)+F538*INDEX('Position_Rubric'!$D$6:$D$14,M538)+G538*INDEX('Position_Rubric'!$E$6:$E$14,M538)+H538*INDEX('Position_Rubric'!$F$6:$F$14,M538)+I538*INDEX('Position_Rubric'!$G$6:$G$14,M538),1)))))</x:f>
      </x:c>
      <x:c r="K538" s="82" t="str">
        <x:f>IF(AND(ISNUMBER(J538),ISNUMBER(D538)),J538-D538,"")</x:f>
      </x:c>
      <x:c r="L538" s="69" t="str">
        <x:f>IF(COUNT(E538:I538)&lt;5,"Needs component scores",IF(ISNUMBER(J538),"Calculated",J538))</x:f>
        <x:v>Needs component scores</x:v>
      </x:c>
      <x:c r="M538" s="69" t="n">
        <x:f>IF(C538="","",MATCH(C538,'Position_Rubric'!$A$6:$A$14,0))</x:f>
        <x:v>7</x:v>
      </x:c>
      <x:c r="N538" s="69" t="str"/>
    </x:row>
    <x:row r="539" ht="25" customHeight="1">
      <x:c r="A539" s="69" t="str">
        <x:v>summer-S26-0286</x:v>
      </x:c>
      <x:c r="B539" s="69" t="str">
        <x:v>Basar Onal</x:v>
      </x:c>
      <x:c r="C539" s="69" t="str">
        <x:v>WINGER</x:v>
      </x:c>
      <x:c r="D539" s="82" t="str">
        <x:f>IF(ISNUMBER('Transfer_Ratings'!K539),'Transfer_Ratings'!K539,"")</x:f>
      </x:c>
      <x:c r="E539" s="86"/>
      <x:c r="F539" s="86"/>
      <x:c r="G539" s="86"/>
      <x:c r="H539" s="86"/>
      <x:c r="I539" s="86"/>
      <x:c r="J539" s="82" t="str">
        <x:f>IF(C539="","Choose position",IF(COUNT(E539:I539)&lt;5,"",IF(OR(MIN(E539:I539)&lt;0.1,MAX(E539:I539)&gt;10),"Invalid score",IF(INDEX('Position_Rubric'!$H$6:$H$14,M539)&lt;&gt;1,"Check weights",ROUND(E539*INDEX('Position_Rubric'!$C$6:$C$14,M539)+F539*INDEX('Position_Rubric'!$D$6:$D$14,M539)+G539*INDEX('Position_Rubric'!$E$6:$E$14,M539)+H539*INDEX('Position_Rubric'!$F$6:$F$14,M539)+I539*INDEX('Position_Rubric'!$G$6:$G$14,M539),1)))))</x:f>
      </x:c>
      <x:c r="K539" s="82" t="str">
        <x:f>IF(AND(ISNUMBER(J539),ISNUMBER(D539)),J539-D539,"")</x:f>
      </x:c>
      <x:c r="L539" s="69" t="str">
        <x:f>IF(COUNT(E539:I539)&lt;5,"Needs component scores",IF(ISNUMBER(J539),"Calculated",J539))</x:f>
        <x:v>Needs component scores</x:v>
      </x:c>
      <x:c r="M539" s="69" t="n">
        <x:f>IF(C539="","",MATCH(C539,'Position_Rubric'!$A$6:$A$14,0))</x:f>
        <x:v>7</x:v>
      </x:c>
      <x:c r="N539" s="69" t="str"/>
    </x:row>
    <x:row r="540" ht="25" customHeight="1">
      <x:c r="A540" s="69" t="str">
        <x:v>summer-S26-0290</x:v>
      </x:c>
      <x:c r="B540" s="69" t="str">
        <x:v>Jakub Kaminski</x:v>
      </x:c>
      <x:c r="C540" s="69" t="str">
        <x:v>WINGER</x:v>
      </x:c>
      <x:c r="D540" s="82" t="str">
        <x:f>IF(ISNUMBER('Transfer_Ratings'!K540),'Transfer_Ratings'!K540,"")</x:f>
      </x:c>
      <x:c r="E540" s="86"/>
      <x:c r="F540" s="86"/>
      <x:c r="G540" s="86"/>
      <x:c r="H540" s="86"/>
      <x:c r="I540" s="86"/>
      <x:c r="J540" s="82" t="str">
        <x:f>IF(C540="","Choose position",IF(COUNT(E540:I540)&lt;5,"",IF(OR(MIN(E540:I540)&lt;0.1,MAX(E540:I540)&gt;10),"Invalid score",IF(INDEX('Position_Rubric'!$H$6:$H$14,M540)&lt;&gt;1,"Check weights",ROUND(E540*INDEX('Position_Rubric'!$C$6:$C$14,M540)+F540*INDEX('Position_Rubric'!$D$6:$D$14,M540)+G540*INDEX('Position_Rubric'!$E$6:$E$14,M540)+H540*INDEX('Position_Rubric'!$F$6:$F$14,M540)+I540*INDEX('Position_Rubric'!$G$6:$G$14,M540),1)))))</x:f>
      </x:c>
      <x:c r="K540" s="82" t="str">
        <x:f>IF(AND(ISNUMBER(J540),ISNUMBER(D540)),J540-D540,"")</x:f>
      </x:c>
      <x:c r="L540" s="69" t="str">
        <x:f>IF(COUNT(E540:I540)&lt;5,"Needs component scores",IF(ISNUMBER(J540),"Calculated",J540))</x:f>
        <x:v>Needs component scores</x:v>
      </x:c>
      <x:c r="M540" s="69" t="n">
        <x:f>IF(C540="","",MATCH(C540,'Position_Rubric'!$A$6:$A$14,0))</x:f>
        <x:v>7</x:v>
      </x:c>
      <x:c r="N540" s="69" t="str"/>
    </x:row>
    <x:row r="541" ht="25" customHeight="1">
      <x:c r="A541" s="69" t="str">
        <x:v>summer-S26-0292</x:v>
      </x:c>
      <x:c r="B541" s="69" t="str">
        <x:v>Louie Barry</x:v>
      </x:c>
      <x:c r="C541" s="69" t="str">
        <x:v>WINGER</x:v>
      </x:c>
      <x:c r="D541" s="82" t="str">
        <x:f>IF(ISNUMBER('Transfer_Ratings'!K541),'Transfer_Ratings'!K541,"")</x:f>
      </x:c>
      <x:c r="E541" s="86"/>
      <x:c r="F541" s="86"/>
      <x:c r="G541" s="86"/>
      <x:c r="H541" s="86"/>
      <x:c r="I541" s="86"/>
      <x:c r="J541" s="82" t="str">
        <x:f>IF(C541="","Choose position",IF(COUNT(E541:I541)&lt;5,"",IF(OR(MIN(E541:I541)&lt;0.1,MAX(E541:I541)&gt;10),"Invalid score",IF(INDEX('Position_Rubric'!$H$6:$H$14,M541)&lt;&gt;1,"Check weights",ROUND(E541*INDEX('Position_Rubric'!$C$6:$C$14,M541)+F541*INDEX('Position_Rubric'!$D$6:$D$14,M541)+G541*INDEX('Position_Rubric'!$E$6:$E$14,M541)+H541*INDEX('Position_Rubric'!$F$6:$F$14,M541)+I541*INDEX('Position_Rubric'!$G$6:$G$14,M541),1)))))</x:f>
      </x:c>
      <x:c r="K541" s="82" t="str">
        <x:f>IF(AND(ISNUMBER(J541),ISNUMBER(D541)),J541-D541,"")</x:f>
      </x:c>
      <x:c r="L541" s="69" t="str">
        <x:f>IF(COUNT(E541:I541)&lt;5,"Needs component scores",IF(ISNUMBER(J541),"Calculated",J541))</x:f>
        <x:v>Needs component scores</x:v>
      </x:c>
      <x:c r="M541" s="69" t="n">
        <x:f>IF(C541="","",MATCH(C541,'Position_Rubric'!$A$6:$A$14,0))</x:f>
        <x:v>7</x:v>
      </x:c>
      <x:c r="N541" s="69" t="str"/>
    </x:row>
    <x:row r="542" ht="25" customHeight="1">
      <x:c r="A542" s="69" t="str">
        <x:v>summer-S26-0308</x:v>
      </x:c>
      <x:c r="B542" s="69" t="str">
        <x:v>Cole Campbell</x:v>
      </x:c>
      <x:c r="C542" s="69" t="str">
        <x:v>WINGER</x:v>
      </x:c>
      <x:c r="D542" s="82" t="str">
        <x:f>IF(ISNUMBER('Transfer_Ratings'!K542),'Transfer_Ratings'!K542,"")</x:f>
      </x:c>
      <x:c r="E542" s="86"/>
      <x:c r="F542" s="86"/>
      <x:c r="G542" s="86"/>
      <x:c r="H542" s="86"/>
      <x:c r="I542" s="86"/>
      <x:c r="J542" s="82" t="str">
        <x:f>IF(C542="","Choose position",IF(COUNT(E542:I542)&lt;5,"",IF(OR(MIN(E542:I542)&lt;0.1,MAX(E542:I542)&gt;10),"Invalid score",IF(INDEX('Position_Rubric'!$H$6:$H$14,M542)&lt;&gt;1,"Check weights",ROUND(E542*INDEX('Position_Rubric'!$C$6:$C$14,M542)+F542*INDEX('Position_Rubric'!$D$6:$D$14,M542)+G542*INDEX('Position_Rubric'!$E$6:$E$14,M542)+H542*INDEX('Position_Rubric'!$F$6:$F$14,M542)+I542*INDEX('Position_Rubric'!$G$6:$G$14,M542),1)))))</x:f>
      </x:c>
      <x:c r="K542" s="82" t="str">
        <x:f>IF(AND(ISNUMBER(J542),ISNUMBER(D542)),J542-D542,"")</x:f>
      </x:c>
      <x:c r="L542" s="69" t="str">
        <x:f>IF(COUNT(E542:I542)&lt;5,"Needs component scores",IF(ISNUMBER(J542),"Calculated",J542))</x:f>
        <x:v>Needs component scores</x:v>
      </x:c>
      <x:c r="M542" s="69" t="n">
        <x:f>IF(C542="","",MATCH(C542,'Position_Rubric'!$A$6:$A$14,0))</x:f>
        <x:v>7</x:v>
      </x:c>
      <x:c r="N542" s="69" t="str"/>
    </x:row>
    <x:row r="543" ht="25" customHeight="1">
      <x:c r="A543" s="69" t="str">
        <x:v>summer-S26-0330</x:v>
      </x:c>
      <x:c r="B543" s="69" t="str">
        <x:v>Jeremy Monga</x:v>
      </x:c>
      <x:c r="C543" s="69" t="str">
        <x:v>WINGER</x:v>
      </x:c>
      <x:c r="D543" s="82" t="str">
        <x:f>IF(ISNUMBER('Transfer_Ratings'!K543),'Transfer_Ratings'!K543,"")</x:f>
      </x:c>
      <x:c r="E543" s="86"/>
      <x:c r="F543" s="86"/>
      <x:c r="G543" s="86"/>
      <x:c r="H543" s="86"/>
      <x:c r="I543" s="86"/>
      <x:c r="J543" s="82" t="str">
        <x:f>IF(C543="","Choose position",IF(COUNT(E543:I543)&lt;5,"",IF(OR(MIN(E543:I543)&lt;0.1,MAX(E543:I543)&gt;10),"Invalid score",IF(INDEX('Position_Rubric'!$H$6:$H$14,M543)&lt;&gt;1,"Check weights",ROUND(E543*INDEX('Position_Rubric'!$C$6:$C$14,M543)+F543*INDEX('Position_Rubric'!$D$6:$D$14,M543)+G543*INDEX('Position_Rubric'!$E$6:$E$14,M543)+H543*INDEX('Position_Rubric'!$F$6:$F$14,M543)+I543*INDEX('Position_Rubric'!$G$6:$G$14,M543),1)))))</x:f>
      </x:c>
      <x:c r="K543" s="82" t="str">
        <x:f>IF(AND(ISNUMBER(J543),ISNUMBER(D543)),J543-D543,"")</x:f>
      </x:c>
      <x:c r="L543" s="69" t="str">
        <x:f>IF(COUNT(E543:I543)&lt;5,"Needs component scores",IF(ISNUMBER(J543),"Calculated",J543))</x:f>
        <x:v>Needs component scores</x:v>
      </x:c>
      <x:c r="M543" s="69" t="n">
        <x:f>IF(C543="","",MATCH(C543,'Position_Rubric'!$A$6:$A$14,0))</x:f>
        <x:v>7</x:v>
      </x:c>
      <x:c r="N543" s="69" t="str"/>
    </x:row>
    <x:row r="544" ht="25" customHeight="1">
      <x:c r="A544" s="69" t="str">
        <x:v>summer-S26-0335</x:v>
      </x:c>
      <x:c r="B544" s="69" t="str">
        <x:v>Loum Tchaouna</x:v>
      </x:c>
      <x:c r="C544" s="69" t="str">
        <x:v>WINGER</x:v>
      </x:c>
      <x:c r="D544" s="82" t="str">
        <x:f>IF(ISNUMBER('Transfer_Ratings'!K544),'Transfer_Ratings'!K544,"")</x:f>
      </x:c>
      <x:c r="E544" s="86"/>
      <x:c r="F544" s="86"/>
      <x:c r="G544" s="86"/>
      <x:c r="H544" s="86"/>
      <x:c r="I544" s="86"/>
      <x:c r="J544" s="82" t="str">
        <x:f>IF(C544="","Choose position",IF(COUNT(E544:I544)&lt;5,"",IF(OR(MIN(E544:I544)&lt;0.1,MAX(E544:I544)&gt;10),"Invalid score",IF(INDEX('Position_Rubric'!$H$6:$H$14,M544)&lt;&gt;1,"Check weights",ROUND(E544*INDEX('Position_Rubric'!$C$6:$C$14,M544)+F544*INDEX('Position_Rubric'!$D$6:$D$14,M544)+G544*INDEX('Position_Rubric'!$E$6:$E$14,M544)+H544*INDEX('Position_Rubric'!$F$6:$F$14,M544)+I544*INDEX('Position_Rubric'!$G$6:$G$14,M544),1)))))</x:f>
      </x:c>
      <x:c r="K544" s="82" t="str">
        <x:f>IF(AND(ISNUMBER(J544),ISNUMBER(D544)),J544-D544,"")</x:f>
      </x:c>
      <x:c r="L544" s="69" t="str">
        <x:f>IF(COUNT(E544:I544)&lt;5,"Needs component scores",IF(ISNUMBER(J544),"Calculated",J544))</x:f>
        <x:v>Needs component scores</x:v>
      </x:c>
      <x:c r="M544" s="69" t="n">
        <x:f>IF(C544="","",MATCH(C544,'Position_Rubric'!$A$6:$A$14,0))</x:f>
        <x:v>7</x:v>
      </x:c>
      <x:c r="N544" s="69" t="str"/>
    </x:row>
    <x:row r="545" ht="25" customHeight="1">
      <x:c r="A545" s="69" t="str">
        <x:v>summer-S26-0337</x:v>
      </x:c>
      <x:c r="B545" s="69" t="str">
        <x:v>Peter Federico</x:v>
      </x:c>
      <x:c r="C545" s="69" t="str">
        <x:v>WINGER</x:v>
      </x:c>
      <x:c r="D545" s="82" t="str">
        <x:f>IF(ISNUMBER('Transfer_Ratings'!K545),'Transfer_Ratings'!K545,"")</x:f>
      </x:c>
      <x:c r="E545" s="86"/>
      <x:c r="F545" s="86"/>
      <x:c r="G545" s="86"/>
      <x:c r="H545" s="86"/>
      <x:c r="I545" s="86"/>
      <x:c r="J545" s="82" t="str">
        <x:f>IF(C545="","Choose position",IF(COUNT(E545:I545)&lt;5,"",IF(OR(MIN(E545:I545)&lt;0.1,MAX(E545:I545)&gt;10),"Invalid score",IF(INDEX('Position_Rubric'!$H$6:$H$14,M545)&lt;&gt;1,"Check weights",ROUND(E545*INDEX('Position_Rubric'!$C$6:$C$14,M545)+F545*INDEX('Position_Rubric'!$D$6:$D$14,M545)+G545*INDEX('Position_Rubric'!$E$6:$E$14,M545)+H545*INDEX('Position_Rubric'!$F$6:$F$14,M545)+I545*INDEX('Position_Rubric'!$G$6:$G$14,M545),1)))))</x:f>
      </x:c>
      <x:c r="K545" s="82" t="str">
        <x:f>IF(AND(ISNUMBER(J545),ISNUMBER(D545)),J545-D545,"")</x:f>
      </x:c>
      <x:c r="L545" s="69" t="str">
        <x:f>IF(COUNT(E545:I545)&lt;5,"Needs component scores",IF(ISNUMBER(J545),"Calculated",J545))</x:f>
        <x:v>Needs component scores</x:v>
      </x:c>
      <x:c r="M545" s="69" t="n">
        <x:f>IF(C545="","",MATCH(C545,'Position_Rubric'!$A$6:$A$14,0))</x:f>
        <x:v>7</x:v>
      </x:c>
      <x:c r="N545" s="69" t="str"/>
    </x:row>
    <x:row r="546" ht="25" customHeight="1">
      <x:c r="A546" s="69" t="str">
        <x:v>summer-S26-0339</x:v>
      </x:c>
      <x:c r="B546" s="69" t="str">
        <x:v>Yusuf Akhamrich</x:v>
      </x:c>
      <x:c r="C546" s="69" t="str">
        <x:v>WINGER</x:v>
      </x:c>
      <x:c r="D546" s="82" t="str">
        <x:f>IF(ISNUMBER('Transfer_Ratings'!K546),'Transfer_Ratings'!K546,"")</x:f>
      </x:c>
      <x:c r="E546" s="86"/>
      <x:c r="F546" s="86"/>
      <x:c r="G546" s="86"/>
      <x:c r="H546" s="86"/>
      <x:c r="I546" s="86"/>
      <x:c r="J546" s="82" t="str">
        <x:f>IF(C546="","Choose position",IF(COUNT(E546:I546)&lt;5,"",IF(OR(MIN(E546:I546)&lt;0.1,MAX(E546:I546)&gt;10),"Invalid score",IF(INDEX('Position_Rubric'!$H$6:$H$14,M546)&lt;&gt;1,"Check weights",ROUND(E546*INDEX('Position_Rubric'!$C$6:$C$14,M546)+F546*INDEX('Position_Rubric'!$D$6:$D$14,M546)+G546*INDEX('Position_Rubric'!$E$6:$E$14,M546)+H546*INDEX('Position_Rubric'!$F$6:$F$14,M546)+I546*INDEX('Position_Rubric'!$G$6:$G$14,M546),1)))))</x:f>
      </x:c>
      <x:c r="K546" s="82" t="str">
        <x:f>IF(AND(ISNUMBER(J546),ISNUMBER(D546)),J546-D546,"")</x:f>
      </x:c>
      <x:c r="L546" s="69" t="str">
        <x:f>IF(COUNT(E546:I546)&lt;5,"Needs component scores",IF(ISNUMBER(J546),"Calculated",J546))</x:f>
        <x:v>Needs component scores</x:v>
      </x:c>
      <x:c r="M546" s="69" t="n">
        <x:f>IF(C546="","",MATCH(C546,'Position_Rubric'!$A$6:$A$14,0))</x:f>
        <x:v>7</x:v>
      </x:c>
      <x:c r="N546" s="69" t="str"/>
    </x:row>
    <x:row r="547" ht="25" customHeight="1">
      <x:c r="A547" s="69" t="str">
        <x:v>summer-S26-0342</x:v>
      </x:c>
      <x:c r="B547" s="69" t="str">
        <x:v>Jesse Derry</x:v>
      </x:c>
      <x:c r="C547" s="69" t="str">
        <x:v>WINGER</x:v>
      </x:c>
      <x:c r="D547" s="82" t="str">
        <x:f>IF(ISNUMBER('Transfer_Ratings'!K547),'Transfer_Ratings'!K547,"")</x:f>
      </x:c>
      <x:c r="E547" s="86"/>
      <x:c r="F547" s="86"/>
      <x:c r="G547" s="86"/>
      <x:c r="H547" s="86"/>
      <x:c r="I547" s="86"/>
      <x:c r="J547" s="82" t="str">
        <x:f>IF(C547="","Choose position",IF(COUNT(E547:I547)&lt;5,"",IF(OR(MIN(E547:I547)&lt;0.1,MAX(E547:I547)&gt;10),"Invalid score",IF(INDEX('Position_Rubric'!$H$6:$H$14,M547)&lt;&gt;1,"Check weights",ROUND(E547*INDEX('Position_Rubric'!$C$6:$C$14,M547)+F547*INDEX('Position_Rubric'!$D$6:$D$14,M547)+G547*INDEX('Position_Rubric'!$E$6:$E$14,M547)+H547*INDEX('Position_Rubric'!$F$6:$F$14,M547)+I547*INDEX('Position_Rubric'!$G$6:$G$14,M547),1)))))</x:f>
      </x:c>
      <x:c r="K547" s="82" t="str">
        <x:f>IF(AND(ISNUMBER(J547),ISNUMBER(D547)),J547-D547,"")</x:f>
      </x:c>
      <x:c r="L547" s="69" t="str">
        <x:f>IF(COUNT(E547:I547)&lt;5,"Needs component scores",IF(ISNUMBER(J547),"Calculated",J547))</x:f>
        <x:v>Needs component scores</x:v>
      </x:c>
      <x:c r="M547" s="69" t="n">
        <x:f>IF(C547="","",MATCH(C547,'Position_Rubric'!$A$6:$A$14,0))</x:f>
        <x:v>7</x:v>
      </x:c>
      <x:c r="N547" s="69" t="str"/>
    </x:row>
    <x:row r="548" ht="25" customHeight="1">
      <x:c r="A548" s="69" t="str">
        <x:v>summer-S26-0344</x:v>
      </x:c>
      <x:c r="B548" s="69" t="str">
        <x:v>Paulo Azzi</x:v>
      </x:c>
      <x:c r="C548" s="69" t="str">
        <x:v>WINGER</x:v>
      </x:c>
      <x:c r="D548" s="82" t="str">
        <x:f>IF(ISNUMBER('Transfer_Ratings'!K548),'Transfer_Ratings'!K548,"")</x:f>
      </x:c>
      <x:c r="E548" s="86"/>
      <x:c r="F548" s="86"/>
      <x:c r="G548" s="86"/>
      <x:c r="H548" s="86"/>
      <x:c r="I548" s="86"/>
      <x:c r="J548" s="82" t="str">
        <x:f>IF(C548="","Choose position",IF(COUNT(E548:I548)&lt;5,"",IF(OR(MIN(E548:I548)&lt;0.1,MAX(E548:I548)&gt;10),"Invalid score",IF(INDEX('Position_Rubric'!$H$6:$H$14,M548)&lt;&gt;1,"Check weights",ROUND(E548*INDEX('Position_Rubric'!$C$6:$C$14,M548)+F548*INDEX('Position_Rubric'!$D$6:$D$14,M548)+G548*INDEX('Position_Rubric'!$E$6:$E$14,M548)+H548*INDEX('Position_Rubric'!$F$6:$F$14,M548)+I548*INDEX('Position_Rubric'!$G$6:$G$14,M548),1)))))</x:f>
      </x:c>
      <x:c r="K548" s="82" t="str">
        <x:f>IF(AND(ISNUMBER(J548),ISNUMBER(D548)),J548-D548,"")</x:f>
      </x:c>
      <x:c r="L548" s="69" t="str">
        <x:f>IF(COUNT(E548:I548)&lt;5,"Needs component scores",IF(ISNUMBER(J548),"Calculated",J548))</x:f>
        <x:v>Needs component scores</x:v>
      </x:c>
      <x:c r="M548" s="69" t="n">
        <x:f>IF(C548="","",MATCH(C548,'Position_Rubric'!$A$6:$A$14,0))</x:f>
        <x:v>7</x:v>
      </x:c>
      <x:c r="N548" s="69" t="str"/>
    </x:row>
    <x:row r="549" ht="25" customHeight="1">
      <x:c r="A549" s="69" t="str">
        <x:v>summer-S26-0352</x:v>
      </x:c>
      <x:c r="B549" s="69" t="str">
        <x:v>Lluc Castell</x:v>
      </x:c>
      <x:c r="C549" s="69" t="str">
        <x:v>WINGER</x:v>
      </x:c>
      <x:c r="D549" s="82" t="str">
        <x:f>IF(ISNUMBER('Transfer_Ratings'!K549),'Transfer_Ratings'!K549,"")</x:f>
      </x:c>
      <x:c r="E549" s="86"/>
      <x:c r="F549" s="86"/>
      <x:c r="G549" s="86"/>
      <x:c r="H549" s="86"/>
      <x:c r="I549" s="86"/>
      <x:c r="J549" s="82" t="str">
        <x:f>IF(C549="","Choose position",IF(COUNT(E549:I549)&lt;5,"",IF(OR(MIN(E549:I549)&lt;0.1,MAX(E549:I549)&gt;10),"Invalid score",IF(INDEX('Position_Rubric'!$H$6:$H$14,M549)&lt;&gt;1,"Check weights",ROUND(E549*INDEX('Position_Rubric'!$C$6:$C$14,M549)+F549*INDEX('Position_Rubric'!$D$6:$D$14,M549)+G549*INDEX('Position_Rubric'!$E$6:$E$14,M549)+H549*INDEX('Position_Rubric'!$F$6:$F$14,M549)+I549*INDEX('Position_Rubric'!$G$6:$G$14,M549),1)))))</x:f>
      </x:c>
      <x:c r="K549" s="82" t="str">
        <x:f>IF(AND(ISNUMBER(J549),ISNUMBER(D549)),J549-D549,"")</x:f>
      </x:c>
      <x:c r="L549" s="69" t="str">
        <x:f>IF(COUNT(E549:I549)&lt;5,"Needs component scores",IF(ISNUMBER(J549),"Calculated",J549))</x:f>
        <x:v>Needs component scores</x:v>
      </x:c>
      <x:c r="M549" s="69" t="n">
        <x:f>IF(C549="","",MATCH(C549,'Position_Rubric'!$A$6:$A$14,0))</x:f>
        <x:v>7</x:v>
      </x:c>
      <x:c r="N549" s="69" t="str"/>
    </x:row>
    <x:row r="550" ht="25" customHeight="1">
      <x:c r="A550" s="69" t="str">
        <x:v>summer-S26-0361</x:v>
      </x:c>
      <x:c r="B550" s="69" t="str">
        <x:v>Allan Saint-Maximin</x:v>
      </x:c>
      <x:c r="C550" s="69" t="str">
        <x:v>WINGER</x:v>
      </x:c>
      <x:c r="D550" s="82" t="str">
        <x:f>IF(ISNUMBER('Transfer_Ratings'!K550),'Transfer_Ratings'!K550,"")</x:f>
      </x:c>
      <x:c r="E550" s="86"/>
      <x:c r="F550" s="86"/>
      <x:c r="G550" s="86"/>
      <x:c r="H550" s="86"/>
      <x:c r="I550" s="86"/>
      <x:c r="J550" s="82" t="str">
        <x:f>IF(C550="","Choose position",IF(COUNT(E550:I550)&lt;5,"",IF(OR(MIN(E550:I550)&lt;0.1,MAX(E550:I550)&gt;10),"Invalid score",IF(INDEX('Position_Rubric'!$H$6:$H$14,M550)&lt;&gt;1,"Check weights",ROUND(E550*INDEX('Position_Rubric'!$C$6:$C$14,M550)+F550*INDEX('Position_Rubric'!$D$6:$D$14,M550)+G550*INDEX('Position_Rubric'!$E$6:$E$14,M550)+H550*INDEX('Position_Rubric'!$F$6:$F$14,M550)+I550*INDEX('Position_Rubric'!$G$6:$G$14,M550),1)))))</x:f>
      </x:c>
      <x:c r="K550" s="82" t="str">
        <x:f>IF(AND(ISNUMBER(J550),ISNUMBER(D550)),J550-D550,"")</x:f>
      </x:c>
      <x:c r="L550" s="69" t="str">
        <x:f>IF(COUNT(E550:I550)&lt;5,"Needs component scores",IF(ISNUMBER(J550),"Calculated",J550))</x:f>
        <x:v>Needs component scores</x:v>
      </x:c>
      <x:c r="M550" s="69" t="n">
        <x:f>IF(C550="","",MATCH(C550,'Position_Rubric'!$A$6:$A$14,0))</x:f>
        <x:v>7</x:v>
      </x:c>
      <x:c r="N550" s="69" t="str"/>
    </x:row>
    <x:row r="551" ht="25" customHeight="1">
      <x:c r="A551" s="69" t="str">
        <x:v>summer-S26-0365</x:v>
      </x:c>
      <x:c r="B551" s="69" t="str">
        <x:v>Thorgan Hazard</x:v>
      </x:c>
      <x:c r="C551" s="69" t="str">
        <x:v>WINGER</x:v>
      </x:c>
      <x:c r="D551" s="82" t="str">
        <x:f>IF(ISNUMBER('Transfer_Ratings'!K551),'Transfer_Ratings'!K551,"")</x:f>
      </x:c>
      <x:c r="E551" s="86"/>
      <x:c r="F551" s="86"/>
      <x:c r="G551" s="86"/>
      <x:c r="H551" s="86"/>
      <x:c r="I551" s="86"/>
      <x:c r="J551" s="82" t="str">
        <x:f>IF(C551="","Choose position",IF(COUNT(E551:I551)&lt;5,"",IF(OR(MIN(E551:I551)&lt;0.1,MAX(E551:I551)&gt;10),"Invalid score",IF(INDEX('Position_Rubric'!$H$6:$H$14,M551)&lt;&gt;1,"Check weights",ROUND(E551*INDEX('Position_Rubric'!$C$6:$C$14,M551)+F551*INDEX('Position_Rubric'!$D$6:$D$14,M551)+G551*INDEX('Position_Rubric'!$E$6:$E$14,M551)+H551*INDEX('Position_Rubric'!$F$6:$F$14,M551)+I551*INDEX('Position_Rubric'!$G$6:$G$14,M551),1)))))</x:f>
      </x:c>
      <x:c r="K551" s="82" t="str">
        <x:f>IF(AND(ISNUMBER(J551),ISNUMBER(D551)),J551-D551,"")</x:f>
      </x:c>
      <x:c r="L551" s="69" t="str">
        <x:f>IF(COUNT(E551:I551)&lt;5,"Needs component scores",IF(ISNUMBER(J551),"Calculated",J551))</x:f>
        <x:v>Needs component scores</x:v>
      </x:c>
      <x:c r="M551" s="69" t="n">
        <x:f>IF(C551="","",MATCH(C551,'Position_Rubric'!$A$6:$A$14,0))</x:f>
        <x:v>7</x:v>
      </x:c>
      <x:c r="N551" s="69" t="str"/>
    </x:row>
    <x:row r="552" ht="25" customHeight="1">
      <x:c r="A552" s="69" t="str">
        <x:v>summer-S26-0367</x:v>
      </x:c>
      <x:c r="B552" s="69" t="str">
        <x:v>Alessandro Cardinali</x:v>
      </x:c>
      <x:c r="C552" s="69" t="str">
        <x:v>WINGER</x:v>
      </x:c>
      <x:c r="D552" s="82" t="str">
        <x:f>IF(ISNUMBER('Transfer_Ratings'!K552),'Transfer_Ratings'!K552,"")</x:f>
      </x:c>
      <x:c r="E552" s="86"/>
      <x:c r="F552" s="86"/>
      <x:c r="G552" s="86"/>
      <x:c r="H552" s="86"/>
      <x:c r="I552" s="86"/>
      <x:c r="J552" s="82" t="str">
        <x:f>IF(C552="","Choose position",IF(COUNT(E552:I552)&lt;5,"",IF(OR(MIN(E552:I552)&lt;0.1,MAX(E552:I552)&gt;10),"Invalid score",IF(INDEX('Position_Rubric'!$H$6:$H$14,M552)&lt;&gt;1,"Check weights",ROUND(E552*INDEX('Position_Rubric'!$C$6:$C$14,M552)+F552*INDEX('Position_Rubric'!$D$6:$D$14,M552)+G552*INDEX('Position_Rubric'!$E$6:$E$14,M552)+H552*INDEX('Position_Rubric'!$F$6:$F$14,M552)+I552*INDEX('Position_Rubric'!$G$6:$G$14,M552),1)))))</x:f>
      </x:c>
      <x:c r="K552" s="82" t="str">
        <x:f>IF(AND(ISNUMBER(J552),ISNUMBER(D552)),J552-D552,"")</x:f>
      </x:c>
      <x:c r="L552" s="69" t="str">
        <x:f>IF(COUNT(E552:I552)&lt;5,"Needs component scores",IF(ISNUMBER(J552),"Calculated",J552))</x:f>
        <x:v>Needs component scores</x:v>
      </x:c>
      <x:c r="M552" s="69" t="n">
        <x:f>IF(C552="","",MATCH(C552,'Position_Rubric'!$A$6:$A$14,0))</x:f>
        <x:v>7</x:v>
      </x:c>
      <x:c r="N552" s="69" t="str"/>
    </x:row>
    <x:row r="553" ht="25" customHeight="1">
      <x:c r="A553" s="69" t="str">
        <x:v>summer-S26-0375</x:v>
      </x:c>
      <x:c r="B553" s="69" t="str">
        <x:v>Antonio Cordero</x:v>
      </x:c>
      <x:c r="C553" s="69" t="str">
        <x:v>WINGER</x:v>
      </x:c>
      <x:c r="D553" s="82" t="str">
        <x:f>IF(ISNUMBER('Transfer_Ratings'!K553),'Transfer_Ratings'!K553,"")</x:f>
      </x:c>
      <x:c r="E553" s="86"/>
      <x:c r="F553" s="86"/>
      <x:c r="G553" s="86"/>
      <x:c r="H553" s="86"/>
      <x:c r="I553" s="86"/>
      <x:c r="J553" s="82" t="str">
        <x:f>IF(C553="","Choose position",IF(COUNT(E553:I553)&lt;5,"",IF(OR(MIN(E553:I553)&lt;0.1,MAX(E553:I553)&gt;10),"Invalid score",IF(INDEX('Position_Rubric'!$H$6:$H$14,M553)&lt;&gt;1,"Check weights",ROUND(E553*INDEX('Position_Rubric'!$C$6:$C$14,M553)+F553*INDEX('Position_Rubric'!$D$6:$D$14,M553)+G553*INDEX('Position_Rubric'!$E$6:$E$14,M553)+H553*INDEX('Position_Rubric'!$F$6:$F$14,M553)+I553*INDEX('Position_Rubric'!$G$6:$G$14,M553),1)))))</x:f>
      </x:c>
      <x:c r="K553" s="82" t="str">
        <x:f>IF(AND(ISNUMBER(J553),ISNUMBER(D553)),J553-D553,"")</x:f>
      </x:c>
      <x:c r="L553" s="69" t="str">
        <x:f>IF(COUNT(E553:I553)&lt;5,"Needs component scores",IF(ISNUMBER(J553),"Calculated",J553))</x:f>
        <x:v>Needs component scores</x:v>
      </x:c>
      <x:c r="M553" s="69" t="n">
        <x:f>IF(C553="","",MATCH(C553,'Position_Rubric'!$A$6:$A$14,0))</x:f>
        <x:v>7</x:v>
      </x:c>
      <x:c r="N553" s="69" t="str"/>
    </x:row>
    <x:row r="554" ht="25" customHeight="1">
      <x:c r="A554" s="69" t="str">
        <x:v>summer-S26-0394</x:v>
      </x:c>
      <x:c r="B554" s="69" t="str">
        <x:v>Michal Skoras</x:v>
      </x:c>
      <x:c r="C554" s="69" t="str">
        <x:v>WINGER</x:v>
      </x:c>
      <x:c r="D554" s="82" t="str">
        <x:f>IF(ISNUMBER('Transfer_Ratings'!K554),'Transfer_Ratings'!K554,"")</x:f>
      </x:c>
      <x:c r="E554" s="86"/>
      <x:c r="F554" s="86"/>
      <x:c r="G554" s="86"/>
      <x:c r="H554" s="86"/>
      <x:c r="I554" s="86"/>
      <x:c r="J554" s="82" t="str">
        <x:f>IF(C554="","Choose position",IF(COUNT(E554:I554)&lt;5,"",IF(OR(MIN(E554:I554)&lt;0.1,MAX(E554:I554)&gt;10),"Invalid score",IF(INDEX('Position_Rubric'!$H$6:$H$14,M554)&lt;&gt;1,"Check weights",ROUND(E554*INDEX('Position_Rubric'!$C$6:$C$14,M554)+F554*INDEX('Position_Rubric'!$D$6:$D$14,M554)+G554*INDEX('Position_Rubric'!$E$6:$E$14,M554)+H554*INDEX('Position_Rubric'!$F$6:$F$14,M554)+I554*INDEX('Position_Rubric'!$G$6:$G$14,M554),1)))))</x:f>
      </x:c>
      <x:c r="K554" s="82" t="str">
        <x:f>IF(AND(ISNUMBER(J554),ISNUMBER(D554)),J554-D554,"")</x:f>
      </x:c>
      <x:c r="L554" s="69" t="str">
        <x:f>IF(COUNT(E554:I554)&lt;5,"Needs component scores",IF(ISNUMBER(J554),"Calculated",J554))</x:f>
        <x:v>Needs component scores</x:v>
      </x:c>
      <x:c r="M554" s="69" t="n">
        <x:f>IF(C554="","",MATCH(C554,'Position_Rubric'!$A$6:$A$14,0))</x:f>
        <x:v>7</x:v>
      </x:c>
      <x:c r="N554" s="69" t="str"/>
    </x:row>
    <x:row r="555" ht="25" customHeight="1">
      <x:c r="A555" s="69" t="str">
        <x:v>summer-S26-0410</x:v>
      </x:c>
      <x:c r="B555" s="69" t="str">
        <x:v>Ben Bobzien</x:v>
      </x:c>
      <x:c r="C555" s="69" t="str">
        <x:v>WINGER</x:v>
      </x:c>
      <x:c r="D555" s="82" t="str">
        <x:f>IF(ISNUMBER('Transfer_Ratings'!K555),'Transfer_Ratings'!K555,"")</x:f>
      </x:c>
      <x:c r="E555" s="86"/>
      <x:c r="F555" s="86"/>
      <x:c r="G555" s="86"/>
      <x:c r="H555" s="86"/>
      <x:c r="I555" s="86"/>
      <x:c r="J555" s="82" t="str">
        <x:f>IF(C555="","Choose position",IF(COUNT(E555:I555)&lt;5,"",IF(OR(MIN(E555:I555)&lt;0.1,MAX(E555:I555)&gt;10),"Invalid score",IF(INDEX('Position_Rubric'!$H$6:$H$14,M555)&lt;&gt;1,"Check weights",ROUND(E555*INDEX('Position_Rubric'!$C$6:$C$14,M555)+F555*INDEX('Position_Rubric'!$D$6:$D$14,M555)+G555*INDEX('Position_Rubric'!$E$6:$E$14,M555)+H555*INDEX('Position_Rubric'!$F$6:$F$14,M555)+I555*INDEX('Position_Rubric'!$G$6:$G$14,M555),1)))))</x:f>
      </x:c>
      <x:c r="K555" s="82" t="str">
        <x:f>IF(AND(ISNUMBER(J555),ISNUMBER(D555)),J555-D555,"")</x:f>
      </x:c>
      <x:c r="L555" s="69" t="str">
        <x:f>IF(COUNT(E555:I555)&lt;5,"Needs component scores",IF(ISNUMBER(J555),"Calculated",J555))</x:f>
        <x:v>Needs component scores</x:v>
      </x:c>
      <x:c r="M555" s="69" t="n">
        <x:f>IF(C555="","",MATCH(C555,'Position_Rubric'!$A$6:$A$14,0))</x:f>
        <x:v>7</x:v>
      </x:c>
      <x:c r="N555" s="69" t="str"/>
    </x:row>
    <x:row r="556" ht="25" customHeight="1">
      <x:c r="A556" s="69" t="str">
        <x:v>summer-S26-0414</x:v>
      </x:c>
      <x:c r="B556" s="69" t="str">
        <x:v>Elias Saad</x:v>
      </x:c>
      <x:c r="C556" s="69" t="str">
        <x:v>WINGER</x:v>
      </x:c>
      <x:c r="D556" s="82" t="str">
        <x:f>IF(ISNUMBER('Transfer_Ratings'!K556),'Transfer_Ratings'!K556,"")</x:f>
      </x:c>
      <x:c r="E556" s="86"/>
      <x:c r="F556" s="86"/>
      <x:c r="G556" s="86"/>
      <x:c r="H556" s="86"/>
      <x:c r="I556" s="86"/>
      <x:c r="J556" s="82" t="str">
        <x:f>IF(C556="","Choose position",IF(COUNT(E556:I556)&lt;5,"",IF(OR(MIN(E556:I556)&lt;0.1,MAX(E556:I556)&gt;10),"Invalid score",IF(INDEX('Position_Rubric'!$H$6:$H$14,M556)&lt;&gt;1,"Check weights",ROUND(E556*INDEX('Position_Rubric'!$C$6:$C$14,M556)+F556*INDEX('Position_Rubric'!$D$6:$D$14,M556)+G556*INDEX('Position_Rubric'!$E$6:$E$14,M556)+H556*INDEX('Position_Rubric'!$F$6:$F$14,M556)+I556*INDEX('Position_Rubric'!$G$6:$G$14,M556),1)))))</x:f>
      </x:c>
      <x:c r="K556" s="82" t="str">
        <x:f>IF(AND(ISNUMBER(J556),ISNUMBER(D556)),J556-D556,"")</x:f>
      </x:c>
      <x:c r="L556" s="69" t="str">
        <x:f>IF(COUNT(E556:I556)&lt;5,"Needs component scores",IF(ISNUMBER(J556),"Calculated",J556))</x:f>
        <x:v>Needs component scores</x:v>
      </x:c>
      <x:c r="M556" s="69" t="n">
        <x:f>IF(C556="","",MATCH(C556,'Position_Rubric'!$A$6:$A$14,0))</x:f>
        <x:v>7</x:v>
      </x:c>
      <x:c r="N556" s="69" t="str"/>
    </x:row>
    <x:row r="557" ht="25" customHeight="1">
      <x:c r="A557" s="69" t="str">
        <x:v>summer-S26-0429</x:v>
      </x:c>
      <x:c r="B557" s="69" t="str">
        <x:v>Hamed Traoré</x:v>
      </x:c>
      <x:c r="C557" s="69" t="str">
        <x:v>WINGER</x:v>
      </x:c>
      <x:c r="D557" s="82" t="str">
        <x:f>IF(ISNUMBER('Transfer_Ratings'!K557),'Transfer_Ratings'!K557,"")</x:f>
      </x:c>
      <x:c r="E557" s="86"/>
      <x:c r="F557" s="86"/>
      <x:c r="G557" s="86"/>
      <x:c r="H557" s="86"/>
      <x:c r="I557" s="86"/>
      <x:c r="J557" s="82" t="str">
        <x:f>IF(C557="","Choose position",IF(COUNT(E557:I557)&lt;5,"",IF(OR(MIN(E557:I557)&lt;0.1,MAX(E557:I557)&gt;10),"Invalid score",IF(INDEX('Position_Rubric'!$H$6:$H$14,M557)&lt;&gt;1,"Check weights",ROUND(E557*INDEX('Position_Rubric'!$C$6:$C$14,M557)+F557*INDEX('Position_Rubric'!$D$6:$D$14,M557)+G557*INDEX('Position_Rubric'!$E$6:$E$14,M557)+H557*INDEX('Position_Rubric'!$F$6:$F$14,M557)+I557*INDEX('Position_Rubric'!$G$6:$G$14,M557),1)))))</x:f>
      </x:c>
      <x:c r="K557" s="82" t="str">
        <x:f>IF(AND(ISNUMBER(J557),ISNUMBER(D557)),J557-D557,"")</x:f>
      </x:c>
      <x:c r="L557" s="69" t="str">
        <x:f>IF(COUNT(E557:I557)&lt;5,"Needs component scores",IF(ISNUMBER(J557),"Calculated",J557))</x:f>
        <x:v>Needs component scores</x:v>
      </x:c>
      <x:c r="M557" s="69" t="n">
        <x:f>IF(C557="","",MATCH(C557,'Position_Rubric'!$A$6:$A$14,0))</x:f>
        <x:v>7</x:v>
      </x:c>
      <x:c r="N557" s="69" t="str"/>
    </x:row>
    <x:row r="558" ht="25" customHeight="1">
      <x:c r="A558" s="69" t="str">
        <x:v>summer-S26-0432</x:v>
      </x:c>
      <x:c r="B558" s="69" t="str">
        <x:v>Pablo Pagis</x:v>
      </x:c>
      <x:c r="C558" s="69" t="str">
        <x:v>WINGER</x:v>
      </x:c>
      <x:c r="D558" s="82" t="str">
        <x:f>IF(ISNUMBER('Transfer_Ratings'!K558),'Transfer_Ratings'!K558,"")</x:f>
      </x:c>
      <x:c r="E558" s="86"/>
      <x:c r="F558" s="86"/>
      <x:c r="G558" s="86"/>
      <x:c r="H558" s="86"/>
      <x:c r="I558" s="86"/>
      <x:c r="J558" s="82" t="str">
        <x:f>IF(C558="","Choose position",IF(COUNT(E558:I558)&lt;5,"",IF(OR(MIN(E558:I558)&lt;0.1,MAX(E558:I558)&gt;10),"Invalid score",IF(INDEX('Position_Rubric'!$H$6:$H$14,M558)&lt;&gt;1,"Check weights",ROUND(E558*INDEX('Position_Rubric'!$C$6:$C$14,M558)+F558*INDEX('Position_Rubric'!$D$6:$D$14,M558)+G558*INDEX('Position_Rubric'!$E$6:$E$14,M558)+H558*INDEX('Position_Rubric'!$F$6:$F$14,M558)+I558*INDEX('Position_Rubric'!$G$6:$G$14,M558),1)))))</x:f>
      </x:c>
      <x:c r="K558" s="82" t="str">
        <x:f>IF(AND(ISNUMBER(J558),ISNUMBER(D558)),J558-D558,"")</x:f>
      </x:c>
      <x:c r="L558" s="69" t="str">
        <x:f>IF(COUNT(E558:I558)&lt;5,"Needs component scores",IF(ISNUMBER(J558),"Calculated",J558))</x:f>
        <x:v>Needs component scores</x:v>
      </x:c>
      <x:c r="M558" s="69" t="n">
        <x:f>IF(C558="","",MATCH(C558,'Position_Rubric'!$A$6:$A$14,0))</x:f>
        <x:v>7</x:v>
      </x:c>
      <x:c r="N558" s="69" t="str"/>
    </x:row>
    <x:row r="559" ht="25" customHeight="1">
      <x:c r="A559" s="69" t="str">
        <x:v>summer-S26-0434</x:v>
      </x:c>
      <x:c r="B559" s="69" t="str">
        <x:v>Danny Anisjko</x:v>
      </x:c>
      <x:c r="C559" s="69" t="str">
        <x:v>WINGER</x:v>
      </x:c>
      <x:c r="D559" s="82" t="str">
        <x:f>IF(ISNUMBER('Transfer_Ratings'!K559),'Transfer_Ratings'!K559,"")</x:f>
      </x:c>
      <x:c r="E559" s="86"/>
      <x:c r="F559" s="86"/>
      <x:c r="G559" s="86"/>
      <x:c r="H559" s="86"/>
      <x:c r="I559" s="86"/>
      <x:c r="J559" s="82" t="str">
        <x:f>IF(C559="","Choose position",IF(COUNT(E559:I559)&lt;5,"",IF(OR(MIN(E559:I559)&lt;0.1,MAX(E559:I559)&gt;10),"Invalid score",IF(INDEX('Position_Rubric'!$H$6:$H$14,M559)&lt;&gt;1,"Check weights",ROUND(E559*INDEX('Position_Rubric'!$C$6:$C$14,M559)+F559*INDEX('Position_Rubric'!$D$6:$D$14,M559)+G559*INDEX('Position_Rubric'!$E$6:$E$14,M559)+H559*INDEX('Position_Rubric'!$F$6:$F$14,M559)+I559*INDEX('Position_Rubric'!$G$6:$G$14,M559),1)))))</x:f>
      </x:c>
      <x:c r="K559" s="82" t="str">
        <x:f>IF(AND(ISNUMBER(J559),ISNUMBER(D559)),J559-D559,"")</x:f>
      </x:c>
      <x:c r="L559" s="69" t="str">
        <x:f>IF(COUNT(E559:I559)&lt;5,"Needs component scores",IF(ISNUMBER(J559),"Calculated",J559))</x:f>
        <x:v>Needs component scores</x:v>
      </x:c>
      <x:c r="M559" s="69" t="n">
        <x:f>IF(C559="","",MATCH(C559,'Position_Rubric'!$A$6:$A$14,0))</x:f>
        <x:v>7</x:v>
      </x:c>
      <x:c r="N559" s="69" t="str"/>
    </x:row>
    <x:row r="560" ht="25" customHeight="1">
      <x:c r="A560" s="69" t="str">
        <x:v>summer-S26-0447</x:v>
      </x:c>
      <x:c r="B560" s="69" t="str">
        <x:v>Kyliane Dong</x:v>
      </x:c>
      <x:c r="C560" s="69" t="str">
        <x:v>WINGER</x:v>
      </x:c>
      <x:c r="D560" s="82" t="str">
        <x:f>IF(ISNUMBER('Transfer_Ratings'!K560),'Transfer_Ratings'!K560,"")</x:f>
      </x:c>
      <x:c r="E560" s="86"/>
      <x:c r="F560" s="86"/>
      <x:c r="G560" s="86"/>
      <x:c r="H560" s="86"/>
      <x:c r="I560" s="86"/>
      <x:c r="J560" s="82" t="str">
        <x:f>IF(C560="","Choose position",IF(COUNT(E560:I560)&lt;5,"",IF(OR(MIN(E560:I560)&lt;0.1,MAX(E560:I560)&gt;10),"Invalid score",IF(INDEX('Position_Rubric'!$H$6:$H$14,M560)&lt;&gt;1,"Check weights",ROUND(E560*INDEX('Position_Rubric'!$C$6:$C$14,M560)+F560*INDEX('Position_Rubric'!$D$6:$D$14,M560)+G560*INDEX('Position_Rubric'!$E$6:$E$14,M560)+H560*INDEX('Position_Rubric'!$F$6:$F$14,M560)+I560*INDEX('Position_Rubric'!$G$6:$G$14,M560),1)))))</x:f>
      </x:c>
      <x:c r="K560" s="82" t="str">
        <x:f>IF(AND(ISNUMBER(J560),ISNUMBER(D560)),J560-D560,"")</x:f>
      </x:c>
      <x:c r="L560" s="69" t="str">
        <x:f>IF(COUNT(E560:I560)&lt;5,"Needs component scores",IF(ISNUMBER(J560),"Calculated",J560))</x:f>
        <x:v>Needs component scores</x:v>
      </x:c>
      <x:c r="M560" s="69" t="n">
        <x:f>IF(C560="","",MATCH(C560,'Position_Rubric'!$A$6:$A$14,0))</x:f>
        <x:v>7</x:v>
      </x:c>
      <x:c r="N560" s="69" t="str"/>
    </x:row>
    <x:row r="561" ht="25" customHeight="1">
      <x:c r="A561" s="69" t="str">
        <x:v>summer-S26-0461</x:v>
      </x:c>
      <x:c r="B561" s="69" t="str">
        <x:v>Mathieu Cafaro</x:v>
      </x:c>
      <x:c r="C561" s="69" t="str">
        <x:v>WINGER</x:v>
      </x:c>
      <x:c r="D561" s="82" t="str">
        <x:f>IF(ISNUMBER('Transfer_Ratings'!K561),'Transfer_Ratings'!K561,"")</x:f>
      </x:c>
      <x:c r="E561" s="86"/>
      <x:c r="F561" s="86"/>
      <x:c r="G561" s="86"/>
      <x:c r="H561" s="86"/>
      <x:c r="I561" s="86"/>
      <x:c r="J561" s="82" t="str">
        <x:f>IF(C561="","Choose position",IF(COUNT(E561:I561)&lt;5,"",IF(OR(MIN(E561:I561)&lt;0.1,MAX(E561:I561)&gt;10),"Invalid score",IF(INDEX('Position_Rubric'!$H$6:$H$14,M561)&lt;&gt;1,"Check weights",ROUND(E561*INDEX('Position_Rubric'!$C$6:$C$14,M561)+F561*INDEX('Position_Rubric'!$D$6:$D$14,M561)+G561*INDEX('Position_Rubric'!$E$6:$E$14,M561)+H561*INDEX('Position_Rubric'!$F$6:$F$14,M561)+I561*INDEX('Position_Rubric'!$G$6:$G$14,M561),1)))))</x:f>
      </x:c>
      <x:c r="K561" s="82" t="str">
        <x:f>IF(AND(ISNUMBER(J561),ISNUMBER(D561)),J561-D561,"")</x:f>
      </x:c>
      <x:c r="L561" s="69" t="str">
        <x:f>IF(COUNT(E561:I561)&lt;5,"Needs component scores",IF(ISNUMBER(J561),"Calculated",J561))</x:f>
        <x:v>Needs component scores</x:v>
      </x:c>
      <x:c r="M561" s="69" t="n">
        <x:f>IF(C561="","",MATCH(C561,'Position_Rubric'!$A$6:$A$14,0))</x:f>
        <x:v>7</x:v>
      </x:c>
      <x:c r="N561" s="69" t="str"/>
    </x:row>
    <x:row r="562" ht="25" customHeight="1">
      <x:c r="A562" s="69" t="str">
        <x:v>summer-S26-0462</x:v>
      </x:c>
      <x:c r="B562" s="69" t="str">
        <x:v>Juan Cruz</x:v>
      </x:c>
      <x:c r="C562" s="69" t="str">
        <x:v>WINGER</x:v>
      </x:c>
      <x:c r="D562" s="82" t="str">
        <x:f>IF(ISNUMBER('Transfer_Ratings'!K562),'Transfer_Ratings'!K562,"")</x:f>
      </x:c>
      <x:c r="E562" s="86"/>
      <x:c r="F562" s="86"/>
      <x:c r="G562" s="86"/>
      <x:c r="H562" s="86"/>
      <x:c r="I562" s="86"/>
      <x:c r="J562" s="82" t="str">
        <x:f>IF(C562="","Choose position",IF(COUNT(E562:I562)&lt;5,"",IF(OR(MIN(E562:I562)&lt;0.1,MAX(E562:I562)&gt;10),"Invalid score",IF(INDEX('Position_Rubric'!$H$6:$H$14,M562)&lt;&gt;1,"Check weights",ROUND(E562*INDEX('Position_Rubric'!$C$6:$C$14,M562)+F562*INDEX('Position_Rubric'!$D$6:$D$14,M562)+G562*INDEX('Position_Rubric'!$E$6:$E$14,M562)+H562*INDEX('Position_Rubric'!$F$6:$F$14,M562)+I562*INDEX('Position_Rubric'!$G$6:$G$14,M562),1)))))</x:f>
      </x:c>
      <x:c r="K562" s="82" t="str">
        <x:f>IF(AND(ISNUMBER(J562),ISNUMBER(D562)),J562-D562,"")</x:f>
      </x:c>
      <x:c r="L562" s="69" t="str">
        <x:f>IF(COUNT(E562:I562)&lt;5,"Needs component scores",IF(ISNUMBER(J562),"Calculated",J562))</x:f>
        <x:v>Needs component scores</x:v>
      </x:c>
      <x:c r="M562" s="69" t="n">
        <x:f>IF(C562="","",MATCH(C562,'Position_Rubric'!$A$6:$A$14,0))</x:f>
        <x:v>7</x:v>
      </x:c>
      <x:c r="N562" s="69" t="str"/>
    </x:row>
    <x:row r="563" ht="25" customHeight="1">
      <x:c r="A563" s="69" t="str">
        <x:v>summer-S26-0481</x:v>
      </x:c>
      <x:c r="B563" s="69" t="str">
        <x:v>Jeremy Agbonifo</x:v>
      </x:c>
      <x:c r="C563" s="69" t="str">
        <x:v>WINGER</x:v>
      </x:c>
      <x:c r="D563" s="82" t="str">
        <x:f>IF(ISNUMBER('Transfer_Ratings'!K563),'Transfer_Ratings'!K563,"")</x:f>
      </x:c>
      <x:c r="E563" s="86"/>
      <x:c r="F563" s="86"/>
      <x:c r="G563" s="86"/>
      <x:c r="H563" s="86"/>
      <x:c r="I563" s="86"/>
      <x:c r="J563" s="82" t="str">
        <x:f>IF(C563="","Choose position",IF(COUNT(E563:I563)&lt;5,"",IF(OR(MIN(E563:I563)&lt;0.1,MAX(E563:I563)&gt;10),"Invalid score",IF(INDEX('Position_Rubric'!$H$6:$H$14,M563)&lt;&gt;1,"Check weights",ROUND(E563*INDEX('Position_Rubric'!$C$6:$C$14,M563)+F563*INDEX('Position_Rubric'!$D$6:$D$14,M563)+G563*INDEX('Position_Rubric'!$E$6:$E$14,M563)+H563*INDEX('Position_Rubric'!$F$6:$F$14,M563)+I563*INDEX('Position_Rubric'!$G$6:$G$14,M563),1)))))</x:f>
      </x:c>
      <x:c r="K563" s="82" t="str">
        <x:f>IF(AND(ISNUMBER(J563),ISNUMBER(D563)),J563-D563,"")</x:f>
      </x:c>
      <x:c r="L563" s="69" t="str">
        <x:f>IF(COUNT(E563:I563)&lt;5,"Needs component scores",IF(ISNUMBER(J563),"Calculated",J563))</x:f>
        <x:v>Needs component scores</x:v>
      </x:c>
      <x:c r="M563" s="69" t="n">
        <x:f>IF(C563="","",MATCH(C563,'Position_Rubric'!$A$6:$A$14,0))</x:f>
        <x:v>7</x:v>
      </x:c>
      <x:c r="N563" s="69" t="str"/>
    </x:row>
    <x:row r="564" ht="25" customHeight="1">
      <x:c r="A564" s="69" t="str">
        <x:v>summer-S26-0482</x:v>
      </x:c>
      <x:c r="B564" s="69" t="str">
        <x:v>Abdul Fatawu</x:v>
      </x:c>
      <x:c r="C564" s="69" t="str">
        <x:v>WINGER</x:v>
      </x:c>
      <x:c r="D564" s="82" t="str">
        <x:f>IF(ISNUMBER('Transfer_Ratings'!K564),'Transfer_Ratings'!K564,"")</x:f>
      </x:c>
      <x:c r="E564" s="86"/>
      <x:c r="F564" s="86"/>
      <x:c r="G564" s="86"/>
      <x:c r="H564" s="86"/>
      <x:c r="I564" s="86"/>
      <x:c r="J564" s="82" t="str">
        <x:f>IF(C564="","Choose position",IF(COUNT(E564:I564)&lt;5,"",IF(OR(MIN(E564:I564)&lt;0.1,MAX(E564:I564)&gt;10),"Invalid score",IF(INDEX('Position_Rubric'!$H$6:$H$14,M564)&lt;&gt;1,"Check weights",ROUND(E564*INDEX('Position_Rubric'!$C$6:$C$14,M564)+F564*INDEX('Position_Rubric'!$D$6:$D$14,M564)+G564*INDEX('Position_Rubric'!$E$6:$E$14,M564)+H564*INDEX('Position_Rubric'!$F$6:$F$14,M564)+I564*INDEX('Position_Rubric'!$G$6:$G$14,M564),1)))))</x:f>
      </x:c>
      <x:c r="K564" s="82" t="str">
        <x:f>IF(AND(ISNUMBER(J564),ISNUMBER(D564)),J564-D564,"")</x:f>
      </x:c>
      <x:c r="L564" s="69" t="str">
        <x:f>IF(COUNT(E564:I564)&lt;5,"Needs component scores",IF(ISNUMBER(J564),"Calculated",J564))</x:f>
        <x:v>Needs component scores</x:v>
      </x:c>
      <x:c r="M564" s="69" t="n">
        <x:f>IF(C564="","",MATCH(C564,'Position_Rubric'!$A$6:$A$14,0))</x:f>
        <x:v>7</x:v>
      </x:c>
      <x:c r="N564" s="69" t="str"/>
    </x:row>
    <x:row r="565" ht="25" customHeight="1">
      <x:c r="A565" s="69" t="str">
        <x:v>summer-S26-0486</x:v>
      </x:c>
      <x:c r="B565" s="69" t="str">
        <x:v>Diego Gómez</x:v>
      </x:c>
      <x:c r="C565" s="69" t="str">
        <x:v>WINGER</x:v>
      </x:c>
      <x:c r="D565" s="82" t="str">
        <x:f>IF(ISNUMBER('Transfer_Ratings'!K565),'Transfer_Ratings'!K565,"")</x:f>
      </x:c>
      <x:c r="E565" s="86"/>
      <x:c r="F565" s="86"/>
      <x:c r="G565" s="86"/>
      <x:c r="H565" s="86"/>
      <x:c r="I565" s="86"/>
      <x:c r="J565" s="82" t="str">
        <x:f>IF(C565="","Choose position",IF(COUNT(E565:I565)&lt;5,"",IF(OR(MIN(E565:I565)&lt;0.1,MAX(E565:I565)&gt;10),"Invalid score",IF(INDEX('Position_Rubric'!$H$6:$H$14,M565)&lt;&gt;1,"Check weights",ROUND(E565*INDEX('Position_Rubric'!$C$6:$C$14,M565)+F565*INDEX('Position_Rubric'!$D$6:$D$14,M565)+G565*INDEX('Position_Rubric'!$E$6:$E$14,M565)+H565*INDEX('Position_Rubric'!$F$6:$F$14,M565)+I565*INDEX('Position_Rubric'!$G$6:$G$14,M565),1)))))</x:f>
      </x:c>
      <x:c r="K565" s="82" t="str">
        <x:f>IF(AND(ISNUMBER(J565),ISNUMBER(D565)),J565-D565,"")</x:f>
      </x:c>
      <x:c r="L565" s="69" t="str">
        <x:f>IF(COUNT(E565:I565)&lt;5,"Needs component scores",IF(ISNUMBER(J565),"Calculated",J565))</x:f>
        <x:v>Needs component scores</x:v>
      </x:c>
      <x:c r="M565" s="69" t="n">
        <x:f>IF(C565="","",MATCH(C565,'Position_Rubric'!$A$6:$A$14,0))</x:f>
        <x:v>7</x:v>
      </x:c>
      <x:c r="N565" s="69" t="str"/>
    </x:row>
    <x:row r="566" ht="25" customHeight="1">
      <x:c r="A566" s="69" t="str">
        <x:v>summer-S26-0496</x:v>
      </x:c>
      <x:c r="B566" s="69" t="str">
        <x:v>Coba da Costa</x:v>
      </x:c>
      <x:c r="C566" s="69" t="str">
        <x:v>WINGER</x:v>
      </x:c>
      <x:c r="D566" s="82" t="str">
        <x:f>IF(ISNUMBER('Transfer_Ratings'!K566),'Transfer_Ratings'!K566,"")</x:f>
      </x:c>
      <x:c r="E566" s="86"/>
      <x:c r="F566" s="86"/>
      <x:c r="G566" s="86"/>
      <x:c r="H566" s="86"/>
      <x:c r="I566" s="86"/>
      <x:c r="J566" s="82" t="str">
        <x:f>IF(C566="","Choose position",IF(COUNT(E566:I566)&lt;5,"",IF(OR(MIN(E566:I566)&lt;0.1,MAX(E566:I566)&gt;10),"Invalid score",IF(INDEX('Position_Rubric'!$H$6:$H$14,M566)&lt;&gt;1,"Check weights",ROUND(E566*INDEX('Position_Rubric'!$C$6:$C$14,M566)+F566*INDEX('Position_Rubric'!$D$6:$D$14,M566)+G566*INDEX('Position_Rubric'!$E$6:$E$14,M566)+H566*INDEX('Position_Rubric'!$F$6:$F$14,M566)+I566*INDEX('Position_Rubric'!$G$6:$G$14,M566),1)))))</x:f>
      </x:c>
      <x:c r="K566" s="82" t="str">
        <x:f>IF(AND(ISNUMBER(J566),ISNUMBER(D566)),J566-D566,"")</x:f>
      </x:c>
      <x:c r="L566" s="69" t="str">
        <x:f>IF(COUNT(E566:I566)&lt;5,"Needs component scores",IF(ISNUMBER(J566),"Calculated",J566))</x:f>
        <x:v>Needs component scores</x:v>
      </x:c>
      <x:c r="M566" s="69" t="n">
        <x:f>IF(C566="","",MATCH(C566,'Position_Rubric'!$A$6:$A$14,0))</x:f>
        <x:v>7</x:v>
      </x:c>
      <x:c r="N566" s="69" t="str"/>
    </x:row>
    <x:row r="567" ht="25" customHeight="1">
      <x:c r="A567" s="69" t="str">
        <x:v>summer-S26-0515</x:v>
      </x:c>
      <x:c r="B567" s="69" t="str">
        <x:v>Marco Delle Monache</x:v>
      </x:c>
      <x:c r="C567" s="69" t="str">
        <x:v>WINGER</x:v>
      </x:c>
      <x:c r="D567" s="82" t="str">
        <x:f>IF(ISNUMBER('Transfer_Ratings'!K567),'Transfer_Ratings'!K567,"")</x:f>
      </x:c>
      <x:c r="E567" s="86"/>
      <x:c r="F567" s="86"/>
      <x:c r="G567" s="86"/>
      <x:c r="H567" s="86"/>
      <x:c r="I567" s="86"/>
      <x:c r="J567" s="82" t="str">
        <x:f>IF(C567="","Choose position",IF(COUNT(E567:I567)&lt;5,"",IF(OR(MIN(E567:I567)&lt;0.1,MAX(E567:I567)&gt;10),"Invalid score",IF(INDEX('Position_Rubric'!$H$6:$H$14,M567)&lt;&gt;1,"Check weights",ROUND(E567*INDEX('Position_Rubric'!$C$6:$C$14,M567)+F567*INDEX('Position_Rubric'!$D$6:$D$14,M567)+G567*INDEX('Position_Rubric'!$E$6:$E$14,M567)+H567*INDEX('Position_Rubric'!$F$6:$F$14,M567)+I567*INDEX('Position_Rubric'!$G$6:$G$14,M567),1)))))</x:f>
      </x:c>
      <x:c r="K567" s="82" t="str">
        <x:f>IF(AND(ISNUMBER(J567),ISNUMBER(D567)),J567-D567,"")</x:f>
      </x:c>
      <x:c r="L567" s="69" t="str">
        <x:f>IF(COUNT(E567:I567)&lt;5,"Needs component scores",IF(ISNUMBER(J567),"Calculated",J567))</x:f>
        <x:v>Needs component scores</x:v>
      </x:c>
      <x:c r="M567" s="69" t="n">
        <x:f>IF(C567="","",MATCH(C567,'Position_Rubric'!$A$6:$A$14,0))</x:f>
        <x:v>7</x:v>
      </x:c>
      <x:c r="N567" s="69" t="str"/>
    </x:row>
    <x:row r="568" ht="25" customHeight="1">
      <x:c r="A568" s="69" t="str">
        <x:v>summer-S26-0529</x:v>
      </x:c>
      <x:c r="B568" s="69" t="str">
        <x:v>Karim Adeyemi</x:v>
      </x:c>
      <x:c r="C568" s="69" t="str">
        <x:v>WINGER</x:v>
      </x:c>
      <x:c r="D568" s="82" t="str">
        <x:f>IF(ISNUMBER('Transfer_Ratings'!K568),'Transfer_Ratings'!K568,"")</x:f>
      </x:c>
      <x:c r="E568" s="86"/>
      <x:c r="F568" s="86"/>
      <x:c r="G568" s="86"/>
      <x:c r="H568" s="86"/>
      <x:c r="I568" s="86"/>
      <x:c r="J568" s="82" t="str">
        <x:f>IF(C568="","Choose position",IF(COUNT(E568:I568)&lt;5,"",IF(OR(MIN(E568:I568)&lt;0.1,MAX(E568:I568)&gt;10),"Invalid score",IF(INDEX('Position_Rubric'!$H$6:$H$14,M568)&lt;&gt;1,"Check weights",ROUND(E568*INDEX('Position_Rubric'!$C$6:$C$14,M568)+F568*INDEX('Position_Rubric'!$D$6:$D$14,M568)+G568*INDEX('Position_Rubric'!$E$6:$E$14,M568)+H568*INDEX('Position_Rubric'!$F$6:$F$14,M568)+I568*INDEX('Position_Rubric'!$G$6:$G$14,M568),1)))))</x:f>
      </x:c>
      <x:c r="K568" s="82" t="str">
        <x:f>IF(AND(ISNUMBER(J568),ISNUMBER(D568)),J568-D568,"")</x:f>
      </x:c>
      <x:c r="L568" s="69" t="str">
        <x:f>IF(COUNT(E568:I568)&lt;5,"Needs component scores",IF(ISNUMBER(J568),"Calculated",J568))</x:f>
        <x:v>Needs component scores</x:v>
      </x:c>
      <x:c r="M568" s="69" t="n">
        <x:f>IF(C568="","",MATCH(C568,'Position_Rubric'!$A$6:$A$14,0))</x:f>
        <x:v>7</x:v>
      </x:c>
      <x:c r="N568" s="69" t="str"/>
    </x:row>
    <x:row r="569" ht="25" customHeight="1">
      <x:c r="A569" s="69" t="str">
        <x:v>summer-S26-0533</x:v>
      </x:c>
      <x:c r="B569" s="69" t="str">
        <x:v>Christos Tzolis</x:v>
      </x:c>
      <x:c r="C569" s="69" t="str">
        <x:v>WINGER</x:v>
      </x:c>
      <x:c r="D569" s="82" t="str">
        <x:f>IF(ISNUMBER('Transfer_Ratings'!K569),'Transfer_Ratings'!K569,"")</x:f>
      </x:c>
      <x:c r="E569" s="86"/>
      <x:c r="F569" s="86"/>
      <x:c r="G569" s="86"/>
      <x:c r="H569" s="86"/>
      <x:c r="I569" s="86"/>
      <x:c r="J569" s="82" t="str">
        <x:f>IF(C569="","Choose position",IF(COUNT(E569:I569)&lt;5,"",IF(OR(MIN(E569:I569)&lt;0.1,MAX(E569:I569)&gt;10),"Invalid score",IF(INDEX('Position_Rubric'!$H$6:$H$14,M569)&lt;&gt;1,"Check weights",ROUND(E569*INDEX('Position_Rubric'!$C$6:$C$14,M569)+F569*INDEX('Position_Rubric'!$D$6:$D$14,M569)+G569*INDEX('Position_Rubric'!$E$6:$E$14,M569)+H569*INDEX('Position_Rubric'!$F$6:$F$14,M569)+I569*INDEX('Position_Rubric'!$G$6:$G$14,M569),1)))))</x:f>
      </x:c>
      <x:c r="K569" s="82" t="str">
        <x:f>IF(AND(ISNUMBER(J569),ISNUMBER(D569)),J569-D569,"")</x:f>
      </x:c>
      <x:c r="L569" s="69" t="str">
        <x:f>IF(COUNT(E569:I569)&lt;5,"Needs component scores",IF(ISNUMBER(J569),"Calculated",J569))</x:f>
        <x:v>Needs component scores</x:v>
      </x:c>
      <x:c r="M569" s="69" t="n">
        <x:f>IF(C569="","",MATCH(C569,'Position_Rubric'!$A$6:$A$14,0))</x:f>
        <x:v>7</x:v>
      </x:c>
      <x:c r="N569" s="69" t="str"/>
    </x:row>
    <x:row r="570" ht="25" customHeight="1">
      <x:c r="A570" s="69" t="str">
        <x:v>summer-S26-0535</x:v>
      </x:c>
      <x:c r="B570" s="69" t="str">
        <x:v>Alejandro Garnacho</x:v>
      </x:c>
      <x:c r="C570" s="69" t="str">
        <x:v>WINGER</x:v>
      </x:c>
      <x:c r="D570" s="82" t="str">
        <x:f>IF(ISNUMBER('Transfer_Ratings'!K570),'Transfer_Ratings'!K570,"")</x:f>
      </x:c>
      <x:c r="E570" s="86"/>
      <x:c r="F570" s="86"/>
      <x:c r="G570" s="86"/>
      <x:c r="H570" s="86"/>
      <x:c r="I570" s="86"/>
      <x:c r="J570" s="82" t="str">
        <x:f>IF(C570="","Choose position",IF(COUNT(E570:I570)&lt;5,"",IF(OR(MIN(E570:I570)&lt;0.1,MAX(E570:I570)&gt;10),"Invalid score",IF(INDEX('Position_Rubric'!$H$6:$H$14,M570)&lt;&gt;1,"Check weights",ROUND(E570*INDEX('Position_Rubric'!$C$6:$C$14,M570)+F570*INDEX('Position_Rubric'!$D$6:$D$14,M570)+G570*INDEX('Position_Rubric'!$E$6:$E$14,M570)+H570*INDEX('Position_Rubric'!$F$6:$F$14,M570)+I570*INDEX('Position_Rubric'!$G$6:$G$14,M570),1)))))</x:f>
      </x:c>
      <x:c r="K570" s="82" t="str">
        <x:f>IF(AND(ISNUMBER(J570),ISNUMBER(D570)),J570-D570,"")</x:f>
      </x:c>
      <x:c r="L570" s="69" t="str">
        <x:f>IF(COUNT(E570:I570)&lt;5,"Needs component scores",IF(ISNUMBER(J570),"Calculated",J570))</x:f>
        <x:v>Needs component scores</x:v>
      </x:c>
      <x:c r="M570" s="69" t="n">
        <x:f>IF(C570="","",MATCH(C570,'Position_Rubric'!$A$6:$A$14,0))</x:f>
        <x:v>7</x:v>
      </x:c>
      <x:c r="N570" s="69" t="str"/>
    </x:row>
    <x:row r="571" ht="25" customHeight="1">
      <x:c r="A571" s="69" t="str">
        <x:v>summer-S26-0541</x:v>
      </x:c>
      <x:c r="B571" s="69" t="str">
        <x:v>Kadan Young</x:v>
      </x:c>
      <x:c r="C571" s="69" t="str">
        <x:v>WINGER</x:v>
      </x:c>
      <x:c r="D571" s="82" t="str">
        <x:f>IF(ISNUMBER('Transfer_Ratings'!K571),'Transfer_Ratings'!K571,"")</x:f>
      </x:c>
      <x:c r="E571" s="86"/>
      <x:c r="F571" s="86"/>
      <x:c r="G571" s="86"/>
      <x:c r="H571" s="86"/>
      <x:c r="I571" s="86"/>
      <x:c r="J571" s="82" t="str">
        <x:f>IF(C571="","Choose position",IF(COUNT(E571:I571)&lt;5,"",IF(OR(MIN(E571:I571)&lt;0.1,MAX(E571:I571)&gt;10),"Invalid score",IF(INDEX('Position_Rubric'!$H$6:$H$14,M571)&lt;&gt;1,"Check weights",ROUND(E571*INDEX('Position_Rubric'!$C$6:$C$14,M571)+F571*INDEX('Position_Rubric'!$D$6:$D$14,M571)+G571*INDEX('Position_Rubric'!$E$6:$E$14,M571)+H571*INDEX('Position_Rubric'!$F$6:$F$14,M571)+I571*INDEX('Position_Rubric'!$G$6:$G$14,M571),1)))))</x:f>
      </x:c>
      <x:c r="K571" s="82" t="str">
        <x:f>IF(AND(ISNUMBER(J571),ISNUMBER(D571)),J571-D571,"")</x:f>
      </x:c>
      <x:c r="L571" s="69" t="str">
        <x:f>IF(COUNT(E571:I571)&lt;5,"Needs component scores",IF(ISNUMBER(J571),"Calculated",J571))</x:f>
        <x:v>Needs component scores</x:v>
      </x:c>
      <x:c r="M571" s="69" t="n">
        <x:f>IF(C571="","",MATCH(C571,'Position_Rubric'!$A$6:$A$14,0))</x:f>
        <x:v>7</x:v>
      </x:c>
      <x:c r="N571" s="69" t="str"/>
    </x:row>
    <x:row r="572" ht="25" customHeight="1">
      <x:c r="A572" s="69" t="str">
        <x:v>summer-S26-0545</x:v>
      </x:c>
      <x:c r="B572" s="69" t="str">
        <x:v>Michael Olakigbe</x:v>
      </x:c>
      <x:c r="C572" s="69" t="str">
        <x:v>WINGER</x:v>
      </x:c>
      <x:c r="D572" s="82" t="str">
        <x:f>IF(ISNUMBER('Transfer_Ratings'!K572),'Transfer_Ratings'!K572,"")</x:f>
      </x:c>
      <x:c r="E572" s="86"/>
      <x:c r="F572" s="86"/>
      <x:c r="G572" s="86"/>
      <x:c r="H572" s="86"/>
      <x:c r="I572" s="86"/>
      <x:c r="J572" s="82" t="str">
        <x:f>IF(C572="","Choose position",IF(COUNT(E572:I572)&lt;5,"",IF(OR(MIN(E572:I572)&lt;0.1,MAX(E572:I572)&gt;10),"Invalid score",IF(INDEX('Position_Rubric'!$H$6:$H$14,M572)&lt;&gt;1,"Check weights",ROUND(E572*INDEX('Position_Rubric'!$C$6:$C$14,M572)+F572*INDEX('Position_Rubric'!$D$6:$D$14,M572)+G572*INDEX('Position_Rubric'!$E$6:$E$14,M572)+H572*INDEX('Position_Rubric'!$F$6:$F$14,M572)+I572*INDEX('Position_Rubric'!$G$6:$G$14,M572),1)))))</x:f>
      </x:c>
      <x:c r="K572" s="82" t="str">
        <x:f>IF(AND(ISNUMBER(J572),ISNUMBER(D572)),J572-D572,"")</x:f>
      </x:c>
      <x:c r="L572" s="69" t="str">
        <x:f>IF(COUNT(E572:I572)&lt;5,"Needs component scores",IF(ISNUMBER(J572),"Calculated",J572))</x:f>
        <x:v>Needs component scores</x:v>
      </x:c>
      <x:c r="M572" s="69" t="n">
        <x:f>IF(C572="","",MATCH(C572,'Position_Rubric'!$A$6:$A$14,0))</x:f>
        <x:v>7</x:v>
      </x:c>
      <x:c r="N572" s="69" t="str"/>
    </x:row>
    <x:row r="573" ht="25" customHeight="1">
      <x:c r="A573" s="69" t="str">
        <x:v>summer-S26-0548</x:v>
      </x:c>
      <x:c r="B573" s="69" t="str">
        <x:v>Jeremy Sarmiento</x:v>
      </x:c>
      <x:c r="C573" s="69" t="str">
        <x:v>WINGER</x:v>
      </x:c>
      <x:c r="D573" s="82" t="str">
        <x:f>IF(ISNUMBER('Transfer_Ratings'!K573),'Transfer_Ratings'!K573,"")</x:f>
      </x:c>
      <x:c r="E573" s="86"/>
      <x:c r="F573" s="86"/>
      <x:c r="G573" s="86"/>
      <x:c r="H573" s="86"/>
      <x:c r="I573" s="86"/>
      <x:c r="J573" s="82" t="str">
        <x:f>IF(C573="","Choose position",IF(COUNT(E573:I573)&lt;5,"",IF(OR(MIN(E573:I573)&lt;0.1,MAX(E573:I573)&gt;10),"Invalid score",IF(INDEX('Position_Rubric'!$H$6:$H$14,M573)&lt;&gt;1,"Check weights",ROUND(E573*INDEX('Position_Rubric'!$C$6:$C$14,M573)+F573*INDEX('Position_Rubric'!$D$6:$D$14,M573)+G573*INDEX('Position_Rubric'!$E$6:$E$14,M573)+H573*INDEX('Position_Rubric'!$F$6:$F$14,M573)+I573*INDEX('Position_Rubric'!$G$6:$G$14,M573),1)))))</x:f>
      </x:c>
      <x:c r="K573" s="82" t="str">
        <x:f>IF(AND(ISNUMBER(J573),ISNUMBER(D573)),J573-D573,"")</x:f>
      </x:c>
      <x:c r="L573" s="69" t="str">
        <x:f>IF(COUNT(E573:I573)&lt;5,"Needs component scores",IF(ISNUMBER(J573),"Calculated",J573))</x:f>
        <x:v>Needs component scores</x:v>
      </x:c>
      <x:c r="M573" s="69" t="n">
        <x:f>IF(C573="","",MATCH(C573,'Position_Rubric'!$A$6:$A$14,0))</x:f>
        <x:v>7</x:v>
      </x:c>
      <x:c r="N573" s="69" t="str"/>
    </x:row>
    <x:row r="574" ht="25" customHeight="1">
      <x:c r="A574" s="69" t="str">
        <x:v>summer-S26-0551</x:v>
      </x:c>
      <x:c r="B574" s="69" t="str">
        <x:v>Chris Atherton</x:v>
      </x:c>
      <x:c r="C574" s="69" t="str">
        <x:v>WINGER</x:v>
      </x:c>
      <x:c r="D574" s="82" t="str">
        <x:f>IF(ISNUMBER('Transfer_Ratings'!K574),'Transfer_Ratings'!K574,"")</x:f>
      </x:c>
      <x:c r="E574" s="86"/>
      <x:c r="F574" s="86"/>
      <x:c r="G574" s="86"/>
      <x:c r="H574" s="86"/>
      <x:c r="I574" s="86"/>
      <x:c r="J574" s="82" t="str">
        <x:f>IF(C574="","Choose position",IF(COUNT(E574:I574)&lt;5,"",IF(OR(MIN(E574:I574)&lt;0.1,MAX(E574:I574)&gt;10),"Invalid score",IF(INDEX('Position_Rubric'!$H$6:$H$14,M574)&lt;&gt;1,"Check weights",ROUND(E574*INDEX('Position_Rubric'!$C$6:$C$14,M574)+F574*INDEX('Position_Rubric'!$D$6:$D$14,M574)+G574*INDEX('Position_Rubric'!$E$6:$E$14,M574)+H574*INDEX('Position_Rubric'!$F$6:$F$14,M574)+I574*INDEX('Position_Rubric'!$G$6:$G$14,M574),1)))))</x:f>
      </x:c>
      <x:c r="K574" s="82" t="str">
        <x:f>IF(AND(ISNUMBER(J574),ISNUMBER(D574)),J574-D574,"")</x:f>
      </x:c>
      <x:c r="L574" s="69" t="str">
        <x:f>IF(COUNT(E574:I574)&lt;5,"Needs component scores",IF(ISNUMBER(J574),"Calculated",J574))</x:f>
        <x:v>Needs component scores</x:v>
      </x:c>
      <x:c r="M574" s="69" t="n">
        <x:f>IF(C574="","",MATCH(C574,'Position_Rubric'!$A$6:$A$14,0))</x:f>
        <x:v>7</x:v>
      </x:c>
      <x:c r="N574" s="69" t="str"/>
    </x:row>
    <x:row r="575" ht="25" customHeight="1">
      <x:c r="A575" s="69" t="str">
        <x:v>summer-S26-0557</x:v>
      </x:c>
      <x:c r="B575" s="69" t="str">
        <x:v>Antoniu Roca</x:v>
      </x:c>
      <x:c r="C575" s="69" t="str">
        <x:v>WINGER</x:v>
      </x:c>
      <x:c r="D575" s="82" t="str">
        <x:f>IF(ISNUMBER('Transfer_Ratings'!K575),'Transfer_Ratings'!K575,"")</x:f>
      </x:c>
      <x:c r="E575" s="86"/>
      <x:c r="F575" s="86"/>
      <x:c r="G575" s="86"/>
      <x:c r="H575" s="86"/>
      <x:c r="I575" s="86"/>
      <x:c r="J575" s="82" t="str">
        <x:f>IF(C575="","Choose position",IF(COUNT(E575:I575)&lt;5,"",IF(OR(MIN(E575:I575)&lt;0.1,MAX(E575:I575)&gt;10),"Invalid score",IF(INDEX('Position_Rubric'!$H$6:$H$14,M575)&lt;&gt;1,"Check weights",ROUND(E575*INDEX('Position_Rubric'!$C$6:$C$14,M575)+F575*INDEX('Position_Rubric'!$D$6:$D$14,M575)+G575*INDEX('Position_Rubric'!$E$6:$E$14,M575)+H575*INDEX('Position_Rubric'!$F$6:$F$14,M575)+I575*INDEX('Position_Rubric'!$G$6:$G$14,M575),1)))))</x:f>
      </x:c>
      <x:c r="K575" s="82" t="str">
        <x:f>IF(AND(ISNUMBER(J575),ISNUMBER(D575)),J575-D575,"")</x:f>
      </x:c>
      <x:c r="L575" s="69" t="str">
        <x:f>IF(COUNT(E575:I575)&lt;5,"Needs component scores",IF(ISNUMBER(J575),"Calculated",J575))</x:f>
        <x:v>Needs component scores</x:v>
      </x:c>
      <x:c r="M575" s="69" t="n">
        <x:f>IF(C575="","",MATCH(C575,'Position_Rubric'!$A$6:$A$14,0))</x:f>
        <x:v>7</x:v>
      </x:c>
      <x:c r="N575" s="69" t="str"/>
    </x:row>
    <x:row r="576" ht="25" customHeight="1">
      <x:c r="A576" s="69" t="str">
        <x:v>summer-S26-0563</x:v>
      </x:c>
      <x:c r="B576" s="69" t="str">
        <x:v>Alessio Zerbin</x:v>
      </x:c>
      <x:c r="C576" s="69" t="str">
        <x:v>WINGER</x:v>
      </x:c>
      <x:c r="D576" s="82" t="str">
        <x:f>IF(ISNUMBER('Transfer_Ratings'!K576),'Transfer_Ratings'!K576,"")</x:f>
      </x:c>
      <x:c r="E576" s="86"/>
      <x:c r="F576" s="86"/>
      <x:c r="G576" s="86"/>
      <x:c r="H576" s="86"/>
      <x:c r="I576" s="86"/>
      <x:c r="J576" s="82" t="str">
        <x:f>IF(C576="","Choose position",IF(COUNT(E576:I576)&lt;5,"",IF(OR(MIN(E576:I576)&lt;0.1,MAX(E576:I576)&gt;10),"Invalid score",IF(INDEX('Position_Rubric'!$H$6:$H$14,M576)&lt;&gt;1,"Check weights",ROUND(E576*INDEX('Position_Rubric'!$C$6:$C$14,M576)+F576*INDEX('Position_Rubric'!$D$6:$D$14,M576)+G576*INDEX('Position_Rubric'!$E$6:$E$14,M576)+H576*INDEX('Position_Rubric'!$F$6:$F$14,M576)+I576*INDEX('Position_Rubric'!$G$6:$G$14,M576),1)))))</x:f>
      </x:c>
      <x:c r="K576" s="82" t="str">
        <x:f>IF(AND(ISNUMBER(J576),ISNUMBER(D576)),J576-D576,"")</x:f>
      </x:c>
      <x:c r="L576" s="69" t="str">
        <x:f>IF(COUNT(E576:I576)&lt;5,"Needs component scores",IF(ISNUMBER(J576),"Calculated",J576))</x:f>
        <x:v>Needs component scores</x:v>
      </x:c>
      <x:c r="M576" s="69" t="n">
        <x:f>IF(C576="","",MATCH(C576,'Position_Rubric'!$A$6:$A$14,0))</x:f>
        <x:v>7</x:v>
      </x:c>
      <x:c r="N576" s="69" t="str"/>
    </x:row>
    <x:row r="577" ht="25" customHeight="1">
      <x:c r="A577" s="69" t="str">
        <x:v>summer-S26-0571</x:v>
      </x:c>
      <x:c r="B577" s="69" t="str">
        <x:v>Yeray Cabanzón</x:v>
      </x:c>
      <x:c r="C577" s="69" t="str">
        <x:v>WINGER</x:v>
      </x:c>
      <x:c r="D577" s="82" t="str">
        <x:f>IF(ISNUMBER('Transfer_Ratings'!K577),'Transfer_Ratings'!K577,"")</x:f>
      </x:c>
      <x:c r="E577" s="86"/>
      <x:c r="F577" s="86"/>
      <x:c r="G577" s="86"/>
      <x:c r="H577" s="86"/>
      <x:c r="I577" s="86"/>
      <x:c r="J577" s="82" t="str">
        <x:f>IF(C577="","Choose position",IF(COUNT(E577:I577)&lt;5,"",IF(OR(MIN(E577:I577)&lt;0.1,MAX(E577:I577)&gt;10),"Invalid score",IF(INDEX('Position_Rubric'!$H$6:$H$14,M577)&lt;&gt;1,"Check weights",ROUND(E577*INDEX('Position_Rubric'!$C$6:$C$14,M577)+F577*INDEX('Position_Rubric'!$D$6:$D$14,M577)+G577*INDEX('Position_Rubric'!$E$6:$E$14,M577)+H577*INDEX('Position_Rubric'!$F$6:$F$14,M577)+I577*INDEX('Position_Rubric'!$G$6:$G$14,M577),1)))))</x:f>
      </x:c>
      <x:c r="K577" s="82" t="str">
        <x:f>IF(AND(ISNUMBER(J577),ISNUMBER(D577)),J577-D577,"")</x:f>
      </x:c>
      <x:c r="L577" s="69" t="str">
        <x:f>IF(COUNT(E577:I577)&lt;5,"Needs component scores",IF(ISNUMBER(J577),"Calculated",J577))</x:f>
        <x:v>Needs component scores</x:v>
      </x:c>
      <x:c r="M577" s="69" t="n">
        <x:f>IF(C577="","",MATCH(C577,'Position_Rubric'!$A$6:$A$14,0))</x:f>
        <x:v>7</x:v>
      </x:c>
      <x:c r="N577" s="69" t="str"/>
    </x:row>
    <x:row r="578" ht="25" customHeight="1">
      <x:c r="A578" s="69" t="str">
        <x:v>summer-S26-0590</x:v>
      </x:c>
      <x:c r="B578" s="69" t="str">
        <x:v>Franco Cervi</x:v>
      </x:c>
      <x:c r="C578" s="69" t="str">
        <x:v>WINGER</x:v>
      </x:c>
      <x:c r="D578" s="82" t="str">
        <x:f>IF(ISNUMBER('Transfer_Ratings'!K578),'Transfer_Ratings'!K578,"")</x:f>
      </x:c>
      <x:c r="E578" s="86"/>
      <x:c r="F578" s="86"/>
      <x:c r="G578" s="86"/>
      <x:c r="H578" s="86"/>
      <x:c r="I578" s="86"/>
      <x:c r="J578" s="82" t="str">
        <x:f>IF(C578="","Choose position",IF(COUNT(E578:I578)&lt;5,"",IF(OR(MIN(E578:I578)&lt;0.1,MAX(E578:I578)&gt;10),"Invalid score",IF(INDEX('Position_Rubric'!$H$6:$H$14,M578)&lt;&gt;1,"Check weights",ROUND(E578*INDEX('Position_Rubric'!$C$6:$C$14,M578)+F578*INDEX('Position_Rubric'!$D$6:$D$14,M578)+G578*INDEX('Position_Rubric'!$E$6:$E$14,M578)+H578*INDEX('Position_Rubric'!$F$6:$F$14,M578)+I578*INDEX('Position_Rubric'!$G$6:$G$14,M578),1)))))</x:f>
      </x:c>
      <x:c r="K578" s="82" t="str">
        <x:f>IF(AND(ISNUMBER(J578),ISNUMBER(D578)),J578-D578,"")</x:f>
      </x:c>
      <x:c r="L578" s="69" t="str">
        <x:f>IF(COUNT(E578:I578)&lt;5,"Needs component scores",IF(ISNUMBER(J578),"Calculated",J578))</x:f>
        <x:v>Needs component scores</x:v>
      </x:c>
      <x:c r="M578" s="69" t="n">
        <x:f>IF(C578="","",MATCH(C578,'Position_Rubric'!$A$6:$A$14,0))</x:f>
        <x:v>7</x:v>
      </x:c>
      <x:c r="N578" s="69" t="str"/>
    </x:row>
    <x:row r="579" ht="25" customHeight="1">
      <x:c r="A579" s="69" t="str">
        <x:v>summer-S26-0600</x:v>
      </x:c>
      <x:c r="B579" s="69" t="str">
        <x:v>Jack Harrison</x:v>
      </x:c>
      <x:c r="C579" s="69" t="str">
        <x:v>WINGER</x:v>
      </x:c>
      <x:c r="D579" s="82" t="str">
        <x:f>IF(ISNUMBER('Transfer_Ratings'!K579),'Transfer_Ratings'!K579,"")</x:f>
      </x:c>
      <x:c r="E579" s="86"/>
      <x:c r="F579" s="86"/>
      <x:c r="G579" s="86"/>
      <x:c r="H579" s="86"/>
      <x:c r="I579" s="86"/>
      <x:c r="J579" s="82" t="str">
        <x:f>IF(C579="","Choose position",IF(COUNT(E579:I579)&lt;5,"",IF(OR(MIN(E579:I579)&lt;0.1,MAX(E579:I579)&gt;10),"Invalid score",IF(INDEX('Position_Rubric'!$H$6:$H$14,M579)&lt;&gt;1,"Check weights",ROUND(E579*INDEX('Position_Rubric'!$C$6:$C$14,M579)+F579*INDEX('Position_Rubric'!$D$6:$D$14,M579)+G579*INDEX('Position_Rubric'!$E$6:$E$14,M579)+H579*INDEX('Position_Rubric'!$F$6:$F$14,M579)+I579*INDEX('Position_Rubric'!$G$6:$G$14,M579),1)))))</x:f>
      </x:c>
      <x:c r="K579" s="82" t="str">
        <x:f>IF(AND(ISNUMBER(J579),ISNUMBER(D579)),J579-D579,"")</x:f>
      </x:c>
      <x:c r="L579" s="69" t="str">
        <x:f>IF(COUNT(E579:I579)&lt;5,"Needs component scores",IF(ISNUMBER(J579),"Calculated",J579))</x:f>
        <x:v>Needs component scores</x:v>
      </x:c>
      <x:c r="M579" s="69" t="n">
        <x:f>IF(C579="","",MATCH(C579,'Position_Rubric'!$A$6:$A$14,0))</x:f>
        <x:v>7</x:v>
      </x:c>
      <x:c r="N579" s="69" t="str"/>
    </x:row>
    <x:row r="580" ht="25" customHeight="1">
      <x:c r="A580" s="69" t="str">
        <x:v>summer-S26-0607</x:v>
      </x:c>
      <x:c r="B580" s="69" t="str">
        <x:v>Jonathan Dubasin</x:v>
      </x:c>
      <x:c r="C580" s="69" t="str">
        <x:v>WINGER</x:v>
      </x:c>
      <x:c r="D580" s="82" t="str">
        <x:f>IF(ISNUMBER('Transfer_Ratings'!K580),'Transfer_Ratings'!K580,"")</x:f>
      </x:c>
      <x:c r="E580" s="86"/>
      <x:c r="F580" s="86"/>
      <x:c r="G580" s="86"/>
      <x:c r="H580" s="86"/>
      <x:c r="I580" s="86"/>
      <x:c r="J580" s="82" t="str">
        <x:f>IF(C580="","Choose position",IF(COUNT(E580:I580)&lt;5,"",IF(OR(MIN(E580:I580)&lt;0.1,MAX(E580:I580)&gt;10),"Invalid score",IF(INDEX('Position_Rubric'!$H$6:$H$14,M580)&lt;&gt;1,"Check weights",ROUND(E580*INDEX('Position_Rubric'!$C$6:$C$14,M580)+F580*INDEX('Position_Rubric'!$D$6:$D$14,M580)+G580*INDEX('Position_Rubric'!$E$6:$E$14,M580)+H580*INDEX('Position_Rubric'!$F$6:$F$14,M580)+I580*INDEX('Position_Rubric'!$G$6:$G$14,M580),1)))))</x:f>
      </x:c>
      <x:c r="K580" s="82" t="str">
        <x:f>IF(AND(ISNUMBER(J580),ISNUMBER(D580)),J580-D580,"")</x:f>
      </x:c>
      <x:c r="L580" s="69" t="str">
        <x:f>IF(COUNT(E580:I580)&lt;5,"Needs component scores",IF(ISNUMBER(J580),"Calculated",J580))</x:f>
        <x:v>Needs component scores</x:v>
      </x:c>
      <x:c r="M580" s="69" t="n">
        <x:f>IF(C580="","",MATCH(C580,'Position_Rubric'!$A$6:$A$14,0))</x:f>
        <x:v>7</x:v>
      </x:c>
      <x:c r="N580" s="69" t="str"/>
    </x:row>
    <x:row r="581" ht="25" customHeight="1">
      <x:c r="A581" s="69" t="str">
        <x:v>summer-S26-0609</x:v>
      </x:c>
      <x:c r="B581" s="69" t="str">
        <x:v>Miguel Rodríguez</x:v>
      </x:c>
      <x:c r="C581" s="69" t="str">
        <x:v>WINGER</x:v>
      </x:c>
      <x:c r="D581" s="82" t="str">
        <x:f>IF(ISNUMBER('Transfer_Ratings'!K581),'Transfer_Ratings'!K581,"")</x:f>
      </x:c>
      <x:c r="E581" s="86"/>
      <x:c r="F581" s="86"/>
      <x:c r="G581" s="86"/>
      <x:c r="H581" s="86"/>
      <x:c r="I581" s="86"/>
      <x:c r="J581" s="82" t="str">
        <x:f>IF(C581="","Choose position",IF(COUNT(E581:I581)&lt;5,"",IF(OR(MIN(E581:I581)&lt;0.1,MAX(E581:I581)&gt;10),"Invalid score",IF(INDEX('Position_Rubric'!$H$6:$H$14,M581)&lt;&gt;1,"Check weights",ROUND(E581*INDEX('Position_Rubric'!$C$6:$C$14,M581)+F581*INDEX('Position_Rubric'!$D$6:$D$14,M581)+G581*INDEX('Position_Rubric'!$E$6:$E$14,M581)+H581*INDEX('Position_Rubric'!$F$6:$F$14,M581)+I581*INDEX('Position_Rubric'!$G$6:$G$14,M581),1)))))</x:f>
      </x:c>
      <x:c r="K581" s="82" t="str">
        <x:f>IF(AND(ISNUMBER(J581),ISNUMBER(D581)),J581-D581,"")</x:f>
      </x:c>
      <x:c r="L581" s="69" t="str">
        <x:f>IF(COUNT(E581:I581)&lt;5,"Needs component scores",IF(ISNUMBER(J581),"Calculated",J581))</x:f>
        <x:v>Needs component scores</x:v>
      </x:c>
      <x:c r="M581" s="69" t="n">
        <x:f>IF(C581="","",MATCH(C581,'Position_Rubric'!$A$6:$A$14,0))</x:f>
        <x:v>7</x:v>
      </x:c>
      <x:c r="N581" s="69" t="str"/>
    </x:row>
    <x:row r="582" ht="25" customHeight="1">
      <x:c r="A582" s="69" t="str">
        <x:v>summer-S26-0615</x:v>
      </x:c>
      <x:c r="B582" s="69" t="str">
        <x:v>Óscar Perea</x:v>
      </x:c>
      <x:c r="C582" s="69" t="str">
        <x:v>WINGER</x:v>
      </x:c>
      <x:c r="D582" s="82" t="str">
        <x:f>IF(ISNUMBER('Transfer_Ratings'!K582),'Transfer_Ratings'!K582,"")</x:f>
      </x:c>
      <x:c r="E582" s="86"/>
      <x:c r="F582" s="86"/>
      <x:c r="G582" s="86"/>
      <x:c r="H582" s="86"/>
      <x:c r="I582" s="86"/>
      <x:c r="J582" s="82" t="str">
        <x:f>IF(C582="","Choose position",IF(COUNT(E582:I582)&lt;5,"",IF(OR(MIN(E582:I582)&lt;0.1,MAX(E582:I582)&gt;10),"Invalid score",IF(INDEX('Position_Rubric'!$H$6:$H$14,M582)&lt;&gt;1,"Check weights",ROUND(E582*INDEX('Position_Rubric'!$C$6:$C$14,M582)+F582*INDEX('Position_Rubric'!$D$6:$D$14,M582)+G582*INDEX('Position_Rubric'!$E$6:$E$14,M582)+H582*INDEX('Position_Rubric'!$F$6:$F$14,M582)+I582*INDEX('Position_Rubric'!$G$6:$G$14,M582),1)))))</x:f>
      </x:c>
      <x:c r="K582" s="82" t="str">
        <x:f>IF(AND(ISNUMBER(J582),ISNUMBER(D582)),J582-D582,"")</x:f>
      </x:c>
      <x:c r="L582" s="69" t="str">
        <x:f>IF(COUNT(E582:I582)&lt;5,"Needs component scores",IF(ISNUMBER(J582),"Calculated",J582))</x:f>
        <x:v>Needs component scores</x:v>
      </x:c>
      <x:c r="M582" s="69" t="n">
        <x:f>IF(C582="","",MATCH(C582,'Position_Rubric'!$A$6:$A$14,0))</x:f>
        <x:v>7</x:v>
      </x:c>
      <x:c r="N582" s="69" t="str"/>
    </x:row>
    <x:row r="583" ht="25" customHeight="1">
      <x:c r="A583" s="69" t="str">
        <x:v>summer-S26-0625</x:v>
      </x:c>
      <x:c r="B583" s="69" t="str">
        <x:v>Ander Yoldi</x:v>
      </x:c>
      <x:c r="C583" s="69" t="str">
        <x:v>WINGER</x:v>
      </x:c>
      <x:c r="D583" s="82" t="str">
        <x:f>IF(ISNUMBER('Transfer_Ratings'!K583),'Transfer_Ratings'!K583,"")</x:f>
      </x:c>
      <x:c r="E583" s="86"/>
      <x:c r="F583" s="86"/>
      <x:c r="G583" s="86"/>
      <x:c r="H583" s="86"/>
      <x:c r="I583" s="86"/>
      <x:c r="J583" s="82" t="str">
        <x:f>IF(C583="","Choose position",IF(COUNT(E583:I583)&lt;5,"",IF(OR(MIN(E583:I583)&lt;0.1,MAX(E583:I583)&gt;10),"Invalid score",IF(INDEX('Position_Rubric'!$H$6:$H$14,M583)&lt;&gt;1,"Check weights",ROUND(E583*INDEX('Position_Rubric'!$C$6:$C$14,M583)+F583*INDEX('Position_Rubric'!$D$6:$D$14,M583)+G583*INDEX('Position_Rubric'!$E$6:$E$14,M583)+H583*INDEX('Position_Rubric'!$F$6:$F$14,M583)+I583*INDEX('Position_Rubric'!$G$6:$G$14,M583),1)))))</x:f>
      </x:c>
      <x:c r="K583" s="82" t="str">
        <x:f>IF(AND(ISNUMBER(J583),ISNUMBER(D583)),J583-D583,"")</x:f>
      </x:c>
      <x:c r="L583" s="69" t="str">
        <x:f>IF(COUNT(E583:I583)&lt;5,"Needs component scores",IF(ISNUMBER(J583),"Calculated",J583))</x:f>
        <x:v>Needs component scores</x:v>
      </x:c>
      <x:c r="M583" s="69" t="n">
        <x:f>IF(C583="","",MATCH(C583,'Position_Rubric'!$A$6:$A$14,0))</x:f>
        <x:v>7</x:v>
      </x:c>
      <x:c r="N583" s="69" t="str"/>
    </x:row>
    <x:row r="584" ht="25" customHeight="1">
      <x:c r="A584" s="69" t="str">
        <x:v>summer-S26-0641</x:v>
      </x:c>
      <x:c r="B584" s="69" t="str">
        <x:v>Luca Koleosho</x:v>
      </x:c>
      <x:c r="C584" s="69" t="str">
        <x:v>WINGER</x:v>
      </x:c>
      <x:c r="D584" s="82" t="str">
        <x:f>IF(ISNUMBER('Transfer_Ratings'!K584),'Transfer_Ratings'!K584,"")</x:f>
      </x:c>
      <x:c r="E584" s="86"/>
      <x:c r="F584" s="86"/>
      <x:c r="G584" s="86"/>
      <x:c r="H584" s="86"/>
      <x:c r="I584" s="86"/>
      <x:c r="J584" s="82" t="str">
        <x:f>IF(C584="","Choose position",IF(COUNT(E584:I584)&lt;5,"",IF(OR(MIN(E584:I584)&lt;0.1,MAX(E584:I584)&gt;10),"Invalid score",IF(INDEX('Position_Rubric'!$H$6:$H$14,M584)&lt;&gt;1,"Check weights",ROUND(E584*INDEX('Position_Rubric'!$C$6:$C$14,M584)+F584*INDEX('Position_Rubric'!$D$6:$D$14,M584)+G584*INDEX('Position_Rubric'!$E$6:$E$14,M584)+H584*INDEX('Position_Rubric'!$F$6:$F$14,M584)+I584*INDEX('Position_Rubric'!$G$6:$G$14,M584),1)))))</x:f>
      </x:c>
      <x:c r="K584" s="82" t="str">
        <x:f>IF(AND(ISNUMBER(J584),ISNUMBER(D584)),J584-D584,"")</x:f>
      </x:c>
      <x:c r="L584" s="69" t="str">
        <x:f>IF(COUNT(E584:I584)&lt;5,"Needs component scores",IF(ISNUMBER(J584),"Calculated",J584))</x:f>
        <x:v>Needs component scores</x:v>
      </x:c>
      <x:c r="M584" s="69" t="n">
        <x:f>IF(C584="","",MATCH(C584,'Position_Rubric'!$A$6:$A$14,0))</x:f>
        <x:v>7</x:v>
      </x:c>
      <x:c r="N584" s="69" t="str"/>
    </x:row>
    <x:row r="585" ht="25" customHeight="1">
      <x:c r="A585" s="69" t="str">
        <x:v>summer-S26-0651</x:v>
      </x:c>
      <x:c r="B585" s="69" t="str">
        <x:v>Endika Buján</x:v>
      </x:c>
      <x:c r="C585" s="69" t="str">
        <x:v>WINGER</x:v>
      </x:c>
      <x:c r="D585" s="82" t="str">
        <x:f>IF(ISNUMBER('Transfer_Ratings'!K585),'Transfer_Ratings'!K585,"")</x:f>
      </x:c>
      <x:c r="E585" s="86"/>
      <x:c r="F585" s="86"/>
      <x:c r="G585" s="86"/>
      <x:c r="H585" s="86"/>
      <x:c r="I585" s="86"/>
      <x:c r="J585" s="82" t="str">
        <x:f>IF(C585="","Choose position",IF(COUNT(E585:I585)&lt;5,"",IF(OR(MIN(E585:I585)&lt;0.1,MAX(E585:I585)&gt;10),"Invalid score",IF(INDEX('Position_Rubric'!$H$6:$H$14,M585)&lt;&gt;1,"Check weights",ROUND(E585*INDEX('Position_Rubric'!$C$6:$C$14,M585)+F585*INDEX('Position_Rubric'!$D$6:$D$14,M585)+G585*INDEX('Position_Rubric'!$E$6:$E$14,M585)+H585*INDEX('Position_Rubric'!$F$6:$F$14,M585)+I585*INDEX('Position_Rubric'!$G$6:$G$14,M585),1)))))</x:f>
      </x:c>
      <x:c r="K585" s="82" t="str">
        <x:f>IF(AND(ISNUMBER(J585),ISNUMBER(D585)),J585-D585,"")</x:f>
      </x:c>
      <x:c r="L585" s="69" t="str">
        <x:f>IF(COUNT(E585:I585)&lt;5,"Needs component scores",IF(ISNUMBER(J585),"Calculated",J585))</x:f>
        <x:v>Needs component scores</x:v>
      </x:c>
      <x:c r="M585" s="69" t="n">
        <x:f>IF(C585="","",MATCH(C585,'Position_Rubric'!$A$6:$A$14,0))</x:f>
        <x:v>7</x:v>
      </x:c>
      <x:c r="N585" s="69" t="str"/>
    </x:row>
    <x:row r="586" ht="25" customHeight="1">
      <x:c r="A586" s="69" t="str">
        <x:v>summer-S26-0658</x:v>
      </x:c>
      <x:c r="B586" s="69" t="str">
        <x:v>Joel Ndala</x:v>
      </x:c>
      <x:c r="C586" s="69" t="str">
        <x:v>WINGER</x:v>
      </x:c>
      <x:c r="D586" s="82" t="str">
        <x:f>IF(ISNUMBER('Transfer_Ratings'!K586),'Transfer_Ratings'!K586,"")</x:f>
      </x:c>
      <x:c r="E586" s="86"/>
      <x:c r="F586" s="86"/>
      <x:c r="G586" s="86"/>
      <x:c r="H586" s="86"/>
      <x:c r="I586" s="86"/>
      <x:c r="J586" s="82" t="str">
        <x:f>IF(C586="","Choose position",IF(COUNT(E586:I586)&lt;5,"",IF(OR(MIN(E586:I586)&lt;0.1,MAX(E586:I586)&gt;10),"Invalid score",IF(INDEX('Position_Rubric'!$H$6:$H$14,M586)&lt;&gt;1,"Check weights",ROUND(E586*INDEX('Position_Rubric'!$C$6:$C$14,M586)+F586*INDEX('Position_Rubric'!$D$6:$D$14,M586)+G586*INDEX('Position_Rubric'!$E$6:$E$14,M586)+H586*INDEX('Position_Rubric'!$F$6:$F$14,M586)+I586*INDEX('Position_Rubric'!$G$6:$G$14,M586),1)))))</x:f>
      </x:c>
      <x:c r="K586" s="82" t="str">
        <x:f>IF(AND(ISNUMBER(J586),ISNUMBER(D586)),J586-D586,"")</x:f>
      </x:c>
      <x:c r="L586" s="69" t="str">
        <x:f>IF(COUNT(E586:I586)&lt;5,"Needs component scores",IF(ISNUMBER(J586),"Calculated",J586))</x:f>
        <x:v>Needs component scores</x:v>
      </x:c>
      <x:c r="M586" s="69" t="n">
        <x:f>IF(C586="","",MATCH(C586,'Position_Rubric'!$A$6:$A$14,0))</x:f>
        <x:v>7</x:v>
      </x:c>
      <x:c r="N586" s="69" t="str"/>
    </x:row>
    <x:row r="587" ht="25" customHeight="1">
      <x:c r="A587" s="69" t="str">
        <x:v>summer-S26-0660</x:v>
      </x:c>
      <x:c r="B587" s="69" t="str">
        <x:v>Martín Pedroarena</x:v>
      </x:c>
      <x:c r="C587" s="69" t="str">
        <x:v>WINGER</x:v>
      </x:c>
      <x:c r="D587" s="82" t="str">
        <x:f>IF(ISNUMBER('Transfer_Ratings'!K587),'Transfer_Ratings'!K587,"")</x:f>
      </x:c>
      <x:c r="E587" s="86"/>
      <x:c r="F587" s="86"/>
      <x:c r="G587" s="86"/>
      <x:c r="H587" s="86"/>
      <x:c r="I587" s="86"/>
      <x:c r="J587" s="82" t="str">
        <x:f>IF(C587="","Choose position",IF(COUNT(E587:I587)&lt;5,"",IF(OR(MIN(E587:I587)&lt;0.1,MAX(E587:I587)&gt;10),"Invalid score",IF(INDEX('Position_Rubric'!$H$6:$H$14,M587)&lt;&gt;1,"Check weights",ROUND(E587*INDEX('Position_Rubric'!$C$6:$C$14,M587)+F587*INDEX('Position_Rubric'!$D$6:$D$14,M587)+G587*INDEX('Position_Rubric'!$E$6:$E$14,M587)+H587*INDEX('Position_Rubric'!$F$6:$F$14,M587)+I587*INDEX('Position_Rubric'!$G$6:$G$14,M587),1)))))</x:f>
      </x:c>
      <x:c r="K587" s="82" t="str">
        <x:f>IF(AND(ISNUMBER(J587),ISNUMBER(D587)),J587-D587,"")</x:f>
      </x:c>
      <x:c r="L587" s="69" t="str">
        <x:f>IF(COUNT(E587:I587)&lt;5,"Needs component scores",IF(ISNUMBER(J587),"Calculated",J587))</x:f>
        <x:v>Needs component scores</x:v>
      </x:c>
      <x:c r="M587" s="69" t="n">
        <x:f>IF(C587="","",MATCH(C587,'Position_Rubric'!$A$6:$A$14,0))</x:f>
        <x:v>7</x:v>
      </x:c>
      <x:c r="N587" s="69" t="str"/>
    </x:row>
    <x:row r="588" ht="25" customHeight="1">
      <x:c r="A588" s="69" t="str">
        <x:v>summer-S26-0664</x:v>
      </x:c>
      <x:c r="B588" s="69" t="str">
        <x:v>Leo Sauer</x:v>
      </x:c>
      <x:c r="C588" s="69" t="str">
        <x:v>WINGER</x:v>
      </x:c>
      <x:c r="D588" s="82" t="str">
        <x:f>IF(ISNUMBER('Transfer_Ratings'!K588),'Transfer_Ratings'!K588,"")</x:f>
      </x:c>
      <x:c r="E588" s="86"/>
      <x:c r="F588" s="86"/>
      <x:c r="G588" s="86"/>
      <x:c r="H588" s="86"/>
      <x:c r="I588" s="86"/>
      <x:c r="J588" s="82" t="str">
        <x:f>IF(C588="","Choose position",IF(COUNT(E588:I588)&lt;5,"",IF(OR(MIN(E588:I588)&lt;0.1,MAX(E588:I588)&gt;10),"Invalid score",IF(INDEX('Position_Rubric'!$H$6:$H$14,M588)&lt;&gt;1,"Check weights",ROUND(E588*INDEX('Position_Rubric'!$C$6:$C$14,M588)+F588*INDEX('Position_Rubric'!$D$6:$D$14,M588)+G588*INDEX('Position_Rubric'!$E$6:$E$14,M588)+H588*INDEX('Position_Rubric'!$F$6:$F$14,M588)+I588*INDEX('Position_Rubric'!$G$6:$G$14,M588),1)))))</x:f>
      </x:c>
      <x:c r="K588" s="82" t="str">
        <x:f>IF(AND(ISNUMBER(J588),ISNUMBER(D588)),J588-D588,"")</x:f>
      </x:c>
      <x:c r="L588" s="69" t="str">
        <x:f>IF(COUNT(E588:I588)&lt;5,"Needs component scores",IF(ISNUMBER(J588),"Calculated",J588))</x:f>
        <x:v>Needs component scores</x:v>
      </x:c>
      <x:c r="M588" s="69" t="n">
        <x:f>IF(C588="","",MATCH(C588,'Position_Rubric'!$A$6:$A$14,0))</x:f>
        <x:v>7</x:v>
      </x:c>
      <x:c r="N588" s="69" t="str"/>
    </x:row>
    <x:row r="589" ht="25" customHeight="1">
      <x:c r="A589" s="69" t="str">
        <x:v>summer-S26-0697</x:v>
      </x:c>
      <x:c r="B589" s="69" t="str">
        <x:v>Ousmane Diallo</x:v>
      </x:c>
      <x:c r="C589" s="69" t="str">
        <x:v>WINGER</x:v>
      </x:c>
      <x:c r="D589" s="82" t="str">
        <x:f>IF(ISNUMBER('Transfer_Ratings'!K589),'Transfer_Ratings'!K589,"")</x:f>
      </x:c>
      <x:c r="E589" s="86"/>
      <x:c r="F589" s="86"/>
      <x:c r="G589" s="86"/>
      <x:c r="H589" s="86"/>
      <x:c r="I589" s="86"/>
      <x:c r="J589" s="82" t="str">
        <x:f>IF(C589="","Choose position",IF(COUNT(E589:I589)&lt;5,"",IF(OR(MIN(E589:I589)&lt;0.1,MAX(E589:I589)&gt;10),"Invalid score",IF(INDEX('Position_Rubric'!$H$6:$H$14,M589)&lt;&gt;1,"Check weights",ROUND(E589*INDEX('Position_Rubric'!$C$6:$C$14,M589)+F589*INDEX('Position_Rubric'!$D$6:$D$14,M589)+G589*INDEX('Position_Rubric'!$E$6:$E$14,M589)+H589*INDEX('Position_Rubric'!$F$6:$F$14,M589)+I589*INDEX('Position_Rubric'!$G$6:$G$14,M589),1)))))</x:f>
      </x:c>
      <x:c r="K589" s="82" t="str">
        <x:f>IF(AND(ISNUMBER(J589),ISNUMBER(D589)),J589-D589,"")</x:f>
      </x:c>
      <x:c r="L589" s="69" t="str">
        <x:f>IF(COUNT(E589:I589)&lt;5,"Needs component scores",IF(ISNUMBER(J589),"Calculated",J589))</x:f>
        <x:v>Needs component scores</x:v>
      </x:c>
      <x:c r="M589" s="69" t="n">
        <x:f>IF(C589="","",MATCH(C589,'Position_Rubric'!$A$6:$A$14,0))</x:f>
        <x:v>7</x:v>
      </x:c>
      <x:c r="N589" s="69" t="str"/>
    </x:row>
    <x:row r="590" ht="25" customHeight="1">
      <x:c r="A590" s="69" t="str">
        <x:v>summer-S26-0702</x:v>
      </x:c>
      <x:c r="B590" s="69" t="str">
        <x:v>Emanuele Rao</x:v>
      </x:c>
      <x:c r="C590" s="69" t="str">
        <x:v>WINGER</x:v>
      </x:c>
      <x:c r="D590" s="82" t="str">
        <x:f>IF(ISNUMBER('Transfer_Ratings'!K590),'Transfer_Ratings'!K590,"")</x:f>
      </x:c>
      <x:c r="E590" s="86"/>
      <x:c r="F590" s="86"/>
      <x:c r="G590" s="86"/>
      <x:c r="H590" s="86"/>
      <x:c r="I590" s="86"/>
      <x:c r="J590" s="82" t="str">
        <x:f>IF(C590="","Choose position",IF(COUNT(E590:I590)&lt;5,"",IF(OR(MIN(E590:I590)&lt;0.1,MAX(E590:I590)&gt;10),"Invalid score",IF(INDEX('Position_Rubric'!$H$6:$H$14,M590)&lt;&gt;1,"Check weights",ROUND(E590*INDEX('Position_Rubric'!$C$6:$C$14,M590)+F590*INDEX('Position_Rubric'!$D$6:$D$14,M590)+G590*INDEX('Position_Rubric'!$E$6:$E$14,M590)+H590*INDEX('Position_Rubric'!$F$6:$F$14,M590)+I590*INDEX('Position_Rubric'!$G$6:$G$14,M590),1)))))</x:f>
      </x:c>
      <x:c r="K590" s="82" t="str">
        <x:f>IF(AND(ISNUMBER(J590),ISNUMBER(D590)),J590-D590,"")</x:f>
      </x:c>
      <x:c r="L590" s="69" t="str">
        <x:f>IF(COUNT(E590:I590)&lt;5,"Needs component scores",IF(ISNUMBER(J590),"Calculated",J590))</x:f>
        <x:v>Needs component scores</x:v>
      </x:c>
      <x:c r="M590" s="69" t="n">
        <x:f>IF(C590="","",MATCH(C590,'Position_Rubric'!$A$6:$A$14,0))</x:f>
        <x:v>7</x:v>
      </x:c>
      <x:c r="N590" s="69" t="str"/>
    </x:row>
    <x:row r="591" ht="25" customHeight="1">
      <x:c r="A591" s="69" t="str">
        <x:v>summer-S26-0712</x:v>
      </x:c>
      <x:c r="B591" s="69" t="str">
        <x:v>Tommy Watson</x:v>
      </x:c>
      <x:c r="C591" s="69" t="str">
        <x:v>WINGER</x:v>
      </x:c>
      <x:c r="D591" s="82" t="str">
        <x:f>IF(ISNUMBER('Transfer_Ratings'!K591),'Transfer_Ratings'!K591,"")</x:f>
      </x:c>
      <x:c r="E591" s="86"/>
      <x:c r="F591" s="86"/>
      <x:c r="G591" s="86"/>
      <x:c r="H591" s="86"/>
      <x:c r="I591" s="86"/>
      <x:c r="J591" s="82" t="str">
        <x:f>IF(C591="","Choose position",IF(COUNT(E591:I591)&lt;5,"",IF(OR(MIN(E591:I591)&lt;0.1,MAX(E591:I591)&gt;10),"Invalid score",IF(INDEX('Position_Rubric'!$H$6:$H$14,M591)&lt;&gt;1,"Check weights",ROUND(E591*INDEX('Position_Rubric'!$C$6:$C$14,M591)+F591*INDEX('Position_Rubric'!$D$6:$D$14,M591)+G591*INDEX('Position_Rubric'!$E$6:$E$14,M591)+H591*INDEX('Position_Rubric'!$F$6:$F$14,M591)+I591*INDEX('Position_Rubric'!$G$6:$G$14,M591),1)))))</x:f>
      </x:c>
      <x:c r="K591" s="82" t="str">
        <x:f>IF(AND(ISNUMBER(J591),ISNUMBER(D591)),J591-D591,"")</x:f>
      </x:c>
      <x:c r="L591" s="69" t="str">
        <x:f>IF(COUNT(E591:I591)&lt;5,"Needs component scores",IF(ISNUMBER(J591),"Calculated",J591))</x:f>
        <x:v>Needs component scores</x:v>
      </x:c>
      <x:c r="M591" s="69" t="n">
        <x:f>IF(C591="","",MATCH(C591,'Position_Rubric'!$A$6:$A$14,0))</x:f>
        <x:v>7</x:v>
      </x:c>
      <x:c r="N591" s="69" t="str"/>
    </x:row>
    <x:row r="592" ht="25" customHeight="1">
      <x:c r="A592" s="69" t="str">
        <x:v>summer-S26-0715</x:v>
      </x:c>
      <x:c r="B592" s="69" t="str">
        <x:v>Nordan Mukiele</x:v>
      </x:c>
      <x:c r="C592" s="69" t="str">
        <x:v>WINGER</x:v>
      </x:c>
      <x:c r="D592" s="82" t="str">
        <x:f>IF(ISNUMBER('Transfer_Ratings'!K592),'Transfer_Ratings'!K592,"")</x:f>
      </x:c>
      <x:c r="E592" s="86"/>
      <x:c r="F592" s="86"/>
      <x:c r="G592" s="86"/>
      <x:c r="H592" s="86"/>
      <x:c r="I592" s="86"/>
      <x:c r="J592" s="82" t="str">
        <x:f>IF(C592="","Choose position",IF(COUNT(E592:I592)&lt;5,"",IF(OR(MIN(E592:I592)&lt;0.1,MAX(E592:I592)&gt;10),"Invalid score",IF(INDEX('Position_Rubric'!$H$6:$H$14,M592)&lt;&gt;1,"Check weights",ROUND(E592*INDEX('Position_Rubric'!$C$6:$C$14,M592)+F592*INDEX('Position_Rubric'!$D$6:$D$14,M592)+G592*INDEX('Position_Rubric'!$E$6:$E$14,M592)+H592*INDEX('Position_Rubric'!$F$6:$F$14,M592)+I592*INDEX('Position_Rubric'!$G$6:$G$14,M592),1)))))</x:f>
      </x:c>
      <x:c r="K592" s="82" t="str">
        <x:f>IF(AND(ISNUMBER(J592),ISNUMBER(D592)),J592-D592,"")</x:f>
      </x:c>
      <x:c r="L592" s="69" t="str">
        <x:f>IF(COUNT(E592:I592)&lt;5,"Needs component scores",IF(ISNUMBER(J592),"Calculated",J592))</x:f>
        <x:v>Needs component scores</x:v>
      </x:c>
      <x:c r="M592" s="69" t="n">
        <x:f>IF(C592="","",MATCH(C592,'Position_Rubric'!$A$6:$A$14,0))</x:f>
        <x:v>7</x:v>
      </x:c>
      <x:c r="N592" s="69" t="str"/>
    </x:row>
    <x:row r="593" ht="25" customHeight="1">
      <x:c r="A593" s="69" t="str">
        <x:v>summer-S26-0721</x:v>
      </x:c>
      <x:c r="B593" s="69" t="str">
        <x:v>Kerim Alajbegovic</x:v>
      </x:c>
      <x:c r="C593" s="69" t="str">
        <x:v>WINGER</x:v>
      </x:c>
      <x:c r="D593" s="82" t="str">
        <x:f>IF(ISNUMBER('Transfer_Ratings'!K593),'Transfer_Ratings'!K593,"")</x:f>
      </x:c>
      <x:c r="E593" s="86"/>
      <x:c r="F593" s="86"/>
      <x:c r="G593" s="86"/>
      <x:c r="H593" s="86"/>
      <x:c r="I593" s="86"/>
      <x:c r="J593" s="82" t="str">
        <x:f>IF(C593="","Choose position",IF(COUNT(E593:I593)&lt;5,"",IF(OR(MIN(E593:I593)&lt;0.1,MAX(E593:I593)&gt;10),"Invalid score",IF(INDEX('Position_Rubric'!$H$6:$H$14,M593)&lt;&gt;1,"Check weights",ROUND(E593*INDEX('Position_Rubric'!$C$6:$C$14,M593)+F593*INDEX('Position_Rubric'!$D$6:$D$14,M593)+G593*INDEX('Position_Rubric'!$E$6:$E$14,M593)+H593*INDEX('Position_Rubric'!$F$6:$F$14,M593)+I593*INDEX('Position_Rubric'!$G$6:$G$14,M593),1)))))</x:f>
      </x:c>
      <x:c r="K593" s="82" t="str">
        <x:f>IF(AND(ISNUMBER(J593),ISNUMBER(D593)),J593-D593,"")</x:f>
      </x:c>
      <x:c r="L593" s="69" t="str">
        <x:f>IF(COUNT(E593:I593)&lt;5,"Needs component scores",IF(ISNUMBER(J593),"Calculated",J593))</x:f>
        <x:v>Needs component scores</x:v>
      </x:c>
      <x:c r="M593" s="69" t="n">
        <x:f>IF(C593="","",MATCH(C593,'Position_Rubric'!$A$6:$A$14,0))</x:f>
        <x:v>7</x:v>
      </x:c>
      <x:c r="N593" s="69" t="str"/>
    </x:row>
    <x:row r="594" ht="25" customHeight="1">
      <x:c r="A594" s="69" t="str">
        <x:v>summer-S26-0725</x:v>
      </x:c>
      <x:c r="B594" s="69" t="str">
        <x:v>Adam Daghim</x:v>
      </x:c>
      <x:c r="C594" s="69" t="str">
        <x:v>WINGER</x:v>
      </x:c>
      <x:c r="D594" s="82" t="str">
        <x:f>IF(ISNUMBER('Transfer_Ratings'!K594),'Transfer_Ratings'!K594,"")</x:f>
      </x:c>
      <x:c r="E594" s="86"/>
      <x:c r="F594" s="86"/>
      <x:c r="G594" s="86"/>
      <x:c r="H594" s="86"/>
      <x:c r="I594" s="86"/>
      <x:c r="J594" s="82" t="str">
        <x:f>IF(C594="","Choose position",IF(COUNT(E594:I594)&lt;5,"",IF(OR(MIN(E594:I594)&lt;0.1,MAX(E594:I594)&gt;10),"Invalid score",IF(INDEX('Position_Rubric'!$H$6:$H$14,M594)&lt;&gt;1,"Check weights",ROUND(E594*INDEX('Position_Rubric'!$C$6:$C$14,M594)+F594*INDEX('Position_Rubric'!$D$6:$D$14,M594)+G594*INDEX('Position_Rubric'!$E$6:$E$14,M594)+H594*INDEX('Position_Rubric'!$F$6:$F$14,M594)+I594*INDEX('Position_Rubric'!$G$6:$G$14,M594),1)))))</x:f>
      </x:c>
      <x:c r="K594" s="82" t="str">
        <x:f>IF(AND(ISNUMBER(J594),ISNUMBER(D594)),J594-D594,"")</x:f>
      </x:c>
      <x:c r="L594" s="69" t="str">
        <x:f>IF(COUNT(E594:I594)&lt;5,"Needs component scores",IF(ISNUMBER(J594),"Calculated",J594))</x:f>
        <x:v>Needs component scores</x:v>
      </x:c>
      <x:c r="M594" s="69" t="n">
        <x:f>IF(C594="","",MATCH(C594,'Position_Rubric'!$A$6:$A$14,0))</x:f>
        <x:v>7</x:v>
      </x:c>
      <x:c r="N594" s="69" t="str"/>
    </x:row>
    <x:row r="595" ht="25" customHeight="1">
      <x:c r="A595" s="69" t="str">
        <x:v>summer-S26-0726</x:v>
      </x:c>
      <x:c r="B595" s="69" t="str">
        <x:v>Souleymane Faye</x:v>
      </x:c>
      <x:c r="C595" s="69" t="str">
        <x:v>WINGER</x:v>
      </x:c>
      <x:c r="D595" s="82" t="str">
        <x:f>IF(ISNUMBER('Transfer_Ratings'!K595),'Transfer_Ratings'!K595,"")</x:f>
      </x:c>
      <x:c r="E595" s="86"/>
      <x:c r="F595" s="86"/>
      <x:c r="G595" s="86"/>
      <x:c r="H595" s="86"/>
      <x:c r="I595" s="86"/>
      <x:c r="J595" s="82" t="str">
        <x:f>IF(C595="","Choose position",IF(COUNT(E595:I595)&lt;5,"",IF(OR(MIN(E595:I595)&lt;0.1,MAX(E595:I595)&gt;10),"Invalid score",IF(INDEX('Position_Rubric'!$H$6:$H$14,M595)&lt;&gt;1,"Check weights",ROUND(E595*INDEX('Position_Rubric'!$C$6:$C$14,M595)+F595*INDEX('Position_Rubric'!$D$6:$D$14,M595)+G595*INDEX('Position_Rubric'!$E$6:$E$14,M595)+H595*INDEX('Position_Rubric'!$F$6:$F$14,M595)+I595*INDEX('Position_Rubric'!$G$6:$G$14,M595),1)))))</x:f>
      </x:c>
      <x:c r="K595" s="82" t="str">
        <x:f>IF(AND(ISNUMBER(J595),ISNUMBER(D595)),J595-D595,"")</x:f>
      </x:c>
      <x:c r="L595" s="69" t="str">
        <x:f>IF(COUNT(E595:I595)&lt;5,"Needs component scores",IF(ISNUMBER(J595),"Calculated",J595))</x:f>
        <x:v>Needs component scores</x:v>
      </x:c>
      <x:c r="M595" s="69" t="n">
        <x:f>IF(C595="","",MATCH(C595,'Position_Rubric'!$A$6:$A$14,0))</x:f>
        <x:v>7</x:v>
      </x:c>
      <x:c r="N595" s="69" t="str"/>
    </x:row>
    <x:row r="596" ht="25" customHeight="1">
      <x:c r="A596" s="69" t="str">
        <x:v>summer-S26-0750</x:v>
      </x:c>
      <x:c r="B596" s="69" t="str">
        <x:v>Tom Louchet</x:v>
      </x:c>
      <x:c r="C596" s="69" t="str">
        <x:v>WINGER</x:v>
      </x:c>
      <x:c r="D596" s="82" t="str">
        <x:f>IF(ISNUMBER('Transfer_Ratings'!K596),'Transfer_Ratings'!K596,"")</x:f>
      </x:c>
      <x:c r="E596" s="86"/>
      <x:c r="F596" s="86"/>
      <x:c r="G596" s="86"/>
      <x:c r="H596" s="86"/>
      <x:c r="I596" s="86"/>
      <x:c r="J596" s="82" t="str">
        <x:f>IF(C596="","Choose position",IF(COUNT(E596:I596)&lt;5,"",IF(OR(MIN(E596:I596)&lt;0.1,MAX(E596:I596)&gt;10),"Invalid score",IF(INDEX('Position_Rubric'!$H$6:$H$14,M596)&lt;&gt;1,"Check weights",ROUND(E596*INDEX('Position_Rubric'!$C$6:$C$14,M596)+F596*INDEX('Position_Rubric'!$D$6:$D$14,M596)+G596*INDEX('Position_Rubric'!$E$6:$E$14,M596)+H596*INDEX('Position_Rubric'!$F$6:$F$14,M596)+I596*INDEX('Position_Rubric'!$G$6:$G$14,M596),1)))))</x:f>
      </x:c>
      <x:c r="K596" s="82" t="str">
        <x:f>IF(AND(ISNUMBER(J596),ISNUMBER(D596)),J596-D596,"")</x:f>
      </x:c>
      <x:c r="L596" s="69" t="str">
        <x:f>IF(COUNT(E596:I596)&lt;5,"Needs component scores",IF(ISNUMBER(J596),"Calculated",J596))</x:f>
        <x:v>Needs component scores</x:v>
      </x:c>
      <x:c r="M596" s="69" t="n">
        <x:f>IF(C596="","",MATCH(C596,'Position_Rubric'!$A$6:$A$14,0))</x:f>
        <x:v>7</x:v>
      </x:c>
      <x:c r="N596" s="69" t="str"/>
    </x:row>
    <x:row r="597" ht="25" customHeight="1">
      <x:c r="A597" s="69" t="str">
        <x:v>summer-S26-0754</x:v>
      </x:c>
      <x:c r="B597" s="69" t="str">
        <x:v>Khalil Ayari</x:v>
      </x:c>
      <x:c r="C597" s="69" t="str">
        <x:v>WINGER</x:v>
      </x:c>
      <x:c r="D597" s="82" t="str">
        <x:f>IF(ISNUMBER('Transfer_Ratings'!K597),'Transfer_Ratings'!K597,"")</x:f>
      </x:c>
      <x:c r="E597" s="86"/>
      <x:c r="F597" s="86"/>
      <x:c r="G597" s="86"/>
      <x:c r="H597" s="86"/>
      <x:c r="I597" s="86"/>
      <x:c r="J597" s="82" t="str">
        <x:f>IF(C597="","Choose position",IF(COUNT(E597:I597)&lt;5,"",IF(OR(MIN(E597:I597)&lt;0.1,MAX(E597:I597)&gt;10),"Invalid score",IF(INDEX('Position_Rubric'!$H$6:$H$14,M597)&lt;&gt;1,"Check weights",ROUND(E597*INDEX('Position_Rubric'!$C$6:$C$14,M597)+F597*INDEX('Position_Rubric'!$D$6:$D$14,M597)+G597*INDEX('Position_Rubric'!$E$6:$E$14,M597)+H597*INDEX('Position_Rubric'!$F$6:$F$14,M597)+I597*INDEX('Position_Rubric'!$G$6:$G$14,M597),1)))))</x:f>
      </x:c>
      <x:c r="K597" s="82" t="str">
        <x:f>IF(AND(ISNUMBER(J597),ISNUMBER(D597)),J597-D597,"")</x:f>
      </x:c>
      <x:c r="L597" s="69" t="str">
        <x:f>IF(COUNT(E597:I597)&lt;5,"Needs component scores",IF(ISNUMBER(J597),"Calculated",J597))</x:f>
        <x:v>Needs component scores</x:v>
      </x:c>
      <x:c r="M597" s="69" t="n">
        <x:f>IF(C597="","",MATCH(C597,'Position_Rubric'!$A$6:$A$14,0))</x:f>
        <x:v>7</x:v>
      </x:c>
      <x:c r="N597" s="69" t="str"/>
    </x:row>
    <x:row r="598" ht="25" customHeight="1">
      <x:c r="A598" s="69" t="str">
        <x:v>summer-S26-0757</x:v>
      </x:c>
      <x:c r="B598" s="69" t="str">
        <x:v>Alimami Gory</x:v>
      </x:c>
      <x:c r="C598" s="69" t="str">
        <x:v>WINGER</x:v>
      </x:c>
      <x:c r="D598" s="82" t="str">
        <x:f>IF(ISNUMBER('Transfer_Ratings'!K598),'Transfer_Ratings'!K598,"")</x:f>
      </x:c>
      <x:c r="E598" s="86"/>
      <x:c r="F598" s="86"/>
      <x:c r="G598" s="86"/>
      <x:c r="H598" s="86"/>
      <x:c r="I598" s="86"/>
      <x:c r="J598" s="82" t="str">
        <x:f>IF(C598="","Choose position",IF(COUNT(E598:I598)&lt;5,"",IF(OR(MIN(E598:I598)&lt;0.1,MAX(E598:I598)&gt;10),"Invalid score",IF(INDEX('Position_Rubric'!$H$6:$H$14,M598)&lt;&gt;1,"Check weights",ROUND(E598*INDEX('Position_Rubric'!$C$6:$C$14,M598)+F598*INDEX('Position_Rubric'!$D$6:$D$14,M598)+G598*INDEX('Position_Rubric'!$E$6:$E$14,M598)+H598*INDEX('Position_Rubric'!$F$6:$F$14,M598)+I598*INDEX('Position_Rubric'!$G$6:$G$14,M598),1)))))</x:f>
      </x:c>
      <x:c r="K598" s="82" t="str">
        <x:f>IF(AND(ISNUMBER(J598),ISNUMBER(D598)),J598-D598,"")</x:f>
      </x:c>
      <x:c r="L598" s="69" t="str">
        <x:f>IF(COUNT(E598:I598)&lt;5,"Needs component scores",IF(ISNUMBER(J598),"Calculated",J598))</x:f>
        <x:v>Needs component scores</x:v>
      </x:c>
      <x:c r="M598" s="69" t="n">
        <x:f>IF(C598="","",MATCH(C598,'Position_Rubric'!$A$6:$A$14,0))</x:f>
        <x:v>7</x:v>
      </x:c>
      <x:c r="N598" s="69" t="str"/>
    </x:row>
    <x:row r="599" ht="25" customHeight="1">
      <x:c r="A599" s="69" t="str">
        <x:v>summer-S26-0759</x:v>
      </x:c>
      <x:c r="B599" s="69" t="str">
        <x:v>Gauthier Hein</x:v>
      </x:c>
      <x:c r="C599" s="69" t="str">
        <x:v>WINGER</x:v>
      </x:c>
      <x:c r="D599" s="82" t="str">
        <x:f>IF(ISNUMBER('Transfer_Ratings'!K599),'Transfer_Ratings'!K599,"")</x:f>
      </x:c>
      <x:c r="E599" s="86"/>
      <x:c r="F599" s="86"/>
      <x:c r="G599" s="86"/>
      <x:c r="H599" s="86"/>
      <x:c r="I599" s="86"/>
      <x:c r="J599" s="82" t="str">
        <x:f>IF(C599="","Choose position",IF(COUNT(E599:I599)&lt;5,"",IF(OR(MIN(E599:I599)&lt;0.1,MAX(E599:I599)&gt;10),"Invalid score",IF(INDEX('Position_Rubric'!$H$6:$H$14,M599)&lt;&gt;1,"Check weights",ROUND(E599*INDEX('Position_Rubric'!$C$6:$C$14,M599)+F599*INDEX('Position_Rubric'!$D$6:$D$14,M599)+G599*INDEX('Position_Rubric'!$E$6:$E$14,M599)+H599*INDEX('Position_Rubric'!$F$6:$F$14,M599)+I599*INDEX('Position_Rubric'!$G$6:$G$14,M599),1)))))</x:f>
      </x:c>
      <x:c r="K599" s="82" t="str">
        <x:f>IF(AND(ISNUMBER(J599),ISNUMBER(D599)),J599-D599,"")</x:f>
      </x:c>
      <x:c r="L599" s="69" t="str">
        <x:f>IF(COUNT(E599:I599)&lt;5,"Needs component scores",IF(ISNUMBER(J599),"Calculated",J599))</x:f>
        <x:v>Needs component scores</x:v>
      </x:c>
      <x:c r="M599" s="69" t="n">
        <x:f>IF(C599="","",MATCH(C599,'Position_Rubric'!$A$6:$A$14,0))</x:f>
        <x:v>7</x:v>
      </x:c>
      <x:c r="N599" s="69" t="str"/>
    </x:row>
    <x:row r="600" ht="25" customHeight="1">
      <x:c r="A600" s="69" t="str">
        <x:v>summer-S26-0760</x:v>
      </x:c>
      <x:c r="B600" s="69" t="str">
        <x:v>Vlad Silva</x:v>
      </x:c>
      <x:c r="C600" s="69" t="str">
        <x:v>WINGER</x:v>
      </x:c>
      <x:c r="D600" s="82" t="str">
        <x:f>IF(ISNUMBER('Transfer_Ratings'!K600),'Transfer_Ratings'!K600,"")</x:f>
      </x:c>
      <x:c r="E600" s="86"/>
      <x:c r="F600" s="86"/>
      <x:c r="G600" s="86"/>
      <x:c r="H600" s="86"/>
      <x:c r="I600" s="86"/>
      <x:c r="J600" s="82" t="str">
        <x:f>IF(C600="","Choose position",IF(COUNT(E600:I600)&lt;5,"",IF(OR(MIN(E600:I600)&lt;0.1,MAX(E600:I600)&gt;10),"Invalid score",IF(INDEX('Position_Rubric'!$H$6:$H$14,M600)&lt;&gt;1,"Check weights",ROUND(E600*INDEX('Position_Rubric'!$C$6:$C$14,M600)+F600*INDEX('Position_Rubric'!$D$6:$D$14,M600)+G600*INDEX('Position_Rubric'!$E$6:$E$14,M600)+H600*INDEX('Position_Rubric'!$F$6:$F$14,M600)+I600*INDEX('Position_Rubric'!$G$6:$G$14,M600),1)))))</x:f>
      </x:c>
      <x:c r="K600" s="82" t="str">
        <x:f>IF(AND(ISNUMBER(J600),ISNUMBER(D600)),J600-D600,"")</x:f>
      </x:c>
      <x:c r="L600" s="69" t="str">
        <x:f>IF(COUNT(E600:I600)&lt;5,"Needs component scores",IF(ISNUMBER(J600),"Calculated",J600))</x:f>
        <x:v>Needs component scores</x:v>
      </x:c>
      <x:c r="M600" s="69" t="n">
        <x:f>IF(C600="","",MATCH(C600,'Position_Rubric'!$A$6:$A$14,0))</x:f>
        <x:v>7</x:v>
      </x:c>
      <x:c r="N600" s="69" t="str"/>
    </x:row>
    <x:row r="601" ht="25" customHeight="1">
      <x:c r="A601" s="69" t="str">
        <x:v>summer-S26-0783</x:v>
      </x:c>
      <x:c r="B601" s="69" t="str">
        <x:v>Wes Burns</x:v>
      </x:c>
      <x:c r="C601" s="69" t="str">
        <x:v>WINGER</x:v>
      </x:c>
      <x:c r="D601" s="82" t="str">
        <x:f>IF(ISNUMBER('Transfer_Ratings'!K601),'Transfer_Ratings'!K601,"")</x:f>
      </x:c>
      <x:c r="E601" s="86"/>
      <x:c r="F601" s="86"/>
      <x:c r="G601" s="86"/>
      <x:c r="H601" s="86"/>
      <x:c r="I601" s="86"/>
      <x:c r="J601" s="82" t="str">
        <x:f>IF(C601="","Choose position",IF(COUNT(E601:I601)&lt;5,"",IF(OR(MIN(E601:I601)&lt;0.1,MAX(E601:I601)&gt;10),"Invalid score",IF(INDEX('Position_Rubric'!$H$6:$H$14,M601)&lt;&gt;1,"Check weights",ROUND(E601*INDEX('Position_Rubric'!$C$6:$C$14,M601)+F601*INDEX('Position_Rubric'!$D$6:$D$14,M601)+G601*INDEX('Position_Rubric'!$E$6:$E$14,M601)+H601*INDEX('Position_Rubric'!$F$6:$F$14,M601)+I601*INDEX('Position_Rubric'!$G$6:$G$14,M601),1)))))</x:f>
      </x:c>
      <x:c r="K601" s="82" t="str">
        <x:f>IF(AND(ISNUMBER(J601),ISNUMBER(D601)),J601-D601,"")</x:f>
      </x:c>
      <x:c r="L601" s="69" t="str">
        <x:f>IF(COUNT(E601:I601)&lt;5,"Needs component scores",IF(ISNUMBER(J601),"Calculated",J601))</x:f>
        <x:v>Needs component scores</x:v>
      </x:c>
      <x:c r="M601" s="69" t="n">
        <x:f>IF(C601="","",MATCH(C601,'Position_Rubric'!$A$6:$A$14,0))</x:f>
        <x:v>7</x:v>
      </x:c>
      <x:c r="N601" s="69" t="str"/>
    </x:row>
    <x:row r="602" ht="25" customHeight="1">
      <x:c r="A602" s="69" t="str">
        <x:v>summer-S26-0795</x:v>
      </x:c>
      <x:c r="B602" s="69" t="str">
        <x:v>Georg Ermolaev</x:v>
      </x:c>
      <x:c r="C602" s="69" t="str">
        <x:v>WINGER</x:v>
      </x:c>
      <x:c r="D602" s="82" t="str">
        <x:f>IF(ISNUMBER('Transfer_Ratings'!K602),'Transfer_Ratings'!K602,"")</x:f>
      </x:c>
      <x:c r="E602" s="86"/>
      <x:c r="F602" s="86"/>
      <x:c r="G602" s="86"/>
      <x:c r="H602" s="86"/>
      <x:c r="I602" s="86"/>
      <x:c r="J602" s="82" t="str">
        <x:f>IF(C602="","Choose position",IF(COUNT(E602:I602)&lt;5,"",IF(OR(MIN(E602:I602)&lt;0.1,MAX(E602:I602)&gt;10),"Invalid score",IF(INDEX('Position_Rubric'!$H$6:$H$14,M602)&lt;&gt;1,"Check weights",ROUND(E602*INDEX('Position_Rubric'!$C$6:$C$14,M602)+F602*INDEX('Position_Rubric'!$D$6:$D$14,M602)+G602*INDEX('Position_Rubric'!$E$6:$E$14,M602)+H602*INDEX('Position_Rubric'!$F$6:$F$14,M602)+I602*INDEX('Position_Rubric'!$G$6:$G$14,M602),1)))))</x:f>
      </x:c>
      <x:c r="K602" s="82" t="str">
        <x:f>IF(AND(ISNUMBER(J602),ISNUMBER(D602)),J602-D602,"")</x:f>
      </x:c>
      <x:c r="L602" s="69" t="str">
        <x:f>IF(COUNT(E602:I602)&lt;5,"Needs component scores",IF(ISNUMBER(J602),"Calculated",J602))</x:f>
        <x:v>Needs component scores</x:v>
      </x:c>
      <x:c r="M602" s="69" t="n">
        <x:f>IF(C602="","",MATCH(C602,'Position_Rubric'!$A$6:$A$14,0))</x:f>
        <x:v>7</x:v>
      </x:c>
      <x:c r="N602" s="69" t="str"/>
    </x:row>
    <x:row r="603" ht="25" customHeight="1">
      <x:c r="A603" s="69" t="str">
        <x:v>summer-S26-0796</x:v>
      </x:c>
      <x:c r="B603" s="69" t="str">
        <x:v>Jesse Bisiwu</x:v>
      </x:c>
      <x:c r="C603" s="69" t="str">
        <x:v>WINGER</x:v>
      </x:c>
      <x:c r="D603" s="82" t="str">
        <x:f>IF(ISNUMBER('Transfer_Ratings'!K603),'Transfer_Ratings'!K603,"")</x:f>
      </x:c>
      <x:c r="E603" s="86"/>
      <x:c r="F603" s="86"/>
      <x:c r="G603" s="86"/>
      <x:c r="H603" s="86"/>
      <x:c r="I603" s="86"/>
      <x:c r="J603" s="82" t="str">
        <x:f>IF(C603="","Choose position",IF(COUNT(E603:I603)&lt;5,"",IF(OR(MIN(E603:I603)&lt;0.1,MAX(E603:I603)&gt;10),"Invalid score",IF(INDEX('Position_Rubric'!$H$6:$H$14,M603)&lt;&gt;1,"Check weights",ROUND(E603*INDEX('Position_Rubric'!$C$6:$C$14,M603)+F603*INDEX('Position_Rubric'!$D$6:$D$14,M603)+G603*INDEX('Position_Rubric'!$E$6:$E$14,M603)+H603*INDEX('Position_Rubric'!$F$6:$F$14,M603)+I603*INDEX('Position_Rubric'!$G$6:$G$14,M603),1)))))</x:f>
      </x:c>
      <x:c r="K603" s="82" t="str">
        <x:f>IF(AND(ISNUMBER(J603),ISNUMBER(D603)),J603-D603,"")</x:f>
      </x:c>
      <x:c r="L603" s="69" t="str">
        <x:f>IF(COUNT(E603:I603)&lt;5,"Needs component scores",IF(ISNUMBER(J603),"Calculated",J603))</x:f>
        <x:v>Needs component scores</x:v>
      </x:c>
      <x:c r="M603" s="69" t="n">
        <x:f>IF(C603="","",MATCH(C603,'Position_Rubric'!$A$6:$A$14,0))</x:f>
        <x:v>7</x:v>
      </x:c>
      <x:c r="N603" s="69" t="str"/>
    </x:row>
    <x:row r="604" ht="25" customHeight="1">
      <x:c r="A604" s="69" t="str">
        <x:v>summer-S26-0819</x:v>
      </x:c>
      <x:c r="B604" s="69" t="str">
        <x:v>Tynan Thompson</x:v>
      </x:c>
      <x:c r="C604" s="69" t="str">
        <x:v>WINGER</x:v>
      </x:c>
      <x:c r="D604" s="82" t="str">
        <x:f>IF(ISNUMBER('Transfer_Ratings'!K604),'Transfer_Ratings'!K604,"")</x:f>
      </x:c>
      <x:c r="E604" s="86"/>
      <x:c r="F604" s="86"/>
      <x:c r="G604" s="86"/>
      <x:c r="H604" s="86"/>
      <x:c r="I604" s="86"/>
      <x:c r="J604" s="82" t="str">
        <x:f>IF(C604="","Choose position",IF(COUNT(E604:I604)&lt;5,"",IF(OR(MIN(E604:I604)&lt;0.1,MAX(E604:I604)&gt;10),"Invalid score",IF(INDEX('Position_Rubric'!$H$6:$H$14,M604)&lt;&gt;1,"Check weights",ROUND(E604*INDEX('Position_Rubric'!$C$6:$C$14,M604)+F604*INDEX('Position_Rubric'!$D$6:$D$14,M604)+G604*INDEX('Position_Rubric'!$E$6:$E$14,M604)+H604*INDEX('Position_Rubric'!$F$6:$F$14,M604)+I604*INDEX('Position_Rubric'!$G$6:$G$14,M604),1)))))</x:f>
      </x:c>
      <x:c r="K604" s="82" t="str">
        <x:f>IF(AND(ISNUMBER(J604),ISNUMBER(D604)),J604-D604,"")</x:f>
      </x:c>
      <x:c r="L604" s="69" t="str">
        <x:f>IF(COUNT(E604:I604)&lt;5,"Needs component scores",IF(ISNUMBER(J604),"Calculated",J604))</x:f>
        <x:v>Needs component scores</x:v>
      </x:c>
      <x:c r="M604" s="69" t="n">
        <x:f>IF(C604="","",MATCH(C604,'Position_Rubric'!$A$6:$A$14,0))</x:f>
        <x:v>7</x:v>
      </x:c>
      <x:c r="N604" s="69" t="str"/>
    </x:row>
    <x:row r="605" ht="25" customHeight="1">
      <x:c r="A605" s="69" t="str">
        <x:v>summer-S26-0839</x:v>
      </x:c>
      <x:c r="B605" s="69" t="str">
        <x:v>Ichem Ferrah</x:v>
      </x:c>
      <x:c r="C605" s="69" t="str">
        <x:v>WINGER</x:v>
      </x:c>
      <x:c r="D605" s="82" t="str">
        <x:f>IF(ISNUMBER('Transfer_Ratings'!K605),'Transfer_Ratings'!K605,"")</x:f>
      </x:c>
      <x:c r="E605" s="86"/>
      <x:c r="F605" s="86"/>
      <x:c r="G605" s="86"/>
      <x:c r="H605" s="86"/>
      <x:c r="I605" s="86"/>
      <x:c r="J605" s="82" t="str">
        <x:f>IF(C605="","Choose position",IF(COUNT(E605:I605)&lt;5,"",IF(OR(MIN(E605:I605)&lt;0.1,MAX(E605:I605)&gt;10),"Invalid score",IF(INDEX('Position_Rubric'!$H$6:$H$14,M605)&lt;&gt;1,"Check weights",ROUND(E605*INDEX('Position_Rubric'!$C$6:$C$14,M605)+F605*INDEX('Position_Rubric'!$D$6:$D$14,M605)+G605*INDEX('Position_Rubric'!$E$6:$E$14,M605)+H605*INDEX('Position_Rubric'!$F$6:$F$14,M605)+I605*INDEX('Position_Rubric'!$G$6:$G$14,M605),1)))))</x:f>
      </x:c>
      <x:c r="K605" s="82" t="str">
        <x:f>IF(AND(ISNUMBER(J605),ISNUMBER(D605)),J605-D605,"")</x:f>
      </x:c>
      <x:c r="L605" s="69" t="str">
        <x:f>IF(COUNT(E605:I605)&lt;5,"Needs component scores",IF(ISNUMBER(J605),"Calculated",J605))</x:f>
        <x:v>Needs component scores</x:v>
      </x:c>
      <x:c r="M605" s="69" t="n">
        <x:f>IF(C605="","",MATCH(C605,'Position_Rubric'!$A$6:$A$14,0))</x:f>
        <x:v>7</x:v>
      </x:c>
      <x:c r="N605" s="69" t="str"/>
    </x:row>
    <x:row r="606" ht="25" customHeight="1">
      <x:c r="A606" s="69" t="str">
        <x:v>summer-S26-0850</x:v>
      </x:c>
      <x:c r="B606" s="69" t="str">
        <x:v>Jay Robinson</x:v>
      </x:c>
      <x:c r="C606" s="69" t="str">
        <x:v>WINGER</x:v>
      </x:c>
      <x:c r="D606" s="82" t="str">
        <x:f>IF(ISNUMBER('Transfer_Ratings'!K606),'Transfer_Ratings'!K606,"")</x:f>
      </x:c>
      <x:c r="E606" s="86"/>
      <x:c r="F606" s="86"/>
      <x:c r="G606" s="86"/>
      <x:c r="H606" s="86"/>
      <x:c r="I606" s="86"/>
      <x:c r="J606" s="82" t="str">
        <x:f>IF(C606="","Choose position",IF(COUNT(E606:I606)&lt;5,"",IF(OR(MIN(E606:I606)&lt;0.1,MAX(E606:I606)&gt;10),"Invalid score",IF(INDEX('Position_Rubric'!$H$6:$H$14,M606)&lt;&gt;1,"Check weights",ROUND(E606*INDEX('Position_Rubric'!$C$6:$C$14,M606)+F606*INDEX('Position_Rubric'!$D$6:$D$14,M606)+G606*INDEX('Position_Rubric'!$E$6:$E$14,M606)+H606*INDEX('Position_Rubric'!$F$6:$F$14,M606)+I606*INDEX('Position_Rubric'!$G$6:$G$14,M606),1)))))</x:f>
      </x:c>
      <x:c r="K606" s="82" t="str">
        <x:f>IF(AND(ISNUMBER(J606),ISNUMBER(D606)),J606-D606,"")</x:f>
      </x:c>
      <x:c r="L606" s="69" t="str">
        <x:f>IF(COUNT(E606:I606)&lt;5,"Needs component scores",IF(ISNUMBER(J606),"Calculated",J606))</x:f>
        <x:v>Needs component scores</x:v>
      </x:c>
      <x:c r="M606" s="69" t="n">
        <x:f>IF(C606="","",MATCH(C606,'Position_Rubric'!$A$6:$A$14,0))</x:f>
        <x:v>7</x:v>
      </x:c>
      <x:c r="N606" s="69" t="str"/>
    </x:row>
    <x:row r="607" ht="25" customHeight="1">
      <x:c r="A607" s="69" t="str">
        <x:v>summer-S26-0852</x:v>
      </x:c>
      <x:c r="B607" s="69" t="str">
        <x:v>Noah Nsoki</x:v>
      </x:c>
      <x:c r="C607" s="69" t="str">
        <x:v>WINGER</x:v>
      </x:c>
      <x:c r="D607" s="82" t="str">
        <x:f>IF(ISNUMBER('Transfer_Ratings'!K607),'Transfer_Ratings'!K607,"")</x:f>
      </x:c>
      <x:c r="E607" s="86"/>
      <x:c r="F607" s="86"/>
      <x:c r="G607" s="86"/>
      <x:c r="H607" s="86"/>
      <x:c r="I607" s="86"/>
      <x:c r="J607" s="82" t="str">
        <x:f>IF(C607="","Choose position",IF(COUNT(E607:I607)&lt;5,"",IF(OR(MIN(E607:I607)&lt;0.1,MAX(E607:I607)&gt;10),"Invalid score",IF(INDEX('Position_Rubric'!$H$6:$H$14,M607)&lt;&gt;1,"Check weights",ROUND(E607*INDEX('Position_Rubric'!$C$6:$C$14,M607)+F607*INDEX('Position_Rubric'!$D$6:$D$14,M607)+G607*INDEX('Position_Rubric'!$E$6:$E$14,M607)+H607*INDEX('Position_Rubric'!$F$6:$F$14,M607)+I607*INDEX('Position_Rubric'!$G$6:$G$14,M607),1)))))</x:f>
      </x:c>
      <x:c r="K607" s="82" t="str">
        <x:f>IF(AND(ISNUMBER(J607),ISNUMBER(D607)),J607-D607,"")</x:f>
      </x:c>
      <x:c r="L607" s="69" t="str">
        <x:f>IF(COUNT(E607:I607)&lt;5,"Needs component scores",IF(ISNUMBER(J607),"Calculated",J607))</x:f>
        <x:v>Needs component scores</x:v>
      </x:c>
      <x:c r="M607" s="69" t="n">
        <x:f>IF(C607="","",MATCH(C607,'Position_Rubric'!$A$6:$A$14,0))</x:f>
        <x:v>7</x:v>
      </x:c>
      <x:c r="N607" s="69" t="str"/>
    </x:row>
    <x:row r="608" ht="25" customHeight="1">
      <x:c r="A608" s="69" t="str">
        <x:v>summer-S26-0853</x:v>
      </x:c>
      <x:c r="B608" s="69" t="str">
        <x:v>Jahnoah Markelo</x:v>
      </x:c>
      <x:c r="C608" s="69" t="str">
        <x:v>WINGER</x:v>
      </x:c>
      <x:c r="D608" s="82" t="str">
        <x:f>IF(ISNUMBER('Transfer_Ratings'!K608),'Transfer_Ratings'!K608,"")</x:f>
      </x:c>
      <x:c r="E608" s="86"/>
      <x:c r="F608" s="86"/>
      <x:c r="G608" s="86"/>
      <x:c r="H608" s="86"/>
      <x:c r="I608" s="86"/>
      <x:c r="J608" s="82" t="str">
        <x:f>IF(C608="","Choose position",IF(COUNT(E608:I608)&lt;5,"",IF(OR(MIN(E608:I608)&lt;0.1,MAX(E608:I608)&gt;10),"Invalid score",IF(INDEX('Position_Rubric'!$H$6:$H$14,M608)&lt;&gt;1,"Check weights",ROUND(E608*INDEX('Position_Rubric'!$C$6:$C$14,M608)+F608*INDEX('Position_Rubric'!$D$6:$D$14,M608)+G608*INDEX('Position_Rubric'!$E$6:$E$14,M608)+H608*INDEX('Position_Rubric'!$F$6:$F$14,M608)+I608*INDEX('Position_Rubric'!$G$6:$G$14,M608),1)))))</x:f>
      </x:c>
      <x:c r="K608" s="82" t="str">
        <x:f>IF(AND(ISNUMBER(J608),ISNUMBER(D608)),J608-D608,"")</x:f>
      </x:c>
      <x:c r="L608" s="69" t="str">
        <x:f>IF(COUNT(E608:I608)&lt;5,"Needs component scores",IF(ISNUMBER(J608),"Calculated",J608))</x:f>
        <x:v>Needs component scores</x:v>
      </x:c>
      <x:c r="M608" s="69" t="n">
        <x:f>IF(C608="","",MATCH(C608,'Position_Rubric'!$A$6:$A$14,0))</x:f>
        <x:v>7</x:v>
      </x:c>
      <x:c r="N608" s="69" t="str"/>
    </x:row>
    <x:row r="609" ht="25" customHeight="1">
      <x:c r="A609" s="69" t="str">
        <x:v>summer-S26-0856</x:v>
      </x:c>
      <x:c r="B609" s="69" t="str">
        <x:v>Yusuf Kabadayi</x:v>
      </x:c>
      <x:c r="C609" s="69" t="str">
        <x:v>WINGER</x:v>
      </x:c>
      <x:c r="D609" s="82" t="str">
        <x:f>IF(ISNUMBER('Transfer_Ratings'!K609),'Transfer_Ratings'!K609,"")</x:f>
      </x:c>
      <x:c r="E609" s="86"/>
      <x:c r="F609" s="86"/>
      <x:c r="G609" s="86"/>
      <x:c r="H609" s="86"/>
      <x:c r="I609" s="86"/>
      <x:c r="J609" s="82" t="str">
        <x:f>IF(C609="","Choose position",IF(COUNT(E609:I609)&lt;5,"",IF(OR(MIN(E609:I609)&lt;0.1,MAX(E609:I609)&gt;10),"Invalid score",IF(INDEX('Position_Rubric'!$H$6:$H$14,M609)&lt;&gt;1,"Check weights",ROUND(E609*INDEX('Position_Rubric'!$C$6:$C$14,M609)+F609*INDEX('Position_Rubric'!$D$6:$D$14,M609)+G609*INDEX('Position_Rubric'!$E$6:$E$14,M609)+H609*INDEX('Position_Rubric'!$F$6:$F$14,M609)+I609*INDEX('Position_Rubric'!$G$6:$G$14,M609),1)))))</x:f>
      </x:c>
      <x:c r="K609" s="82" t="str">
        <x:f>IF(AND(ISNUMBER(J609),ISNUMBER(D609)),J609-D609,"")</x:f>
      </x:c>
      <x:c r="L609" s="69" t="str">
        <x:f>IF(COUNT(E609:I609)&lt;5,"Needs component scores",IF(ISNUMBER(J609),"Calculated",J609))</x:f>
        <x:v>Needs component scores</x:v>
      </x:c>
      <x:c r="M609" s="69" t="n">
        <x:f>IF(C609="","",MATCH(C609,'Position_Rubric'!$A$6:$A$14,0))</x:f>
        <x:v>7</x:v>
      </x:c>
      <x:c r="N609" s="69" t="str"/>
    </x:row>
    <x:row r="610" ht="25" customHeight="1">
      <x:c r="A610" s="69" t="str">
        <x:v>summer-S26-0862</x:v>
      </x:c>
      <x:c r="B610" s="69" t="str">
        <x:v>Simone Ascione</x:v>
      </x:c>
      <x:c r="C610" s="69" t="str">
        <x:v>WINGER</x:v>
      </x:c>
      <x:c r="D610" s="82" t="str">
        <x:f>IF(ISNUMBER('Transfer_Ratings'!K610),'Transfer_Ratings'!K610,"")</x:f>
      </x:c>
      <x:c r="E610" s="86"/>
      <x:c r="F610" s="86"/>
      <x:c r="G610" s="86"/>
      <x:c r="H610" s="86"/>
      <x:c r="I610" s="86"/>
      <x:c r="J610" s="82" t="str">
        <x:f>IF(C610="","Choose position",IF(COUNT(E610:I610)&lt;5,"",IF(OR(MIN(E610:I610)&lt;0.1,MAX(E610:I610)&gt;10),"Invalid score",IF(INDEX('Position_Rubric'!$H$6:$H$14,M610)&lt;&gt;1,"Check weights",ROUND(E610*INDEX('Position_Rubric'!$C$6:$C$14,M610)+F610*INDEX('Position_Rubric'!$D$6:$D$14,M610)+G610*INDEX('Position_Rubric'!$E$6:$E$14,M610)+H610*INDEX('Position_Rubric'!$F$6:$F$14,M610)+I610*INDEX('Position_Rubric'!$G$6:$G$14,M610),1)))))</x:f>
      </x:c>
      <x:c r="K610" s="82" t="str">
        <x:f>IF(AND(ISNUMBER(J610),ISNUMBER(D610)),J610-D610,"")</x:f>
      </x:c>
      <x:c r="L610" s="69" t="str">
        <x:f>IF(COUNT(E610:I610)&lt;5,"Needs component scores",IF(ISNUMBER(J610),"Calculated",J610))</x:f>
        <x:v>Needs component scores</x:v>
      </x:c>
      <x:c r="M610" s="69" t="n">
        <x:f>IF(C610="","",MATCH(C610,'Position_Rubric'!$A$6:$A$14,0))</x:f>
        <x:v>7</x:v>
      </x:c>
      <x:c r="N610" s="69" t="str"/>
    </x:row>
    <x:row r="611" ht="25" customHeight="1">
      <x:c r="A611" s="69" t="str">
        <x:v>summer-S26-0867</x:v>
      </x:c>
      <x:c r="B611" s="69" t="str">
        <x:v>Abu Kamara</x:v>
      </x:c>
      <x:c r="C611" s="69" t="str">
        <x:v>WINGER</x:v>
      </x:c>
      <x:c r="D611" s="82" t="str">
        <x:f>IF(ISNUMBER('Transfer_Ratings'!K611),'Transfer_Ratings'!K611,"")</x:f>
      </x:c>
      <x:c r="E611" s="86"/>
      <x:c r="F611" s="86"/>
      <x:c r="G611" s="86"/>
      <x:c r="H611" s="86"/>
      <x:c r="I611" s="86"/>
      <x:c r="J611" s="82" t="str">
        <x:f>IF(C611="","Choose position",IF(COUNT(E611:I611)&lt;5,"",IF(OR(MIN(E611:I611)&lt;0.1,MAX(E611:I611)&gt;10),"Invalid score",IF(INDEX('Position_Rubric'!$H$6:$H$14,M611)&lt;&gt;1,"Check weights",ROUND(E611*INDEX('Position_Rubric'!$C$6:$C$14,M611)+F611*INDEX('Position_Rubric'!$D$6:$D$14,M611)+G611*INDEX('Position_Rubric'!$E$6:$E$14,M611)+H611*INDEX('Position_Rubric'!$F$6:$F$14,M611)+I611*INDEX('Position_Rubric'!$G$6:$G$14,M611),1)))))</x:f>
      </x:c>
      <x:c r="K611" s="82" t="str">
        <x:f>IF(AND(ISNUMBER(J611),ISNUMBER(D611)),J611-D611,"")</x:f>
      </x:c>
      <x:c r="L611" s="69" t="str">
        <x:f>IF(COUNT(E611:I611)&lt;5,"Needs component scores",IF(ISNUMBER(J611),"Calculated",J611))</x:f>
        <x:v>Needs component scores</x:v>
      </x:c>
      <x:c r="M611" s="69" t="n">
        <x:f>IF(C611="","",MATCH(C611,'Position_Rubric'!$A$6:$A$14,0))</x:f>
        <x:v>7</x:v>
      </x:c>
      <x:c r="N611" s="69" t="str"/>
    </x:row>
    <x:row r="612" ht="25" customHeight="1">
      <x:c r="A612" s="69" t="str">
        <x:v>summer-S26-0875</x:v>
      </x:c>
      <x:c r="B612" s="69" t="str">
        <x:v>Manor Solomon</x:v>
      </x:c>
      <x:c r="C612" s="69" t="str">
        <x:v>WINGER</x:v>
      </x:c>
      <x:c r="D612" s="82" t="str">
        <x:f>IF(ISNUMBER('Transfer_Ratings'!K612),'Transfer_Ratings'!K612,"")</x:f>
      </x:c>
      <x:c r="E612" s="86"/>
      <x:c r="F612" s="86"/>
      <x:c r="G612" s="86"/>
      <x:c r="H612" s="86"/>
      <x:c r="I612" s="86"/>
      <x:c r="J612" s="82" t="str">
        <x:f>IF(C612="","Choose position",IF(COUNT(E612:I612)&lt;5,"",IF(OR(MIN(E612:I612)&lt;0.1,MAX(E612:I612)&gt;10),"Invalid score",IF(INDEX('Position_Rubric'!$H$6:$H$14,M612)&lt;&gt;1,"Check weights",ROUND(E612*INDEX('Position_Rubric'!$C$6:$C$14,M612)+F612*INDEX('Position_Rubric'!$D$6:$D$14,M612)+G612*INDEX('Position_Rubric'!$E$6:$E$14,M612)+H612*INDEX('Position_Rubric'!$F$6:$F$14,M612)+I612*INDEX('Position_Rubric'!$G$6:$G$14,M612),1)))))</x:f>
      </x:c>
      <x:c r="K612" s="82" t="str">
        <x:f>IF(AND(ISNUMBER(J612),ISNUMBER(D612)),J612-D612,"")</x:f>
      </x:c>
      <x:c r="L612" s="69" t="str">
        <x:f>IF(COUNT(E612:I612)&lt;5,"Needs component scores",IF(ISNUMBER(J612),"Calculated",J612))</x:f>
        <x:v>Needs component scores</x:v>
      </x:c>
      <x:c r="M612" s="69" t="n">
        <x:f>IF(C612="","",MATCH(C612,'Position_Rubric'!$A$6:$A$14,0))</x:f>
        <x:v>7</x:v>
      </x:c>
      <x:c r="N612" s="69" t="str"/>
    </x:row>
    <x:row r="613" ht="25" customHeight="1">
      <x:c r="A613" s="69" t="str">
        <x:v>summer-S26-0887</x:v>
      </x:c>
      <x:c r="B613" s="69" t="str">
        <x:v>Dwight McNeil</x:v>
      </x:c>
      <x:c r="C613" s="69" t="str">
        <x:v>WINGER</x:v>
      </x:c>
      <x:c r="D613" s="82" t="str">
        <x:f>IF(ISNUMBER('Transfer_Ratings'!K613),'Transfer_Ratings'!K613,"")</x:f>
      </x:c>
      <x:c r="E613" s="86"/>
      <x:c r="F613" s="86"/>
      <x:c r="G613" s="86"/>
      <x:c r="H613" s="86"/>
      <x:c r="I613" s="86"/>
      <x:c r="J613" s="82" t="str">
        <x:f>IF(C613="","Choose position",IF(COUNT(E613:I613)&lt;5,"",IF(OR(MIN(E613:I613)&lt;0.1,MAX(E613:I613)&gt;10),"Invalid score",IF(INDEX('Position_Rubric'!$H$6:$H$14,M613)&lt;&gt;1,"Check weights",ROUND(E613*INDEX('Position_Rubric'!$C$6:$C$14,M613)+F613*INDEX('Position_Rubric'!$D$6:$D$14,M613)+G613*INDEX('Position_Rubric'!$E$6:$E$14,M613)+H613*INDEX('Position_Rubric'!$F$6:$F$14,M613)+I613*INDEX('Position_Rubric'!$G$6:$G$14,M613),1)))))</x:f>
      </x:c>
      <x:c r="K613" s="82" t="str">
        <x:f>IF(AND(ISNUMBER(J613),ISNUMBER(D613)),J613-D613,"")</x:f>
      </x:c>
      <x:c r="L613" s="69" t="str">
        <x:f>IF(COUNT(E613:I613)&lt;5,"Needs component scores",IF(ISNUMBER(J613),"Calculated",J613))</x:f>
        <x:v>Needs component scores</x:v>
      </x:c>
      <x:c r="M613" s="69" t="n">
        <x:f>IF(C613="","",MATCH(C613,'Position_Rubric'!$A$6:$A$14,0))</x:f>
        <x:v>7</x:v>
      </x:c>
      <x:c r="N613" s="69" t="str"/>
    </x:row>
    <x:row r="614" ht="25" customHeight="1">
      <x:c r="A614" s="69" t="str">
        <x:v>summer-S26-0910</x:v>
      </x:c>
      <x:c r="B614" s="69" t="str">
        <x:v>Yang Min-hyeok</x:v>
      </x:c>
      <x:c r="C614" s="69" t="str">
        <x:v>WINGER</x:v>
      </x:c>
      <x:c r="D614" s="82" t="str">
        <x:f>IF(ISNUMBER('Transfer_Ratings'!K614),'Transfer_Ratings'!K614,"")</x:f>
      </x:c>
      <x:c r="E614" s="86"/>
      <x:c r="F614" s="86"/>
      <x:c r="G614" s="86"/>
      <x:c r="H614" s="86"/>
      <x:c r="I614" s="86"/>
      <x:c r="J614" s="82" t="str">
        <x:f>IF(C614="","Choose position",IF(COUNT(E614:I614)&lt;5,"",IF(OR(MIN(E614:I614)&lt;0.1,MAX(E614:I614)&gt;10),"Invalid score",IF(INDEX('Position_Rubric'!$H$6:$H$14,M614)&lt;&gt;1,"Check weights",ROUND(E614*INDEX('Position_Rubric'!$C$6:$C$14,M614)+F614*INDEX('Position_Rubric'!$D$6:$D$14,M614)+G614*INDEX('Position_Rubric'!$E$6:$E$14,M614)+H614*INDEX('Position_Rubric'!$F$6:$F$14,M614)+I614*INDEX('Position_Rubric'!$G$6:$G$14,M614),1)))))</x:f>
      </x:c>
      <x:c r="K614" s="82" t="str">
        <x:f>IF(AND(ISNUMBER(J614),ISNUMBER(D614)),J614-D614,"")</x:f>
      </x:c>
      <x:c r="L614" s="69" t="str">
        <x:f>IF(COUNT(E614:I614)&lt;5,"Needs component scores",IF(ISNUMBER(J614),"Calculated",J614))</x:f>
        <x:v>Needs component scores</x:v>
      </x:c>
      <x:c r="M614" s="69" t="n">
        <x:f>IF(C614="","",MATCH(C614,'Position_Rubric'!$A$6:$A$14,0))</x:f>
        <x:v>7</x:v>
      </x:c>
      <x:c r="N614" s="69" t="str"/>
    </x:row>
    <x:row r="615" ht="25" customHeight="1">
      <x:c r="A615" s="69" t="str">
        <x:v>summer-S26-0915</x:v>
      </x:c>
      <x:c r="B615" s="69" t="str">
        <x:v>Benjamín Domínguez</x:v>
      </x:c>
      <x:c r="C615" s="69" t="str">
        <x:v>WINGER</x:v>
      </x:c>
      <x:c r="D615" s="82" t="str">
        <x:f>IF(ISNUMBER('Transfer_Ratings'!K615),'Transfer_Ratings'!K615,"")</x:f>
      </x:c>
      <x:c r="E615" s="86"/>
      <x:c r="F615" s="86"/>
      <x:c r="G615" s="86"/>
      <x:c r="H615" s="86"/>
      <x:c r="I615" s="86"/>
      <x:c r="J615" s="82" t="str">
        <x:f>IF(C615="","Choose position",IF(COUNT(E615:I615)&lt;5,"",IF(OR(MIN(E615:I615)&lt;0.1,MAX(E615:I615)&gt;10),"Invalid score",IF(INDEX('Position_Rubric'!$H$6:$H$14,M615)&lt;&gt;1,"Check weights",ROUND(E615*INDEX('Position_Rubric'!$C$6:$C$14,M615)+F615*INDEX('Position_Rubric'!$D$6:$D$14,M615)+G615*INDEX('Position_Rubric'!$E$6:$E$14,M615)+H615*INDEX('Position_Rubric'!$F$6:$F$14,M615)+I615*INDEX('Position_Rubric'!$G$6:$G$14,M615),1)))))</x:f>
      </x:c>
      <x:c r="K615" s="82" t="str">
        <x:f>IF(AND(ISNUMBER(J615),ISNUMBER(D615)),J615-D615,"")</x:f>
      </x:c>
      <x:c r="L615" s="69" t="str">
        <x:f>IF(COUNT(E615:I615)&lt;5,"Needs component scores",IF(ISNUMBER(J615),"Calculated",J615))</x:f>
        <x:v>Needs component scores</x:v>
      </x:c>
      <x:c r="M615" s="69" t="n">
        <x:f>IF(C615="","",MATCH(C615,'Position_Rubric'!$A$6:$A$14,0))</x:f>
        <x:v>7</x:v>
      </x:c>
      <x:c r="N615" s="69" t="str"/>
    </x:row>
    <x:row r="616" ht="25" customHeight="1">
      <x:c r="A616" s="69" t="str">
        <x:v>summer-S26-0916</x:v>
      </x:c>
      <x:c r="B616" s="69" t="str">
        <x:v>Thiago Fernández</x:v>
      </x:c>
      <x:c r="C616" s="69" t="str">
        <x:v>WINGER</x:v>
      </x:c>
      <x:c r="D616" s="82" t="str">
        <x:f>IF(ISNUMBER('Transfer_Ratings'!K616),'Transfer_Ratings'!K616,"")</x:f>
      </x:c>
      <x:c r="E616" s="86"/>
      <x:c r="F616" s="86"/>
      <x:c r="G616" s="86"/>
      <x:c r="H616" s="86"/>
      <x:c r="I616" s="86"/>
      <x:c r="J616" s="82" t="str">
        <x:f>IF(C616="","Choose position",IF(COUNT(E616:I616)&lt;5,"",IF(OR(MIN(E616:I616)&lt;0.1,MAX(E616:I616)&gt;10),"Invalid score",IF(INDEX('Position_Rubric'!$H$6:$H$14,M616)&lt;&gt;1,"Check weights",ROUND(E616*INDEX('Position_Rubric'!$C$6:$C$14,M616)+F616*INDEX('Position_Rubric'!$D$6:$D$14,M616)+G616*INDEX('Position_Rubric'!$E$6:$E$14,M616)+H616*INDEX('Position_Rubric'!$F$6:$F$14,M616)+I616*INDEX('Position_Rubric'!$G$6:$G$14,M616),1)))))</x:f>
      </x:c>
      <x:c r="K616" s="82" t="str">
        <x:f>IF(AND(ISNUMBER(J616),ISNUMBER(D616)),J616-D616,"")</x:f>
      </x:c>
      <x:c r="L616" s="69" t="str">
        <x:f>IF(COUNT(E616:I616)&lt;5,"Needs component scores",IF(ISNUMBER(J616),"Calculated",J616))</x:f>
        <x:v>Needs component scores</x:v>
      </x:c>
      <x:c r="M616" s="69" t="n">
        <x:f>IF(C616="","",MATCH(C616,'Position_Rubric'!$A$6:$A$14,0))</x:f>
        <x:v>7</x:v>
      </x:c>
      <x:c r="N616" s="69" t="str"/>
    </x:row>
    <x:row r="617" ht="25" customHeight="1">
      <x:c r="A617" s="69" t="str">
        <x:v>summer-S26-0922</x:v>
      </x:c>
      <x:c r="B617" s="69" t="str">
        <x:v>Giorgi Tsitaishvili</x:v>
      </x:c>
      <x:c r="C617" s="69" t="str">
        <x:v>WINGER</x:v>
      </x:c>
      <x:c r="D617" s="82" t="str">
        <x:f>IF(ISNUMBER('Transfer_Ratings'!K617),'Transfer_Ratings'!K617,"")</x:f>
      </x:c>
      <x:c r="E617" s="86"/>
      <x:c r="F617" s="86"/>
      <x:c r="G617" s="86"/>
      <x:c r="H617" s="86"/>
      <x:c r="I617" s="86"/>
      <x:c r="J617" s="82" t="str">
        <x:f>IF(C617="","Choose position",IF(COUNT(E617:I617)&lt;5,"",IF(OR(MIN(E617:I617)&lt;0.1,MAX(E617:I617)&gt;10),"Invalid score",IF(INDEX('Position_Rubric'!$H$6:$H$14,M617)&lt;&gt;1,"Check weights",ROUND(E617*INDEX('Position_Rubric'!$C$6:$C$14,M617)+F617*INDEX('Position_Rubric'!$D$6:$D$14,M617)+G617*INDEX('Position_Rubric'!$E$6:$E$14,M617)+H617*INDEX('Position_Rubric'!$F$6:$F$14,M617)+I617*INDEX('Position_Rubric'!$G$6:$G$14,M617),1)))))</x:f>
      </x:c>
      <x:c r="K617" s="82" t="str">
        <x:f>IF(AND(ISNUMBER(J617),ISNUMBER(D617)),J617-D617,"")</x:f>
      </x:c>
      <x:c r="L617" s="69" t="str">
        <x:f>IF(COUNT(E617:I617)&lt;5,"Needs component scores",IF(ISNUMBER(J617),"Calculated",J617))</x:f>
        <x:v>Needs component scores</x:v>
      </x:c>
      <x:c r="M617" s="69" t="n">
        <x:f>IF(C617="","",MATCH(C617,'Position_Rubric'!$A$6:$A$14,0))</x:f>
        <x:v>7</x:v>
      </x:c>
      <x:c r="N617" s="69" t="str"/>
    </x:row>
    <x:row r="618" ht="25" customHeight="1">
      <x:c r="A618" s="69" t="str">
        <x:v>summer-S26-0929</x:v>
      </x:c>
      <x:c r="B618" s="69" t="str">
        <x:v>Ethan Williams</x:v>
      </x:c>
      <x:c r="C618" s="69" t="str">
        <x:v>WINGER</x:v>
      </x:c>
      <x:c r="D618" s="82" t="str">
        <x:f>IF(ISNUMBER('Transfer_Ratings'!K618),'Transfer_Ratings'!K618,"")</x:f>
      </x:c>
      <x:c r="E618" s="86"/>
      <x:c r="F618" s="86"/>
      <x:c r="G618" s="86"/>
      <x:c r="H618" s="86"/>
      <x:c r="I618" s="86"/>
      <x:c r="J618" s="82" t="str">
        <x:f>IF(C618="","Choose position",IF(COUNT(E618:I618)&lt;5,"",IF(OR(MIN(E618:I618)&lt;0.1,MAX(E618:I618)&gt;10),"Invalid score",IF(INDEX('Position_Rubric'!$H$6:$H$14,M618)&lt;&gt;1,"Check weights",ROUND(E618*INDEX('Position_Rubric'!$C$6:$C$14,M618)+F618*INDEX('Position_Rubric'!$D$6:$D$14,M618)+G618*INDEX('Position_Rubric'!$E$6:$E$14,M618)+H618*INDEX('Position_Rubric'!$F$6:$F$14,M618)+I618*INDEX('Position_Rubric'!$G$6:$G$14,M618),1)))))</x:f>
      </x:c>
      <x:c r="K618" s="82" t="str">
        <x:f>IF(AND(ISNUMBER(J618),ISNUMBER(D618)),J618-D618,"")</x:f>
      </x:c>
      <x:c r="L618" s="69" t="str">
        <x:f>IF(COUNT(E618:I618)&lt;5,"Needs component scores",IF(ISNUMBER(J618),"Calculated",J618))</x:f>
        <x:v>Needs component scores</x:v>
      </x:c>
      <x:c r="M618" s="69" t="n">
        <x:f>IF(C618="","",MATCH(C618,'Position_Rubric'!$A$6:$A$14,0))</x:f>
        <x:v>7</x:v>
      </x:c>
      <x:c r="N618" s="69" t="str"/>
    </x:row>
    <x:row r="619" ht="25" customHeight="1">
      <x:c r="A619" s="69" t="str">
        <x:v>summer-S26-0937</x:v>
      </x:c>
      <x:c r="B619" s="69" t="str">
        <x:v>Gabriele Bertolini</x:v>
      </x:c>
      <x:c r="C619" s="69" t="str">
        <x:v>WINGER</x:v>
      </x:c>
      <x:c r="D619" s="82" t="str">
        <x:f>IF(ISNUMBER('Transfer_Ratings'!K619),'Transfer_Ratings'!K619,"")</x:f>
      </x:c>
      <x:c r="E619" s="86"/>
      <x:c r="F619" s="86"/>
      <x:c r="G619" s="86"/>
      <x:c r="H619" s="86"/>
      <x:c r="I619" s="86"/>
      <x:c r="J619" s="82" t="str">
        <x:f>IF(C619="","Choose position",IF(COUNT(E619:I619)&lt;5,"",IF(OR(MIN(E619:I619)&lt;0.1,MAX(E619:I619)&gt;10),"Invalid score",IF(INDEX('Position_Rubric'!$H$6:$H$14,M619)&lt;&gt;1,"Check weights",ROUND(E619*INDEX('Position_Rubric'!$C$6:$C$14,M619)+F619*INDEX('Position_Rubric'!$D$6:$D$14,M619)+G619*INDEX('Position_Rubric'!$E$6:$E$14,M619)+H619*INDEX('Position_Rubric'!$F$6:$F$14,M619)+I619*INDEX('Position_Rubric'!$G$6:$G$14,M619),1)))))</x:f>
      </x:c>
      <x:c r="K619" s="82" t="str">
        <x:f>IF(AND(ISNUMBER(J619),ISNUMBER(D619)),J619-D619,"")</x:f>
      </x:c>
      <x:c r="L619" s="69" t="str">
        <x:f>IF(COUNT(E619:I619)&lt;5,"Needs component scores",IF(ISNUMBER(J619),"Calculated",J619))</x:f>
        <x:v>Needs component scores</x:v>
      </x:c>
      <x:c r="M619" s="69" t="n">
        <x:f>IF(C619="","",MATCH(C619,'Position_Rubric'!$A$6:$A$14,0))</x:f>
        <x:v>7</x:v>
      </x:c>
      <x:c r="N619" s="69" t="str"/>
    </x:row>
    <x:row r="620" ht="25" customHeight="1">
      <x:c r="A620" s="69" t="str">
        <x:v>summer-S26-0939</x:v>
      </x:c>
      <x:c r="B620" s="69" t="str">
        <x:v>Saná Fernandes</x:v>
      </x:c>
      <x:c r="C620" s="69" t="str">
        <x:v>WINGER</x:v>
      </x:c>
      <x:c r="D620" s="82" t="str">
        <x:f>IF(ISNUMBER('Transfer_Ratings'!K620),'Transfer_Ratings'!K620,"")</x:f>
      </x:c>
      <x:c r="E620" s="86"/>
      <x:c r="F620" s="86"/>
      <x:c r="G620" s="86"/>
      <x:c r="H620" s="86"/>
      <x:c r="I620" s="86"/>
      <x:c r="J620" s="82" t="str">
        <x:f>IF(C620="","Choose position",IF(COUNT(E620:I620)&lt;5,"",IF(OR(MIN(E620:I620)&lt;0.1,MAX(E620:I620)&gt;10),"Invalid score",IF(INDEX('Position_Rubric'!$H$6:$H$14,M620)&lt;&gt;1,"Check weights",ROUND(E620*INDEX('Position_Rubric'!$C$6:$C$14,M620)+F620*INDEX('Position_Rubric'!$D$6:$D$14,M620)+G620*INDEX('Position_Rubric'!$E$6:$E$14,M620)+H620*INDEX('Position_Rubric'!$F$6:$F$14,M620)+I620*INDEX('Position_Rubric'!$G$6:$G$14,M620),1)))))</x:f>
      </x:c>
      <x:c r="K620" s="82" t="str">
        <x:f>IF(AND(ISNUMBER(J620),ISNUMBER(D620)),J620-D620,"")</x:f>
      </x:c>
      <x:c r="L620" s="69" t="str">
        <x:f>IF(COUNT(E620:I620)&lt;5,"Needs component scores",IF(ISNUMBER(J620),"Calculated",J620))</x:f>
        <x:v>Needs component scores</x:v>
      </x:c>
      <x:c r="M620" s="69" t="n">
        <x:f>IF(C620="","",MATCH(C620,'Position_Rubric'!$A$6:$A$14,0))</x:f>
        <x:v>7</x:v>
      </x:c>
      <x:c r="N620" s="69" t="str"/>
    </x:row>
    <x:row r="621" ht="25" customHeight="1">
      <x:c r="A621" s="69" t="str">
        <x:v>summer-S26-0946</x:v>
      </x:c>
      <x:c r="B621" s="69" t="str">
        <x:v>Jacob Ondrejka</x:v>
      </x:c>
      <x:c r="C621" s="69" t="str">
        <x:v>WINGER</x:v>
      </x:c>
      <x:c r="D621" s="82" t="str">
        <x:f>IF(ISNUMBER('Transfer_Ratings'!K621),'Transfer_Ratings'!K621,"")</x:f>
      </x:c>
      <x:c r="E621" s="86"/>
      <x:c r="F621" s="86"/>
      <x:c r="G621" s="86"/>
      <x:c r="H621" s="86"/>
      <x:c r="I621" s="86"/>
      <x:c r="J621" s="82" t="str">
        <x:f>IF(C621="","Choose position",IF(COUNT(E621:I621)&lt;5,"",IF(OR(MIN(E621:I621)&lt;0.1,MAX(E621:I621)&gt;10),"Invalid score",IF(INDEX('Position_Rubric'!$H$6:$H$14,M621)&lt;&gt;1,"Check weights",ROUND(E621*INDEX('Position_Rubric'!$C$6:$C$14,M621)+F621*INDEX('Position_Rubric'!$D$6:$D$14,M621)+G621*INDEX('Position_Rubric'!$E$6:$E$14,M621)+H621*INDEX('Position_Rubric'!$F$6:$F$14,M621)+I621*INDEX('Position_Rubric'!$G$6:$G$14,M621),1)))))</x:f>
      </x:c>
      <x:c r="K621" s="82" t="str">
        <x:f>IF(AND(ISNUMBER(J621),ISNUMBER(D621)),J621-D621,"")</x:f>
      </x:c>
      <x:c r="L621" s="69" t="str">
        <x:f>IF(COUNT(E621:I621)&lt;5,"Needs component scores",IF(ISNUMBER(J621),"Calculated",J621))</x:f>
        <x:v>Needs component scores</x:v>
      </x:c>
      <x:c r="M621" s="69" t="n">
        <x:f>IF(C621="","",MATCH(C621,'Position_Rubric'!$A$6:$A$14,0))</x:f>
        <x:v>7</x:v>
      </x:c>
      <x:c r="N621" s="69" t="str"/>
    </x:row>
    <x:row r="622" ht="25" customHeight="1">
      <x:c r="A622" s="69" t="str">
        <x:v>summer-S26-0951</x:v>
      </x:c>
      <x:c r="B622" s="69" t="str">
        <x:v>Rayane Messi</x:v>
      </x:c>
      <x:c r="C622" s="69" t="str">
        <x:v>WINGER</x:v>
      </x:c>
      <x:c r="D622" s="82" t="str">
        <x:f>IF(ISNUMBER('Transfer_Ratings'!K622),'Transfer_Ratings'!K622,"")</x:f>
      </x:c>
      <x:c r="E622" s="86"/>
      <x:c r="F622" s="86"/>
      <x:c r="G622" s="86"/>
      <x:c r="H622" s="86"/>
      <x:c r="I622" s="86"/>
      <x:c r="J622" s="82" t="str">
        <x:f>IF(C622="","Choose position",IF(COUNT(E622:I622)&lt;5,"",IF(OR(MIN(E622:I622)&lt;0.1,MAX(E622:I622)&gt;10),"Invalid score",IF(INDEX('Position_Rubric'!$H$6:$H$14,M622)&lt;&gt;1,"Check weights",ROUND(E622*INDEX('Position_Rubric'!$C$6:$C$14,M622)+F622*INDEX('Position_Rubric'!$D$6:$D$14,M622)+G622*INDEX('Position_Rubric'!$E$6:$E$14,M622)+H622*INDEX('Position_Rubric'!$F$6:$F$14,M622)+I622*INDEX('Position_Rubric'!$G$6:$G$14,M622),1)))))</x:f>
      </x:c>
      <x:c r="K622" s="82" t="str">
        <x:f>IF(AND(ISNUMBER(J622),ISNUMBER(D622)),J622-D622,"")</x:f>
      </x:c>
      <x:c r="L622" s="69" t="str">
        <x:f>IF(COUNT(E622:I622)&lt;5,"Needs component scores",IF(ISNUMBER(J622),"Calculated",J622))</x:f>
        <x:v>Needs component scores</x:v>
      </x:c>
      <x:c r="M622" s="69" t="n">
        <x:f>IF(C622="","",MATCH(C622,'Position_Rubric'!$A$6:$A$14,0))</x:f>
        <x:v>7</x:v>
      </x:c>
      <x:c r="N622" s="69" t="str"/>
    </x:row>
    <x:row r="623" ht="25" customHeight="1">
      <x:c r="A623" s="69" t="str">
        <x:v>summer-S26-0953</x:v>
      </x:c>
      <x:c r="B623" s="69" t="str">
        <x:v>Fabio Baldé</x:v>
      </x:c>
      <x:c r="C623" s="69" t="str">
        <x:v>WINGER</x:v>
      </x:c>
      <x:c r="D623" s="82" t="str">
        <x:f>IF(ISNUMBER('Transfer_Ratings'!K623),'Transfer_Ratings'!K623,"")</x:f>
      </x:c>
      <x:c r="E623" s="86"/>
      <x:c r="F623" s="86"/>
      <x:c r="G623" s="86"/>
      <x:c r="H623" s="86"/>
      <x:c r="I623" s="86"/>
      <x:c r="J623" s="82" t="str">
        <x:f>IF(C623="","Choose position",IF(COUNT(E623:I623)&lt;5,"",IF(OR(MIN(E623:I623)&lt;0.1,MAX(E623:I623)&gt;10),"Invalid score",IF(INDEX('Position_Rubric'!$H$6:$H$14,M623)&lt;&gt;1,"Check weights",ROUND(E623*INDEX('Position_Rubric'!$C$6:$C$14,M623)+F623*INDEX('Position_Rubric'!$D$6:$D$14,M623)+G623*INDEX('Position_Rubric'!$E$6:$E$14,M623)+H623*INDEX('Position_Rubric'!$F$6:$F$14,M623)+I623*INDEX('Position_Rubric'!$G$6:$G$14,M623),1)))))</x:f>
      </x:c>
      <x:c r="K623" s="82" t="str">
        <x:f>IF(AND(ISNUMBER(J623),ISNUMBER(D623)),J623-D623,"")</x:f>
      </x:c>
      <x:c r="L623" s="69" t="str">
        <x:f>IF(COUNT(E623:I623)&lt;5,"Needs component scores",IF(ISNUMBER(J623),"Calculated",J623))</x:f>
        <x:v>Needs component scores</x:v>
      </x:c>
      <x:c r="M623" s="69" t="n">
        <x:f>IF(C623="","",MATCH(C623,'Position_Rubric'!$A$6:$A$14,0))</x:f>
        <x:v>7</x:v>
      </x:c>
      <x:c r="N623" s="69" t="str"/>
    </x:row>
    <x:row r="624" ht="25" customHeight="1">
      <x:c r="A624" s="69" t="str">
        <x:v>summer-S26-0956</x:v>
      </x:c>
      <x:c r="B624" s="69" t="str">
        <x:v>Emilio Lawrence</x:v>
      </x:c>
      <x:c r="C624" s="69" t="str">
        <x:v>WINGER</x:v>
      </x:c>
      <x:c r="D624" s="82" t="str">
        <x:f>IF(ISNUMBER('Transfer_Ratings'!K624),'Transfer_Ratings'!K624,"")</x:f>
      </x:c>
      <x:c r="E624" s="86"/>
      <x:c r="F624" s="86"/>
      <x:c r="G624" s="86"/>
      <x:c r="H624" s="86"/>
      <x:c r="I624" s="86"/>
      <x:c r="J624" s="82" t="str">
        <x:f>IF(C624="","Choose position",IF(COUNT(E624:I624)&lt;5,"",IF(OR(MIN(E624:I624)&lt;0.1,MAX(E624:I624)&gt;10),"Invalid score",IF(INDEX('Position_Rubric'!$H$6:$H$14,M624)&lt;&gt;1,"Check weights",ROUND(E624*INDEX('Position_Rubric'!$C$6:$C$14,M624)+F624*INDEX('Position_Rubric'!$D$6:$D$14,M624)+G624*INDEX('Position_Rubric'!$E$6:$E$14,M624)+H624*INDEX('Position_Rubric'!$F$6:$F$14,M624)+I624*INDEX('Position_Rubric'!$G$6:$G$14,M624),1)))))</x:f>
      </x:c>
      <x:c r="K624" s="82" t="str">
        <x:f>IF(AND(ISNUMBER(J624),ISNUMBER(D624)),J624-D624,"")</x:f>
      </x:c>
      <x:c r="L624" s="69" t="str">
        <x:f>IF(COUNT(E624:I624)&lt;5,"Needs component scores",IF(ISNUMBER(J624),"Calculated",J624))</x:f>
        <x:v>Needs component scores</x:v>
      </x:c>
      <x:c r="M624" s="69" t="n">
        <x:f>IF(C624="","",MATCH(C624,'Position_Rubric'!$A$6:$A$14,0))</x:f>
        <x:v>7</x:v>
      </x:c>
      <x:c r="N624" s="69" t="str"/>
    </x:row>
    <x:row r="625" ht="25" customHeight="1">
      <x:c r="A625" s="69" t="str">
        <x:v>summer-S26-0957</x:v>
      </x:c>
      <x:c r="B625" s="69" t="str">
        <x:v>Ryan Kavuma-McQueen</x:v>
      </x:c>
      <x:c r="C625" s="69" t="str">
        <x:v>WINGER</x:v>
      </x:c>
      <x:c r="D625" s="82" t="str">
        <x:f>IF(ISNUMBER('Transfer_Ratings'!K625),'Transfer_Ratings'!K625,"")</x:f>
      </x:c>
      <x:c r="E625" s="86"/>
      <x:c r="F625" s="86"/>
      <x:c r="G625" s="86"/>
      <x:c r="H625" s="86"/>
      <x:c r="I625" s="86"/>
      <x:c r="J625" s="82" t="str">
        <x:f>IF(C625="","Choose position",IF(COUNT(E625:I625)&lt;5,"",IF(OR(MIN(E625:I625)&lt;0.1,MAX(E625:I625)&gt;10),"Invalid score",IF(INDEX('Position_Rubric'!$H$6:$H$14,M625)&lt;&gt;1,"Check weights",ROUND(E625*INDEX('Position_Rubric'!$C$6:$C$14,M625)+F625*INDEX('Position_Rubric'!$D$6:$D$14,M625)+G625*INDEX('Position_Rubric'!$E$6:$E$14,M625)+H625*INDEX('Position_Rubric'!$F$6:$F$14,M625)+I625*INDEX('Position_Rubric'!$G$6:$G$14,M625),1)))))</x:f>
      </x:c>
      <x:c r="K625" s="82" t="str">
        <x:f>IF(AND(ISNUMBER(J625),ISNUMBER(D625)),J625-D625,"")</x:f>
      </x:c>
      <x:c r="L625" s="69" t="str">
        <x:f>IF(COUNT(E625:I625)&lt;5,"Needs component scores",IF(ISNUMBER(J625),"Calculated",J625))</x:f>
        <x:v>Needs component scores</x:v>
      </x:c>
      <x:c r="M625" s="69" t="n">
        <x:f>IF(C625="","",MATCH(C625,'Position_Rubric'!$A$6:$A$14,0))</x:f>
        <x:v>7</x:v>
      </x:c>
      <x:c r="N625" s="69" t="str"/>
    </x:row>
    <x:row r="626" ht="25" customHeight="1">
      <x:c r="A626" s="69" t="str">
        <x:v>summer-S26-0962</x:v>
      </x:c>
      <x:c r="B626" s="69" t="str">
        <x:v>Samuel Iling-Junior</x:v>
      </x:c>
      <x:c r="C626" s="69" t="str">
        <x:v>WINGER</x:v>
      </x:c>
      <x:c r="D626" s="82" t="str">
        <x:f>IF(ISNUMBER('Transfer_Ratings'!K626),'Transfer_Ratings'!K626,"")</x:f>
      </x:c>
      <x:c r="E626" s="86"/>
      <x:c r="F626" s="86"/>
      <x:c r="G626" s="86"/>
      <x:c r="H626" s="86"/>
      <x:c r="I626" s="86"/>
      <x:c r="J626" s="82" t="str">
        <x:f>IF(C626="","Choose position",IF(COUNT(E626:I626)&lt;5,"",IF(OR(MIN(E626:I626)&lt;0.1,MAX(E626:I626)&gt;10),"Invalid score",IF(INDEX('Position_Rubric'!$H$6:$H$14,M626)&lt;&gt;1,"Check weights",ROUND(E626*INDEX('Position_Rubric'!$C$6:$C$14,M626)+F626*INDEX('Position_Rubric'!$D$6:$D$14,M626)+G626*INDEX('Position_Rubric'!$E$6:$E$14,M626)+H626*INDEX('Position_Rubric'!$F$6:$F$14,M626)+I626*INDEX('Position_Rubric'!$G$6:$G$14,M626),1)))))</x:f>
      </x:c>
      <x:c r="K626" s="82" t="str">
        <x:f>IF(AND(ISNUMBER(J626),ISNUMBER(D626)),J626-D626,"")</x:f>
      </x:c>
      <x:c r="L626" s="69" t="str">
        <x:f>IF(COUNT(E626:I626)&lt;5,"Needs component scores",IF(ISNUMBER(J626),"Calculated",J626))</x:f>
        <x:v>Needs component scores</x:v>
      </x:c>
      <x:c r="M626" s="69" t="n">
        <x:f>IF(C626="","",MATCH(C626,'Position_Rubric'!$A$6:$A$14,0))</x:f>
        <x:v>7</x:v>
      </x:c>
      <x:c r="N626" s="69" t="str"/>
    </x:row>
    <x:row r="627" ht="25" customHeight="1">
      <x:c r="A627" s="69" t="str">
        <x:v>summer-S26-0977</x:v>
      </x:c>
      <x:c r="B627" s="69" t="str">
        <x:v>Anan Khalaili</x:v>
      </x:c>
      <x:c r="C627" s="69" t="str">
        <x:v>WINGER</x:v>
      </x:c>
      <x:c r="D627" s="82" t="str">
        <x:f>IF(ISNUMBER('Transfer_Ratings'!K627),'Transfer_Ratings'!K627,"")</x:f>
      </x:c>
      <x:c r="E627" s="86"/>
      <x:c r="F627" s="86"/>
      <x:c r="G627" s="86"/>
      <x:c r="H627" s="86"/>
      <x:c r="I627" s="86"/>
      <x:c r="J627" s="82" t="str">
        <x:f>IF(C627="","Choose position",IF(COUNT(E627:I627)&lt;5,"",IF(OR(MIN(E627:I627)&lt;0.1,MAX(E627:I627)&gt;10),"Invalid score",IF(INDEX('Position_Rubric'!$H$6:$H$14,M627)&lt;&gt;1,"Check weights",ROUND(E627*INDEX('Position_Rubric'!$C$6:$C$14,M627)+F627*INDEX('Position_Rubric'!$D$6:$D$14,M627)+G627*INDEX('Position_Rubric'!$E$6:$E$14,M627)+H627*INDEX('Position_Rubric'!$F$6:$F$14,M627)+I627*INDEX('Position_Rubric'!$G$6:$G$14,M627),1)))))</x:f>
      </x:c>
      <x:c r="K627" s="82" t="str">
        <x:f>IF(AND(ISNUMBER(J627),ISNUMBER(D627)),J627-D627,"")</x:f>
      </x:c>
      <x:c r="L627" s="69" t="str">
        <x:f>IF(COUNT(E627:I627)&lt;5,"Needs component scores",IF(ISNUMBER(J627),"Calculated",J627))</x:f>
        <x:v>Needs component scores</x:v>
      </x:c>
      <x:c r="M627" s="69" t="n">
        <x:f>IF(C627="","",MATCH(C627,'Position_Rubric'!$A$6:$A$14,0))</x:f>
        <x:v>7</x:v>
      </x:c>
      <x:c r="N627" s="69" t="str"/>
    </x:row>
    <x:row r="628" ht="25" customHeight="1">
      <x:c r="A628" s="69" t="str">
        <x:v>summer-S26-0980</x:v>
      </x:c>
      <x:c r="B628" s="69" t="str">
        <x:v>Iker Benito</x:v>
      </x:c>
      <x:c r="C628" s="69" t="str">
        <x:v>WINGER</x:v>
      </x:c>
      <x:c r="D628" s="82" t="str">
        <x:f>IF(ISNUMBER('Transfer_Ratings'!K628),'Transfer_Ratings'!K628,"")</x:f>
      </x:c>
      <x:c r="E628" s="86"/>
      <x:c r="F628" s="86"/>
      <x:c r="G628" s="86"/>
      <x:c r="H628" s="86"/>
      <x:c r="I628" s="86"/>
      <x:c r="J628" s="82" t="str">
        <x:f>IF(C628="","Choose position",IF(COUNT(E628:I628)&lt;5,"",IF(OR(MIN(E628:I628)&lt;0.1,MAX(E628:I628)&gt;10),"Invalid score",IF(INDEX('Position_Rubric'!$H$6:$H$14,M628)&lt;&gt;1,"Check weights",ROUND(E628*INDEX('Position_Rubric'!$C$6:$C$14,M628)+F628*INDEX('Position_Rubric'!$D$6:$D$14,M628)+G628*INDEX('Position_Rubric'!$E$6:$E$14,M628)+H628*INDEX('Position_Rubric'!$F$6:$F$14,M628)+I628*INDEX('Position_Rubric'!$G$6:$G$14,M628),1)))))</x:f>
      </x:c>
      <x:c r="K628" s="82" t="str">
        <x:f>IF(AND(ISNUMBER(J628),ISNUMBER(D628)),J628-D628,"")</x:f>
      </x:c>
      <x:c r="L628" s="69" t="str">
        <x:f>IF(COUNT(E628:I628)&lt;5,"Needs component scores",IF(ISNUMBER(J628),"Calculated",J628))</x:f>
        <x:v>Needs component scores</x:v>
      </x:c>
      <x:c r="M628" s="69" t="n">
        <x:f>IF(C628="","",MATCH(C628,'Position_Rubric'!$A$6:$A$14,0))</x:f>
        <x:v>7</x:v>
      </x:c>
      <x:c r="N628" s="69" t="str"/>
    </x:row>
    <x:row r="629" ht="25" customHeight="1">
      <x:c r="A629" s="69" t="str">
        <x:v>summer-S26-0984</x:v>
      </x:c>
      <x:c r="B629" s="69" t="str">
        <x:v>Mika Godts</x:v>
      </x:c>
      <x:c r="C629" s="69" t="str">
        <x:v>WINGER</x:v>
      </x:c>
      <x:c r="D629" s="82" t="str">
        <x:f>IF(ISNUMBER('Transfer_Ratings'!K629),'Transfer_Ratings'!K629,"")</x:f>
      </x:c>
      <x:c r="E629" s="86"/>
      <x:c r="F629" s="86"/>
      <x:c r="G629" s="86"/>
      <x:c r="H629" s="86"/>
      <x:c r="I629" s="86"/>
      <x:c r="J629" s="82" t="str">
        <x:f>IF(C629="","Choose position",IF(COUNT(E629:I629)&lt;5,"",IF(OR(MIN(E629:I629)&lt;0.1,MAX(E629:I629)&gt;10),"Invalid score",IF(INDEX('Position_Rubric'!$H$6:$H$14,M629)&lt;&gt;1,"Check weights",ROUND(E629*INDEX('Position_Rubric'!$C$6:$C$14,M629)+F629*INDEX('Position_Rubric'!$D$6:$D$14,M629)+G629*INDEX('Position_Rubric'!$E$6:$E$14,M629)+H629*INDEX('Position_Rubric'!$F$6:$F$14,M629)+I629*INDEX('Position_Rubric'!$G$6:$G$14,M629),1)))))</x:f>
      </x:c>
      <x:c r="K629" s="82" t="str">
        <x:f>IF(AND(ISNUMBER(J629),ISNUMBER(D629)),J629-D629,"")</x:f>
      </x:c>
      <x:c r="L629" s="69" t="str">
        <x:f>IF(COUNT(E629:I629)&lt;5,"Needs component scores",IF(ISNUMBER(J629),"Calculated",J629))</x:f>
        <x:v>Needs component scores</x:v>
      </x:c>
      <x:c r="M629" s="69" t="n">
        <x:f>IF(C629="","",MATCH(C629,'Position_Rubric'!$A$6:$A$14,0))</x:f>
        <x:v>7</x:v>
      </x:c>
      <x:c r="N629" s="69" t="str"/>
    </x:row>
    <x:row r="630" ht="25" customHeight="1">
      <x:c r="A630" s="69" t="str">
        <x:v>summer-S26-0997</x:v>
      </x:c>
      <x:c r="B630" s="69" t="str">
        <x:v>Eren Dinkci</x:v>
      </x:c>
      <x:c r="C630" s="69" t="str">
        <x:v>WINGER</x:v>
      </x:c>
      <x:c r="D630" s="82" t="str">
        <x:f>IF(ISNUMBER('Transfer_Ratings'!K630),'Transfer_Ratings'!K630,"")</x:f>
      </x:c>
      <x:c r="E630" s="86"/>
      <x:c r="F630" s="86"/>
      <x:c r="G630" s="86"/>
      <x:c r="H630" s="86"/>
      <x:c r="I630" s="86"/>
      <x:c r="J630" s="82" t="str">
        <x:f>IF(C630="","Choose position",IF(COUNT(E630:I630)&lt;5,"",IF(OR(MIN(E630:I630)&lt;0.1,MAX(E630:I630)&gt;10),"Invalid score",IF(INDEX('Position_Rubric'!$H$6:$H$14,M630)&lt;&gt;1,"Check weights",ROUND(E630*INDEX('Position_Rubric'!$C$6:$C$14,M630)+F630*INDEX('Position_Rubric'!$D$6:$D$14,M630)+G630*INDEX('Position_Rubric'!$E$6:$E$14,M630)+H630*INDEX('Position_Rubric'!$F$6:$F$14,M630)+I630*INDEX('Position_Rubric'!$G$6:$G$14,M630),1)))))</x:f>
      </x:c>
      <x:c r="K630" s="82" t="str">
        <x:f>IF(AND(ISNUMBER(J630),ISNUMBER(D630)),J630-D630,"")</x:f>
      </x:c>
      <x:c r="L630" s="69" t="str">
        <x:f>IF(COUNT(E630:I630)&lt;5,"Needs component scores",IF(ISNUMBER(J630),"Calculated",J630))</x:f>
        <x:v>Needs component scores</x:v>
      </x:c>
      <x:c r="M630" s="69" t="n">
        <x:f>IF(C630="","",MATCH(C630,'Position_Rubric'!$A$6:$A$14,0))</x:f>
        <x:v>7</x:v>
      </x:c>
      <x:c r="N630" s="69" t="str"/>
    </x:row>
    <x:row r="631" ht="25" customHeight="1">
      <x:c r="A631" s="69" t="str">
        <x:v>summer-S26-0998</x:v>
      </x:c>
      <x:c r="B631" s="69" t="str">
        <x:v>Hugo Picard</x:v>
      </x:c>
      <x:c r="C631" s="69" t="str">
        <x:v>WINGER</x:v>
      </x:c>
      <x:c r="D631" s="82" t="str">
        <x:f>IF(ISNUMBER('Transfer_Ratings'!K631),'Transfer_Ratings'!K631,"")</x:f>
      </x:c>
      <x:c r="E631" s="86"/>
      <x:c r="F631" s="86"/>
      <x:c r="G631" s="86"/>
      <x:c r="H631" s="86"/>
      <x:c r="I631" s="86"/>
      <x:c r="J631" s="82" t="str">
        <x:f>IF(C631="","Choose position",IF(COUNT(E631:I631)&lt;5,"",IF(OR(MIN(E631:I631)&lt;0.1,MAX(E631:I631)&gt;10),"Invalid score",IF(INDEX('Position_Rubric'!$H$6:$H$14,M631)&lt;&gt;1,"Check weights",ROUND(E631*INDEX('Position_Rubric'!$C$6:$C$14,M631)+F631*INDEX('Position_Rubric'!$D$6:$D$14,M631)+G631*INDEX('Position_Rubric'!$E$6:$E$14,M631)+H631*INDEX('Position_Rubric'!$F$6:$F$14,M631)+I631*INDEX('Position_Rubric'!$G$6:$G$14,M631),1)))))</x:f>
      </x:c>
      <x:c r="K631" s="82" t="str">
        <x:f>IF(AND(ISNUMBER(J631),ISNUMBER(D631)),J631-D631,"")</x:f>
      </x:c>
      <x:c r="L631" s="69" t="str">
        <x:f>IF(COUNT(E631:I631)&lt;5,"Needs component scores",IF(ISNUMBER(J631),"Calculated",J631))</x:f>
        <x:v>Needs component scores</x:v>
      </x:c>
      <x:c r="M631" s="69" t="n">
        <x:f>IF(C631="","",MATCH(C631,'Position_Rubric'!$A$6:$A$14,0))</x:f>
        <x:v>7</x:v>
      </x:c>
      <x:c r="N631" s="69" t="str"/>
    </x:row>
    <x:row r="632" ht="25" customHeight="1">
      <x:c r="A632" s="69" t="str">
        <x:v>summer-S26-1001</x:v>
      </x:c>
      <x:c r="B632" s="69" t="str">
        <x:v>Nathan Ngoumou</x:v>
      </x:c>
      <x:c r="C632" s="69" t="str">
        <x:v>WINGER</x:v>
      </x:c>
      <x:c r="D632" s="82" t="str">
        <x:f>IF(ISNUMBER('Transfer_Ratings'!K632),'Transfer_Ratings'!K632,"")</x:f>
      </x:c>
      <x:c r="E632" s="86"/>
      <x:c r="F632" s="86"/>
      <x:c r="G632" s="86"/>
      <x:c r="H632" s="86"/>
      <x:c r="I632" s="86"/>
      <x:c r="J632" s="82" t="str">
        <x:f>IF(C632="","Choose position",IF(COUNT(E632:I632)&lt;5,"",IF(OR(MIN(E632:I632)&lt;0.1,MAX(E632:I632)&gt;10),"Invalid score",IF(INDEX('Position_Rubric'!$H$6:$H$14,M632)&lt;&gt;1,"Check weights",ROUND(E632*INDEX('Position_Rubric'!$C$6:$C$14,M632)+F632*INDEX('Position_Rubric'!$D$6:$D$14,M632)+G632*INDEX('Position_Rubric'!$E$6:$E$14,M632)+H632*INDEX('Position_Rubric'!$F$6:$F$14,M632)+I632*INDEX('Position_Rubric'!$G$6:$G$14,M632),1)))))</x:f>
      </x:c>
      <x:c r="K632" s="82" t="str">
        <x:f>IF(AND(ISNUMBER(J632),ISNUMBER(D632)),J632-D632,"")</x:f>
      </x:c>
      <x:c r="L632" s="69" t="str">
        <x:f>IF(COUNT(E632:I632)&lt;5,"Needs component scores",IF(ISNUMBER(J632),"Calculated",J632))</x:f>
        <x:v>Needs component scores</x:v>
      </x:c>
      <x:c r="M632" s="69" t="n">
        <x:f>IF(C632="","",MATCH(C632,'Position_Rubric'!$A$6:$A$14,0))</x:f>
        <x:v>7</x:v>
      </x:c>
      <x:c r="N632" s="69" t="str"/>
    </x:row>
    <x:row r="633" ht="25" customHeight="1">
      <x:c r="A633" s="69" t="str">
        <x:v>summer-S26-1009</x:v>
      </x:c>
      <x:c r="B633" s="69" t="str">
        <x:v>Luigi Cherubini</x:v>
      </x:c>
      <x:c r="C633" s="69" t="str">
        <x:v>WINGER</x:v>
      </x:c>
      <x:c r="D633" s="82" t="str">
        <x:f>IF(ISNUMBER('Transfer_Ratings'!K633),'Transfer_Ratings'!K633,"")</x:f>
      </x:c>
      <x:c r="E633" s="86"/>
      <x:c r="F633" s="86"/>
      <x:c r="G633" s="86"/>
      <x:c r="H633" s="86"/>
      <x:c r="I633" s="86"/>
      <x:c r="J633" s="82" t="str">
        <x:f>IF(C633="","Choose position",IF(COUNT(E633:I633)&lt;5,"",IF(OR(MIN(E633:I633)&lt;0.1,MAX(E633:I633)&gt;10),"Invalid score",IF(INDEX('Position_Rubric'!$H$6:$H$14,M633)&lt;&gt;1,"Check weights",ROUND(E633*INDEX('Position_Rubric'!$C$6:$C$14,M633)+F633*INDEX('Position_Rubric'!$D$6:$D$14,M633)+G633*INDEX('Position_Rubric'!$E$6:$E$14,M633)+H633*INDEX('Position_Rubric'!$F$6:$F$14,M633)+I633*INDEX('Position_Rubric'!$G$6:$G$14,M633),1)))))</x:f>
      </x:c>
      <x:c r="K633" s="82" t="str">
        <x:f>IF(AND(ISNUMBER(J633),ISNUMBER(D633)),J633-D633,"")</x:f>
      </x:c>
      <x:c r="L633" s="69" t="str">
        <x:f>IF(COUNT(E633:I633)&lt;5,"Needs component scores",IF(ISNUMBER(J633),"Calculated",J633))</x:f>
        <x:v>Needs component scores</x:v>
      </x:c>
      <x:c r="M633" s="69" t="n">
        <x:f>IF(C633="","",MATCH(C633,'Position_Rubric'!$A$6:$A$14,0))</x:f>
        <x:v>7</x:v>
      </x:c>
      <x:c r="N633" s="69" t="str"/>
    </x:row>
    <x:row r="634" ht="25" customHeight="1">
      <x:c r="A634" s="69" t="str">
        <x:v>summer-S26-1011</x:v>
      </x:c>
      <x:c r="B634" s="69" t="str">
        <x:v>Joel Mvuka</x:v>
      </x:c>
      <x:c r="C634" s="69" t="str">
        <x:v>WINGER</x:v>
      </x:c>
      <x:c r="D634" s="82" t="str">
        <x:f>IF(ISNUMBER('Transfer_Ratings'!K634),'Transfer_Ratings'!K634,"")</x:f>
      </x:c>
      <x:c r="E634" s="86"/>
      <x:c r="F634" s="86"/>
      <x:c r="G634" s="86"/>
      <x:c r="H634" s="86"/>
      <x:c r="I634" s="86"/>
      <x:c r="J634" s="82" t="str">
        <x:f>IF(C634="","Choose position",IF(COUNT(E634:I634)&lt;5,"",IF(OR(MIN(E634:I634)&lt;0.1,MAX(E634:I634)&gt;10),"Invalid score",IF(INDEX('Position_Rubric'!$H$6:$H$14,M634)&lt;&gt;1,"Check weights",ROUND(E634*INDEX('Position_Rubric'!$C$6:$C$14,M634)+F634*INDEX('Position_Rubric'!$D$6:$D$14,M634)+G634*INDEX('Position_Rubric'!$E$6:$E$14,M634)+H634*INDEX('Position_Rubric'!$F$6:$F$14,M634)+I634*INDEX('Position_Rubric'!$G$6:$G$14,M634),1)))))</x:f>
      </x:c>
      <x:c r="K634" s="82" t="str">
        <x:f>IF(AND(ISNUMBER(J634),ISNUMBER(D634)),J634-D634,"")</x:f>
      </x:c>
      <x:c r="L634" s="69" t="str">
        <x:f>IF(COUNT(E634:I634)&lt;5,"Needs component scores",IF(ISNUMBER(J634),"Calculated",J634))</x:f>
        <x:v>Needs component scores</x:v>
      </x:c>
      <x:c r="M634" s="69" t="n">
        <x:f>IF(C634="","",MATCH(C634,'Position_Rubric'!$A$6:$A$14,0))</x:f>
        <x:v>7</x:v>
      </x:c>
      <x:c r="N634" s="69" t="str"/>
    </x:row>
    <x:row r="635" ht="25" customHeight="1">
      <x:c r="A635" s="69" t="str">
        <x:v>summer-S26-1014</x:v>
      </x:c>
      <x:c r="B635" s="69" t="str">
        <x:v>Gabriel Vidovic</x:v>
      </x:c>
      <x:c r="C635" s="69" t="str">
        <x:v>WINGER</x:v>
      </x:c>
      <x:c r="D635" s="82" t="str">
        <x:f>IF(ISNUMBER('Transfer_Ratings'!K635),'Transfer_Ratings'!K635,"")</x:f>
      </x:c>
      <x:c r="E635" s="86"/>
      <x:c r="F635" s="86"/>
      <x:c r="G635" s="86"/>
      <x:c r="H635" s="86"/>
      <x:c r="I635" s="86"/>
      <x:c r="J635" s="82" t="str">
        <x:f>IF(C635="","Choose position",IF(COUNT(E635:I635)&lt;5,"",IF(OR(MIN(E635:I635)&lt;0.1,MAX(E635:I635)&gt;10),"Invalid score",IF(INDEX('Position_Rubric'!$H$6:$H$14,M635)&lt;&gt;1,"Check weights",ROUND(E635*INDEX('Position_Rubric'!$C$6:$C$14,M635)+F635*INDEX('Position_Rubric'!$D$6:$D$14,M635)+G635*INDEX('Position_Rubric'!$E$6:$E$14,M635)+H635*INDEX('Position_Rubric'!$F$6:$F$14,M635)+I635*INDEX('Position_Rubric'!$G$6:$G$14,M635),1)))))</x:f>
      </x:c>
      <x:c r="K635" s="82" t="str">
        <x:f>IF(AND(ISNUMBER(J635),ISNUMBER(D635)),J635-D635,"")</x:f>
      </x:c>
      <x:c r="L635" s="69" t="str">
        <x:f>IF(COUNT(E635:I635)&lt;5,"Needs component scores",IF(ISNUMBER(J635),"Calculated",J635))</x:f>
        <x:v>Needs component scores</x:v>
      </x:c>
      <x:c r="M635" s="69" t="n">
        <x:f>IF(C635="","",MATCH(C635,'Position_Rubric'!$A$6:$A$14,0))</x:f>
        <x:v>7</x:v>
      </x:c>
      <x:c r="N635" s="69" t="str"/>
    </x:row>
    <x:row r="636" ht="25" customHeight="1">
      <x:c r="A636" s="69" t="str">
        <x:v>summer-S26-1019</x:v>
      </x:c>
      <x:c r="B636" s="69" t="str">
        <x:v>Zavier Gozo</x:v>
      </x:c>
      <x:c r="C636" s="69" t="str">
        <x:v>WINGER</x:v>
      </x:c>
      <x:c r="D636" s="82" t="str">
        <x:f>IF(ISNUMBER('Transfer_Ratings'!K636),'Transfer_Ratings'!K636,"")</x:f>
      </x:c>
      <x:c r="E636" s="86"/>
      <x:c r="F636" s="86"/>
      <x:c r="G636" s="86"/>
      <x:c r="H636" s="86"/>
      <x:c r="I636" s="86"/>
      <x:c r="J636" s="82" t="str">
        <x:f>IF(C636="","Choose position",IF(COUNT(E636:I636)&lt;5,"",IF(OR(MIN(E636:I636)&lt;0.1,MAX(E636:I636)&gt;10),"Invalid score",IF(INDEX('Position_Rubric'!$H$6:$H$14,M636)&lt;&gt;1,"Check weights",ROUND(E636*INDEX('Position_Rubric'!$C$6:$C$14,M636)+F636*INDEX('Position_Rubric'!$D$6:$D$14,M636)+G636*INDEX('Position_Rubric'!$E$6:$E$14,M636)+H636*INDEX('Position_Rubric'!$F$6:$F$14,M636)+I636*INDEX('Position_Rubric'!$G$6:$G$14,M636),1)))))</x:f>
      </x:c>
      <x:c r="K636" s="82" t="str">
        <x:f>IF(AND(ISNUMBER(J636),ISNUMBER(D636)),J636-D636,"")</x:f>
      </x:c>
      <x:c r="L636" s="69" t="str">
        <x:f>IF(COUNT(E636:I636)&lt;5,"Needs component scores",IF(ISNUMBER(J636),"Calculated",J636))</x:f>
        <x:v>Needs component scores</x:v>
      </x:c>
      <x:c r="M636" s="69" t="n">
        <x:f>IF(C636="","",MATCH(C636,'Position_Rubric'!$A$6:$A$14,0))</x:f>
        <x:v>7</x:v>
      </x:c>
      <x:c r="N636" s="69" t="str"/>
    </x:row>
    <x:row r="637" ht="25" customHeight="1">
      <x:c r="A637" s="69" t="str">
        <x:v>summer-S26-1023</x:v>
      </x:c>
      <x:c r="B637" s="69" t="str">
        <x:v>Ethan Ennis</x:v>
      </x:c>
      <x:c r="C637" s="69" t="str">
        <x:v>WINGER</x:v>
      </x:c>
      <x:c r="D637" s="82" t="str">
        <x:f>IF(ISNUMBER('Transfer_Ratings'!K637),'Transfer_Ratings'!K637,"")</x:f>
      </x:c>
      <x:c r="E637" s="86"/>
      <x:c r="F637" s="86"/>
      <x:c r="G637" s="86"/>
      <x:c r="H637" s="86"/>
      <x:c r="I637" s="86"/>
      <x:c r="J637" s="82" t="str">
        <x:f>IF(C637="","Choose position",IF(COUNT(E637:I637)&lt;5,"",IF(OR(MIN(E637:I637)&lt;0.1,MAX(E637:I637)&gt;10),"Invalid score",IF(INDEX('Position_Rubric'!$H$6:$H$14,M637)&lt;&gt;1,"Check weights",ROUND(E637*INDEX('Position_Rubric'!$C$6:$C$14,M637)+F637*INDEX('Position_Rubric'!$D$6:$D$14,M637)+G637*INDEX('Position_Rubric'!$E$6:$E$14,M637)+H637*INDEX('Position_Rubric'!$F$6:$F$14,M637)+I637*INDEX('Position_Rubric'!$G$6:$G$14,M637),1)))))</x:f>
      </x:c>
      <x:c r="K637" s="82" t="str">
        <x:f>IF(AND(ISNUMBER(J637),ISNUMBER(D637)),J637-D637,"")</x:f>
      </x:c>
      <x:c r="L637" s="69" t="str">
        <x:f>IF(COUNT(E637:I637)&lt;5,"Needs component scores",IF(ISNUMBER(J637),"Calculated",J637))</x:f>
        <x:v>Needs component scores</x:v>
      </x:c>
      <x:c r="M637" s="69" t="n">
        <x:f>IF(C637="","",MATCH(C637,'Position_Rubric'!$A$6:$A$14,0))</x:f>
        <x:v>7</x:v>
      </x:c>
      <x:c r="N637" s="69" t="str"/>
    </x:row>
    <x:row r="638" ht="25" customHeight="1">
      <x:c r="A638" s="69" t="str">
        <x:v>summer-S26-1044</x:v>
      </x:c>
      <x:c r="B638" s="69" t="str">
        <x:v>Farid Alfa-Ruprecht</x:v>
      </x:c>
      <x:c r="C638" s="69" t="str">
        <x:v>WINGER</x:v>
      </x:c>
      <x:c r="D638" s="82" t="str">
        <x:f>IF(ISNUMBER('Transfer_Ratings'!K638),'Transfer_Ratings'!K638,"")</x:f>
      </x:c>
      <x:c r="E638" s="86"/>
      <x:c r="F638" s="86"/>
      <x:c r="G638" s="86"/>
      <x:c r="H638" s="86"/>
      <x:c r="I638" s="86"/>
      <x:c r="J638" s="82" t="str">
        <x:f>IF(C638="","Choose position",IF(COUNT(E638:I638)&lt;5,"",IF(OR(MIN(E638:I638)&lt;0.1,MAX(E638:I638)&gt;10),"Invalid score",IF(INDEX('Position_Rubric'!$H$6:$H$14,M638)&lt;&gt;1,"Check weights",ROUND(E638*INDEX('Position_Rubric'!$C$6:$C$14,M638)+F638*INDEX('Position_Rubric'!$D$6:$D$14,M638)+G638*INDEX('Position_Rubric'!$E$6:$E$14,M638)+H638*INDEX('Position_Rubric'!$F$6:$F$14,M638)+I638*INDEX('Position_Rubric'!$G$6:$G$14,M638),1)))))</x:f>
      </x:c>
      <x:c r="K638" s="82" t="str">
        <x:f>IF(AND(ISNUMBER(J638),ISNUMBER(D638)),J638-D638,"")</x:f>
      </x:c>
      <x:c r="L638" s="69" t="str">
        <x:f>IF(COUNT(E638:I638)&lt;5,"Needs component scores",IF(ISNUMBER(J638),"Calculated",J638))</x:f>
        <x:v>Needs component scores</x:v>
      </x:c>
      <x:c r="M638" s="69" t="n">
        <x:f>IF(C638="","",MATCH(C638,'Position_Rubric'!$A$6:$A$14,0))</x:f>
        <x:v>7</x:v>
      </x:c>
      <x:c r="N638" s="69" t="str"/>
    </x:row>
    <x:row r="639" ht="25" customHeight="1">
      <x:c r="A639" s="69" t="str">
        <x:v>summer-S26-1048</x:v>
      </x:c>
      <x:c r="B639" s="69" t="str">
        <x:v>Kieran Morrison</x:v>
      </x:c>
      <x:c r="C639" s="69" t="str">
        <x:v>WINGER</x:v>
      </x:c>
      <x:c r="D639" s="82" t="str">
        <x:f>IF(ISNUMBER('Transfer_Ratings'!K639),'Transfer_Ratings'!K639,"")</x:f>
      </x:c>
      <x:c r="E639" s="86"/>
      <x:c r="F639" s="86"/>
      <x:c r="G639" s="86"/>
      <x:c r="H639" s="86"/>
      <x:c r="I639" s="86"/>
      <x:c r="J639" s="82" t="str">
        <x:f>IF(C639="","Choose position",IF(COUNT(E639:I639)&lt;5,"",IF(OR(MIN(E639:I639)&lt;0.1,MAX(E639:I639)&gt;10),"Invalid score",IF(INDEX('Position_Rubric'!$H$6:$H$14,M639)&lt;&gt;1,"Check weights",ROUND(E639*INDEX('Position_Rubric'!$C$6:$C$14,M639)+F639*INDEX('Position_Rubric'!$D$6:$D$14,M639)+G639*INDEX('Position_Rubric'!$E$6:$E$14,M639)+H639*INDEX('Position_Rubric'!$F$6:$F$14,M639)+I639*INDEX('Position_Rubric'!$G$6:$G$14,M639),1)))))</x:f>
      </x:c>
      <x:c r="K639" s="82" t="str">
        <x:f>IF(AND(ISNUMBER(J639),ISNUMBER(D639)),J639-D639,"")</x:f>
      </x:c>
      <x:c r="L639" s="69" t="str">
        <x:f>IF(COUNT(E639:I639)&lt;5,"Needs component scores",IF(ISNUMBER(J639),"Calculated",J639))</x:f>
        <x:v>Needs component scores</x:v>
      </x:c>
      <x:c r="M639" s="69" t="n">
        <x:f>IF(C639="","",MATCH(C639,'Position_Rubric'!$A$6:$A$14,0))</x:f>
        <x:v>7</x:v>
      </x:c>
      <x:c r="N639" s="69" t="str"/>
    </x:row>
    <x:row r="640" ht="25" customHeight="1">
      <x:c r="A640" s="69" t="str">
        <x:v>summer-S26-1062</x:v>
      </x:c>
      <x:c r="B640" s="69" t="str">
        <x:v>Alieu Fadera</x:v>
      </x:c>
      <x:c r="C640" s="69" t="str">
        <x:v>WINGER</x:v>
      </x:c>
      <x:c r="D640" s="82" t="str">
        <x:f>IF(ISNUMBER('Transfer_Ratings'!K640),'Transfer_Ratings'!K640,"")</x:f>
      </x:c>
      <x:c r="E640" s="86"/>
      <x:c r="F640" s="86"/>
      <x:c r="G640" s="86"/>
      <x:c r="H640" s="86"/>
      <x:c r="I640" s="86"/>
      <x:c r="J640" s="82" t="str">
        <x:f>IF(C640="","Choose position",IF(COUNT(E640:I640)&lt;5,"",IF(OR(MIN(E640:I640)&lt;0.1,MAX(E640:I640)&gt;10),"Invalid score",IF(INDEX('Position_Rubric'!$H$6:$H$14,M640)&lt;&gt;1,"Check weights",ROUND(E640*INDEX('Position_Rubric'!$C$6:$C$14,M640)+F640*INDEX('Position_Rubric'!$D$6:$D$14,M640)+G640*INDEX('Position_Rubric'!$E$6:$E$14,M640)+H640*INDEX('Position_Rubric'!$F$6:$F$14,M640)+I640*INDEX('Position_Rubric'!$G$6:$G$14,M640),1)))))</x:f>
      </x:c>
      <x:c r="K640" s="82" t="str">
        <x:f>IF(AND(ISNUMBER(J640),ISNUMBER(D640)),J640-D640,"")</x:f>
      </x:c>
      <x:c r="L640" s="69" t="str">
        <x:f>IF(COUNT(E640:I640)&lt;5,"Needs component scores",IF(ISNUMBER(J640),"Calculated",J640))</x:f>
        <x:v>Needs component scores</x:v>
      </x:c>
      <x:c r="M640" s="69" t="n">
        <x:f>IF(C640="","",MATCH(C640,'Position_Rubric'!$A$6:$A$14,0))</x:f>
        <x:v>7</x:v>
      </x:c>
      <x:c r="N640" s="69" t="str"/>
    </x:row>
    <x:row r="641" ht="25" customHeight="1">
      <x:c r="A641" s="69" t="str">
        <x:v>summer-S26-1084</x:v>
      </x:c>
      <x:c r="B641" s="69" t="str">
        <x:v>Antoine Joujou</x:v>
      </x:c>
      <x:c r="C641" s="69" t="str">
        <x:v>WINGER</x:v>
      </x:c>
      <x:c r="D641" s="82" t="str">
        <x:f>IF(ISNUMBER('Transfer_Ratings'!K641),'Transfer_Ratings'!K641,"")</x:f>
      </x:c>
      <x:c r="E641" s="86"/>
      <x:c r="F641" s="86"/>
      <x:c r="G641" s="86"/>
      <x:c r="H641" s="86"/>
      <x:c r="I641" s="86"/>
      <x:c r="J641" s="82" t="str">
        <x:f>IF(C641="","Choose position",IF(COUNT(E641:I641)&lt;5,"",IF(OR(MIN(E641:I641)&lt;0.1,MAX(E641:I641)&gt;10),"Invalid score",IF(INDEX('Position_Rubric'!$H$6:$H$14,M641)&lt;&gt;1,"Check weights",ROUND(E641*INDEX('Position_Rubric'!$C$6:$C$14,M641)+F641*INDEX('Position_Rubric'!$D$6:$D$14,M641)+G641*INDEX('Position_Rubric'!$E$6:$E$14,M641)+H641*INDEX('Position_Rubric'!$F$6:$F$14,M641)+I641*INDEX('Position_Rubric'!$G$6:$G$14,M641),1)))))</x:f>
      </x:c>
      <x:c r="K641" s="82" t="str">
        <x:f>IF(AND(ISNUMBER(J641),ISNUMBER(D641)),J641-D641,"")</x:f>
      </x:c>
      <x:c r="L641" s="69" t="str">
        <x:f>IF(COUNT(E641:I641)&lt;5,"Needs component scores",IF(ISNUMBER(J641),"Calculated",J641))</x:f>
        <x:v>Needs component scores</x:v>
      </x:c>
      <x:c r="M641" s="69" t="n">
        <x:f>IF(C641="","",MATCH(C641,'Position_Rubric'!$A$6:$A$14,0))</x:f>
        <x:v>7</x:v>
      </x:c>
      <x:c r="N641" s="69" t="str"/>
    </x:row>
    <x:row r="642" ht="25" customHeight="1">
      <x:c r="A642" s="69" t="str">
        <x:v>summer-S26-1103</x:v>
      </x:c>
      <x:c r="B642" s="69" t="str">
        <x:v>Ismeal Kabia</x:v>
      </x:c>
      <x:c r="C642" s="69" t="str">
        <x:v>WINGER</x:v>
      </x:c>
      <x:c r="D642" s="82" t="str">
        <x:f>IF(ISNUMBER('Transfer_Ratings'!K642),'Transfer_Ratings'!K642,"")</x:f>
      </x:c>
      <x:c r="E642" s="86"/>
      <x:c r="F642" s="86"/>
      <x:c r="G642" s="86"/>
      <x:c r="H642" s="86"/>
      <x:c r="I642" s="86"/>
      <x:c r="J642" s="82" t="str">
        <x:f>IF(C642="","Choose position",IF(COUNT(E642:I642)&lt;5,"",IF(OR(MIN(E642:I642)&lt;0.1,MAX(E642:I642)&gt;10),"Invalid score",IF(INDEX('Position_Rubric'!$H$6:$H$14,M642)&lt;&gt;1,"Check weights",ROUND(E642*INDEX('Position_Rubric'!$C$6:$C$14,M642)+F642*INDEX('Position_Rubric'!$D$6:$D$14,M642)+G642*INDEX('Position_Rubric'!$E$6:$E$14,M642)+H642*INDEX('Position_Rubric'!$F$6:$F$14,M642)+I642*INDEX('Position_Rubric'!$G$6:$G$14,M642),1)))))</x:f>
      </x:c>
      <x:c r="K642" s="82" t="str">
        <x:f>IF(AND(ISNUMBER(J642),ISNUMBER(D642)),J642-D642,"")</x:f>
      </x:c>
      <x:c r="L642" s="69" t="str">
        <x:f>IF(COUNT(E642:I642)&lt;5,"Needs component scores",IF(ISNUMBER(J642),"Calculated",J642))</x:f>
        <x:v>Needs component scores</x:v>
      </x:c>
      <x:c r="M642" s="69" t="n">
        <x:f>IF(C642="","",MATCH(C642,'Position_Rubric'!$A$6:$A$14,0))</x:f>
        <x:v>7</x:v>
      </x:c>
      <x:c r="N642" s="69" t="str"/>
    </x:row>
    <x:row r="643" ht="25" customHeight="1">
      <x:c r="A643" s="69" t="str">
        <x:v>summer-S26-1110</x:v>
      </x:c>
      <x:c r="B643" s="69" t="str">
        <x:v>Sávio</x:v>
      </x:c>
      <x:c r="C643" s="69" t="str">
        <x:v>WINGER</x:v>
      </x:c>
      <x:c r="D643" s="82" t="str">
        <x:f>IF(ISNUMBER('Transfer_Ratings'!K643),'Transfer_Ratings'!K643,"")</x:f>
      </x:c>
      <x:c r="E643" s="86"/>
      <x:c r="F643" s="86"/>
      <x:c r="G643" s="86"/>
      <x:c r="H643" s="86"/>
      <x:c r="I643" s="86"/>
      <x:c r="J643" s="82" t="str">
        <x:f>IF(C643="","Choose position",IF(COUNT(E643:I643)&lt;5,"",IF(OR(MIN(E643:I643)&lt;0.1,MAX(E643:I643)&gt;10),"Invalid score",IF(INDEX('Position_Rubric'!$H$6:$H$14,M643)&lt;&gt;1,"Check weights",ROUND(E643*INDEX('Position_Rubric'!$C$6:$C$14,M643)+F643*INDEX('Position_Rubric'!$D$6:$D$14,M643)+G643*INDEX('Position_Rubric'!$E$6:$E$14,M643)+H643*INDEX('Position_Rubric'!$F$6:$F$14,M643)+I643*INDEX('Position_Rubric'!$G$6:$G$14,M643),1)))))</x:f>
      </x:c>
      <x:c r="K643" s="82" t="str">
        <x:f>IF(AND(ISNUMBER(J643),ISNUMBER(D643)),J643-D643,"")</x:f>
      </x:c>
      <x:c r="L643" s="69" t="str">
        <x:f>IF(COUNT(E643:I643)&lt;5,"Needs component scores",IF(ISNUMBER(J643),"Calculated",J643))</x:f>
        <x:v>Needs component scores</x:v>
      </x:c>
      <x:c r="M643" s="69" t="n">
        <x:f>IF(C643="","",MATCH(C643,'Position_Rubric'!$A$6:$A$14,0))</x:f>
        <x:v>7</x:v>
      </x:c>
      <x:c r="N643" s="69" t="str"/>
    </x:row>
    <x:row r="644" ht="25" customHeight="1">
      <x:c r="A644" s="69" t="str">
        <x:v>summer-S26-1114</x:v>
      </x:c>
      <x:c r="B644" s="69" t="str">
        <x:v>Isak Jensen</x:v>
      </x:c>
      <x:c r="C644" s="69" t="str">
        <x:v>WINGER</x:v>
      </x:c>
      <x:c r="D644" s="82" t="str">
        <x:f>IF(ISNUMBER('Transfer_Ratings'!K644),'Transfer_Ratings'!K644,"")</x:f>
      </x:c>
      <x:c r="E644" s="86"/>
      <x:c r="F644" s="86"/>
      <x:c r="G644" s="86"/>
      <x:c r="H644" s="86"/>
      <x:c r="I644" s="86"/>
      <x:c r="J644" s="82" t="str">
        <x:f>IF(C644="","Choose position",IF(COUNT(E644:I644)&lt;5,"",IF(OR(MIN(E644:I644)&lt;0.1,MAX(E644:I644)&gt;10),"Invalid score",IF(INDEX('Position_Rubric'!$H$6:$H$14,M644)&lt;&gt;1,"Check weights",ROUND(E644*INDEX('Position_Rubric'!$C$6:$C$14,M644)+F644*INDEX('Position_Rubric'!$D$6:$D$14,M644)+G644*INDEX('Position_Rubric'!$E$6:$E$14,M644)+H644*INDEX('Position_Rubric'!$F$6:$F$14,M644)+I644*INDEX('Position_Rubric'!$G$6:$G$14,M644),1)))))</x:f>
      </x:c>
      <x:c r="K644" s="82" t="str">
        <x:f>IF(AND(ISNUMBER(J644),ISNUMBER(D644)),J644-D644,"")</x:f>
      </x:c>
      <x:c r="L644" s="69" t="str">
        <x:f>IF(COUNT(E644:I644)&lt;5,"Needs component scores",IF(ISNUMBER(J644),"Calculated",J644))</x:f>
        <x:v>Needs component scores</x:v>
      </x:c>
      <x:c r="M644" s="69" t="n">
        <x:f>IF(C644="","",MATCH(C644,'Position_Rubric'!$A$6:$A$14,0))</x:f>
        <x:v>7</x:v>
      </x:c>
      <x:c r="N644" s="69" t="str"/>
    </x:row>
    <x:row r="645" ht="25" customHeight="1">
      <x:c r="A645" s="69" t="str">
        <x:v>summer-S26-1125</x:v>
      </x:c>
      <x:c r="B645" s="69" t="str">
        <x:v>Dilane Bakwa</x:v>
      </x:c>
      <x:c r="C645" s="69" t="str">
        <x:v>WINGER</x:v>
      </x:c>
      <x:c r="D645" s="82" t="str">
        <x:f>IF(ISNUMBER('Transfer_Ratings'!K645),'Transfer_Ratings'!K645,"")</x:f>
      </x:c>
      <x:c r="E645" s="86"/>
      <x:c r="F645" s="86"/>
      <x:c r="G645" s="86"/>
      <x:c r="H645" s="86"/>
      <x:c r="I645" s="86"/>
      <x:c r="J645" s="82" t="str">
        <x:f>IF(C645="","Choose position",IF(COUNT(E645:I645)&lt;5,"",IF(OR(MIN(E645:I645)&lt;0.1,MAX(E645:I645)&gt;10),"Invalid score",IF(INDEX('Position_Rubric'!$H$6:$H$14,M645)&lt;&gt;1,"Check weights",ROUND(E645*INDEX('Position_Rubric'!$C$6:$C$14,M645)+F645*INDEX('Position_Rubric'!$D$6:$D$14,M645)+G645*INDEX('Position_Rubric'!$E$6:$E$14,M645)+H645*INDEX('Position_Rubric'!$F$6:$F$14,M645)+I645*INDEX('Position_Rubric'!$G$6:$G$14,M645),1)))))</x:f>
      </x:c>
      <x:c r="K645" s="82" t="str">
        <x:f>IF(AND(ISNUMBER(J645),ISNUMBER(D645)),J645-D645,"")</x:f>
      </x:c>
      <x:c r="L645" s="69" t="str">
        <x:f>IF(COUNT(E645:I645)&lt;5,"Needs component scores",IF(ISNUMBER(J645),"Calculated",J645))</x:f>
        <x:v>Needs component scores</x:v>
      </x:c>
      <x:c r="M645" s="69" t="n">
        <x:f>IF(C645="","",MATCH(C645,'Position_Rubric'!$A$6:$A$14,0))</x:f>
        <x:v>7</x:v>
      </x:c>
      <x:c r="N645" s="69" t="str"/>
    </x:row>
    <x:row r="646" ht="25" customHeight="1">
      <x:c r="A646" s="69" t="str">
        <x:v>summer-S26-1138</x:v>
      </x:c>
      <x:c r="B646" s="69" t="str">
        <x:v>Adama Traoré</x:v>
      </x:c>
      <x:c r="C646" s="69" t="str">
        <x:v>WINGER</x:v>
      </x:c>
      <x:c r="D646" s="82" t="str">
        <x:f>IF(ISNUMBER('Transfer_Ratings'!K646),'Transfer_Ratings'!K646,"")</x:f>
      </x:c>
      <x:c r="E646" s="86"/>
      <x:c r="F646" s="86"/>
      <x:c r="G646" s="86"/>
      <x:c r="H646" s="86"/>
      <x:c r="I646" s="86"/>
      <x:c r="J646" s="82" t="str">
        <x:f>IF(C646="","Choose position",IF(COUNT(E646:I646)&lt;5,"",IF(OR(MIN(E646:I646)&lt;0.1,MAX(E646:I646)&gt;10),"Invalid score",IF(INDEX('Position_Rubric'!$H$6:$H$14,M646)&lt;&gt;1,"Check weights",ROUND(E646*INDEX('Position_Rubric'!$C$6:$C$14,M646)+F646*INDEX('Position_Rubric'!$D$6:$D$14,M646)+G646*INDEX('Position_Rubric'!$E$6:$E$14,M646)+H646*INDEX('Position_Rubric'!$F$6:$F$14,M646)+I646*INDEX('Position_Rubric'!$G$6:$G$14,M646),1)))))</x:f>
      </x:c>
      <x:c r="K646" s="82" t="str">
        <x:f>IF(AND(ISNUMBER(J646),ISNUMBER(D646)),J646-D646,"")</x:f>
      </x:c>
      <x:c r="L646" s="69" t="str">
        <x:f>IF(COUNT(E646:I646)&lt;5,"Needs component scores",IF(ISNUMBER(J646),"Calculated",J646))</x:f>
        <x:v>Needs component scores</x:v>
      </x:c>
      <x:c r="M646" s="69" t="n">
        <x:f>IF(C646="","",MATCH(C646,'Position_Rubric'!$A$6:$A$14,0))</x:f>
        <x:v>7</x:v>
      </x:c>
      <x:c r="N646" s="69" t="str"/>
    </x:row>
    <x:row r="647" ht="25" customHeight="1">
      <x:c r="A647" s="69" t="str">
        <x:v>summer-S26-1141</x:v>
      </x:c>
      <x:c r="B647" s="69" t="str">
        <x:v>Mohamed-Ali Cho</x:v>
      </x:c>
      <x:c r="C647" s="69" t="str">
        <x:v>WINGER</x:v>
      </x:c>
      <x:c r="D647" s="82" t="str">
        <x:f>IF(ISNUMBER('Transfer_Ratings'!K647),'Transfer_Ratings'!K647,"")</x:f>
      </x:c>
      <x:c r="E647" s="86"/>
      <x:c r="F647" s="86"/>
      <x:c r="G647" s="86"/>
      <x:c r="H647" s="86"/>
      <x:c r="I647" s="86"/>
      <x:c r="J647" s="82" t="str">
        <x:f>IF(C647="","Choose position",IF(COUNT(E647:I647)&lt;5,"",IF(OR(MIN(E647:I647)&lt;0.1,MAX(E647:I647)&gt;10),"Invalid score",IF(INDEX('Position_Rubric'!$H$6:$H$14,M647)&lt;&gt;1,"Check weights",ROUND(E647*INDEX('Position_Rubric'!$C$6:$C$14,M647)+F647*INDEX('Position_Rubric'!$D$6:$D$14,M647)+G647*INDEX('Position_Rubric'!$E$6:$E$14,M647)+H647*INDEX('Position_Rubric'!$F$6:$F$14,M647)+I647*INDEX('Position_Rubric'!$G$6:$G$14,M647),1)))))</x:f>
      </x:c>
      <x:c r="K647" s="82" t="str">
        <x:f>IF(AND(ISNUMBER(J647),ISNUMBER(D647)),J647-D647,"")</x:f>
      </x:c>
      <x:c r="L647" s="69" t="str">
        <x:f>IF(COUNT(E647:I647)&lt;5,"Needs component scores",IF(ISNUMBER(J647),"Calculated",J647))</x:f>
        <x:v>Needs component scores</x:v>
      </x:c>
      <x:c r="M647" s="69" t="n">
        <x:f>IF(C647="","",MATCH(C647,'Position_Rubric'!$A$6:$A$14,0))</x:f>
        <x:v>7</x:v>
      </x:c>
      <x:c r="N647" s="69" t="str"/>
    </x:row>
    <x:row r="648" ht="25" customHeight="1">
      <x:c r="A648" s="69" t="str">
        <x:v>summer-S26-1145</x:v>
      </x:c>
      <x:c r="B648" s="69" t="str">
        <x:v>Bryan Zaragoza</x:v>
      </x:c>
      <x:c r="C648" s="69" t="str">
        <x:v>WINGER</x:v>
      </x:c>
      <x:c r="D648" s="82" t="str">
        <x:f>IF(ISNUMBER('Transfer_Ratings'!K648),'Transfer_Ratings'!K648,"")</x:f>
      </x:c>
      <x:c r="E648" s="86"/>
      <x:c r="F648" s="86"/>
      <x:c r="G648" s="86"/>
      <x:c r="H648" s="86"/>
      <x:c r="I648" s="86"/>
      <x:c r="J648" s="82" t="str">
        <x:f>IF(C648="","Choose position",IF(COUNT(E648:I648)&lt;5,"",IF(OR(MIN(E648:I648)&lt;0.1,MAX(E648:I648)&gt;10),"Invalid score",IF(INDEX('Position_Rubric'!$H$6:$H$14,M648)&lt;&gt;1,"Check weights",ROUND(E648*INDEX('Position_Rubric'!$C$6:$C$14,M648)+F648*INDEX('Position_Rubric'!$D$6:$D$14,M648)+G648*INDEX('Position_Rubric'!$E$6:$E$14,M648)+H648*INDEX('Position_Rubric'!$F$6:$F$14,M648)+I648*INDEX('Position_Rubric'!$G$6:$G$14,M648),1)))))</x:f>
      </x:c>
      <x:c r="K648" s="82" t="str">
        <x:f>IF(AND(ISNUMBER(J648),ISNUMBER(D648)),J648-D648,"")</x:f>
      </x:c>
      <x:c r="L648" s="69" t="str">
        <x:f>IF(COUNT(E648:I648)&lt;5,"Needs component scores",IF(ISNUMBER(J648),"Calculated",J648))</x:f>
        <x:v>Needs component scores</x:v>
      </x:c>
      <x:c r="M648" s="69" t="n">
        <x:f>IF(C648="","",MATCH(C648,'Position_Rubric'!$A$6:$A$14,0))</x:f>
        <x:v>7</x:v>
      </x:c>
      <x:c r="N648" s="69" t="str"/>
    </x:row>
    <x:row r="649" ht="25" customHeight="1">
      <x:c r="A649" s="69" t="str">
        <x:v>summer-S26-1148</x:v>
      </x:c>
      <x:c r="B649" s="69" t="str">
        <x:v>Kareem Tunde</x:v>
      </x:c>
      <x:c r="C649" s="69" t="str">
        <x:v>WINGER</x:v>
      </x:c>
      <x:c r="D649" s="82" t="str">
        <x:f>IF(ISNUMBER('Transfer_Ratings'!K649),'Transfer_Ratings'!K649,"")</x:f>
      </x:c>
      <x:c r="E649" s="86"/>
      <x:c r="F649" s="86"/>
      <x:c r="G649" s="86"/>
      <x:c r="H649" s="86"/>
      <x:c r="I649" s="86"/>
      <x:c r="J649" s="82" t="str">
        <x:f>IF(C649="","Choose position",IF(COUNT(E649:I649)&lt;5,"",IF(OR(MIN(E649:I649)&lt;0.1,MAX(E649:I649)&gt;10),"Invalid score",IF(INDEX('Position_Rubric'!$H$6:$H$14,M649)&lt;&gt;1,"Check weights",ROUND(E649*INDEX('Position_Rubric'!$C$6:$C$14,M649)+F649*INDEX('Position_Rubric'!$D$6:$D$14,M649)+G649*INDEX('Position_Rubric'!$E$6:$E$14,M649)+H649*INDEX('Position_Rubric'!$F$6:$F$14,M649)+I649*INDEX('Position_Rubric'!$G$6:$G$14,M649),1)))))</x:f>
      </x:c>
      <x:c r="K649" s="82" t="str">
        <x:f>IF(AND(ISNUMBER(J649),ISNUMBER(D649)),J649-D649,"")</x:f>
      </x:c>
      <x:c r="L649" s="69" t="str">
        <x:f>IF(COUNT(E649:I649)&lt;5,"Needs component scores",IF(ISNUMBER(J649),"Calculated",J649))</x:f>
        <x:v>Needs component scores</x:v>
      </x:c>
      <x:c r="M649" s="69" t="n">
        <x:f>IF(C649="","",MATCH(C649,'Position_Rubric'!$A$6:$A$14,0))</x:f>
        <x:v>7</x:v>
      </x:c>
      <x:c r="N649" s="69" t="str"/>
    </x:row>
    <x:row r="650" ht="25" customHeight="1">
      <x:c r="A650" s="69" t="str">
        <x:v>summer-S26-1154</x:v>
      </x:c>
      <x:c r="B650" s="69" t="str">
        <x:v>Jean-Luc Dompé</x:v>
      </x:c>
      <x:c r="C650" s="69" t="str">
        <x:v>WINGER</x:v>
      </x:c>
      <x:c r="D650" s="82" t="str">
        <x:f>IF(ISNUMBER('Transfer_Ratings'!K650),'Transfer_Ratings'!K650,"")</x:f>
      </x:c>
      <x:c r="E650" s="86"/>
      <x:c r="F650" s="86"/>
      <x:c r="G650" s="86"/>
      <x:c r="H650" s="86"/>
      <x:c r="I650" s="86"/>
      <x:c r="J650" s="82" t="str">
        <x:f>IF(C650="","Choose position",IF(COUNT(E650:I650)&lt;5,"",IF(OR(MIN(E650:I650)&lt;0.1,MAX(E650:I650)&gt;10),"Invalid score",IF(INDEX('Position_Rubric'!$H$6:$H$14,M650)&lt;&gt;1,"Check weights",ROUND(E650*INDEX('Position_Rubric'!$C$6:$C$14,M650)+F650*INDEX('Position_Rubric'!$D$6:$D$14,M650)+G650*INDEX('Position_Rubric'!$E$6:$E$14,M650)+H650*INDEX('Position_Rubric'!$F$6:$F$14,M650)+I650*INDEX('Position_Rubric'!$G$6:$G$14,M650),1)))))</x:f>
      </x:c>
      <x:c r="K650" s="82" t="str">
        <x:f>IF(AND(ISNUMBER(J650),ISNUMBER(D650)),J650-D650,"")</x:f>
      </x:c>
      <x:c r="L650" s="69" t="str">
        <x:f>IF(COUNT(E650:I650)&lt;5,"Needs component scores",IF(ISNUMBER(J650),"Calculated",J650))</x:f>
        <x:v>Needs component scores</x:v>
      </x:c>
      <x:c r="M650" s="69" t="n">
        <x:f>IF(C650="","",MATCH(C650,'Position_Rubric'!$A$6:$A$14,0))</x:f>
        <x:v>7</x:v>
      </x:c>
      <x:c r="N650" s="69" t="str"/>
    </x:row>
    <x:row r="651" ht="25" customHeight="1">
      <x:c r="A651" s="69" t="str">
        <x:v>summer-S26-1175</x:v>
      </x:c>
      <x:c r="B651" s="69" t="str">
        <x:v>Cyril Ngonge</x:v>
      </x:c>
      <x:c r="C651" s="69" t="str">
        <x:v>WINGER</x:v>
      </x:c>
      <x:c r="D651" s="82" t="str">
        <x:f>IF(ISNUMBER('Transfer_Ratings'!K651),'Transfer_Ratings'!K651,"")</x:f>
      </x:c>
      <x:c r="E651" s="86"/>
      <x:c r="F651" s="86"/>
      <x:c r="G651" s="86"/>
      <x:c r="H651" s="86"/>
      <x:c r="I651" s="86"/>
      <x:c r="J651" s="82" t="str">
        <x:f>IF(C651="","Choose position",IF(COUNT(E651:I651)&lt;5,"",IF(OR(MIN(E651:I651)&lt;0.1,MAX(E651:I651)&gt;10),"Invalid score",IF(INDEX('Position_Rubric'!$H$6:$H$14,M651)&lt;&gt;1,"Check weights",ROUND(E651*INDEX('Position_Rubric'!$C$6:$C$14,M651)+F651*INDEX('Position_Rubric'!$D$6:$D$14,M651)+G651*INDEX('Position_Rubric'!$E$6:$E$14,M651)+H651*INDEX('Position_Rubric'!$F$6:$F$14,M651)+I651*INDEX('Position_Rubric'!$G$6:$G$14,M651),1)))))</x:f>
      </x:c>
      <x:c r="K651" s="82" t="str">
        <x:f>IF(AND(ISNUMBER(J651),ISNUMBER(D651)),J651-D651,"")</x:f>
      </x:c>
      <x:c r="L651" s="69" t="str">
        <x:f>IF(COUNT(E651:I651)&lt;5,"Needs component scores",IF(ISNUMBER(J651),"Calculated",J651))</x:f>
        <x:v>Needs component scores</x:v>
      </x:c>
      <x:c r="M651" s="69" t="n">
        <x:f>IF(C651="","",MATCH(C651,'Position_Rubric'!$A$6:$A$14,0))</x:f>
        <x:v>7</x:v>
      </x:c>
      <x:c r="N651" s="69" t="str"/>
    </x:row>
    <x:row r="652" ht="25" customHeight="1">
      <x:c r="A652" s="69" t="str">
        <x:v>summer-S26-1176</x:v>
      </x:c>
      <x:c r="B652" s="69" t="str">
        <x:v>Reiss Nelson</x:v>
      </x:c>
      <x:c r="C652" s="69" t="str">
        <x:v>WINGER</x:v>
      </x:c>
      <x:c r="D652" s="82" t="str">
        <x:f>IF(ISNUMBER('Transfer_Ratings'!K652),'Transfer_Ratings'!K652,"")</x:f>
      </x:c>
      <x:c r="E652" s="86"/>
      <x:c r="F652" s="86"/>
      <x:c r="G652" s="86"/>
      <x:c r="H652" s="86"/>
      <x:c r="I652" s="86"/>
      <x:c r="J652" s="82" t="str">
        <x:f>IF(C652="","Choose position",IF(COUNT(E652:I652)&lt;5,"",IF(OR(MIN(E652:I652)&lt;0.1,MAX(E652:I652)&gt;10),"Invalid score",IF(INDEX('Position_Rubric'!$H$6:$H$14,M652)&lt;&gt;1,"Check weights",ROUND(E652*INDEX('Position_Rubric'!$C$6:$C$14,M652)+F652*INDEX('Position_Rubric'!$D$6:$D$14,M652)+G652*INDEX('Position_Rubric'!$E$6:$E$14,M652)+H652*INDEX('Position_Rubric'!$F$6:$F$14,M652)+I652*INDEX('Position_Rubric'!$G$6:$G$14,M652),1)))))</x:f>
      </x:c>
      <x:c r="K652" s="82" t="str">
        <x:f>IF(AND(ISNUMBER(J652),ISNUMBER(D652)),J652-D652,"")</x:f>
      </x:c>
      <x:c r="L652" s="69" t="str">
        <x:f>IF(COUNT(E652:I652)&lt;5,"Needs component scores",IF(ISNUMBER(J652),"Calculated",J652))</x:f>
        <x:v>Needs component scores</x:v>
      </x:c>
      <x:c r="M652" s="69" t="n">
        <x:f>IF(C652="","",MATCH(C652,'Position_Rubric'!$A$6:$A$14,0))</x:f>
        <x:v>7</x:v>
      </x:c>
      <x:c r="N652" s="69" t="str"/>
    </x:row>
    <x:row r="653" ht="25" customHeight="1">
      <x:c r="A653" s="69" t="str">
        <x:v>summer-S26-1182</x:v>
      </x:c>
      <x:c r="B653" s="69" t="str">
        <x:v>Couhaib Driouech</x:v>
      </x:c>
      <x:c r="C653" s="69" t="str">
        <x:v>WINGER</x:v>
      </x:c>
      <x:c r="D653" s="82" t="str">
        <x:f>IF(ISNUMBER('Transfer_Ratings'!K653),'Transfer_Ratings'!K653,"")</x:f>
      </x:c>
      <x:c r="E653" s="86"/>
      <x:c r="F653" s="86"/>
      <x:c r="G653" s="86"/>
      <x:c r="H653" s="86"/>
      <x:c r="I653" s="86"/>
      <x:c r="J653" s="82" t="str">
        <x:f>IF(C653="","Choose position",IF(COUNT(E653:I653)&lt;5,"",IF(OR(MIN(E653:I653)&lt;0.1,MAX(E653:I653)&gt;10),"Invalid score",IF(INDEX('Position_Rubric'!$H$6:$H$14,M653)&lt;&gt;1,"Check weights",ROUND(E653*INDEX('Position_Rubric'!$C$6:$C$14,M653)+F653*INDEX('Position_Rubric'!$D$6:$D$14,M653)+G653*INDEX('Position_Rubric'!$E$6:$E$14,M653)+H653*INDEX('Position_Rubric'!$F$6:$F$14,M653)+I653*INDEX('Position_Rubric'!$G$6:$G$14,M653),1)))))</x:f>
      </x:c>
      <x:c r="K653" s="82" t="str">
        <x:f>IF(AND(ISNUMBER(J653),ISNUMBER(D653)),J653-D653,"")</x:f>
      </x:c>
      <x:c r="L653" s="69" t="str">
        <x:f>IF(COUNT(E653:I653)&lt;5,"Needs component scores",IF(ISNUMBER(J653),"Calculated",J653))</x:f>
        <x:v>Needs component scores</x:v>
      </x:c>
      <x:c r="M653" s="69" t="n">
        <x:f>IF(C653="","",MATCH(C653,'Position_Rubric'!$A$6:$A$14,0))</x:f>
        <x:v>7</x:v>
      </x:c>
      <x:c r="N653" s="69" t="str"/>
    </x:row>
    <x:row r="654" ht="25" customHeight="1">
      <x:c r="A654" s="69" t="str">
        <x:v>summer-S26-1183</x:v>
      </x:c>
      <x:c r="B654" s="69" t="str">
        <x:v>Álex Sancris</x:v>
      </x:c>
      <x:c r="C654" s="69" t="str">
        <x:v>WINGER</x:v>
      </x:c>
      <x:c r="D654" s="82" t="str">
        <x:f>IF(ISNUMBER('Transfer_Ratings'!K654),'Transfer_Ratings'!K654,"")</x:f>
      </x:c>
      <x:c r="E654" s="86"/>
      <x:c r="F654" s="86"/>
      <x:c r="G654" s="86"/>
      <x:c r="H654" s="86"/>
      <x:c r="I654" s="86"/>
      <x:c r="J654" s="82" t="str">
        <x:f>IF(C654="","Choose position",IF(COUNT(E654:I654)&lt;5,"",IF(OR(MIN(E654:I654)&lt;0.1,MAX(E654:I654)&gt;10),"Invalid score",IF(INDEX('Position_Rubric'!$H$6:$H$14,M654)&lt;&gt;1,"Check weights",ROUND(E654*INDEX('Position_Rubric'!$C$6:$C$14,M654)+F654*INDEX('Position_Rubric'!$D$6:$D$14,M654)+G654*INDEX('Position_Rubric'!$E$6:$E$14,M654)+H654*INDEX('Position_Rubric'!$F$6:$F$14,M654)+I654*INDEX('Position_Rubric'!$G$6:$G$14,M654),1)))))</x:f>
      </x:c>
      <x:c r="K654" s="82" t="str">
        <x:f>IF(AND(ISNUMBER(J654),ISNUMBER(D654)),J654-D654,"")</x:f>
      </x:c>
      <x:c r="L654" s="69" t="str">
        <x:f>IF(COUNT(E654:I654)&lt;5,"Needs component scores",IF(ISNUMBER(J654),"Calculated",J654))</x:f>
        <x:v>Needs component scores</x:v>
      </x:c>
      <x:c r="M654" s="69" t="n">
        <x:f>IF(C654="","",MATCH(C654,'Position_Rubric'!$A$6:$A$14,0))</x:f>
        <x:v>7</x:v>
      </x:c>
      <x:c r="N654" s="69" t="str"/>
    </x:row>
    <x:row r="655" ht="25" customHeight="1">
      <x:c r="A655" s="69" t="str">
        <x:v>summer-S26-1184</x:v>
      </x:c>
      <x:c r="B655" s="69" t="str">
        <x:v>Ernest Poku</x:v>
      </x:c>
      <x:c r="C655" s="69" t="str">
        <x:v>WINGER</x:v>
      </x:c>
      <x:c r="D655" s="82" t="str">
        <x:f>IF(ISNUMBER('Transfer_Ratings'!K655),'Transfer_Ratings'!K655,"")</x:f>
      </x:c>
      <x:c r="E655" s="86"/>
      <x:c r="F655" s="86"/>
      <x:c r="G655" s="86"/>
      <x:c r="H655" s="86"/>
      <x:c r="I655" s="86"/>
      <x:c r="J655" s="82" t="str">
        <x:f>IF(C655="","Choose position",IF(COUNT(E655:I655)&lt;5,"",IF(OR(MIN(E655:I655)&lt;0.1,MAX(E655:I655)&gt;10),"Invalid score",IF(INDEX('Position_Rubric'!$H$6:$H$14,M655)&lt;&gt;1,"Check weights",ROUND(E655*INDEX('Position_Rubric'!$C$6:$C$14,M655)+F655*INDEX('Position_Rubric'!$D$6:$D$14,M655)+G655*INDEX('Position_Rubric'!$E$6:$E$14,M655)+H655*INDEX('Position_Rubric'!$F$6:$F$14,M655)+I655*INDEX('Position_Rubric'!$G$6:$G$14,M655),1)))))</x:f>
      </x:c>
      <x:c r="K655" s="82" t="str">
        <x:f>IF(AND(ISNUMBER(J655),ISNUMBER(D655)),J655-D655,"")</x:f>
      </x:c>
      <x:c r="L655" s="69" t="str">
        <x:f>IF(COUNT(E655:I655)&lt;5,"Needs component scores",IF(ISNUMBER(J655),"Calculated",J655))</x:f>
        <x:v>Needs component scores</x:v>
      </x:c>
      <x:c r="M655" s="69" t="n">
        <x:f>IF(C655="","",MATCH(C655,'Position_Rubric'!$A$6:$A$14,0))</x:f>
        <x:v>7</x:v>
      </x:c>
      <x:c r="N655" s="69" t="str"/>
    </x:row>
    <x:row r="656" ht="25" customHeight="1">
      <x:c r="A656" s="69" t="str">
        <x:v>summer-S26-1187</x:v>
      </x:c>
      <x:c r="B656" s="69" t="str">
        <x:v>Youssoupha Niang</x:v>
      </x:c>
      <x:c r="C656" s="69" t="str">
        <x:v>WINGER</x:v>
      </x:c>
      <x:c r="D656" s="82" t="str">
        <x:f>IF(ISNUMBER('Transfer_Ratings'!K656),'Transfer_Ratings'!K656,"")</x:f>
      </x:c>
      <x:c r="E656" s="86"/>
      <x:c r="F656" s="86"/>
      <x:c r="G656" s="86"/>
      <x:c r="H656" s="86"/>
      <x:c r="I656" s="86"/>
      <x:c r="J656" s="82" t="str">
        <x:f>IF(C656="","Choose position",IF(COUNT(E656:I656)&lt;5,"",IF(OR(MIN(E656:I656)&lt;0.1,MAX(E656:I656)&gt;10),"Invalid score",IF(INDEX('Position_Rubric'!$H$6:$H$14,M656)&lt;&gt;1,"Check weights",ROUND(E656*INDEX('Position_Rubric'!$C$6:$C$14,M656)+F656*INDEX('Position_Rubric'!$D$6:$D$14,M656)+G656*INDEX('Position_Rubric'!$E$6:$E$14,M656)+H656*INDEX('Position_Rubric'!$F$6:$F$14,M656)+I656*INDEX('Position_Rubric'!$G$6:$G$14,M656),1)))))</x:f>
      </x:c>
      <x:c r="K656" s="82" t="str">
        <x:f>IF(AND(ISNUMBER(J656),ISNUMBER(D656)),J656-D656,"")</x:f>
      </x:c>
      <x:c r="L656" s="69" t="str">
        <x:f>IF(COUNT(E656:I656)&lt;5,"Needs component scores",IF(ISNUMBER(J656),"Calculated",J656))</x:f>
        <x:v>Needs component scores</x:v>
      </x:c>
      <x:c r="M656" s="69" t="n">
        <x:f>IF(C656="","",MATCH(C656,'Position_Rubric'!$A$6:$A$14,0))</x:f>
        <x:v>7</x:v>
      </x:c>
      <x:c r="N656" s="69" t="str"/>
    </x:row>
    <x:row r="657" ht="25" customHeight="1">
      <x:c r="A657" s="69" t="str">
        <x:v>summer-S26-1189</x:v>
      </x:c>
      <x:c r="B657" s="69" t="str">
        <x:v>Rafael Leão</x:v>
      </x:c>
      <x:c r="C657" s="69" t="str">
        <x:v>WINGER</x:v>
      </x:c>
      <x:c r="D657" s="82" t="str">
        <x:f>IF(ISNUMBER('Transfer_Ratings'!K657),'Transfer_Ratings'!K657,"")</x:f>
      </x:c>
      <x:c r="E657" s="86"/>
      <x:c r="F657" s="86"/>
      <x:c r="G657" s="86"/>
      <x:c r="H657" s="86"/>
      <x:c r="I657" s="86"/>
      <x:c r="J657" s="82" t="str">
        <x:f>IF(C657="","Choose position",IF(COUNT(E657:I657)&lt;5,"",IF(OR(MIN(E657:I657)&lt;0.1,MAX(E657:I657)&gt;10),"Invalid score",IF(INDEX('Position_Rubric'!$H$6:$H$14,M657)&lt;&gt;1,"Check weights",ROUND(E657*INDEX('Position_Rubric'!$C$6:$C$14,M657)+F657*INDEX('Position_Rubric'!$D$6:$D$14,M657)+G657*INDEX('Position_Rubric'!$E$6:$E$14,M657)+H657*INDEX('Position_Rubric'!$F$6:$F$14,M657)+I657*INDEX('Position_Rubric'!$G$6:$G$14,M657),1)))))</x:f>
      </x:c>
      <x:c r="K657" s="82" t="str">
        <x:f>IF(AND(ISNUMBER(J657),ISNUMBER(D657)),J657-D657,"")</x:f>
      </x:c>
      <x:c r="L657" s="69" t="str">
        <x:f>IF(COUNT(E657:I657)&lt;5,"Needs component scores",IF(ISNUMBER(J657),"Calculated",J657))</x:f>
        <x:v>Needs component scores</x:v>
      </x:c>
      <x:c r="M657" s="69" t="n">
        <x:f>IF(C657="","",MATCH(C657,'Position_Rubric'!$A$6:$A$14,0))</x:f>
        <x:v>7</x:v>
      </x:c>
      <x:c r="N657" s="69" t="str"/>
    </x:row>
    <x:row r="658" ht="25" customHeight="1">
      <x:c r="A658" s="69" t="str">
        <x:v>summer-S26-1202</x:v>
      </x:c>
      <x:c r="B658" s="69" t="str">
        <x:v>Riccardo Ciervo</x:v>
      </x:c>
      <x:c r="C658" s="69" t="str">
        <x:v>WINGER</x:v>
      </x:c>
      <x:c r="D658" s="82" t="str">
        <x:f>IF(ISNUMBER('Transfer_Ratings'!K658),'Transfer_Ratings'!K658,"")</x:f>
      </x:c>
      <x:c r="E658" s="86"/>
      <x:c r="F658" s="86"/>
      <x:c r="G658" s="86"/>
      <x:c r="H658" s="86"/>
      <x:c r="I658" s="86"/>
      <x:c r="J658" s="82" t="str">
        <x:f>IF(C658="","Choose position",IF(COUNT(E658:I658)&lt;5,"",IF(OR(MIN(E658:I658)&lt;0.1,MAX(E658:I658)&gt;10),"Invalid score",IF(INDEX('Position_Rubric'!$H$6:$H$14,M658)&lt;&gt;1,"Check weights",ROUND(E658*INDEX('Position_Rubric'!$C$6:$C$14,M658)+F658*INDEX('Position_Rubric'!$D$6:$D$14,M658)+G658*INDEX('Position_Rubric'!$E$6:$E$14,M658)+H658*INDEX('Position_Rubric'!$F$6:$F$14,M658)+I658*INDEX('Position_Rubric'!$G$6:$G$14,M658),1)))))</x:f>
      </x:c>
      <x:c r="K658" s="82" t="str">
        <x:f>IF(AND(ISNUMBER(J658),ISNUMBER(D658)),J658-D658,"")</x:f>
      </x:c>
      <x:c r="L658" s="69" t="str">
        <x:f>IF(COUNT(E658:I658)&lt;5,"Needs component scores",IF(ISNUMBER(J658),"Calculated",J658))</x:f>
        <x:v>Needs component scores</x:v>
      </x:c>
      <x:c r="M658" s="69" t="n">
        <x:f>IF(C658="","",MATCH(C658,'Position_Rubric'!$A$6:$A$14,0))</x:f>
        <x:v>7</x:v>
      </x:c>
      <x:c r="N658" s="69" t="str"/>
    </x:row>
    <x:row r="659" ht="25" customHeight="1">
      <x:c r="A659" s="69" t="str">
        <x:v>summer-S26-1214</x:v>
      </x:c>
      <x:c r="B659" s="69" t="str">
        <x:v>Oso</x:v>
      </x:c>
      <x:c r="C659" s="69" t="str">
        <x:v>WINGER</x:v>
      </x:c>
      <x:c r="D659" s="82" t="str">
        <x:f>IF(ISNUMBER('Transfer_Ratings'!K659),'Transfer_Ratings'!K659,"")</x:f>
      </x:c>
      <x:c r="E659" s="86"/>
      <x:c r="F659" s="86"/>
      <x:c r="G659" s="86"/>
      <x:c r="H659" s="86"/>
      <x:c r="I659" s="86"/>
      <x:c r="J659" s="82" t="str">
        <x:f>IF(C659="","Choose position",IF(COUNT(E659:I659)&lt;5,"",IF(OR(MIN(E659:I659)&lt;0.1,MAX(E659:I659)&gt;10),"Invalid score",IF(INDEX('Position_Rubric'!$H$6:$H$14,M659)&lt;&gt;1,"Check weights",ROUND(E659*INDEX('Position_Rubric'!$C$6:$C$14,M659)+F659*INDEX('Position_Rubric'!$D$6:$D$14,M659)+G659*INDEX('Position_Rubric'!$E$6:$E$14,M659)+H659*INDEX('Position_Rubric'!$F$6:$F$14,M659)+I659*INDEX('Position_Rubric'!$G$6:$G$14,M659),1)))))</x:f>
      </x:c>
      <x:c r="K659" s="82" t="str">
        <x:f>IF(AND(ISNUMBER(J659),ISNUMBER(D659)),J659-D659,"")</x:f>
      </x:c>
      <x:c r="L659" s="69" t="str">
        <x:f>IF(COUNT(E659:I659)&lt;5,"Needs component scores",IF(ISNUMBER(J659),"Calculated",J659))</x:f>
        <x:v>Needs component scores</x:v>
      </x:c>
      <x:c r="M659" s="69" t="n">
        <x:f>IF(C659="","",MATCH(C659,'Position_Rubric'!$A$6:$A$14,0))</x:f>
        <x:v>7</x:v>
      </x:c>
      <x:c r="N659" s="69" t="str"/>
    </x:row>
    <x:row r="660" ht="25" customHeight="1">
      <x:c r="A660" s="69" t="str">
        <x:v>summer-S26-1229</x:v>
      </x:c>
      <x:c r="B660" s="69" t="str">
        <x:v>Allan</x:v>
      </x:c>
      <x:c r="C660" s="69" t="str">
        <x:v>WINGER</x:v>
      </x:c>
      <x:c r="D660" s="82" t="str">
        <x:f>IF(ISNUMBER('Transfer_Ratings'!K660),'Transfer_Ratings'!K660,"")</x:f>
      </x:c>
      <x:c r="E660" s="86"/>
      <x:c r="F660" s="86"/>
      <x:c r="G660" s="86"/>
      <x:c r="H660" s="86"/>
      <x:c r="I660" s="86"/>
      <x:c r="J660" s="82" t="str">
        <x:f>IF(C660="","Choose position",IF(COUNT(E660:I660)&lt;5,"",IF(OR(MIN(E660:I660)&lt;0.1,MAX(E660:I660)&gt;10),"Invalid score",IF(INDEX('Position_Rubric'!$H$6:$H$14,M660)&lt;&gt;1,"Check weights",ROUND(E660*INDEX('Position_Rubric'!$C$6:$C$14,M660)+F660*INDEX('Position_Rubric'!$D$6:$D$14,M660)+G660*INDEX('Position_Rubric'!$E$6:$E$14,M660)+H660*INDEX('Position_Rubric'!$F$6:$F$14,M660)+I660*INDEX('Position_Rubric'!$G$6:$G$14,M660),1)))))</x:f>
      </x:c>
      <x:c r="K660" s="82" t="str">
        <x:f>IF(AND(ISNUMBER(J660),ISNUMBER(D660)),J660-D660,"")</x:f>
      </x:c>
      <x:c r="L660" s="69" t="str">
        <x:f>IF(COUNT(E660:I660)&lt;5,"Needs component scores",IF(ISNUMBER(J660),"Calculated",J660))</x:f>
        <x:v>Needs component scores</x:v>
      </x:c>
      <x:c r="M660" s="69" t="n">
        <x:f>IF(C660="","",MATCH(C660,'Position_Rubric'!$A$6:$A$14,0))</x:f>
        <x:v>7</x:v>
      </x:c>
      <x:c r="N660" s="69" t="str"/>
    </x:row>
    <x:row r="661" ht="25" customHeight="1">
      <x:c r="A661" s="69" t="str">
        <x:v>summer-S26-1235</x:v>
      </x:c>
      <x:c r="B661" s="69" t="str">
        <x:v>Joel Catesby</x:v>
      </x:c>
      <x:c r="C661" s="69" t="str">
        <x:v>WINGER</x:v>
      </x:c>
      <x:c r="D661" s="82" t="str">
        <x:f>IF(ISNUMBER('Transfer_Ratings'!K661),'Transfer_Ratings'!K661,"")</x:f>
      </x:c>
      <x:c r="E661" s="86"/>
      <x:c r="F661" s="86"/>
      <x:c r="G661" s="86"/>
      <x:c r="H661" s="86"/>
      <x:c r="I661" s="86"/>
      <x:c r="J661" s="82" t="str">
        <x:f>IF(C661="","Choose position",IF(COUNT(E661:I661)&lt;5,"",IF(OR(MIN(E661:I661)&lt;0.1,MAX(E661:I661)&gt;10),"Invalid score",IF(INDEX('Position_Rubric'!$H$6:$H$14,M661)&lt;&gt;1,"Check weights",ROUND(E661*INDEX('Position_Rubric'!$C$6:$C$14,M661)+F661*INDEX('Position_Rubric'!$D$6:$D$14,M661)+G661*INDEX('Position_Rubric'!$E$6:$E$14,M661)+H661*INDEX('Position_Rubric'!$F$6:$F$14,M661)+I661*INDEX('Position_Rubric'!$G$6:$G$14,M661),1)))))</x:f>
      </x:c>
      <x:c r="K661" s="82" t="str">
        <x:f>IF(AND(ISNUMBER(J661),ISNUMBER(D661)),J661-D661,"")</x:f>
      </x:c>
      <x:c r="L661" s="69" t="str">
        <x:f>IF(COUNT(E661:I661)&lt;5,"Needs component scores",IF(ISNUMBER(J661),"Calculated",J661))</x:f>
        <x:v>Needs component scores</x:v>
      </x:c>
      <x:c r="M661" s="69" t="n">
        <x:f>IF(C661="","",MATCH(C661,'Position_Rubric'!$A$6:$A$14,0))</x:f>
        <x:v>7</x:v>
      </x:c>
      <x:c r="N661" s="69" t="str"/>
    </x:row>
    <x:row r="662" ht="25" customHeight="1">
      <x:c r="A662" s="69" t="str">
        <x:v>summer-S26-1237</x:v>
      </x:c>
      <x:c r="B662" s="69" t="str">
        <x:v>Omari Hutchinson</x:v>
      </x:c>
      <x:c r="C662" s="69" t="str">
        <x:v>WINGER</x:v>
      </x:c>
      <x:c r="D662" s="82" t="str">
        <x:f>IF(ISNUMBER('Transfer_Ratings'!K662),'Transfer_Ratings'!K662,"")</x:f>
      </x:c>
      <x:c r="E662" s="86"/>
      <x:c r="F662" s="86"/>
      <x:c r="G662" s="86"/>
      <x:c r="H662" s="86"/>
      <x:c r="I662" s="86"/>
      <x:c r="J662" s="82" t="str">
        <x:f>IF(C662="","Choose position",IF(COUNT(E662:I662)&lt;5,"",IF(OR(MIN(E662:I662)&lt;0.1,MAX(E662:I662)&gt;10),"Invalid score",IF(INDEX('Position_Rubric'!$H$6:$H$14,M662)&lt;&gt;1,"Check weights",ROUND(E662*INDEX('Position_Rubric'!$C$6:$C$14,M662)+F662*INDEX('Position_Rubric'!$D$6:$D$14,M662)+G662*INDEX('Position_Rubric'!$E$6:$E$14,M662)+H662*INDEX('Position_Rubric'!$F$6:$F$14,M662)+I662*INDEX('Position_Rubric'!$G$6:$G$14,M662),1)))))</x:f>
      </x:c>
      <x:c r="K662" s="82" t="str">
        <x:f>IF(AND(ISNUMBER(J662),ISNUMBER(D662)),J662-D662,"")</x:f>
      </x:c>
      <x:c r="L662" s="69" t="str">
        <x:f>IF(COUNT(E662:I662)&lt;5,"Needs component scores",IF(ISNUMBER(J662),"Calculated",J662))</x:f>
        <x:v>Needs component scores</x:v>
      </x:c>
      <x:c r="M662" s="69" t="n">
        <x:f>IF(C662="","",MATCH(C662,'Position_Rubric'!$A$6:$A$14,0))</x:f>
        <x:v>7</x:v>
      </x:c>
      <x:c r="N662" s="69" t="str"/>
    </x:row>
    <x:row r="663" ht="25" customHeight="1">
      <x:c r="A663" s="69" t="str">
        <x:v>summer-S26-1244</x:v>
      </x:c>
      <x:c r="B663" s="69" t="str">
        <x:v>Romain Del Castillo</x:v>
      </x:c>
      <x:c r="C663" s="69" t="str">
        <x:v>WINGER</x:v>
      </x:c>
      <x:c r="D663" s="82" t="str">
        <x:f>IF(ISNUMBER('Transfer_Ratings'!K663),'Transfer_Ratings'!K663,"")</x:f>
      </x:c>
      <x:c r="E663" s="86"/>
      <x:c r="F663" s="86"/>
      <x:c r="G663" s="86"/>
      <x:c r="H663" s="86"/>
      <x:c r="I663" s="86"/>
      <x:c r="J663" s="82" t="str">
        <x:f>IF(C663="","Choose position",IF(COUNT(E663:I663)&lt;5,"",IF(OR(MIN(E663:I663)&lt;0.1,MAX(E663:I663)&gt;10),"Invalid score",IF(INDEX('Position_Rubric'!$H$6:$H$14,M663)&lt;&gt;1,"Check weights",ROUND(E663*INDEX('Position_Rubric'!$C$6:$C$14,M663)+F663*INDEX('Position_Rubric'!$D$6:$D$14,M663)+G663*INDEX('Position_Rubric'!$E$6:$E$14,M663)+H663*INDEX('Position_Rubric'!$F$6:$F$14,M663)+I663*INDEX('Position_Rubric'!$G$6:$G$14,M663),1)))))</x:f>
      </x:c>
      <x:c r="K663" s="82" t="str">
        <x:f>IF(AND(ISNUMBER(J663),ISNUMBER(D663)),J663-D663,"")</x:f>
      </x:c>
      <x:c r="L663" s="69" t="str">
        <x:f>IF(COUNT(E663:I663)&lt;5,"Needs component scores",IF(ISNUMBER(J663),"Calculated",J663))</x:f>
        <x:v>Needs component scores</x:v>
      </x:c>
      <x:c r="M663" s="69" t="n">
        <x:f>IF(C663="","",MATCH(C663,'Position_Rubric'!$A$6:$A$14,0))</x:f>
        <x:v>7</x:v>
      </x:c>
      <x:c r="N663" s="69" t="str"/>
    </x:row>
    <x:row r="664" ht="25" customHeight="1">
      <x:c r="A664" s="69" t="str">
        <x:v>summer-S26-1261</x:v>
      </x:c>
      <x:c r="B664" s="69" t="str">
        <x:v>Mikey Moore</x:v>
      </x:c>
      <x:c r="C664" s="69" t="str">
        <x:v>WINGER</x:v>
      </x:c>
      <x:c r="D664" s="82" t="str">
        <x:f>IF(ISNUMBER('Transfer_Ratings'!K664),'Transfer_Ratings'!K664,"")</x:f>
      </x:c>
      <x:c r="E664" s="86"/>
      <x:c r="F664" s="86"/>
      <x:c r="G664" s="86"/>
      <x:c r="H664" s="86"/>
      <x:c r="I664" s="86"/>
      <x:c r="J664" s="82" t="str">
        <x:f>IF(C664="","Choose position",IF(COUNT(E664:I664)&lt;5,"",IF(OR(MIN(E664:I664)&lt;0.1,MAX(E664:I664)&gt;10),"Invalid score",IF(INDEX('Position_Rubric'!$H$6:$H$14,M664)&lt;&gt;1,"Check weights",ROUND(E664*INDEX('Position_Rubric'!$C$6:$C$14,M664)+F664*INDEX('Position_Rubric'!$D$6:$D$14,M664)+G664*INDEX('Position_Rubric'!$E$6:$E$14,M664)+H664*INDEX('Position_Rubric'!$F$6:$F$14,M664)+I664*INDEX('Position_Rubric'!$G$6:$G$14,M664),1)))))</x:f>
      </x:c>
      <x:c r="K664" s="82" t="str">
        <x:f>IF(AND(ISNUMBER(J664),ISNUMBER(D664)),J664-D664,"")</x:f>
      </x:c>
      <x:c r="L664" s="69" t="str">
        <x:f>IF(COUNT(E664:I664)&lt;5,"Needs component scores",IF(ISNUMBER(J664),"Calculated",J664))</x:f>
        <x:v>Needs component scores</x:v>
      </x:c>
      <x:c r="M664" s="69" t="n">
        <x:f>IF(C664="","",MATCH(C664,'Position_Rubric'!$A$6:$A$14,0))</x:f>
        <x:v>7</x:v>
      </x:c>
      <x:c r="N664" s="69" t="str"/>
    </x:row>
    <x:row r="665" ht="25" customHeight="1">
      <x:c r="A665" s="69" t="str">
        <x:v>summer-S26-1271</x:v>
      </x:c>
      <x:c r="B665" s="69" t="str">
        <x:v>Marko Farji</x:v>
      </x:c>
      <x:c r="C665" s="69" t="str">
        <x:v>WINGER</x:v>
      </x:c>
      <x:c r="D665" s="82" t="str">
        <x:f>IF(ISNUMBER('Transfer_Ratings'!K665),'Transfer_Ratings'!K665,"")</x:f>
      </x:c>
      <x:c r="E665" s="86"/>
      <x:c r="F665" s="86"/>
      <x:c r="G665" s="86"/>
      <x:c r="H665" s="86"/>
      <x:c r="I665" s="86"/>
      <x:c r="J665" s="82" t="str">
        <x:f>IF(C665="","Choose position",IF(COUNT(E665:I665)&lt;5,"",IF(OR(MIN(E665:I665)&lt;0.1,MAX(E665:I665)&gt;10),"Invalid score",IF(INDEX('Position_Rubric'!$H$6:$H$14,M665)&lt;&gt;1,"Check weights",ROUND(E665*INDEX('Position_Rubric'!$C$6:$C$14,M665)+F665*INDEX('Position_Rubric'!$D$6:$D$14,M665)+G665*INDEX('Position_Rubric'!$E$6:$E$14,M665)+H665*INDEX('Position_Rubric'!$F$6:$F$14,M665)+I665*INDEX('Position_Rubric'!$G$6:$G$14,M665),1)))))</x:f>
      </x:c>
      <x:c r="K665" s="82" t="str">
        <x:f>IF(AND(ISNUMBER(J665),ISNUMBER(D665)),J665-D665,"")</x:f>
      </x:c>
      <x:c r="L665" s="69" t="str">
        <x:f>IF(COUNT(E665:I665)&lt;5,"Needs component scores",IF(ISNUMBER(J665),"Calculated",J665))</x:f>
        <x:v>Needs component scores</x:v>
      </x:c>
      <x:c r="M665" s="69" t="n">
        <x:f>IF(C665="","",MATCH(C665,'Position_Rubric'!$A$6:$A$14,0))</x:f>
        <x:v>7</x:v>
      </x:c>
      <x:c r="N665" s="69" t="str"/>
    </x:row>
    <x:row r="666" ht="25" customHeight="1">
      <x:c r="A666" s="69" t="str">
        <x:v>summer-S26-1274</x:v>
      </x:c>
      <x:c r="B666" s="69" t="str">
        <x:v>Moussa Diaby</x:v>
      </x:c>
      <x:c r="C666" s="69" t="str">
        <x:v>WINGER</x:v>
      </x:c>
      <x:c r="D666" s="82" t="str">
        <x:f>IF(ISNUMBER('Transfer_Ratings'!K666),'Transfer_Ratings'!K666,"")</x:f>
      </x:c>
      <x:c r="E666" s="86"/>
      <x:c r="F666" s="86"/>
      <x:c r="G666" s="86"/>
      <x:c r="H666" s="86"/>
      <x:c r="I666" s="86"/>
      <x:c r="J666" s="82" t="str">
        <x:f>IF(C666="","Choose position",IF(COUNT(E666:I666)&lt;5,"",IF(OR(MIN(E666:I666)&lt;0.1,MAX(E666:I666)&gt;10),"Invalid score",IF(INDEX('Position_Rubric'!$H$6:$H$14,M666)&lt;&gt;1,"Check weights",ROUND(E666*INDEX('Position_Rubric'!$C$6:$C$14,M666)+F666*INDEX('Position_Rubric'!$D$6:$D$14,M666)+G666*INDEX('Position_Rubric'!$E$6:$E$14,M666)+H666*INDEX('Position_Rubric'!$F$6:$F$14,M666)+I666*INDEX('Position_Rubric'!$G$6:$G$14,M666),1)))))</x:f>
      </x:c>
      <x:c r="K666" s="82" t="str">
        <x:f>IF(AND(ISNUMBER(J666),ISNUMBER(D666)),J666-D666,"")</x:f>
      </x:c>
      <x:c r="L666" s="69" t="str">
        <x:f>IF(COUNT(E666:I666)&lt;5,"Needs component scores",IF(ISNUMBER(J666),"Calculated",J666))</x:f>
        <x:v>Needs component scores</x:v>
      </x:c>
      <x:c r="M666" s="69" t="n">
        <x:f>IF(C666="","",MATCH(C666,'Position_Rubric'!$A$6:$A$14,0))</x:f>
        <x:v>7</x:v>
      </x:c>
      <x:c r="N666" s="69" t="str"/>
    </x:row>
    <x:row r="667" ht="25" customHeight="1">
      <x:c r="A667" s="69" t="str">
        <x:v>summer-S26-1278</x:v>
      </x:c>
      <x:c r="B667" s="69" t="str">
        <x:v>Jérémy Hatchi</x:v>
      </x:c>
      <x:c r="C667" s="69" t="str">
        <x:v>WINGER</x:v>
      </x:c>
      <x:c r="D667" s="82" t="str">
        <x:f>IF(ISNUMBER('Transfer_Ratings'!K667),'Transfer_Ratings'!K667,"")</x:f>
      </x:c>
      <x:c r="E667" s="86"/>
      <x:c r="F667" s="86"/>
      <x:c r="G667" s="86"/>
      <x:c r="H667" s="86"/>
      <x:c r="I667" s="86"/>
      <x:c r="J667" s="82" t="str">
        <x:f>IF(C667="","Choose position",IF(COUNT(E667:I667)&lt;5,"",IF(OR(MIN(E667:I667)&lt;0.1,MAX(E667:I667)&gt;10),"Invalid score",IF(INDEX('Position_Rubric'!$H$6:$H$14,M667)&lt;&gt;1,"Check weights",ROUND(E667*INDEX('Position_Rubric'!$C$6:$C$14,M667)+F667*INDEX('Position_Rubric'!$D$6:$D$14,M667)+G667*INDEX('Position_Rubric'!$E$6:$E$14,M667)+H667*INDEX('Position_Rubric'!$F$6:$F$14,M667)+I667*INDEX('Position_Rubric'!$G$6:$G$14,M667),1)))))</x:f>
      </x:c>
      <x:c r="K667" s="82" t="str">
        <x:f>IF(AND(ISNUMBER(J667),ISNUMBER(D667)),J667-D667,"")</x:f>
      </x:c>
      <x:c r="L667" s="69" t="str">
        <x:f>IF(COUNT(E667:I667)&lt;5,"Needs component scores",IF(ISNUMBER(J667),"Calculated",J667))</x:f>
        <x:v>Needs component scores</x:v>
      </x:c>
      <x:c r="M667" s="69" t="n">
        <x:f>IF(C667="","",MATCH(C667,'Position_Rubric'!$A$6:$A$14,0))</x:f>
        <x:v>7</x:v>
      </x:c>
      <x:c r="N667" s="69" t="str"/>
    </x:row>
    <x:row r="668" ht="25" customHeight="1">
      <x:c r="A668" s="69" t="str">
        <x:v>summer-S26-1284</x:v>
      </x:c>
      <x:c r="B668" s="69" t="str">
        <x:v>Largie Ramazani</x:v>
      </x:c>
      <x:c r="C668" s="69" t="str">
        <x:v>WINGER</x:v>
      </x:c>
      <x:c r="D668" s="82" t="str">
        <x:f>IF(ISNUMBER('Transfer_Ratings'!K668),'Transfer_Ratings'!K668,"")</x:f>
      </x:c>
      <x:c r="E668" s="86"/>
      <x:c r="F668" s="86"/>
      <x:c r="G668" s="86"/>
      <x:c r="H668" s="86"/>
      <x:c r="I668" s="86"/>
      <x:c r="J668" s="82" t="str">
        <x:f>IF(C668="","Choose position",IF(COUNT(E668:I668)&lt;5,"",IF(OR(MIN(E668:I668)&lt;0.1,MAX(E668:I668)&gt;10),"Invalid score",IF(INDEX('Position_Rubric'!$H$6:$H$14,M668)&lt;&gt;1,"Check weights",ROUND(E668*INDEX('Position_Rubric'!$C$6:$C$14,M668)+F668*INDEX('Position_Rubric'!$D$6:$D$14,M668)+G668*INDEX('Position_Rubric'!$E$6:$E$14,M668)+H668*INDEX('Position_Rubric'!$F$6:$F$14,M668)+I668*INDEX('Position_Rubric'!$G$6:$G$14,M668),1)))))</x:f>
      </x:c>
      <x:c r="K668" s="82" t="str">
        <x:f>IF(AND(ISNUMBER(J668),ISNUMBER(D668)),J668-D668,"")</x:f>
      </x:c>
      <x:c r="L668" s="69" t="str">
        <x:f>IF(COUNT(E668:I668)&lt;5,"Needs component scores",IF(ISNUMBER(J668),"Calculated",J668))</x:f>
        <x:v>Needs component scores</x:v>
      </x:c>
      <x:c r="M668" s="69" t="n">
        <x:f>IF(C668="","",MATCH(C668,'Position_Rubric'!$A$6:$A$14,0))</x:f>
        <x:v>7</x:v>
      </x:c>
      <x:c r="N668" s="69" t="str"/>
    </x:row>
    <x:row r="669" ht="25" customHeight="1">
      <x:c r="A669" s="69" t="str">
        <x:v>summer-S26-1292</x:v>
      </x:c>
      <x:c r="B669" s="69" t="str">
        <x:v>Emir Sahiti</x:v>
      </x:c>
      <x:c r="C669" s="69" t="str">
        <x:v>WINGER</x:v>
      </x:c>
      <x:c r="D669" s="82" t="str">
        <x:f>IF(ISNUMBER('Transfer_Ratings'!K669),'Transfer_Ratings'!K669,"")</x:f>
      </x:c>
      <x:c r="E669" s="86"/>
      <x:c r="F669" s="86"/>
      <x:c r="G669" s="86"/>
      <x:c r="H669" s="86"/>
      <x:c r="I669" s="86"/>
      <x:c r="J669" s="82" t="str">
        <x:f>IF(C669="","Choose position",IF(COUNT(E669:I669)&lt;5,"",IF(OR(MIN(E669:I669)&lt;0.1,MAX(E669:I669)&gt;10),"Invalid score",IF(INDEX('Position_Rubric'!$H$6:$H$14,M669)&lt;&gt;1,"Check weights",ROUND(E669*INDEX('Position_Rubric'!$C$6:$C$14,M669)+F669*INDEX('Position_Rubric'!$D$6:$D$14,M669)+G669*INDEX('Position_Rubric'!$E$6:$E$14,M669)+H669*INDEX('Position_Rubric'!$F$6:$F$14,M669)+I669*INDEX('Position_Rubric'!$G$6:$G$14,M669),1)))))</x:f>
      </x:c>
      <x:c r="K669" s="82" t="str">
        <x:f>IF(AND(ISNUMBER(J669),ISNUMBER(D669)),J669-D669,"")</x:f>
      </x:c>
      <x:c r="L669" s="69" t="str">
        <x:f>IF(COUNT(E669:I669)&lt;5,"Needs component scores",IF(ISNUMBER(J669),"Calculated",J669))</x:f>
        <x:v>Needs component scores</x:v>
      </x:c>
      <x:c r="M669" s="69" t="n">
        <x:f>IF(C669="","",MATCH(C669,'Position_Rubric'!$A$6:$A$14,0))</x:f>
        <x:v>7</x:v>
      </x:c>
      <x:c r="N669" s="69" t="str"/>
    </x:row>
    <x:row r="670" ht="25" customHeight="1">
      <x:c r="A670" s="69" t="str">
        <x:v>summer-S26-1299</x:v>
      </x:c>
      <x:c r="B670" s="69" t="str">
        <x:v>Robinho Junior</x:v>
      </x:c>
      <x:c r="C670" s="69" t="str">
        <x:v>WINGER</x:v>
      </x:c>
      <x:c r="D670" s="82" t="str">
        <x:f>IF(ISNUMBER('Transfer_Ratings'!K670),'Transfer_Ratings'!K670,"")</x:f>
      </x:c>
      <x:c r="E670" s="86"/>
      <x:c r="F670" s="86"/>
      <x:c r="G670" s="86"/>
      <x:c r="H670" s="86"/>
      <x:c r="I670" s="86"/>
      <x:c r="J670" s="82" t="str">
        <x:f>IF(C670="","Choose position",IF(COUNT(E670:I670)&lt;5,"",IF(OR(MIN(E670:I670)&lt;0.1,MAX(E670:I670)&gt;10),"Invalid score",IF(INDEX('Position_Rubric'!$H$6:$H$14,M670)&lt;&gt;1,"Check weights",ROUND(E670*INDEX('Position_Rubric'!$C$6:$C$14,M670)+F670*INDEX('Position_Rubric'!$D$6:$D$14,M670)+G670*INDEX('Position_Rubric'!$E$6:$E$14,M670)+H670*INDEX('Position_Rubric'!$F$6:$F$14,M670)+I670*INDEX('Position_Rubric'!$G$6:$G$14,M670),1)))))</x:f>
      </x:c>
      <x:c r="K670" s="82" t="str">
        <x:f>IF(AND(ISNUMBER(J670),ISNUMBER(D670)),J670-D670,"")</x:f>
      </x:c>
      <x:c r="L670" s="69" t="str">
        <x:f>IF(COUNT(E670:I670)&lt;5,"Needs component scores",IF(ISNUMBER(J670),"Calculated",J670))</x:f>
        <x:v>Needs component scores</x:v>
      </x:c>
      <x:c r="M670" s="69" t="n">
        <x:f>IF(C670="","",MATCH(C670,'Position_Rubric'!$A$6:$A$14,0))</x:f>
        <x:v>7</x:v>
      </x:c>
      <x:c r="N670" s="69" t="str"/>
    </x:row>
    <x:row r="671" ht="25" customHeight="1">
      <x:c r="A671" s="69" t="str">
        <x:v>summer-S26-1302</x:v>
      </x:c>
      <x:c r="B671" s="69" t="str">
        <x:v>Samuel Mbangula</x:v>
      </x:c>
      <x:c r="C671" s="69" t="str">
        <x:v>WINGER</x:v>
      </x:c>
      <x:c r="D671" s="82" t="str">
        <x:f>IF(ISNUMBER('Transfer_Ratings'!K671),'Transfer_Ratings'!K671,"")</x:f>
      </x:c>
      <x:c r="E671" s="86"/>
      <x:c r="F671" s="86"/>
      <x:c r="G671" s="86"/>
      <x:c r="H671" s="86"/>
      <x:c r="I671" s="86"/>
      <x:c r="J671" s="82" t="str">
        <x:f>IF(C671="","Choose position",IF(COUNT(E671:I671)&lt;5,"",IF(OR(MIN(E671:I671)&lt;0.1,MAX(E671:I671)&gt;10),"Invalid score",IF(INDEX('Position_Rubric'!$H$6:$H$14,M671)&lt;&gt;1,"Check weights",ROUND(E671*INDEX('Position_Rubric'!$C$6:$C$14,M671)+F671*INDEX('Position_Rubric'!$D$6:$D$14,M671)+G671*INDEX('Position_Rubric'!$E$6:$E$14,M671)+H671*INDEX('Position_Rubric'!$F$6:$F$14,M671)+I671*INDEX('Position_Rubric'!$G$6:$G$14,M671),1)))))</x:f>
      </x:c>
      <x:c r="K671" s="82" t="str">
        <x:f>IF(AND(ISNUMBER(J671),ISNUMBER(D671)),J671-D671,"")</x:f>
      </x:c>
      <x:c r="L671" s="69" t="str">
        <x:f>IF(COUNT(E671:I671)&lt;5,"Needs component scores",IF(ISNUMBER(J671),"Calculated",J671))</x:f>
        <x:v>Needs component scores</x:v>
      </x:c>
      <x:c r="M671" s="69" t="n">
        <x:f>IF(C671="","",MATCH(C671,'Position_Rubric'!$A$6:$A$14,0))</x:f>
        <x:v>7</x:v>
      </x:c>
      <x:c r="N671" s="69" t="str"/>
    </x:row>
    <x:row r="672" ht="25" customHeight="1">
      <x:c r="A672" s="69" t="str">
        <x:v>summer-S26-1303</x:v>
      </x:c>
      <x:c r="B672" s="69" t="str">
        <x:v>Tudor Mendel</x:v>
      </x:c>
      <x:c r="C672" s="69" t="str">
        <x:v>WINGER</x:v>
      </x:c>
      <x:c r="D672" s="82" t="str">
        <x:f>IF(ISNUMBER('Transfer_Ratings'!K672),'Transfer_Ratings'!K672,"")</x:f>
      </x:c>
      <x:c r="E672" s="86"/>
      <x:c r="F672" s="86"/>
      <x:c r="G672" s="86"/>
      <x:c r="H672" s="86"/>
      <x:c r="I672" s="86"/>
      <x:c r="J672" s="82" t="str">
        <x:f>IF(C672="","Choose position",IF(COUNT(E672:I672)&lt;5,"",IF(OR(MIN(E672:I672)&lt;0.1,MAX(E672:I672)&gt;10),"Invalid score",IF(INDEX('Position_Rubric'!$H$6:$H$14,M672)&lt;&gt;1,"Check weights",ROUND(E672*INDEX('Position_Rubric'!$C$6:$C$14,M672)+F672*INDEX('Position_Rubric'!$D$6:$D$14,M672)+G672*INDEX('Position_Rubric'!$E$6:$E$14,M672)+H672*INDEX('Position_Rubric'!$F$6:$F$14,M672)+I672*INDEX('Position_Rubric'!$G$6:$G$14,M672),1)))))</x:f>
      </x:c>
      <x:c r="K672" s="82" t="str">
        <x:f>IF(AND(ISNUMBER(J672),ISNUMBER(D672)),J672-D672,"")</x:f>
      </x:c>
      <x:c r="L672" s="69" t="str">
        <x:f>IF(COUNT(E672:I672)&lt;5,"Needs component scores",IF(ISNUMBER(J672),"Calculated",J672))</x:f>
        <x:v>Needs component scores</x:v>
      </x:c>
      <x:c r="M672" s="69" t="n">
        <x:f>IF(C672="","",MATCH(C672,'Position_Rubric'!$A$6:$A$14,0))</x:f>
        <x:v>7</x:v>
      </x:c>
      <x:c r="N672" s="69" t="str"/>
    </x:row>
    <x:row r="673" ht="25" customHeight="1">
      <x:c r="A673" s="69" t="str">
        <x:v>summer-S26-1308</x:v>
      </x:c>
      <x:c r="B673" s="69" t="str">
        <x:v>Caylan Vickers</x:v>
      </x:c>
      <x:c r="C673" s="69" t="str">
        <x:v>WINGER</x:v>
      </x:c>
      <x:c r="D673" s="82" t="str">
        <x:f>IF(ISNUMBER('Transfer_Ratings'!K673),'Transfer_Ratings'!K673,"")</x:f>
      </x:c>
      <x:c r="E673" s="86"/>
      <x:c r="F673" s="86"/>
      <x:c r="G673" s="86"/>
      <x:c r="H673" s="86"/>
      <x:c r="I673" s="86"/>
      <x:c r="J673" s="82" t="str">
        <x:f>IF(C673="","Choose position",IF(COUNT(E673:I673)&lt;5,"",IF(OR(MIN(E673:I673)&lt;0.1,MAX(E673:I673)&gt;10),"Invalid score",IF(INDEX('Position_Rubric'!$H$6:$H$14,M673)&lt;&gt;1,"Check weights",ROUND(E673*INDEX('Position_Rubric'!$C$6:$C$14,M673)+F673*INDEX('Position_Rubric'!$D$6:$D$14,M673)+G673*INDEX('Position_Rubric'!$E$6:$E$14,M673)+H673*INDEX('Position_Rubric'!$F$6:$F$14,M673)+I673*INDEX('Position_Rubric'!$G$6:$G$14,M673),1)))))</x:f>
      </x:c>
      <x:c r="K673" s="82" t="str">
        <x:f>IF(AND(ISNUMBER(J673),ISNUMBER(D673)),J673-D673,"")</x:f>
      </x:c>
      <x:c r="L673" s="69" t="str">
        <x:f>IF(COUNT(E673:I673)&lt;5,"Needs component scores",IF(ISNUMBER(J673),"Calculated",J673))</x:f>
        <x:v>Needs component scores</x:v>
      </x:c>
      <x:c r="M673" s="69" t="n">
        <x:f>IF(C673="","",MATCH(C673,'Position_Rubric'!$A$6:$A$14,0))</x:f>
        <x:v>7</x:v>
      </x:c>
      <x:c r="N673" s="69" t="str"/>
    </x:row>
    <x:row r="674" ht="25" customHeight="1">
      <x:c r="A674" s="69" t="str">
        <x:v>summer-S26-1318</x:v>
      </x:c>
      <x:c r="B674" s="69" t="str">
        <x:v>Nicolas Kühn</x:v>
      </x:c>
      <x:c r="C674" s="69" t="str">
        <x:v>WINGER</x:v>
      </x:c>
      <x:c r="D674" s="82" t="str">
        <x:f>IF(ISNUMBER('Transfer_Ratings'!K674),'Transfer_Ratings'!K674,"")</x:f>
      </x:c>
      <x:c r="E674" s="86"/>
      <x:c r="F674" s="86"/>
      <x:c r="G674" s="86"/>
      <x:c r="H674" s="86"/>
      <x:c r="I674" s="86"/>
      <x:c r="J674" s="82" t="str">
        <x:f>IF(C674="","Choose position",IF(COUNT(E674:I674)&lt;5,"",IF(OR(MIN(E674:I674)&lt;0.1,MAX(E674:I674)&gt;10),"Invalid score",IF(INDEX('Position_Rubric'!$H$6:$H$14,M674)&lt;&gt;1,"Check weights",ROUND(E674*INDEX('Position_Rubric'!$C$6:$C$14,M674)+F674*INDEX('Position_Rubric'!$D$6:$D$14,M674)+G674*INDEX('Position_Rubric'!$E$6:$E$14,M674)+H674*INDEX('Position_Rubric'!$F$6:$F$14,M674)+I674*INDEX('Position_Rubric'!$G$6:$G$14,M674),1)))))</x:f>
      </x:c>
      <x:c r="K674" s="82" t="str">
        <x:f>IF(AND(ISNUMBER(J674),ISNUMBER(D674)),J674-D674,"")</x:f>
      </x:c>
      <x:c r="L674" s="69" t="str">
        <x:f>IF(COUNT(E674:I674)&lt;5,"Needs component scores",IF(ISNUMBER(J674),"Calculated",J674))</x:f>
        <x:v>Needs component scores</x:v>
      </x:c>
      <x:c r="M674" s="69" t="n">
        <x:f>IF(C674="","",MATCH(C674,'Position_Rubric'!$A$6:$A$14,0))</x:f>
        <x:v>7</x:v>
      </x:c>
      <x:c r="N674" s="69" t="str"/>
    </x:row>
    <x:row r="675" ht="25" customHeight="1">
      <x:c r="A675" s="69" t="str">
        <x:v>summer-S26-1324</x:v>
      </x:c>
      <x:c r="B675" s="69" t="str">
        <x:v>Félix Correia</x:v>
      </x:c>
      <x:c r="C675" s="69" t="str">
        <x:v>WINGER</x:v>
      </x:c>
      <x:c r="D675" s="82" t="str">
        <x:f>IF(ISNUMBER('Transfer_Ratings'!K675),'Transfer_Ratings'!K675,"")</x:f>
      </x:c>
      <x:c r="E675" s="86"/>
      <x:c r="F675" s="86"/>
      <x:c r="G675" s="86"/>
      <x:c r="H675" s="86"/>
      <x:c r="I675" s="86"/>
      <x:c r="J675" s="82" t="str">
        <x:f>IF(C675="","Choose position",IF(COUNT(E675:I675)&lt;5,"",IF(OR(MIN(E675:I675)&lt;0.1,MAX(E675:I675)&gt;10),"Invalid score",IF(INDEX('Position_Rubric'!$H$6:$H$14,M675)&lt;&gt;1,"Check weights",ROUND(E675*INDEX('Position_Rubric'!$C$6:$C$14,M675)+F675*INDEX('Position_Rubric'!$D$6:$D$14,M675)+G675*INDEX('Position_Rubric'!$E$6:$E$14,M675)+H675*INDEX('Position_Rubric'!$F$6:$F$14,M675)+I675*INDEX('Position_Rubric'!$G$6:$G$14,M675),1)))))</x:f>
      </x:c>
      <x:c r="K675" s="82" t="str">
        <x:f>IF(AND(ISNUMBER(J675),ISNUMBER(D675)),J675-D675,"")</x:f>
      </x:c>
      <x:c r="L675" s="69" t="str">
        <x:f>IF(COUNT(E675:I675)&lt;5,"Needs component scores",IF(ISNUMBER(J675),"Calculated",J675))</x:f>
        <x:v>Needs component scores</x:v>
      </x:c>
      <x:c r="M675" s="69" t="n">
        <x:f>IF(C675="","",MATCH(C675,'Position_Rubric'!$A$6:$A$14,0))</x:f>
        <x:v>7</x:v>
      </x:c>
      <x:c r="N675" s="69" t="str"/>
    </x:row>
    <x:row r="676" ht="25" customHeight="1">
      <x:c r="A676" s="69" t="str">
        <x:v>summer-S26-1341</x:v>
      </x:c>
      <x:c r="B676" s="69" t="str">
        <x:v>Ayodele Thomas</x:v>
      </x:c>
      <x:c r="C676" s="69" t="str">
        <x:v>WINGER</x:v>
      </x:c>
      <x:c r="D676" s="82" t="str">
        <x:f>IF(ISNUMBER('Transfer_Ratings'!K676),'Transfer_Ratings'!K676,"")</x:f>
      </x:c>
      <x:c r="E676" s="86"/>
      <x:c r="F676" s="86"/>
      <x:c r="G676" s="86"/>
      <x:c r="H676" s="86"/>
      <x:c r="I676" s="86"/>
      <x:c r="J676" s="82" t="str">
        <x:f>IF(C676="","Choose position",IF(COUNT(E676:I676)&lt;5,"",IF(OR(MIN(E676:I676)&lt;0.1,MAX(E676:I676)&gt;10),"Invalid score",IF(INDEX('Position_Rubric'!$H$6:$H$14,M676)&lt;&gt;1,"Check weights",ROUND(E676*INDEX('Position_Rubric'!$C$6:$C$14,M676)+F676*INDEX('Position_Rubric'!$D$6:$D$14,M676)+G676*INDEX('Position_Rubric'!$E$6:$E$14,M676)+H676*INDEX('Position_Rubric'!$F$6:$F$14,M676)+I676*INDEX('Position_Rubric'!$G$6:$G$14,M676),1)))))</x:f>
      </x:c>
      <x:c r="K676" s="82" t="str">
        <x:f>IF(AND(ISNUMBER(J676),ISNUMBER(D676)),J676-D676,"")</x:f>
      </x:c>
      <x:c r="L676" s="69" t="str">
        <x:f>IF(COUNT(E676:I676)&lt;5,"Needs component scores",IF(ISNUMBER(J676),"Calculated",J676))</x:f>
        <x:v>Needs component scores</x:v>
      </x:c>
      <x:c r="M676" s="69" t="n">
        <x:f>IF(C676="","",MATCH(C676,'Position_Rubric'!$A$6:$A$14,0))</x:f>
        <x:v>7</x:v>
      </x:c>
      <x:c r="N676" s="69" t="str"/>
    </x:row>
    <x:row r="677" ht="25" customHeight="1">
      <x:c r="A677" s="69" t="str">
        <x:v>summer-S26-1342</x:v>
      </x:c>
      <x:c r="B677" s="69" t="str">
        <x:v>Exequiel Zeballos</x:v>
      </x:c>
      <x:c r="C677" s="69" t="str">
        <x:v>WINGER</x:v>
      </x:c>
      <x:c r="D677" s="82" t="str">
        <x:f>IF(ISNUMBER('Transfer_Ratings'!K677),'Transfer_Ratings'!K677,"")</x:f>
      </x:c>
      <x:c r="E677" s="86"/>
      <x:c r="F677" s="86"/>
      <x:c r="G677" s="86"/>
      <x:c r="H677" s="86"/>
      <x:c r="I677" s="86"/>
      <x:c r="J677" s="82" t="str">
        <x:f>IF(C677="","Choose position",IF(COUNT(E677:I677)&lt;5,"",IF(OR(MIN(E677:I677)&lt;0.1,MAX(E677:I677)&gt;10),"Invalid score",IF(INDEX('Position_Rubric'!$H$6:$H$14,M677)&lt;&gt;1,"Check weights",ROUND(E677*INDEX('Position_Rubric'!$C$6:$C$14,M677)+F677*INDEX('Position_Rubric'!$D$6:$D$14,M677)+G677*INDEX('Position_Rubric'!$E$6:$E$14,M677)+H677*INDEX('Position_Rubric'!$F$6:$F$14,M677)+I677*INDEX('Position_Rubric'!$G$6:$G$14,M677),1)))))</x:f>
      </x:c>
      <x:c r="K677" s="82" t="str">
        <x:f>IF(AND(ISNUMBER(J677),ISNUMBER(D677)),J677-D677,"")</x:f>
      </x:c>
      <x:c r="L677" s="69" t="str">
        <x:f>IF(COUNT(E677:I677)&lt;5,"Needs component scores",IF(ISNUMBER(J677),"Calculated",J677))</x:f>
        <x:v>Needs component scores</x:v>
      </x:c>
      <x:c r="M677" s="69" t="n">
        <x:f>IF(C677="","",MATCH(C677,'Position_Rubric'!$A$6:$A$14,0))</x:f>
        <x:v>7</x:v>
      </x:c>
      <x:c r="N677" s="69" t="str"/>
    </x:row>
    <x:row r="678" ht="25" customHeight="1">
      <x:c r="A678" s="69" t="str">
        <x:v>summer-S26-1348</x:v>
      </x:c>
      <x:c r="B678" s="69" t="str">
        <x:v>Liam Millar</x:v>
      </x:c>
      <x:c r="C678" s="69" t="str">
        <x:v>WINGER</x:v>
      </x:c>
      <x:c r="D678" s="82" t="str">
        <x:f>IF(ISNUMBER('Transfer_Ratings'!K678),'Transfer_Ratings'!K678,"")</x:f>
      </x:c>
      <x:c r="E678" s="86"/>
      <x:c r="F678" s="86"/>
      <x:c r="G678" s="86"/>
      <x:c r="H678" s="86"/>
      <x:c r="I678" s="86"/>
      <x:c r="J678" s="82" t="str">
        <x:f>IF(C678="","Choose position",IF(COUNT(E678:I678)&lt;5,"",IF(OR(MIN(E678:I678)&lt;0.1,MAX(E678:I678)&gt;10),"Invalid score",IF(INDEX('Position_Rubric'!$H$6:$H$14,M678)&lt;&gt;1,"Check weights",ROUND(E678*INDEX('Position_Rubric'!$C$6:$C$14,M678)+F678*INDEX('Position_Rubric'!$D$6:$D$14,M678)+G678*INDEX('Position_Rubric'!$E$6:$E$14,M678)+H678*INDEX('Position_Rubric'!$F$6:$F$14,M678)+I678*INDEX('Position_Rubric'!$G$6:$G$14,M678),1)))))</x:f>
      </x:c>
      <x:c r="K678" s="82" t="str">
        <x:f>IF(AND(ISNUMBER(J678),ISNUMBER(D678)),J678-D678,"")</x:f>
      </x:c>
      <x:c r="L678" s="69" t="str">
        <x:f>IF(COUNT(E678:I678)&lt;5,"Needs component scores",IF(ISNUMBER(J678),"Calculated",J678))</x:f>
        <x:v>Needs component scores</x:v>
      </x:c>
      <x:c r="M678" s="69" t="n">
        <x:f>IF(C678="","",MATCH(C678,'Position_Rubric'!$A$6:$A$14,0))</x:f>
        <x:v>7</x:v>
      </x:c>
      <x:c r="N678" s="69" t="str"/>
    </x:row>
    <x:row r="679" ht="25" customHeight="1">
      <x:c r="A679" s="69" t="str">
        <x:v>summer-S26-1350</x:v>
      </x:c>
      <x:c r="B679" s="69" t="str">
        <x:v>Noah Edjouma</x:v>
      </x:c>
      <x:c r="C679" s="69" t="str">
        <x:v>WINGER</x:v>
      </x:c>
      <x:c r="D679" s="82" t="str">
        <x:f>IF(ISNUMBER('Transfer_Ratings'!K679),'Transfer_Ratings'!K679,"")</x:f>
      </x:c>
      <x:c r="E679" s="86"/>
      <x:c r="F679" s="86"/>
      <x:c r="G679" s="86"/>
      <x:c r="H679" s="86"/>
      <x:c r="I679" s="86"/>
      <x:c r="J679" s="82" t="str">
        <x:f>IF(C679="","Choose position",IF(COUNT(E679:I679)&lt;5,"",IF(OR(MIN(E679:I679)&lt;0.1,MAX(E679:I679)&gt;10),"Invalid score",IF(INDEX('Position_Rubric'!$H$6:$H$14,M679)&lt;&gt;1,"Check weights",ROUND(E679*INDEX('Position_Rubric'!$C$6:$C$14,M679)+F679*INDEX('Position_Rubric'!$D$6:$D$14,M679)+G679*INDEX('Position_Rubric'!$E$6:$E$14,M679)+H679*INDEX('Position_Rubric'!$F$6:$F$14,M679)+I679*INDEX('Position_Rubric'!$G$6:$G$14,M679),1)))))</x:f>
      </x:c>
      <x:c r="K679" s="82" t="str">
        <x:f>IF(AND(ISNUMBER(J679),ISNUMBER(D679)),J679-D679,"")</x:f>
      </x:c>
      <x:c r="L679" s="69" t="str">
        <x:f>IF(COUNT(E679:I679)&lt;5,"Needs component scores",IF(ISNUMBER(J679),"Calculated",J679))</x:f>
        <x:v>Needs component scores</x:v>
      </x:c>
      <x:c r="M679" s="69" t="n">
        <x:f>IF(C679="","",MATCH(C679,'Position_Rubric'!$A$6:$A$14,0))</x:f>
        <x:v>7</x:v>
      </x:c>
      <x:c r="N679" s="69" t="str"/>
    </x:row>
    <x:row r="680" ht="25" customHeight="1">
      <x:c r="A680" s="69" t="str">
        <x:v>summer-S26-1357</x:v>
      </x:c>
      <x:c r="B680" s="69" t="str">
        <x:v>Tay Abed</x:v>
      </x:c>
      <x:c r="C680" s="69" t="str">
        <x:v>WINGER</x:v>
      </x:c>
      <x:c r="D680" s="82" t="str">
        <x:f>IF(ISNUMBER('Transfer_Ratings'!K680),'Transfer_Ratings'!K680,"")</x:f>
      </x:c>
      <x:c r="E680" s="86"/>
      <x:c r="F680" s="86"/>
      <x:c r="G680" s="86"/>
      <x:c r="H680" s="86"/>
      <x:c r="I680" s="86"/>
      <x:c r="J680" s="82" t="str">
        <x:f>IF(C680="","Choose position",IF(COUNT(E680:I680)&lt;5,"",IF(OR(MIN(E680:I680)&lt;0.1,MAX(E680:I680)&gt;10),"Invalid score",IF(INDEX('Position_Rubric'!$H$6:$H$14,M680)&lt;&gt;1,"Check weights",ROUND(E680*INDEX('Position_Rubric'!$C$6:$C$14,M680)+F680*INDEX('Position_Rubric'!$D$6:$D$14,M680)+G680*INDEX('Position_Rubric'!$E$6:$E$14,M680)+H680*INDEX('Position_Rubric'!$F$6:$F$14,M680)+I680*INDEX('Position_Rubric'!$G$6:$G$14,M680),1)))))</x:f>
      </x:c>
      <x:c r="K680" s="82" t="str">
        <x:f>IF(AND(ISNUMBER(J680),ISNUMBER(D680)),J680-D680,"")</x:f>
      </x:c>
      <x:c r="L680" s="69" t="str">
        <x:f>IF(COUNT(E680:I680)&lt;5,"Needs component scores",IF(ISNUMBER(J680),"Calculated",J680))</x:f>
        <x:v>Needs component scores</x:v>
      </x:c>
      <x:c r="M680" s="69" t="n">
        <x:f>IF(C680="","",MATCH(C680,'Position_Rubric'!$A$6:$A$14,0))</x:f>
        <x:v>7</x:v>
      </x:c>
      <x:c r="N680" s="69" t="str"/>
    </x:row>
    <x:row r="681" ht="25" customHeight="1">
      <x:c r="A681" s="69" t="str">
        <x:v>summer-S26-1360</x:v>
      </x:c>
      <x:c r="B681" s="69" t="str">
        <x:v>Godson Kyeremeh</x:v>
      </x:c>
      <x:c r="C681" s="69" t="str">
        <x:v>WINGER</x:v>
      </x:c>
      <x:c r="D681" s="82" t="str">
        <x:f>IF(ISNUMBER('Transfer_Ratings'!K681),'Transfer_Ratings'!K681,"")</x:f>
      </x:c>
      <x:c r="E681" s="86"/>
      <x:c r="F681" s="86"/>
      <x:c r="G681" s="86"/>
      <x:c r="H681" s="86"/>
      <x:c r="I681" s="86"/>
      <x:c r="J681" s="82" t="str">
        <x:f>IF(C681="","Choose position",IF(COUNT(E681:I681)&lt;5,"",IF(OR(MIN(E681:I681)&lt;0.1,MAX(E681:I681)&gt;10),"Invalid score",IF(INDEX('Position_Rubric'!$H$6:$H$14,M681)&lt;&gt;1,"Check weights",ROUND(E681*INDEX('Position_Rubric'!$C$6:$C$14,M681)+F681*INDEX('Position_Rubric'!$D$6:$D$14,M681)+G681*INDEX('Position_Rubric'!$E$6:$E$14,M681)+H681*INDEX('Position_Rubric'!$F$6:$F$14,M681)+I681*INDEX('Position_Rubric'!$G$6:$G$14,M681),1)))))</x:f>
      </x:c>
      <x:c r="K681" s="82" t="str">
        <x:f>IF(AND(ISNUMBER(J681),ISNUMBER(D681)),J681-D681,"")</x:f>
      </x:c>
      <x:c r="L681" s="69" t="str">
        <x:f>IF(COUNT(E681:I681)&lt;5,"Needs component scores",IF(ISNUMBER(J681),"Calculated",J681))</x:f>
        <x:v>Needs component scores</x:v>
      </x:c>
      <x:c r="M681" s="69" t="n">
        <x:f>IF(C681="","",MATCH(C681,'Position_Rubric'!$A$6:$A$14,0))</x:f>
        <x:v>7</x:v>
      </x:c>
      <x:c r="N681" s="69" t="str"/>
    </x:row>
    <x:row r="682" ht="25" customHeight="1">
      <x:c r="A682" s="69" t="str">
        <x:v>summer-S26-1384</x:v>
      </x:c>
      <x:c r="B682" s="69" t="str">
        <x:v>Mykhailo Mudryk</x:v>
      </x:c>
      <x:c r="C682" s="69" t="str">
        <x:v>WINGER</x:v>
      </x:c>
      <x:c r="D682" s="82" t="str">
        <x:f>IF(ISNUMBER('Transfer_Ratings'!K682),'Transfer_Ratings'!K682,"")</x:f>
      </x:c>
      <x:c r="E682" s="86"/>
      <x:c r="F682" s="86"/>
      <x:c r="G682" s="86"/>
      <x:c r="H682" s="86"/>
      <x:c r="I682" s="86"/>
      <x:c r="J682" s="82" t="str">
        <x:f>IF(C682="","Choose position",IF(COUNT(E682:I682)&lt;5,"",IF(OR(MIN(E682:I682)&lt;0.1,MAX(E682:I682)&gt;10),"Invalid score",IF(INDEX('Position_Rubric'!$H$6:$H$14,M682)&lt;&gt;1,"Check weights",ROUND(E682*INDEX('Position_Rubric'!$C$6:$C$14,M682)+F682*INDEX('Position_Rubric'!$D$6:$D$14,M682)+G682*INDEX('Position_Rubric'!$E$6:$E$14,M682)+H682*INDEX('Position_Rubric'!$F$6:$F$14,M682)+I682*INDEX('Position_Rubric'!$G$6:$G$14,M682),1)))))</x:f>
      </x:c>
      <x:c r="K682" s="82" t="str">
        <x:f>IF(AND(ISNUMBER(J682),ISNUMBER(D682)),J682-D682,"")</x:f>
      </x:c>
      <x:c r="L682" s="69" t="str">
        <x:f>IF(COUNT(E682:I682)&lt;5,"Needs component scores",IF(ISNUMBER(J682),"Calculated",J682))</x:f>
        <x:v>Needs component scores</x:v>
      </x:c>
      <x:c r="M682" s="69" t="n">
        <x:f>IF(C682="","",MATCH(C682,'Position_Rubric'!$A$6:$A$14,0))</x:f>
        <x:v>7</x:v>
      </x:c>
      <x:c r="N682" s="69" t="str"/>
    </x:row>
    <x:row r="683" ht="25" customHeight="1">
      <x:c r="A683" s="69" t="str">
        <x:v>summer-S26-1387</x:v>
      </x:c>
      <x:c r="B683" s="69" t="str">
        <x:v>Jack Grealish</x:v>
      </x:c>
      <x:c r="C683" s="69" t="str">
        <x:v>WINGER</x:v>
      </x:c>
      <x:c r="D683" s="82" t="str">
        <x:f>IF(ISNUMBER('Transfer_Ratings'!K683),'Transfer_Ratings'!K683,"")</x:f>
      </x:c>
      <x:c r="E683" s="86"/>
      <x:c r="F683" s="86"/>
      <x:c r="G683" s="86"/>
      <x:c r="H683" s="86"/>
      <x:c r="I683" s="86"/>
      <x:c r="J683" s="82" t="str">
        <x:f>IF(C683="","Choose position",IF(COUNT(E683:I683)&lt;5,"",IF(OR(MIN(E683:I683)&lt;0.1,MAX(E683:I683)&gt;10),"Invalid score",IF(INDEX('Position_Rubric'!$H$6:$H$14,M683)&lt;&gt;1,"Check weights",ROUND(E683*INDEX('Position_Rubric'!$C$6:$C$14,M683)+F683*INDEX('Position_Rubric'!$D$6:$D$14,M683)+G683*INDEX('Position_Rubric'!$E$6:$E$14,M683)+H683*INDEX('Position_Rubric'!$F$6:$F$14,M683)+I683*INDEX('Position_Rubric'!$G$6:$G$14,M683),1)))))</x:f>
      </x:c>
      <x:c r="K683" s="82" t="str">
        <x:f>IF(AND(ISNUMBER(J683),ISNUMBER(D683)),J683-D683,"")</x:f>
      </x:c>
      <x:c r="L683" s="69" t="str">
        <x:f>IF(COUNT(E683:I683)&lt;5,"Needs component scores",IF(ISNUMBER(J683),"Calculated",J683))</x:f>
        <x:v>Needs component scores</x:v>
      </x:c>
      <x:c r="M683" s="69" t="n">
        <x:f>IF(C683="","",MATCH(C683,'Position_Rubric'!$A$6:$A$14,0))</x:f>
        <x:v>7</x:v>
      </x:c>
      <x:c r="N683" s="69" t="str"/>
    </x:row>
    <x:row r="684" ht="25" customHeight="1">
      <x:c r="A684" s="69" t="str">
        <x:v>summer-S26-1390</x:v>
      </x:c>
      <x:c r="B684" s="69" t="str">
        <x:v>Wisdom Mike</x:v>
      </x:c>
      <x:c r="C684" s="69" t="str">
        <x:v>WINGER</x:v>
      </x:c>
      <x:c r="D684" s="82" t="str">
        <x:f>IF(ISNUMBER('Transfer_Ratings'!K684),'Transfer_Ratings'!K684,"")</x:f>
      </x:c>
      <x:c r="E684" s="86"/>
      <x:c r="F684" s="86"/>
      <x:c r="G684" s="86"/>
      <x:c r="H684" s="86"/>
      <x:c r="I684" s="86"/>
      <x:c r="J684" s="82" t="str">
        <x:f>IF(C684="","Choose position",IF(COUNT(E684:I684)&lt;5,"",IF(OR(MIN(E684:I684)&lt;0.1,MAX(E684:I684)&gt;10),"Invalid score",IF(INDEX('Position_Rubric'!$H$6:$H$14,M684)&lt;&gt;1,"Check weights",ROUND(E684*INDEX('Position_Rubric'!$C$6:$C$14,M684)+F684*INDEX('Position_Rubric'!$D$6:$D$14,M684)+G684*INDEX('Position_Rubric'!$E$6:$E$14,M684)+H684*INDEX('Position_Rubric'!$F$6:$F$14,M684)+I684*INDEX('Position_Rubric'!$G$6:$G$14,M684),1)))))</x:f>
      </x:c>
      <x:c r="K684" s="82" t="str">
        <x:f>IF(AND(ISNUMBER(J684),ISNUMBER(D684)),J684-D684,"")</x:f>
      </x:c>
      <x:c r="L684" s="69" t="str">
        <x:f>IF(COUNT(E684:I684)&lt;5,"Needs component scores",IF(ISNUMBER(J684),"Calculated",J684))</x:f>
        <x:v>Needs component scores</x:v>
      </x:c>
      <x:c r="M684" s="69" t="n">
        <x:f>IF(C684="","",MATCH(C684,'Position_Rubric'!$A$6:$A$14,0))</x:f>
        <x:v>7</x:v>
      </x:c>
      <x:c r="N684" s="69" t="str"/>
    </x:row>
    <x:row r="685" ht="25" customHeight="1">
      <x:c r="A685" s="69" t="str">
        <x:v>summer-S26-1396</x:v>
      </x:c>
      <x:c r="B685" s="69" t="str">
        <x:v>Pablo García</x:v>
      </x:c>
      <x:c r="C685" s="69" t="str">
        <x:v>WINGER</x:v>
      </x:c>
      <x:c r="D685" s="82" t="str">
        <x:f>IF(ISNUMBER('Transfer_Ratings'!K685),'Transfer_Ratings'!K685,"")</x:f>
      </x:c>
      <x:c r="E685" s="86"/>
      <x:c r="F685" s="86"/>
      <x:c r="G685" s="86"/>
      <x:c r="H685" s="86"/>
      <x:c r="I685" s="86"/>
      <x:c r="J685" s="82" t="str">
        <x:f>IF(C685="","Choose position",IF(COUNT(E685:I685)&lt;5,"",IF(OR(MIN(E685:I685)&lt;0.1,MAX(E685:I685)&gt;10),"Invalid score",IF(INDEX('Position_Rubric'!$H$6:$H$14,M685)&lt;&gt;1,"Check weights",ROUND(E685*INDEX('Position_Rubric'!$C$6:$C$14,M685)+F685*INDEX('Position_Rubric'!$D$6:$D$14,M685)+G685*INDEX('Position_Rubric'!$E$6:$E$14,M685)+H685*INDEX('Position_Rubric'!$F$6:$F$14,M685)+I685*INDEX('Position_Rubric'!$G$6:$G$14,M685),1)))))</x:f>
      </x:c>
      <x:c r="K685" s="82" t="str">
        <x:f>IF(AND(ISNUMBER(J685),ISNUMBER(D685)),J685-D685,"")</x:f>
      </x:c>
      <x:c r="L685" s="69" t="str">
        <x:f>IF(COUNT(E685:I685)&lt;5,"Needs component scores",IF(ISNUMBER(J685),"Calculated",J685))</x:f>
        <x:v>Needs component scores</x:v>
      </x:c>
      <x:c r="M685" s="69" t="n">
        <x:f>IF(C685="","",MATCH(C685,'Position_Rubric'!$A$6:$A$14,0))</x:f>
        <x:v>7</x:v>
      </x:c>
      <x:c r="N685" s="69" t="str"/>
    </x:row>
    <x:row r="686" ht="25" customHeight="1">
      <x:c r="A686" s="69" t="str">
        <x:v>summer-S26-1397</x:v>
      </x:c>
      <x:c r="B686" s="69" t="str">
        <x:v>Taycan Etcibasi</x:v>
      </x:c>
      <x:c r="C686" s="69" t="str">
        <x:v>WINGER</x:v>
      </x:c>
      <x:c r="D686" s="82" t="str">
        <x:f>IF(ISNUMBER('Transfer_Ratings'!K686),'Transfer_Ratings'!K686,"")</x:f>
      </x:c>
      <x:c r="E686" s="86"/>
      <x:c r="F686" s="86"/>
      <x:c r="G686" s="86"/>
      <x:c r="H686" s="86"/>
      <x:c r="I686" s="86"/>
      <x:c r="J686" s="82" t="str">
        <x:f>IF(C686="","Choose position",IF(COUNT(E686:I686)&lt;5,"",IF(OR(MIN(E686:I686)&lt;0.1,MAX(E686:I686)&gt;10),"Invalid score",IF(INDEX('Position_Rubric'!$H$6:$H$14,M686)&lt;&gt;1,"Check weights",ROUND(E686*INDEX('Position_Rubric'!$C$6:$C$14,M686)+F686*INDEX('Position_Rubric'!$D$6:$D$14,M686)+G686*INDEX('Position_Rubric'!$E$6:$E$14,M686)+H686*INDEX('Position_Rubric'!$F$6:$F$14,M686)+I686*INDEX('Position_Rubric'!$G$6:$G$14,M686),1)))))</x:f>
      </x:c>
      <x:c r="K686" s="82" t="str">
        <x:f>IF(AND(ISNUMBER(J686),ISNUMBER(D686)),J686-D686,"")</x:f>
      </x:c>
      <x:c r="L686" s="69" t="str">
        <x:f>IF(COUNT(E686:I686)&lt;5,"Needs component scores",IF(ISNUMBER(J686),"Calculated",J686))</x:f>
        <x:v>Needs component scores</x:v>
      </x:c>
      <x:c r="M686" s="69" t="n">
        <x:f>IF(C686="","",MATCH(C686,'Position_Rubric'!$A$6:$A$14,0))</x:f>
        <x:v>7</x:v>
      </x:c>
      <x:c r="N686" s="69" t="str"/>
    </x:row>
    <x:row r="687" ht="25" customHeight="1">
      <x:c r="A687" s="69" t="str">
        <x:v>summer-S26-1405</x:v>
      </x:c>
      <x:c r="B687" s="69" t="str">
        <x:v>Pedro Gonçalves</x:v>
      </x:c>
      <x:c r="C687" s="69" t="str">
        <x:v>WINGER</x:v>
      </x:c>
      <x:c r="D687" s="82" t="str">
        <x:f>IF(ISNUMBER('Transfer_Ratings'!K687),'Transfer_Ratings'!K687,"")</x:f>
      </x:c>
      <x:c r="E687" s="86"/>
      <x:c r="F687" s="86"/>
      <x:c r="G687" s="86"/>
      <x:c r="H687" s="86"/>
      <x:c r="I687" s="86"/>
      <x:c r="J687" s="82" t="str">
        <x:f>IF(C687="","Choose position",IF(COUNT(E687:I687)&lt;5,"",IF(OR(MIN(E687:I687)&lt;0.1,MAX(E687:I687)&gt;10),"Invalid score",IF(INDEX('Position_Rubric'!$H$6:$H$14,M687)&lt;&gt;1,"Check weights",ROUND(E687*INDEX('Position_Rubric'!$C$6:$C$14,M687)+F687*INDEX('Position_Rubric'!$D$6:$D$14,M687)+G687*INDEX('Position_Rubric'!$E$6:$E$14,M687)+H687*INDEX('Position_Rubric'!$F$6:$F$14,M687)+I687*INDEX('Position_Rubric'!$G$6:$G$14,M687),1)))))</x:f>
      </x:c>
      <x:c r="K687" s="82" t="str">
        <x:f>IF(AND(ISNUMBER(J687),ISNUMBER(D687)),J687-D687,"")</x:f>
      </x:c>
      <x:c r="L687" s="69" t="str">
        <x:f>IF(COUNT(E687:I687)&lt;5,"Needs component scores",IF(ISNUMBER(J687),"Calculated",J687))</x:f>
        <x:v>Needs component scores</x:v>
      </x:c>
      <x:c r="M687" s="69" t="n">
        <x:f>IF(C687="","",MATCH(C687,'Position_Rubric'!$A$6:$A$14,0))</x:f>
        <x:v>7</x:v>
      </x:c>
      <x:c r="N687" s="69" t="str"/>
    </x:row>
    <x:row r="688" ht="25" customHeight="1">
      <x:c r="A688" s="69" t="str">
        <x:v>summer-S26-1414</x:v>
      </x:c>
      <x:c r="B688" s="69" t="str">
        <x:v>Chiedozie Ogbene</x:v>
      </x:c>
      <x:c r="C688" s="69" t="str">
        <x:v>WINGER</x:v>
      </x:c>
      <x:c r="D688" s="82" t="str">
        <x:f>IF(ISNUMBER('Transfer_Ratings'!K688),'Transfer_Ratings'!K688,"")</x:f>
      </x:c>
      <x:c r="E688" s="86"/>
      <x:c r="F688" s="86"/>
      <x:c r="G688" s="86"/>
      <x:c r="H688" s="86"/>
      <x:c r="I688" s="86"/>
      <x:c r="J688" s="82" t="str">
        <x:f>IF(C688="","Choose position",IF(COUNT(E688:I688)&lt;5,"",IF(OR(MIN(E688:I688)&lt;0.1,MAX(E688:I688)&gt;10),"Invalid score",IF(INDEX('Position_Rubric'!$H$6:$H$14,M688)&lt;&gt;1,"Check weights",ROUND(E688*INDEX('Position_Rubric'!$C$6:$C$14,M688)+F688*INDEX('Position_Rubric'!$D$6:$D$14,M688)+G688*INDEX('Position_Rubric'!$E$6:$E$14,M688)+H688*INDEX('Position_Rubric'!$F$6:$F$14,M688)+I688*INDEX('Position_Rubric'!$G$6:$G$14,M688),1)))))</x:f>
      </x:c>
      <x:c r="K688" s="82" t="str">
        <x:f>IF(AND(ISNUMBER(J688),ISNUMBER(D688)),J688-D688,"")</x:f>
      </x:c>
      <x:c r="L688" s="69" t="str">
        <x:f>IF(COUNT(E688:I688)&lt;5,"Needs component scores",IF(ISNUMBER(J688),"Calculated",J688))</x:f>
        <x:v>Needs component scores</x:v>
      </x:c>
      <x:c r="M688" s="69" t="n">
        <x:f>IF(C688="","",MATCH(C688,'Position_Rubric'!$A$6:$A$14,0))</x:f>
        <x:v>7</x:v>
      </x:c>
      <x:c r="N688" s="69" t="str"/>
    </x:row>
    <x:row r="689" ht="25" customHeight="1">
      <x:c r="A689" s="69" t="str">
        <x:v>summer-S26-1419</x:v>
      </x:c>
      <x:c r="B689" s="69" t="str">
        <x:v>Armario Cozier-Duberry</x:v>
      </x:c>
      <x:c r="C689" s="69" t="str">
        <x:v>WINGER</x:v>
      </x:c>
      <x:c r="D689" s="82" t="str">
        <x:f>IF(ISNUMBER('Transfer_Ratings'!K689),'Transfer_Ratings'!K689,"")</x:f>
      </x:c>
      <x:c r="E689" s="86"/>
      <x:c r="F689" s="86"/>
      <x:c r="G689" s="86"/>
      <x:c r="H689" s="86"/>
      <x:c r="I689" s="86"/>
      <x:c r="J689" s="82" t="str">
        <x:f>IF(C689="","Choose position",IF(COUNT(E689:I689)&lt;5,"",IF(OR(MIN(E689:I689)&lt;0.1,MAX(E689:I689)&gt;10),"Invalid score",IF(INDEX('Position_Rubric'!$H$6:$H$14,M689)&lt;&gt;1,"Check weights",ROUND(E689*INDEX('Position_Rubric'!$C$6:$C$14,M689)+F689*INDEX('Position_Rubric'!$D$6:$D$14,M689)+G689*INDEX('Position_Rubric'!$E$6:$E$14,M689)+H689*INDEX('Position_Rubric'!$F$6:$F$14,M689)+I689*INDEX('Position_Rubric'!$G$6:$G$14,M689),1)))))</x:f>
      </x:c>
      <x:c r="K689" s="82" t="str">
        <x:f>IF(AND(ISNUMBER(J689),ISNUMBER(D689)),J689-D689,"")</x:f>
      </x:c>
      <x:c r="L689" s="69" t="str">
        <x:f>IF(COUNT(E689:I689)&lt;5,"Needs component scores",IF(ISNUMBER(J689),"Calculated",J689))</x:f>
        <x:v>Needs component scores</x:v>
      </x:c>
      <x:c r="M689" s="69" t="n">
        <x:f>IF(C689="","",MATCH(C689,'Position_Rubric'!$A$6:$A$14,0))</x:f>
        <x:v>7</x:v>
      </x:c>
      <x:c r="N689" s="69" t="str"/>
    </x:row>
    <x:row r="690" ht="25" customHeight="1">
      <x:c r="A690" s="69" t="str">
        <x:v>summer-S26-1422</x:v>
      </x:c>
      <x:c r="B690" s="69" t="str">
        <x:v>Sorba Thomas</x:v>
      </x:c>
      <x:c r="C690" s="69" t="str">
        <x:v>WINGER</x:v>
      </x:c>
      <x:c r="D690" s="82" t="str">
        <x:f>IF(ISNUMBER('Transfer_Ratings'!K690),'Transfer_Ratings'!K690,"")</x:f>
      </x:c>
      <x:c r="E690" s="86"/>
      <x:c r="F690" s="86"/>
      <x:c r="G690" s="86"/>
      <x:c r="H690" s="86"/>
      <x:c r="I690" s="86"/>
      <x:c r="J690" s="82" t="str">
        <x:f>IF(C690="","Choose position",IF(COUNT(E690:I690)&lt;5,"",IF(OR(MIN(E690:I690)&lt;0.1,MAX(E690:I690)&gt;10),"Invalid score",IF(INDEX('Position_Rubric'!$H$6:$H$14,M690)&lt;&gt;1,"Check weights",ROUND(E690*INDEX('Position_Rubric'!$C$6:$C$14,M690)+F690*INDEX('Position_Rubric'!$D$6:$D$14,M690)+G690*INDEX('Position_Rubric'!$E$6:$E$14,M690)+H690*INDEX('Position_Rubric'!$F$6:$F$14,M690)+I690*INDEX('Position_Rubric'!$G$6:$G$14,M690),1)))))</x:f>
      </x:c>
      <x:c r="K690" s="82" t="str">
        <x:f>IF(AND(ISNUMBER(J690),ISNUMBER(D690)),J690-D690,"")</x:f>
      </x:c>
      <x:c r="L690" s="69" t="str">
        <x:f>IF(COUNT(E690:I690)&lt;5,"Needs component scores",IF(ISNUMBER(J690),"Calculated",J690))</x:f>
        <x:v>Needs component scores</x:v>
      </x:c>
      <x:c r="M690" s="69" t="n">
        <x:f>IF(C690="","",MATCH(C690,'Position_Rubric'!$A$6:$A$14,0))</x:f>
        <x:v>7</x:v>
      </x:c>
      <x:c r="N690" s="69" t="str"/>
    </x:row>
    <x:row r="691" ht="25" customHeight="1">
      <x:c r="A691" s="69" t="str">
        <x:v>summer-S26-1431</x:v>
      </x:c>
      <x:c r="B691" s="69" t="str">
        <x:v>Malick Fofana</x:v>
      </x:c>
      <x:c r="C691" s="69" t="str">
        <x:v>WINGER</x:v>
      </x:c>
      <x:c r="D691" s="82" t="str">
        <x:f>IF(ISNUMBER('Transfer_Ratings'!K691),'Transfer_Ratings'!K691,"")</x:f>
      </x:c>
      <x:c r="E691" s="86"/>
      <x:c r="F691" s="86"/>
      <x:c r="G691" s="86"/>
      <x:c r="H691" s="86"/>
      <x:c r="I691" s="86"/>
      <x:c r="J691" s="82" t="str">
        <x:f>IF(C691="","Choose position",IF(COUNT(E691:I691)&lt;5,"",IF(OR(MIN(E691:I691)&lt;0.1,MAX(E691:I691)&gt;10),"Invalid score",IF(INDEX('Position_Rubric'!$H$6:$H$14,M691)&lt;&gt;1,"Check weights",ROUND(E691*INDEX('Position_Rubric'!$C$6:$C$14,M691)+F691*INDEX('Position_Rubric'!$D$6:$D$14,M691)+G691*INDEX('Position_Rubric'!$E$6:$E$14,M691)+H691*INDEX('Position_Rubric'!$F$6:$F$14,M691)+I691*INDEX('Position_Rubric'!$G$6:$G$14,M691),1)))))</x:f>
      </x:c>
      <x:c r="K691" s="82" t="str">
        <x:f>IF(AND(ISNUMBER(J691),ISNUMBER(D691)),J691-D691,"")</x:f>
      </x:c>
      <x:c r="L691" s="69" t="str">
        <x:f>IF(COUNT(E691:I691)&lt;5,"Needs component scores",IF(ISNUMBER(J691),"Calculated",J691))</x:f>
        <x:v>Needs component scores</x:v>
      </x:c>
      <x:c r="M691" s="69" t="n">
        <x:f>IF(C691="","",MATCH(C691,'Position_Rubric'!$A$6:$A$14,0))</x:f>
        <x:v>7</x:v>
      </x:c>
      <x:c r="N691" s="69" t="str"/>
    </x:row>
    <x:row r="692" ht="25" customHeight="1">
      <x:c r="A692" s="69" t="str">
        <x:v>summer-S26-1435</x:v>
      </x:c>
      <x:c r="B692" s="69" t="str">
        <x:v>Darío Osorio</x:v>
      </x:c>
      <x:c r="C692" s="69" t="str">
        <x:v>WINGER</x:v>
      </x:c>
      <x:c r="D692" s="82" t="str">
        <x:f>IF(ISNUMBER('Transfer_Ratings'!K692),'Transfer_Ratings'!K692,"")</x:f>
      </x:c>
      <x:c r="E692" s="86"/>
      <x:c r="F692" s="86"/>
      <x:c r="G692" s="86"/>
      <x:c r="H692" s="86"/>
      <x:c r="I692" s="86"/>
      <x:c r="J692" s="82" t="str">
        <x:f>IF(C692="","Choose position",IF(COUNT(E692:I692)&lt;5,"",IF(OR(MIN(E692:I692)&lt;0.1,MAX(E692:I692)&gt;10),"Invalid score",IF(INDEX('Position_Rubric'!$H$6:$H$14,M692)&lt;&gt;1,"Check weights",ROUND(E692*INDEX('Position_Rubric'!$C$6:$C$14,M692)+F692*INDEX('Position_Rubric'!$D$6:$D$14,M692)+G692*INDEX('Position_Rubric'!$E$6:$E$14,M692)+H692*INDEX('Position_Rubric'!$F$6:$F$14,M692)+I692*INDEX('Position_Rubric'!$G$6:$G$14,M692),1)))))</x:f>
      </x:c>
      <x:c r="K692" s="82" t="str">
        <x:f>IF(AND(ISNUMBER(J692),ISNUMBER(D692)),J692-D692,"")</x:f>
      </x:c>
      <x:c r="L692" s="69" t="str">
        <x:f>IF(COUNT(E692:I692)&lt;5,"Needs component scores",IF(ISNUMBER(J692),"Calculated",J692))</x:f>
        <x:v>Needs component scores</x:v>
      </x:c>
      <x:c r="M692" s="69" t="n">
        <x:f>IF(C692="","",MATCH(C692,'Position_Rubric'!$A$6:$A$14,0))</x:f>
        <x:v>7</x:v>
      </x:c>
      <x:c r="N692" s="69" t="str"/>
    </x:row>
    <x:row r="693" ht="25" customHeight="1">
      <x:c r="A693" s="69" t="str">
        <x:v>summer-S26-1438</x:v>
      </x:c>
      <x:c r="B693" s="69" t="str">
        <x:v>Damola Ajayi</x:v>
      </x:c>
      <x:c r="C693" s="69" t="str">
        <x:v>WINGER</x:v>
      </x:c>
      <x:c r="D693" s="82" t="str">
        <x:f>IF(ISNUMBER('Transfer_Ratings'!K693),'Transfer_Ratings'!K693,"")</x:f>
      </x:c>
      <x:c r="E693" s="86"/>
      <x:c r="F693" s="86"/>
      <x:c r="G693" s="86"/>
      <x:c r="H693" s="86"/>
      <x:c r="I693" s="86"/>
      <x:c r="J693" s="82" t="str">
        <x:f>IF(C693="","Choose position",IF(COUNT(E693:I693)&lt;5,"",IF(OR(MIN(E693:I693)&lt;0.1,MAX(E693:I693)&gt;10),"Invalid score",IF(INDEX('Position_Rubric'!$H$6:$H$14,M693)&lt;&gt;1,"Check weights",ROUND(E693*INDEX('Position_Rubric'!$C$6:$C$14,M693)+F693*INDEX('Position_Rubric'!$D$6:$D$14,M693)+G693*INDEX('Position_Rubric'!$E$6:$E$14,M693)+H693*INDEX('Position_Rubric'!$F$6:$F$14,M693)+I693*INDEX('Position_Rubric'!$G$6:$G$14,M693),1)))))</x:f>
      </x:c>
      <x:c r="K693" s="82" t="str">
        <x:f>IF(AND(ISNUMBER(J693),ISNUMBER(D693)),J693-D693,"")</x:f>
      </x:c>
      <x:c r="L693" s="69" t="str">
        <x:f>IF(COUNT(E693:I693)&lt;5,"Needs component scores",IF(ISNUMBER(J693),"Calculated",J693))</x:f>
        <x:v>Needs component scores</x:v>
      </x:c>
      <x:c r="M693" s="69" t="n">
        <x:f>IF(C693="","",MATCH(C693,'Position_Rubric'!$A$6:$A$14,0))</x:f>
        <x:v>7</x:v>
      </x:c>
      <x:c r="N693" s="69" t="str"/>
    </x:row>
    <x:row r="694" ht="25" customHeight="1">
      <x:c r="A694" s="69" t="str">
        <x:v>summer-S26-1448</x:v>
      </x:c>
      <x:c r="B694" s="69" t="str">
        <x:v>Romain Esse</x:v>
      </x:c>
      <x:c r="C694" s="69" t="str">
        <x:v>WINGER</x:v>
      </x:c>
      <x:c r="D694" s="82" t="str">
        <x:f>IF(ISNUMBER('Transfer_Ratings'!K694),'Transfer_Ratings'!K694,"")</x:f>
      </x:c>
      <x:c r="E694" s="86"/>
      <x:c r="F694" s="86"/>
      <x:c r="G694" s="86"/>
      <x:c r="H694" s="86"/>
      <x:c r="I694" s="86"/>
      <x:c r="J694" s="82" t="str">
        <x:f>IF(C694="","Choose position",IF(COUNT(E694:I694)&lt;5,"",IF(OR(MIN(E694:I694)&lt;0.1,MAX(E694:I694)&gt;10),"Invalid score",IF(INDEX('Position_Rubric'!$H$6:$H$14,M694)&lt;&gt;1,"Check weights",ROUND(E694*INDEX('Position_Rubric'!$C$6:$C$14,M694)+F694*INDEX('Position_Rubric'!$D$6:$D$14,M694)+G694*INDEX('Position_Rubric'!$E$6:$E$14,M694)+H694*INDEX('Position_Rubric'!$F$6:$F$14,M694)+I694*INDEX('Position_Rubric'!$G$6:$G$14,M694),1)))))</x:f>
      </x:c>
      <x:c r="K694" s="82" t="str">
        <x:f>IF(AND(ISNUMBER(J694),ISNUMBER(D694)),J694-D694,"")</x:f>
      </x:c>
      <x:c r="L694" s="69" t="str">
        <x:f>IF(COUNT(E694:I694)&lt;5,"Needs component scores",IF(ISNUMBER(J694),"Calculated",J694))</x:f>
        <x:v>Needs component scores</x:v>
      </x:c>
      <x:c r="M694" s="69" t="n">
        <x:f>IF(C694="","",MATCH(C694,'Position_Rubric'!$A$6:$A$14,0))</x:f>
        <x:v>7</x:v>
      </x:c>
      <x:c r="N694" s="69" t="str"/>
    </x:row>
    <x:row r="695" ht="25" customHeight="1">
      <x:c r="A695" s="69" t="str">
        <x:v>summer-S26-1450</x:v>
      </x:c>
      <x:c r="B695" s="69" t="str">
        <x:v>Jeremy Monga</x:v>
      </x:c>
      <x:c r="C695" s="69" t="str">
        <x:v>WINGER</x:v>
      </x:c>
      <x:c r="D695" s="82" t="str">
        <x:f>IF(ISNUMBER('Transfer_Ratings'!K695),'Transfer_Ratings'!K695,"")</x:f>
      </x:c>
      <x:c r="E695" s="86"/>
      <x:c r="F695" s="86"/>
      <x:c r="G695" s="86"/>
      <x:c r="H695" s="86"/>
      <x:c r="I695" s="86"/>
      <x:c r="J695" s="82" t="str">
        <x:f>IF(C695="","Choose position",IF(COUNT(E695:I695)&lt;5,"",IF(OR(MIN(E695:I695)&lt;0.1,MAX(E695:I695)&gt;10),"Invalid score",IF(INDEX('Position_Rubric'!$H$6:$H$14,M695)&lt;&gt;1,"Check weights",ROUND(E695*INDEX('Position_Rubric'!$C$6:$C$14,M695)+F695*INDEX('Position_Rubric'!$D$6:$D$14,M695)+G695*INDEX('Position_Rubric'!$E$6:$E$14,M695)+H695*INDEX('Position_Rubric'!$F$6:$F$14,M695)+I695*INDEX('Position_Rubric'!$G$6:$G$14,M695),1)))))</x:f>
      </x:c>
      <x:c r="K695" s="82" t="str">
        <x:f>IF(AND(ISNUMBER(J695),ISNUMBER(D695)),J695-D695,"")</x:f>
      </x:c>
      <x:c r="L695" s="69" t="str">
        <x:f>IF(COUNT(E695:I695)&lt;5,"Needs component scores",IF(ISNUMBER(J695),"Calculated",J695))</x:f>
        <x:v>Needs component scores</x:v>
      </x:c>
      <x:c r="M695" s="69" t="n">
        <x:f>IF(C695="","",MATCH(C695,'Position_Rubric'!$A$6:$A$14,0))</x:f>
        <x:v>7</x:v>
      </x:c>
      <x:c r="N695" s="69" t="str"/>
    </x:row>
    <x:row r="696" ht="25" customHeight="1">
      <x:c r="A696" s="69" t="str">
        <x:v>summer-S26-1458</x:v>
      </x:c>
      <x:c r="B696" s="69" t="str">
        <x:v>Nathanaël Mbuku</x:v>
      </x:c>
      <x:c r="C696" s="69" t="str">
        <x:v>WINGER</x:v>
      </x:c>
      <x:c r="D696" s="82" t="str">
        <x:f>IF(ISNUMBER('Transfer_Ratings'!K696),'Transfer_Ratings'!K696,"")</x:f>
      </x:c>
      <x:c r="E696" s="86"/>
      <x:c r="F696" s="86"/>
      <x:c r="G696" s="86"/>
      <x:c r="H696" s="86"/>
      <x:c r="I696" s="86"/>
      <x:c r="J696" s="82" t="str">
        <x:f>IF(C696="","Choose position",IF(COUNT(E696:I696)&lt;5,"",IF(OR(MIN(E696:I696)&lt;0.1,MAX(E696:I696)&gt;10),"Invalid score",IF(INDEX('Position_Rubric'!$H$6:$H$14,M696)&lt;&gt;1,"Check weights",ROUND(E696*INDEX('Position_Rubric'!$C$6:$C$14,M696)+F696*INDEX('Position_Rubric'!$D$6:$D$14,M696)+G696*INDEX('Position_Rubric'!$E$6:$E$14,M696)+H696*INDEX('Position_Rubric'!$F$6:$F$14,M696)+I696*INDEX('Position_Rubric'!$G$6:$G$14,M696),1)))))</x:f>
      </x:c>
      <x:c r="K696" s="82" t="str">
        <x:f>IF(AND(ISNUMBER(J696),ISNUMBER(D696)),J696-D696,"")</x:f>
      </x:c>
      <x:c r="L696" s="69" t="str">
        <x:f>IF(COUNT(E696:I696)&lt;5,"Needs component scores",IF(ISNUMBER(J696),"Calculated",J696))</x:f>
        <x:v>Needs component scores</x:v>
      </x:c>
      <x:c r="M696" s="69" t="n">
        <x:f>IF(C696="","",MATCH(C696,'Position_Rubric'!$A$6:$A$14,0))</x:f>
        <x:v>7</x:v>
      </x:c>
      <x:c r="N696" s="69" t="str"/>
    </x:row>
    <x:row r="697" ht="25" customHeight="1">
      <x:c r="A697" s="69" t="str">
        <x:v>summer-S26-1459</x:v>
      </x:c>
      <x:c r="B697" s="69" t="str">
        <x:v>Lasso Coulibaly</x:v>
      </x:c>
      <x:c r="C697" s="69" t="str">
        <x:v>WINGER</x:v>
      </x:c>
      <x:c r="D697" s="82" t="str">
        <x:f>IF(ISNUMBER('Transfer_Ratings'!K697),'Transfer_Ratings'!K697,"")</x:f>
      </x:c>
      <x:c r="E697" s="86"/>
      <x:c r="F697" s="86"/>
      <x:c r="G697" s="86"/>
      <x:c r="H697" s="86"/>
      <x:c r="I697" s="86"/>
      <x:c r="J697" s="82" t="str">
        <x:f>IF(C697="","Choose position",IF(COUNT(E697:I697)&lt;5,"",IF(OR(MIN(E697:I697)&lt;0.1,MAX(E697:I697)&gt;10),"Invalid score",IF(INDEX('Position_Rubric'!$H$6:$H$14,M697)&lt;&gt;1,"Check weights",ROUND(E697*INDEX('Position_Rubric'!$C$6:$C$14,M697)+F697*INDEX('Position_Rubric'!$D$6:$D$14,M697)+G697*INDEX('Position_Rubric'!$E$6:$E$14,M697)+H697*INDEX('Position_Rubric'!$F$6:$F$14,M697)+I697*INDEX('Position_Rubric'!$G$6:$G$14,M697),1)))))</x:f>
      </x:c>
      <x:c r="K697" s="82" t="str">
        <x:f>IF(AND(ISNUMBER(J697),ISNUMBER(D697)),J697-D697,"")</x:f>
      </x:c>
      <x:c r="L697" s="69" t="str">
        <x:f>IF(COUNT(E697:I697)&lt;5,"Needs component scores",IF(ISNUMBER(J697),"Calculated",J697))</x:f>
        <x:v>Needs component scores</x:v>
      </x:c>
      <x:c r="M697" s="69" t="n">
        <x:f>IF(C697="","",MATCH(C697,'Position_Rubric'!$A$6:$A$14,0))</x:f>
        <x:v>7</x:v>
      </x:c>
      <x:c r="N697" s="69" t="str"/>
    </x:row>
    <x:row r="698" ht="25" customHeight="1">
      <x:c r="A698" s="69" t="str">
        <x:v>summer-S26-1460</x:v>
      </x:c>
      <x:c r="B698" s="69" t="str">
        <x:v>Carlos Martín</x:v>
      </x:c>
      <x:c r="C698" s="69" t="str">
        <x:v>WINGER</x:v>
      </x:c>
      <x:c r="D698" s="82" t="str">
        <x:f>IF(ISNUMBER('Transfer_Ratings'!K698),'Transfer_Ratings'!K698,"")</x:f>
      </x:c>
      <x:c r="E698" s="86"/>
      <x:c r="F698" s="86"/>
      <x:c r="G698" s="86"/>
      <x:c r="H698" s="86"/>
      <x:c r="I698" s="86"/>
      <x:c r="J698" s="82" t="str">
        <x:f>IF(C698="","Choose position",IF(COUNT(E698:I698)&lt;5,"",IF(OR(MIN(E698:I698)&lt;0.1,MAX(E698:I698)&gt;10),"Invalid score",IF(INDEX('Position_Rubric'!$H$6:$H$14,M698)&lt;&gt;1,"Check weights",ROUND(E698*INDEX('Position_Rubric'!$C$6:$C$14,M698)+F698*INDEX('Position_Rubric'!$D$6:$D$14,M698)+G698*INDEX('Position_Rubric'!$E$6:$E$14,M698)+H698*INDEX('Position_Rubric'!$F$6:$F$14,M698)+I698*INDEX('Position_Rubric'!$G$6:$G$14,M698),1)))))</x:f>
      </x:c>
      <x:c r="K698" s="82" t="str">
        <x:f>IF(AND(ISNUMBER(J698),ISNUMBER(D698)),J698-D698,"")</x:f>
      </x:c>
      <x:c r="L698" s="69" t="str">
        <x:f>IF(COUNT(E698:I698)&lt;5,"Needs component scores",IF(ISNUMBER(J698),"Calculated",J698))</x:f>
        <x:v>Needs component scores</x:v>
      </x:c>
      <x:c r="M698" s="69" t="n">
        <x:f>IF(C698="","",MATCH(C698,'Position_Rubric'!$A$6:$A$14,0))</x:f>
        <x:v>7</x:v>
      </x:c>
      <x:c r="N698" s="69" t="str"/>
    </x:row>
    <x:row r="699" ht="25" customHeight="1">
      <x:c r="A699" s="69" t="str">
        <x:v>summer-S26-1464</x:v>
      </x:c>
      <x:c r="B699" s="69" t="str">
        <x:v>Leon Bailey</x:v>
      </x:c>
      <x:c r="C699" s="69" t="str">
        <x:v>WINGER</x:v>
      </x:c>
      <x:c r="D699" s="82" t="str">
        <x:f>IF(ISNUMBER('Transfer_Ratings'!K699),'Transfer_Ratings'!K699,"")</x:f>
      </x:c>
      <x:c r="E699" s="86"/>
      <x:c r="F699" s="86"/>
      <x:c r="G699" s="86"/>
      <x:c r="H699" s="86"/>
      <x:c r="I699" s="86"/>
      <x:c r="J699" s="82" t="str">
        <x:f>IF(C699="","Choose position",IF(COUNT(E699:I699)&lt;5,"",IF(OR(MIN(E699:I699)&lt;0.1,MAX(E699:I699)&gt;10),"Invalid score",IF(INDEX('Position_Rubric'!$H$6:$H$14,M699)&lt;&gt;1,"Check weights",ROUND(E699*INDEX('Position_Rubric'!$C$6:$C$14,M699)+F699*INDEX('Position_Rubric'!$D$6:$D$14,M699)+G699*INDEX('Position_Rubric'!$E$6:$E$14,M699)+H699*INDEX('Position_Rubric'!$F$6:$F$14,M699)+I699*INDEX('Position_Rubric'!$G$6:$G$14,M699),1)))))</x:f>
      </x:c>
      <x:c r="K699" s="82" t="str">
        <x:f>IF(AND(ISNUMBER(J699),ISNUMBER(D699)),J699-D699,"")</x:f>
      </x:c>
      <x:c r="L699" s="69" t="str">
        <x:f>IF(COUNT(E699:I699)&lt;5,"Needs component scores",IF(ISNUMBER(J699),"Calculated",J699))</x:f>
        <x:v>Needs component scores</x:v>
      </x:c>
      <x:c r="M699" s="69" t="n">
        <x:f>IF(C699="","",MATCH(C699,'Position_Rubric'!$A$6:$A$14,0))</x:f>
        <x:v>7</x:v>
      </x:c>
      <x:c r="N699" s="69" t="str"/>
    </x:row>
    <x:row r="700" ht="25" customHeight="1">
      <x:c r="A700" s="69" t="str">
        <x:v>summer-S26-1467</x:v>
      </x:c>
      <x:c r="B700" s="69" t="str">
        <x:v>Gabriel Martinelli</x:v>
      </x:c>
      <x:c r="C700" s="69" t="str">
        <x:v>WINGER</x:v>
      </x:c>
      <x:c r="D700" s="82" t="str">
        <x:f>IF(ISNUMBER('Transfer_Ratings'!K700),'Transfer_Ratings'!K700,"")</x:f>
      </x:c>
      <x:c r="E700" s="86"/>
      <x:c r="F700" s="86"/>
      <x:c r="G700" s="86"/>
      <x:c r="H700" s="86"/>
      <x:c r="I700" s="86"/>
      <x:c r="J700" s="82" t="str">
        <x:f>IF(C700="","Choose position",IF(COUNT(E700:I700)&lt;5,"",IF(OR(MIN(E700:I700)&lt;0.1,MAX(E700:I700)&gt;10),"Invalid score",IF(INDEX('Position_Rubric'!$H$6:$H$14,M700)&lt;&gt;1,"Check weights",ROUND(E700*INDEX('Position_Rubric'!$C$6:$C$14,M700)+F700*INDEX('Position_Rubric'!$D$6:$D$14,M700)+G700*INDEX('Position_Rubric'!$E$6:$E$14,M700)+H700*INDEX('Position_Rubric'!$F$6:$F$14,M700)+I700*INDEX('Position_Rubric'!$G$6:$G$14,M700),1)))))</x:f>
      </x:c>
      <x:c r="K700" s="82" t="str">
        <x:f>IF(AND(ISNUMBER(J700),ISNUMBER(D700)),J700-D700,"")</x:f>
      </x:c>
      <x:c r="L700" s="69" t="str">
        <x:f>IF(COUNT(E700:I700)&lt;5,"Needs component scores",IF(ISNUMBER(J700),"Calculated",J700))</x:f>
        <x:v>Needs component scores</x:v>
      </x:c>
      <x:c r="M700" s="69" t="n">
        <x:f>IF(C700="","",MATCH(C700,'Position_Rubric'!$A$6:$A$14,0))</x:f>
        <x:v>7</x:v>
      </x:c>
      <x:c r="N700" s="69" t="str"/>
    </x:row>
    <x:row r="701" ht="25" customHeight="1">
      <x:c r="A701" s="69" t="str">
        <x:v>summer-S26-1475</x:v>
      </x:c>
      <x:c r="B701" s="69" t="str">
        <x:v>Yann Gboho</x:v>
      </x:c>
      <x:c r="C701" s="69" t="str">
        <x:v>WINGER</x:v>
      </x:c>
      <x:c r="D701" s="82" t="str">
        <x:f>IF(ISNUMBER('Transfer_Ratings'!K701),'Transfer_Ratings'!K701,"")</x:f>
      </x:c>
      <x:c r="E701" s="86"/>
      <x:c r="F701" s="86"/>
      <x:c r="G701" s="86"/>
      <x:c r="H701" s="86"/>
      <x:c r="I701" s="86"/>
      <x:c r="J701" s="82" t="str">
        <x:f>IF(C701="","Choose position",IF(COUNT(E701:I701)&lt;5,"",IF(OR(MIN(E701:I701)&lt;0.1,MAX(E701:I701)&gt;10),"Invalid score",IF(INDEX('Position_Rubric'!$H$6:$H$14,M701)&lt;&gt;1,"Check weights",ROUND(E701*INDEX('Position_Rubric'!$C$6:$C$14,M701)+F701*INDEX('Position_Rubric'!$D$6:$D$14,M701)+G701*INDEX('Position_Rubric'!$E$6:$E$14,M701)+H701*INDEX('Position_Rubric'!$F$6:$F$14,M701)+I701*INDEX('Position_Rubric'!$G$6:$G$14,M701),1)))))</x:f>
      </x:c>
      <x:c r="K701" s="82" t="str">
        <x:f>IF(AND(ISNUMBER(J701),ISNUMBER(D701)),J701-D701,"")</x:f>
      </x:c>
      <x:c r="L701" s="69" t="str">
        <x:f>IF(COUNT(E701:I701)&lt;5,"Needs component scores",IF(ISNUMBER(J701),"Calculated",J701))</x:f>
        <x:v>Needs component scores</x:v>
      </x:c>
      <x:c r="M701" s="69" t="n">
        <x:f>IF(C701="","",MATCH(C701,'Position_Rubric'!$A$6:$A$14,0))</x:f>
        <x:v>7</x:v>
      </x:c>
      <x:c r="N701" s="69" t="str"/>
    </x:row>
    <x:row r="702" ht="25" customHeight="1">
      <x:c r="A702" s="69" t="str">
        <x:v>summer-S26-1476</x:v>
      </x:c>
      <x:c r="B702" s="69" t="str">
        <x:v>Elijah Odede</x:v>
      </x:c>
      <x:c r="C702" s="69" t="str">
        <x:v>WINGER</x:v>
      </x:c>
      <x:c r="D702" s="82" t="str">
        <x:f>IF(ISNUMBER('Transfer_Ratings'!K702),'Transfer_Ratings'!K702,"")</x:f>
      </x:c>
      <x:c r="E702" s="86"/>
      <x:c r="F702" s="86"/>
      <x:c r="G702" s="86"/>
      <x:c r="H702" s="86"/>
      <x:c r="I702" s="86"/>
      <x:c r="J702" s="82" t="str">
        <x:f>IF(C702="","Choose position",IF(COUNT(E702:I702)&lt;5,"",IF(OR(MIN(E702:I702)&lt;0.1,MAX(E702:I702)&gt;10),"Invalid score",IF(INDEX('Position_Rubric'!$H$6:$H$14,M702)&lt;&gt;1,"Check weights",ROUND(E702*INDEX('Position_Rubric'!$C$6:$C$14,M702)+F702*INDEX('Position_Rubric'!$D$6:$D$14,M702)+G702*INDEX('Position_Rubric'!$E$6:$E$14,M702)+H702*INDEX('Position_Rubric'!$F$6:$F$14,M702)+I702*INDEX('Position_Rubric'!$G$6:$G$14,M702),1)))))</x:f>
      </x:c>
      <x:c r="K702" s="82" t="str">
        <x:f>IF(AND(ISNUMBER(J702),ISNUMBER(D702)),J702-D702,"")</x:f>
      </x:c>
      <x:c r="L702" s="69" t="str">
        <x:f>IF(COUNT(E702:I702)&lt;5,"Needs component scores",IF(ISNUMBER(J702),"Calculated",J702))</x:f>
        <x:v>Needs component scores</x:v>
      </x:c>
      <x:c r="M702" s="69" t="n">
        <x:f>IF(C702="","",MATCH(C702,'Position_Rubric'!$A$6:$A$14,0))</x:f>
        <x:v>7</x:v>
      </x:c>
      <x:c r="N702" s="69" t="str"/>
    </x:row>
    <x:row r="703" ht="25" customHeight="1">
      <x:c r="A703" s="69" t="str">
        <x:v>summer-S26-1478</x:v>
      </x:c>
      <x:c r="B703" s="69" t="str">
        <x:v>Axel Camblan</x:v>
      </x:c>
      <x:c r="C703" s="69" t="str">
        <x:v>WINGER</x:v>
      </x:c>
      <x:c r="D703" s="82" t="str">
        <x:f>IF(ISNUMBER('Transfer_Ratings'!K703),'Transfer_Ratings'!K703,"")</x:f>
      </x:c>
      <x:c r="E703" s="86"/>
      <x:c r="F703" s="86"/>
      <x:c r="G703" s="86"/>
      <x:c r="H703" s="86"/>
      <x:c r="I703" s="86"/>
      <x:c r="J703" s="82" t="str">
        <x:f>IF(C703="","Choose position",IF(COUNT(E703:I703)&lt;5,"",IF(OR(MIN(E703:I703)&lt;0.1,MAX(E703:I703)&gt;10),"Invalid score",IF(INDEX('Position_Rubric'!$H$6:$H$14,M703)&lt;&gt;1,"Check weights",ROUND(E703*INDEX('Position_Rubric'!$C$6:$C$14,M703)+F703*INDEX('Position_Rubric'!$D$6:$D$14,M703)+G703*INDEX('Position_Rubric'!$E$6:$E$14,M703)+H703*INDEX('Position_Rubric'!$F$6:$F$14,M703)+I703*INDEX('Position_Rubric'!$G$6:$G$14,M703),1)))))</x:f>
      </x:c>
      <x:c r="K703" s="82" t="str">
        <x:f>IF(AND(ISNUMBER(J703),ISNUMBER(D703)),J703-D703,"")</x:f>
      </x:c>
      <x:c r="L703" s="69" t="str">
        <x:f>IF(COUNT(E703:I703)&lt;5,"Needs component scores",IF(ISNUMBER(J703),"Calculated",J703))</x:f>
        <x:v>Needs component scores</x:v>
      </x:c>
      <x:c r="M703" s="69" t="n">
        <x:f>IF(C703="","",MATCH(C703,'Position_Rubric'!$A$6:$A$14,0))</x:f>
        <x:v>7</x:v>
      </x:c>
      <x:c r="N703" s="69" t="str"/>
    </x:row>
    <x:row r="704" ht="25" customHeight="1">
      <x:c r="A704" s="69" t="str">
        <x:v>summer-S26-1481</x:v>
      </x:c>
      <x:c r="B704" s="69" t="str">
        <x:v>Jesurun Rak-Sakyi</x:v>
      </x:c>
      <x:c r="C704" s="69" t="str">
        <x:v>WINGER</x:v>
      </x:c>
      <x:c r="D704" s="82" t="str">
        <x:f>IF(ISNUMBER('Transfer_Ratings'!K704),'Transfer_Ratings'!K704,"")</x:f>
      </x:c>
      <x:c r="E704" s="86"/>
      <x:c r="F704" s="86"/>
      <x:c r="G704" s="86"/>
      <x:c r="H704" s="86"/>
      <x:c r="I704" s="86"/>
      <x:c r="J704" s="82" t="str">
        <x:f>IF(C704="","Choose position",IF(COUNT(E704:I704)&lt;5,"",IF(OR(MIN(E704:I704)&lt;0.1,MAX(E704:I704)&gt;10),"Invalid score",IF(INDEX('Position_Rubric'!$H$6:$H$14,M704)&lt;&gt;1,"Check weights",ROUND(E704*INDEX('Position_Rubric'!$C$6:$C$14,M704)+F704*INDEX('Position_Rubric'!$D$6:$D$14,M704)+G704*INDEX('Position_Rubric'!$E$6:$E$14,M704)+H704*INDEX('Position_Rubric'!$F$6:$F$14,M704)+I704*INDEX('Position_Rubric'!$G$6:$G$14,M704),1)))))</x:f>
      </x:c>
      <x:c r="K704" s="82" t="str">
        <x:f>IF(AND(ISNUMBER(J704),ISNUMBER(D704)),J704-D704,"")</x:f>
      </x:c>
      <x:c r="L704" s="69" t="str">
        <x:f>IF(COUNT(E704:I704)&lt;5,"Needs component scores",IF(ISNUMBER(J704),"Calculated",J704))</x:f>
        <x:v>Needs component scores</x:v>
      </x:c>
      <x:c r="M704" s="69" t="n">
        <x:f>IF(C704="","",MATCH(C704,'Position_Rubric'!$A$6:$A$14,0))</x:f>
        <x:v>7</x:v>
      </x:c>
      <x:c r="N704" s="69" t="str"/>
    </x:row>
    <x:row r="705" ht="25" customHeight="1">
      <x:c r="A705" s="69" t="str">
        <x:v>summer-S26-1482</x:v>
      </x:c>
      <x:c r="B705" s="69" t="str">
        <x:v>Issiaka Kamate</x:v>
      </x:c>
      <x:c r="C705" s="69" t="str">
        <x:v>WINGER</x:v>
      </x:c>
      <x:c r="D705" s="82" t="str">
        <x:f>IF(ISNUMBER('Transfer_Ratings'!K705),'Transfer_Ratings'!K705,"")</x:f>
      </x:c>
      <x:c r="E705" s="86"/>
      <x:c r="F705" s="86"/>
      <x:c r="G705" s="86"/>
      <x:c r="H705" s="86"/>
      <x:c r="I705" s="86"/>
      <x:c r="J705" s="82" t="str">
        <x:f>IF(C705="","Choose position",IF(COUNT(E705:I705)&lt;5,"",IF(OR(MIN(E705:I705)&lt;0.1,MAX(E705:I705)&gt;10),"Invalid score",IF(INDEX('Position_Rubric'!$H$6:$H$14,M705)&lt;&gt;1,"Check weights",ROUND(E705*INDEX('Position_Rubric'!$C$6:$C$14,M705)+F705*INDEX('Position_Rubric'!$D$6:$D$14,M705)+G705*INDEX('Position_Rubric'!$E$6:$E$14,M705)+H705*INDEX('Position_Rubric'!$F$6:$F$14,M705)+I705*INDEX('Position_Rubric'!$G$6:$G$14,M705),1)))))</x:f>
      </x:c>
      <x:c r="K705" s="82" t="str">
        <x:f>IF(AND(ISNUMBER(J705),ISNUMBER(D705)),J705-D705,"")</x:f>
      </x:c>
      <x:c r="L705" s="69" t="str">
        <x:f>IF(COUNT(E705:I705)&lt;5,"Needs component scores",IF(ISNUMBER(J705),"Calculated",J705))</x:f>
        <x:v>Needs component scores</x:v>
      </x:c>
      <x:c r="M705" s="69" t="n">
        <x:f>IF(C705="","",MATCH(C705,'Position_Rubric'!$A$6:$A$14,0))</x:f>
        <x:v>7</x:v>
      </x:c>
      <x:c r="N705" s="69" t="str"/>
    </x:row>
    <x:row r="706" ht="25" customHeight="1">
      <x:c r="A706" s="69" t="str">
        <x:v>summer-S26-1484</x:v>
      </x:c>
      <x:c r="B706" s="69" t="str">
        <x:v>Iker Luque</x:v>
      </x:c>
      <x:c r="C706" s="69" t="str">
        <x:v>WINGER</x:v>
      </x:c>
      <x:c r="D706" s="82" t="str">
        <x:f>IF(ISNUMBER('Transfer_Ratings'!K706),'Transfer_Ratings'!K706,"")</x:f>
      </x:c>
      <x:c r="E706" s="86"/>
      <x:c r="F706" s="86"/>
      <x:c r="G706" s="86"/>
      <x:c r="H706" s="86"/>
      <x:c r="I706" s="86"/>
      <x:c r="J706" s="82" t="str">
        <x:f>IF(C706="","Choose position",IF(COUNT(E706:I706)&lt;5,"",IF(OR(MIN(E706:I706)&lt;0.1,MAX(E706:I706)&gt;10),"Invalid score",IF(INDEX('Position_Rubric'!$H$6:$H$14,M706)&lt;&gt;1,"Check weights",ROUND(E706*INDEX('Position_Rubric'!$C$6:$C$14,M706)+F706*INDEX('Position_Rubric'!$D$6:$D$14,M706)+G706*INDEX('Position_Rubric'!$E$6:$E$14,M706)+H706*INDEX('Position_Rubric'!$F$6:$F$14,M706)+I706*INDEX('Position_Rubric'!$G$6:$G$14,M706),1)))))</x:f>
      </x:c>
      <x:c r="K706" s="82" t="str">
        <x:f>IF(AND(ISNUMBER(J706),ISNUMBER(D706)),J706-D706,"")</x:f>
      </x:c>
      <x:c r="L706" s="69" t="str">
        <x:f>IF(COUNT(E706:I706)&lt;5,"Needs component scores",IF(ISNUMBER(J706),"Calculated",J706))</x:f>
        <x:v>Needs component scores</x:v>
      </x:c>
      <x:c r="M706" s="69" t="n">
        <x:f>IF(C706="","",MATCH(C706,'Position_Rubric'!$A$6:$A$14,0))</x:f>
        <x:v>7</x:v>
      </x:c>
      <x:c r="N706" s="69" t="str"/>
    </x:row>
    <x:row r="707" ht="25" customHeight="1">
      <x:c r="A707" s="69" t="str">
        <x:v>summer-S26-1490</x:v>
      </x:c>
      <x:c r="B707" s="69" t="str">
        <x:v>Keito Nakamura</x:v>
      </x:c>
      <x:c r="C707" s="69" t="str">
        <x:v>WINGER</x:v>
      </x:c>
      <x:c r="D707" s="82" t="str">
        <x:f>IF(ISNUMBER('Transfer_Ratings'!K707),'Transfer_Ratings'!K707,"")</x:f>
      </x:c>
      <x:c r="E707" s="86"/>
      <x:c r="F707" s="86"/>
      <x:c r="G707" s="86"/>
      <x:c r="H707" s="86"/>
      <x:c r="I707" s="86"/>
      <x:c r="J707" s="82" t="str">
        <x:f>IF(C707="","Choose position",IF(COUNT(E707:I707)&lt;5,"",IF(OR(MIN(E707:I707)&lt;0.1,MAX(E707:I707)&gt;10),"Invalid score",IF(INDEX('Position_Rubric'!$H$6:$H$14,M707)&lt;&gt;1,"Check weights",ROUND(E707*INDEX('Position_Rubric'!$C$6:$C$14,M707)+F707*INDEX('Position_Rubric'!$D$6:$D$14,M707)+G707*INDEX('Position_Rubric'!$E$6:$E$14,M707)+H707*INDEX('Position_Rubric'!$F$6:$F$14,M707)+I707*INDEX('Position_Rubric'!$G$6:$G$14,M707),1)))))</x:f>
      </x:c>
      <x:c r="K707" s="82" t="str">
        <x:f>IF(AND(ISNUMBER(J707),ISNUMBER(D707)),J707-D707,"")</x:f>
      </x:c>
      <x:c r="L707" s="69" t="str">
        <x:f>IF(COUNT(E707:I707)&lt;5,"Needs component scores",IF(ISNUMBER(J707),"Calculated",J707))</x:f>
        <x:v>Needs component scores</x:v>
      </x:c>
      <x:c r="M707" s="69" t="n">
        <x:f>IF(C707="","",MATCH(C707,'Position_Rubric'!$A$6:$A$14,0))</x:f>
        <x:v>7</x:v>
      </x:c>
      <x:c r="N707" s="69" t="str"/>
    </x:row>
    <x:row r="708" ht="25" customHeight="1">
      <x:c r="A708" s="69" t="str">
        <x:v>summer-S26-1495</x:v>
      </x:c>
      <x:c r="B708" s="69" t="str">
        <x:v>Amar Fatah</x:v>
      </x:c>
      <x:c r="C708" s="69" t="str">
        <x:v>WINGER</x:v>
      </x:c>
      <x:c r="D708" s="82" t="str">
        <x:f>IF(ISNUMBER('Transfer_Ratings'!K708),'Transfer_Ratings'!K708,"")</x:f>
      </x:c>
      <x:c r="E708" s="86"/>
      <x:c r="F708" s="86"/>
      <x:c r="G708" s="86"/>
      <x:c r="H708" s="86"/>
      <x:c r="I708" s="86"/>
      <x:c r="J708" s="82" t="str">
        <x:f>IF(C708="","Choose position",IF(COUNT(E708:I708)&lt;5,"",IF(OR(MIN(E708:I708)&lt;0.1,MAX(E708:I708)&gt;10),"Invalid score",IF(INDEX('Position_Rubric'!$H$6:$H$14,M708)&lt;&gt;1,"Check weights",ROUND(E708*INDEX('Position_Rubric'!$C$6:$C$14,M708)+F708*INDEX('Position_Rubric'!$D$6:$D$14,M708)+G708*INDEX('Position_Rubric'!$E$6:$E$14,M708)+H708*INDEX('Position_Rubric'!$F$6:$F$14,M708)+I708*INDEX('Position_Rubric'!$G$6:$G$14,M708),1)))))</x:f>
      </x:c>
      <x:c r="K708" s="82" t="str">
        <x:f>IF(AND(ISNUMBER(J708),ISNUMBER(D708)),J708-D708,"")</x:f>
      </x:c>
      <x:c r="L708" s="69" t="str">
        <x:f>IF(COUNT(E708:I708)&lt;5,"Needs component scores",IF(ISNUMBER(J708),"Calculated",J708))</x:f>
        <x:v>Needs component scores</x:v>
      </x:c>
      <x:c r="M708" s="69" t="n">
        <x:f>IF(C708="","",MATCH(C708,'Position_Rubric'!$A$6:$A$14,0))</x:f>
        <x:v>7</x:v>
      </x:c>
      <x:c r="N708" s="69" t="str"/>
    </x:row>
    <x:row r="709" ht="25" customHeight="1">
      <x:c r="A709" s="69" t="str">
        <x:v>summer-S26-1502</x:v>
      </x:c>
      <x:c r="B709" s="69" t="str">
        <x:v>Luka Lynch</x:v>
      </x:c>
      <x:c r="C709" s="69" t="str">
        <x:v>WINGER</x:v>
      </x:c>
      <x:c r="D709" s="82" t="str">
        <x:f>IF(ISNUMBER('Transfer_Ratings'!K709),'Transfer_Ratings'!K709,"")</x:f>
      </x:c>
      <x:c r="E709" s="86"/>
      <x:c r="F709" s="86"/>
      <x:c r="G709" s="86"/>
      <x:c r="H709" s="86"/>
      <x:c r="I709" s="86"/>
      <x:c r="J709" s="82" t="str">
        <x:f>IF(C709="","Choose position",IF(COUNT(E709:I709)&lt;5,"",IF(OR(MIN(E709:I709)&lt;0.1,MAX(E709:I709)&gt;10),"Invalid score",IF(INDEX('Position_Rubric'!$H$6:$H$14,M709)&lt;&gt;1,"Check weights",ROUND(E709*INDEX('Position_Rubric'!$C$6:$C$14,M709)+F709*INDEX('Position_Rubric'!$D$6:$D$14,M709)+G709*INDEX('Position_Rubric'!$E$6:$E$14,M709)+H709*INDEX('Position_Rubric'!$F$6:$F$14,M709)+I709*INDEX('Position_Rubric'!$G$6:$G$14,M709),1)))))</x:f>
      </x:c>
      <x:c r="K709" s="82" t="str">
        <x:f>IF(AND(ISNUMBER(J709),ISNUMBER(D709)),J709-D709,"")</x:f>
      </x:c>
      <x:c r="L709" s="69" t="str">
        <x:f>IF(COUNT(E709:I709)&lt;5,"Needs component scores",IF(ISNUMBER(J709),"Calculated",J709))</x:f>
        <x:v>Needs component scores</x:v>
      </x:c>
      <x:c r="M709" s="69" t="n">
        <x:f>IF(C709="","",MATCH(C709,'Position_Rubric'!$A$6:$A$14,0))</x:f>
        <x:v>7</x:v>
      </x:c>
      <x:c r="N709" s="69" t="str"/>
    </x:row>
    <x:row r="710" ht="25" customHeight="1">
      <x:c r="A710" s="69" t="str">
        <x:v>summer-S26-1505</x:v>
      </x:c>
      <x:c r="B710" s="69" t="str">
        <x:v>Jesper Karlsson</x:v>
      </x:c>
      <x:c r="C710" s="69" t="str">
        <x:v>WINGER</x:v>
      </x:c>
      <x:c r="D710" s="82" t="str">
        <x:f>IF(ISNUMBER('Transfer_Ratings'!K710),'Transfer_Ratings'!K710,"")</x:f>
      </x:c>
      <x:c r="E710" s="86"/>
      <x:c r="F710" s="86"/>
      <x:c r="G710" s="86"/>
      <x:c r="H710" s="86"/>
      <x:c r="I710" s="86"/>
      <x:c r="J710" s="82" t="str">
        <x:f>IF(C710="","Choose position",IF(COUNT(E710:I710)&lt;5,"",IF(OR(MIN(E710:I710)&lt;0.1,MAX(E710:I710)&gt;10),"Invalid score",IF(INDEX('Position_Rubric'!$H$6:$H$14,M710)&lt;&gt;1,"Check weights",ROUND(E710*INDEX('Position_Rubric'!$C$6:$C$14,M710)+F710*INDEX('Position_Rubric'!$D$6:$D$14,M710)+G710*INDEX('Position_Rubric'!$E$6:$E$14,M710)+H710*INDEX('Position_Rubric'!$F$6:$F$14,M710)+I710*INDEX('Position_Rubric'!$G$6:$G$14,M710),1)))))</x:f>
      </x:c>
      <x:c r="K710" s="82" t="str">
        <x:f>IF(AND(ISNUMBER(J710),ISNUMBER(D710)),J710-D710,"")</x:f>
      </x:c>
      <x:c r="L710" s="69" t="str">
        <x:f>IF(COUNT(E710:I710)&lt;5,"Needs component scores",IF(ISNUMBER(J710),"Calculated",J710))</x:f>
        <x:v>Needs component scores</x:v>
      </x:c>
      <x:c r="M710" s="69" t="n">
        <x:f>IF(C710="","",MATCH(C710,'Position_Rubric'!$A$6:$A$14,0))</x:f>
        <x:v>7</x:v>
      </x:c>
      <x:c r="N710" s="69" t="str"/>
    </x:row>
    <x:row r="711" ht="25" customHeight="1">
      <x:c r="A711" s="69" t="str">
        <x:v>summer-S26-1516</x:v>
      </x:c>
      <x:c r="B711" s="69" t="str">
        <x:v>Wilfried Gnonto</x:v>
      </x:c>
      <x:c r="C711" s="69" t="str">
        <x:v>WINGER</x:v>
      </x:c>
      <x:c r="D711" s="82" t="str">
        <x:f>IF(ISNUMBER('Transfer_Ratings'!K711),'Transfer_Ratings'!K711,"")</x:f>
      </x:c>
      <x:c r="E711" s="86"/>
      <x:c r="F711" s="86"/>
      <x:c r="G711" s="86"/>
      <x:c r="H711" s="86"/>
      <x:c r="I711" s="86"/>
      <x:c r="J711" s="82" t="str">
        <x:f>IF(C711="","Choose position",IF(COUNT(E711:I711)&lt;5,"",IF(OR(MIN(E711:I711)&lt;0.1,MAX(E711:I711)&gt;10),"Invalid score",IF(INDEX('Position_Rubric'!$H$6:$H$14,M711)&lt;&gt;1,"Check weights",ROUND(E711*INDEX('Position_Rubric'!$C$6:$C$14,M711)+F711*INDEX('Position_Rubric'!$D$6:$D$14,M711)+G711*INDEX('Position_Rubric'!$E$6:$E$14,M711)+H711*INDEX('Position_Rubric'!$F$6:$F$14,M711)+I711*INDEX('Position_Rubric'!$G$6:$G$14,M711),1)))))</x:f>
      </x:c>
      <x:c r="K711" s="82" t="str">
        <x:f>IF(AND(ISNUMBER(J711),ISNUMBER(D711)),J711-D711,"")</x:f>
      </x:c>
      <x:c r="L711" s="69" t="str">
        <x:f>IF(COUNT(E711:I711)&lt;5,"Needs component scores",IF(ISNUMBER(J711),"Calculated",J711))</x:f>
        <x:v>Needs component scores</x:v>
      </x:c>
      <x:c r="M711" s="69" t="n">
        <x:f>IF(C711="","",MATCH(C711,'Position_Rubric'!$A$6:$A$14,0))</x:f>
        <x:v>7</x:v>
      </x:c>
      <x:c r="N711" s="69" t="str"/>
    </x:row>
    <x:row r="712" ht="25" customHeight="1">
      <x:c r="A712" s="69" t="str">
        <x:v>summer-S26-1519</x:v>
      </x:c>
      <x:c r="B712" s="69" t="str">
        <x:v>David Akintola</x:v>
      </x:c>
      <x:c r="C712" s="69" t="str">
        <x:v>WINGER</x:v>
      </x:c>
      <x:c r="D712" s="82" t="str">
        <x:f>IF(ISNUMBER('Transfer_Ratings'!K712),'Transfer_Ratings'!K712,"")</x:f>
      </x:c>
      <x:c r="E712" s="86"/>
      <x:c r="F712" s="86"/>
      <x:c r="G712" s="86"/>
      <x:c r="H712" s="86"/>
      <x:c r="I712" s="86"/>
      <x:c r="J712" s="82" t="str">
        <x:f>IF(C712="","Choose position",IF(COUNT(E712:I712)&lt;5,"",IF(OR(MIN(E712:I712)&lt;0.1,MAX(E712:I712)&gt;10),"Invalid score",IF(INDEX('Position_Rubric'!$H$6:$H$14,M712)&lt;&gt;1,"Check weights",ROUND(E712*INDEX('Position_Rubric'!$C$6:$C$14,M712)+F712*INDEX('Position_Rubric'!$D$6:$D$14,M712)+G712*INDEX('Position_Rubric'!$E$6:$E$14,M712)+H712*INDEX('Position_Rubric'!$F$6:$F$14,M712)+I712*INDEX('Position_Rubric'!$G$6:$G$14,M712),1)))))</x:f>
      </x:c>
      <x:c r="K712" s="82" t="str">
        <x:f>IF(AND(ISNUMBER(J712),ISNUMBER(D712)),J712-D712,"")</x:f>
      </x:c>
      <x:c r="L712" s="69" t="str">
        <x:f>IF(COUNT(E712:I712)&lt;5,"Needs component scores",IF(ISNUMBER(J712),"Calculated",J712))</x:f>
        <x:v>Needs component scores</x:v>
      </x:c>
      <x:c r="M712" s="69" t="n">
        <x:f>IF(C712="","",MATCH(C712,'Position_Rubric'!$A$6:$A$14,0))</x:f>
        <x:v>7</x:v>
      </x:c>
      <x:c r="N712" s="69" t="str"/>
    </x:row>
    <x:row r="713" ht="25" customHeight="1">
      <x:c r="A713" s="69" t="str">
        <x:v>summer-S26-0010</x:v>
      </x:c>
      <x:c r="B713" s="69" t="str">
        <x:v>Anthony Gordon</x:v>
      </x:c>
      <x:c r="C713" s="69" t="str">
        <x:v>WINGER</x:v>
      </x:c>
      <x:c r="D713" s="82" t="str">
        <x:f>IF(ISNUMBER('Transfer_Ratings'!K713),'Transfer_Ratings'!K713,"")</x:f>
      </x:c>
      <x:c r="E713" s="86"/>
      <x:c r="F713" s="86"/>
      <x:c r="G713" s="86"/>
      <x:c r="H713" s="86"/>
      <x:c r="I713" s="86"/>
      <x:c r="J713" s="82" t="str">
        <x:f>IF(C713="","Choose position",IF(COUNT(E713:I713)&lt;5,"",IF(OR(MIN(E713:I713)&lt;0.1,MAX(E713:I713)&gt;10),"Invalid score",IF(INDEX('Position_Rubric'!$H$6:$H$14,M713)&lt;&gt;1,"Check weights",ROUND(E713*INDEX('Position_Rubric'!$C$6:$C$14,M713)+F713*INDEX('Position_Rubric'!$D$6:$D$14,M713)+G713*INDEX('Position_Rubric'!$E$6:$E$14,M713)+H713*INDEX('Position_Rubric'!$F$6:$F$14,M713)+I713*INDEX('Position_Rubric'!$G$6:$G$14,M713),1)))))</x:f>
      </x:c>
      <x:c r="K713" s="82" t="str">
        <x:f>IF(AND(ISNUMBER(J713),ISNUMBER(D713)),J713-D713,"")</x:f>
      </x:c>
      <x:c r="L713" s="69" t="str">
        <x:f>IF(COUNT(E713:I713)&lt;5,"Needs component scores",IF(ISNUMBER(J713),"Calculated",J713))</x:f>
        <x:v>Needs component scores</x:v>
      </x:c>
      <x:c r="M713" s="69" t="n">
        <x:f>IF(C713="","",MATCH(C713,'Position_Rubric'!$A$6:$A$14,0))</x:f>
        <x:v>7</x:v>
      </x:c>
      <x:c r="N713" s="69" t="str"/>
    </x:row>
    <x:row r="714" ht="25" customHeight="1">
      <x:c r="A714" s="69" t="str">
        <x:v>summer-S26-0020</x:v>
      </x:c>
      <x:c r="B714" s="69" t="str">
        <x:v>Geovany Quenda</x:v>
      </x:c>
      <x:c r="C714" s="69" t="str">
        <x:v>WINGER</x:v>
      </x:c>
      <x:c r="D714" s="82" t="str">
        <x:f>IF(ISNUMBER('Transfer_Ratings'!K714),'Transfer_Ratings'!K714,"")</x:f>
      </x:c>
      <x:c r="E714" s="86"/>
      <x:c r="F714" s="86"/>
      <x:c r="G714" s="86"/>
      <x:c r="H714" s="86"/>
      <x:c r="I714" s="86"/>
      <x:c r="J714" s="82" t="str">
        <x:f>IF(C714="","Choose position",IF(COUNT(E714:I714)&lt;5,"",IF(OR(MIN(E714:I714)&lt;0.1,MAX(E714:I714)&gt;10),"Invalid score",IF(INDEX('Position_Rubric'!$H$6:$H$14,M714)&lt;&gt;1,"Check weights",ROUND(E714*INDEX('Position_Rubric'!$C$6:$C$14,M714)+F714*INDEX('Position_Rubric'!$D$6:$D$14,M714)+G714*INDEX('Position_Rubric'!$E$6:$E$14,M714)+H714*INDEX('Position_Rubric'!$F$6:$F$14,M714)+I714*INDEX('Position_Rubric'!$G$6:$G$14,M714),1)))))</x:f>
      </x:c>
      <x:c r="K714" s="82" t="str">
        <x:f>IF(AND(ISNUMBER(J714),ISNUMBER(D714)),J714-D714,"")</x:f>
      </x:c>
      <x:c r="L714" s="69" t="str">
        <x:f>IF(COUNT(E714:I714)&lt;5,"Needs component scores",IF(ISNUMBER(J714),"Calculated",J714))</x:f>
        <x:v>Needs component scores</x:v>
      </x:c>
      <x:c r="M714" s="69" t="n">
        <x:f>IF(C714="","",MATCH(C714,'Position_Rubric'!$A$6:$A$14,0))</x:f>
        <x:v>7</x:v>
      </x:c>
      <x:c r="N714" s="69" t="str"/>
    </x:row>
    <x:row r="715" ht="25" customHeight="1">
      <x:c r="A715" s="69" t="str">
        <x:v>summer-S26-0779</x:v>
      </x:c>
      <x:c r="B715" s="69" t="str">
        <x:v>Yan Diomande</x:v>
      </x:c>
      <x:c r="C715" s="69" t="str">
        <x:v>WINGER</x:v>
      </x:c>
      <x:c r="D715" s="82" t="str">
        <x:f>IF(ISNUMBER('Transfer_Ratings'!K715),'Transfer_Ratings'!K715,"")</x:f>
      </x:c>
      <x:c r="E715" s="86"/>
      <x:c r="F715" s="86"/>
      <x:c r="G715" s="86"/>
      <x:c r="H715" s="86"/>
      <x:c r="I715" s="86"/>
      <x:c r="J715" s="82" t="str">
        <x:f>IF(C715="","Choose position",IF(COUNT(E715:I715)&lt;5,"",IF(OR(MIN(E715:I715)&lt;0.1,MAX(E715:I715)&gt;10),"Invalid score",IF(INDEX('Position_Rubric'!$H$6:$H$14,M715)&lt;&gt;1,"Check weights",ROUND(E715*INDEX('Position_Rubric'!$C$6:$C$14,M715)+F715*INDEX('Position_Rubric'!$D$6:$D$14,M715)+G715*INDEX('Position_Rubric'!$E$6:$E$14,M715)+H715*INDEX('Position_Rubric'!$F$6:$F$14,M715)+I715*INDEX('Position_Rubric'!$G$6:$G$14,M715),1)))))</x:f>
      </x:c>
      <x:c r="K715" s="82" t="str">
        <x:f>IF(AND(ISNUMBER(J715),ISNUMBER(D715)),J715-D715,"")</x:f>
      </x:c>
      <x:c r="L715" s="69" t="str">
        <x:f>IF(COUNT(E715:I715)&lt;5,"Needs component scores",IF(ISNUMBER(J715),"Calculated",J715))</x:f>
        <x:v>Needs component scores</x:v>
      </x:c>
      <x:c r="M715" s="69" t="n">
        <x:f>IF(C715="","",MATCH(C715,'Position_Rubric'!$A$6:$A$14,0))</x:f>
        <x:v>7</x:v>
      </x:c>
      <x:c r="N715" s="69" t="str"/>
    </x:row>
    <x:row r="716" ht="25" customHeight="1">
      <x:c r="A716" s="69" t="str">
        <x:v>summer-S26-1364</x:v>
      </x:c>
      <x:c r="B716" s="69" t="str">
        <x:v>Iliman Ndiaye</x:v>
      </x:c>
      <x:c r="C716" s="69" t="str">
        <x:v>WINGER</x:v>
      </x:c>
      <x:c r="D716" s="82" t="str">
        <x:f>IF(ISNUMBER('Transfer_Ratings'!K716),'Transfer_Ratings'!K716,"")</x:f>
      </x:c>
      <x:c r="E716" s="86"/>
      <x:c r="F716" s="86"/>
      <x:c r="G716" s="86"/>
      <x:c r="H716" s="86"/>
      <x:c r="I716" s="86"/>
      <x:c r="J716" s="82" t="str">
        <x:f>IF(C716="","Choose position",IF(COUNT(E716:I716)&lt;5,"",IF(OR(MIN(E716:I716)&lt;0.1,MAX(E716:I716)&gt;10),"Invalid score",IF(INDEX('Position_Rubric'!$H$6:$H$14,M716)&lt;&gt;1,"Check weights",ROUND(E716*INDEX('Position_Rubric'!$C$6:$C$14,M716)+F716*INDEX('Position_Rubric'!$D$6:$D$14,M716)+G716*INDEX('Position_Rubric'!$E$6:$E$14,M716)+H716*INDEX('Position_Rubric'!$F$6:$F$14,M716)+I716*INDEX('Position_Rubric'!$G$6:$G$14,M716),1)))))</x:f>
      </x:c>
      <x:c r="K716" s="82" t="str">
        <x:f>IF(AND(ISNUMBER(J716),ISNUMBER(D716)),J716-D716,"")</x:f>
      </x:c>
      <x:c r="L716" s="69" t="str">
        <x:f>IF(COUNT(E716:I716)&lt;5,"Needs component scores",IF(ISNUMBER(J716),"Calculated",J716))</x:f>
        <x:v>Needs component scores</x:v>
      </x:c>
      <x:c r="M716" s="69" t="n">
        <x:f>IF(C716="","",MATCH(C716,'Position_Rubric'!$A$6:$A$14,0))</x:f>
        <x:v>7</x:v>
      </x:c>
      <x:c r="N716" s="69" t="str"/>
    </x:row>
    <x:row r="717" ht="25" customHeight="1">
      <x:c r="A717" s="69" t="str">
        <x:v>historical-5</x:v>
      </x:c>
      <x:c r="B717" s="69" t="str">
        <x:v>Morgan Rogers</x:v>
      </x:c>
      <x:c r="C717" s="69" t="str">
        <x:v>CAM</x:v>
      </x:c>
      <x:c r="D717" s="82" t="str">
        <x:f>IF(ISNUMBER('Transfer_Ratings'!K717),'Transfer_Ratings'!K717,"")</x:f>
      </x:c>
      <x:c r="E717" s="86"/>
      <x:c r="F717" s="86"/>
      <x:c r="G717" s="86"/>
      <x:c r="H717" s="86"/>
      <x:c r="I717" s="86"/>
      <x:c r="J717" s="82" t="str">
        <x:f>IF(C717="","Choose position",IF(COUNT(E717:I717)&lt;5,"",IF(OR(MIN(E717:I717)&lt;0.1,MAX(E717:I717)&gt;10),"Invalid score",IF(INDEX('Position_Rubric'!$H$6:$H$14,M717)&lt;&gt;1,"Check weights",ROUND(E717*INDEX('Position_Rubric'!$C$6:$C$14,M717)+F717*INDEX('Position_Rubric'!$D$6:$D$14,M717)+G717*INDEX('Position_Rubric'!$E$6:$E$14,M717)+H717*INDEX('Position_Rubric'!$F$6:$F$14,M717)+I717*INDEX('Position_Rubric'!$G$6:$G$14,M717),1)))))</x:f>
      </x:c>
      <x:c r="K717" s="82" t="str">
        <x:f>IF(AND(ISNUMBER(J717),ISNUMBER(D717)),J717-D717,"")</x:f>
      </x:c>
      <x:c r="L717" s="69" t="str">
        <x:f>IF(COUNT(E717:I717)&lt;5,"Needs component scores",IF(ISNUMBER(J717),"Calculated",J717))</x:f>
        <x:v>Needs component scores</x:v>
      </x:c>
      <x:c r="M717" s="69" t="n">
        <x:f>IF(C717="","",MATCH(C717,'Position_Rubric'!$A$6:$A$14,0))</x:f>
        <x:v>3</x:v>
      </x:c>
      <x:c r="N717" s="69" t="str"/>
    </x:row>
    <x:row r="718" ht="25" customHeight="1">
      <x:c r="A718" s="69" t="str">
        <x:v>historical-6</x:v>
      </x:c>
      <x:c r="B718" s="69" t="str">
        <x:v>Philippe Coutinho</x:v>
      </x:c>
      <x:c r="C718" s="69" t="str">
        <x:v>CAM</x:v>
      </x:c>
      <x:c r="D718" s="82" t="n">
        <x:f>IF(ISNUMBER('Transfer_Ratings'!K718),'Transfer_Ratings'!K718,"")</x:f>
        <x:v>3.4</x:v>
      </x:c>
      <x:c r="E718" s="86"/>
      <x:c r="F718" s="86"/>
      <x:c r="G718" s="86"/>
      <x:c r="H718" s="86"/>
      <x:c r="I718" s="86"/>
      <x:c r="J718" s="82" t="str">
        <x:f>IF(C718="","Choose position",IF(COUNT(E718:I718)&lt;5,"",IF(OR(MIN(E718:I718)&lt;0.1,MAX(E718:I718)&gt;10),"Invalid score",IF(INDEX('Position_Rubric'!$H$6:$H$14,M718)&lt;&gt;1,"Check weights",ROUND(E718*INDEX('Position_Rubric'!$C$6:$C$14,M718)+F718*INDEX('Position_Rubric'!$D$6:$D$14,M718)+G718*INDEX('Position_Rubric'!$E$6:$E$14,M718)+H718*INDEX('Position_Rubric'!$F$6:$F$14,M718)+I718*INDEX('Position_Rubric'!$G$6:$G$14,M718),1)))))</x:f>
      </x:c>
      <x:c r="K718" s="82" t="str">
        <x:f>IF(AND(ISNUMBER(J718),ISNUMBER(D718)),J718-D718,"")</x:f>
      </x:c>
      <x:c r="L718" s="69" t="str">
        <x:f>IF(COUNT(E718:I718)&lt;5,"Needs component scores",IF(ISNUMBER(J718),"Calculated",J718))</x:f>
        <x:v>Needs component scores</x:v>
      </x:c>
      <x:c r="M718" s="69" t="n">
        <x:f>IF(C718="","",MATCH(C718,'Position_Rubric'!$A$6:$A$14,0))</x:f>
        <x:v>3</x:v>
      </x:c>
      <x:c r="N718" s="69" t="str"/>
    </x:row>
    <x:row r="719" ht="25" customHeight="1">
      <x:c r="A719" s="69" t="str">
        <x:v>historical-9</x:v>
      </x:c>
      <x:c r="B719" s="69" t="str">
        <x:v>Jude Bellingham</x:v>
      </x:c>
      <x:c r="C719" s="69" t="str">
        <x:v>CM</x:v>
      </x:c>
      <x:c r="D719" s="82" t="n">
        <x:f>IF(ISNUMBER('Transfer_Ratings'!K719),'Transfer_Ratings'!K719,"")</x:f>
        <x:v>9.5</x:v>
      </x:c>
      <x:c r="E719" s="86"/>
      <x:c r="F719" s="86"/>
      <x:c r="G719" s="86"/>
      <x:c r="H719" s="86"/>
      <x:c r="I719" s="86"/>
      <x:c r="J719" s="82" t="str">
        <x:f>IF(C719="","Choose position",IF(COUNT(E719:I719)&lt;5,"",IF(OR(MIN(E719:I719)&lt;0.1,MAX(E719:I719)&gt;10),"Invalid score",IF(INDEX('Position_Rubric'!$H$6:$H$14,M719)&lt;&gt;1,"Check weights",ROUND(E719*INDEX('Position_Rubric'!$C$6:$C$14,M719)+F719*INDEX('Position_Rubric'!$D$6:$D$14,M719)+G719*INDEX('Position_Rubric'!$E$6:$E$14,M719)+H719*INDEX('Position_Rubric'!$F$6:$F$14,M719)+I719*INDEX('Position_Rubric'!$G$6:$G$14,M719),1)))))</x:f>
      </x:c>
      <x:c r="K719" s="82" t="str">
        <x:f>IF(AND(ISNUMBER(J719),ISNUMBER(D719)),J719-D719,"")</x:f>
      </x:c>
      <x:c r="L719" s="69" t="str">
        <x:f>IF(COUNT(E719:I719)&lt;5,"Needs component scores",IF(ISNUMBER(J719),"Calculated",J719))</x:f>
        <x:v>Needs component scores</x:v>
      </x:c>
      <x:c r="M719" s="69" t="n">
        <x:f>IF(C719="","",MATCH(C719,'Position_Rubric'!$A$6:$A$14,0))</x:f>
        <x:v>2</x:v>
      </x:c>
      <x:c r="N719" s="69" t="str"/>
    </x:row>
    <x:row r="720" ht="25" customHeight="1">
      <x:c r="A720" s="69" t="str">
        <x:v>historical-10</x:v>
      </x:c>
      <x:c r="B720" s="69" t="str">
        <x:v>Florian Wirtz</x:v>
      </x:c>
      <x:c r="C720" s="69" t="str">
        <x:v>CAM</x:v>
      </x:c>
      <x:c r="D720" s="82" t="n">
        <x:f>IF(ISNUMBER('Transfer_Ratings'!K720),'Transfer_Ratings'!K720,"")</x:f>
        <x:v>8.3</x:v>
      </x:c>
      <x:c r="E720" s="86"/>
      <x:c r="F720" s="86"/>
      <x:c r="G720" s="86"/>
      <x:c r="H720" s="86"/>
      <x:c r="I720" s="86"/>
      <x:c r="J720" s="82" t="str">
        <x:f>IF(C720="","Choose position",IF(COUNT(E720:I720)&lt;5,"",IF(OR(MIN(E720:I720)&lt;0.1,MAX(E720:I720)&gt;10),"Invalid score",IF(INDEX('Position_Rubric'!$H$6:$H$14,M720)&lt;&gt;1,"Check weights",ROUND(E720*INDEX('Position_Rubric'!$C$6:$C$14,M720)+F720*INDEX('Position_Rubric'!$D$6:$D$14,M720)+G720*INDEX('Position_Rubric'!$E$6:$E$14,M720)+H720*INDEX('Position_Rubric'!$F$6:$F$14,M720)+I720*INDEX('Position_Rubric'!$G$6:$G$14,M720),1)))))</x:f>
      </x:c>
      <x:c r="K720" s="82" t="str">
        <x:f>IF(AND(ISNUMBER(J720),ISNUMBER(D720)),J720-D720,"")</x:f>
      </x:c>
      <x:c r="L720" s="69" t="str">
        <x:f>IF(COUNT(E720:I720)&lt;5,"Needs component scores",IF(ISNUMBER(J720),"Calculated",J720))</x:f>
        <x:v>Needs component scores</x:v>
      </x:c>
      <x:c r="M720" s="69" t="n">
        <x:f>IF(C720="","",MATCH(C720,'Position_Rubric'!$A$6:$A$14,0))</x:f>
        <x:v>3</x:v>
      </x:c>
      <x:c r="N720" s="69" t="str"/>
    </x:row>
    <x:row r="721" ht="25" customHeight="1">
      <x:c r="A721" s="69" t="str">
        <x:v>historical-21</x:v>
      </x:c>
      <x:c r="B721" s="69" t="str">
        <x:v>Paul Pogba</x:v>
      </x:c>
      <x:c r="C721" s="69" t="str">
        <x:v>CM</x:v>
      </x:c>
      <x:c r="D721" s="82" t="n">
        <x:f>IF(ISNUMBER('Transfer_Ratings'!K721),'Transfer_Ratings'!K721,"")</x:f>
        <x:v>6.2</x:v>
      </x:c>
      <x:c r="E721" s="86"/>
      <x:c r="F721" s="86"/>
      <x:c r="G721" s="86"/>
      <x:c r="H721" s="86"/>
      <x:c r="I721" s="86"/>
      <x:c r="J721" s="82" t="str">
        <x:f>IF(C721="","Choose position",IF(COUNT(E721:I721)&lt;5,"",IF(OR(MIN(E721:I721)&lt;0.1,MAX(E721:I721)&gt;10),"Invalid score",IF(INDEX('Position_Rubric'!$H$6:$H$14,M721)&lt;&gt;1,"Check weights",ROUND(E721*INDEX('Position_Rubric'!$C$6:$C$14,M721)+F721*INDEX('Position_Rubric'!$D$6:$D$14,M721)+G721*INDEX('Position_Rubric'!$E$6:$E$14,M721)+H721*INDEX('Position_Rubric'!$F$6:$F$14,M721)+I721*INDEX('Position_Rubric'!$G$6:$G$14,M721),1)))))</x:f>
      </x:c>
      <x:c r="K721" s="82" t="str">
        <x:f>IF(AND(ISNUMBER(J721),ISNUMBER(D721)),J721-D721,"")</x:f>
      </x:c>
      <x:c r="L721" s="69" t="str">
        <x:f>IF(COUNT(E721:I721)&lt;5,"Needs component scores",IF(ISNUMBER(J721),"Calculated",J721))</x:f>
        <x:v>Needs component scores</x:v>
      </x:c>
      <x:c r="M721" s="69" t="n">
        <x:f>IF(C721="","",MATCH(C721,'Position_Rubric'!$A$6:$A$14,0))</x:f>
        <x:v>2</x:v>
      </x:c>
      <x:c r="N721" s="69" t="str"/>
    </x:row>
    <x:row r="722" ht="25" customHeight="1">
      <x:c r="A722" s="69" t="str">
        <x:v>historical-24</x:v>
      </x:c>
      <x:c r="B722" s="69" t="str">
        <x:v>Mateus Fernandes</x:v>
      </x:c>
      <x:c r="C722" s="69" t="str">
        <x:v>CM</x:v>
      </x:c>
      <x:c r="D722" s="82" t="str">
        <x:f>IF(ISNUMBER('Transfer_Ratings'!K722),'Transfer_Ratings'!K722,"")</x:f>
      </x:c>
      <x:c r="E722" s="86"/>
      <x:c r="F722" s="86"/>
      <x:c r="G722" s="86"/>
      <x:c r="H722" s="86"/>
      <x:c r="I722" s="86"/>
      <x:c r="J722" s="82" t="str">
        <x:f>IF(C722="","Choose position",IF(COUNT(E722:I722)&lt;5,"",IF(OR(MIN(E722:I722)&lt;0.1,MAX(E722:I722)&gt;10),"Invalid score",IF(INDEX('Position_Rubric'!$H$6:$H$14,M722)&lt;&gt;1,"Check weights",ROUND(E722*INDEX('Position_Rubric'!$C$6:$C$14,M722)+F722*INDEX('Position_Rubric'!$D$6:$D$14,M722)+G722*INDEX('Position_Rubric'!$E$6:$E$14,M722)+H722*INDEX('Position_Rubric'!$F$6:$F$14,M722)+I722*INDEX('Position_Rubric'!$G$6:$G$14,M722),1)))))</x:f>
      </x:c>
      <x:c r="K722" s="82" t="str">
        <x:f>IF(AND(ISNUMBER(J722),ISNUMBER(D722)),J722-D722,"")</x:f>
      </x:c>
      <x:c r="L722" s="69" t="str">
        <x:f>IF(COUNT(E722:I722)&lt;5,"Needs component scores",IF(ISNUMBER(J722),"Calculated",J722))</x:f>
        <x:v>Needs component scores</x:v>
      </x:c>
      <x:c r="M722" s="69" t="n">
        <x:f>IF(C722="","",MATCH(C722,'Position_Rubric'!$A$6:$A$14,0))</x:f>
        <x:v>2</x:v>
      </x:c>
      <x:c r="N722" s="69" t="str"/>
    </x:row>
    <x:row r="723" ht="25" customHeight="1">
      <x:c r="A723" s="69" t="str">
        <x:v>historical-31</x:v>
      </x:c>
      <x:c r="B723" s="69" t="str">
        <x:v>Josko Gvardiol</x:v>
      </x:c>
      <x:c r="C723" s="69" t="str">
        <x:v>CB</x:v>
      </x:c>
      <x:c r="D723" s="82" t="n">
        <x:f>IF(ISNUMBER('Transfer_Ratings'!K723),'Transfer_Ratings'!K723,"")</x:f>
        <x:v>8.9</x:v>
      </x:c>
      <x:c r="E723" s="86"/>
      <x:c r="F723" s="86"/>
      <x:c r="G723" s="86"/>
      <x:c r="H723" s="86"/>
      <x:c r="I723" s="86"/>
      <x:c r="J723" s="82" t="str">
        <x:f>IF(C723="","Choose position",IF(COUNT(E723:I723)&lt;5,"",IF(OR(MIN(E723:I723)&lt;0.1,MAX(E723:I723)&gt;10),"Invalid score",IF(INDEX('Position_Rubric'!$H$6:$H$14,M723)&lt;&gt;1,"Check weights",ROUND(E723*INDEX('Position_Rubric'!$C$6:$C$14,M723)+F723*INDEX('Position_Rubric'!$D$6:$D$14,M723)+G723*INDEX('Position_Rubric'!$E$6:$E$14,M723)+H723*INDEX('Position_Rubric'!$F$6:$F$14,M723)+I723*INDEX('Position_Rubric'!$G$6:$G$14,M723),1)))))</x:f>
      </x:c>
      <x:c r="K723" s="82" t="str">
        <x:f>IF(AND(ISNUMBER(J723),ISNUMBER(D723)),J723-D723,"")</x:f>
      </x:c>
      <x:c r="L723" s="69" t="str">
        <x:f>IF(COUNT(E723:I723)&lt;5,"Needs component scores",IF(ISNUMBER(J723),"Calculated",J723))</x:f>
        <x:v>Needs component scores</x:v>
      </x:c>
      <x:c r="M723" s="69" t="n">
        <x:f>IF(C723="","",MATCH(C723,'Position_Rubric'!$A$6:$A$14,0))</x:f>
        <x:v>4</x:v>
      </x:c>
      <x:c r="N723" s="69" t="str"/>
    </x:row>
    <x:row r="724" ht="25" customHeight="1">
      <x:c r="A724" s="69" t="str">
        <x:v>historical-33</x:v>
      </x:c>
      <x:c r="B724" s="69" t="str">
        <x:v>Harry Maguire</x:v>
      </x:c>
      <x:c r="C724" s="69" t="str">
        <x:v>CB</x:v>
      </x:c>
      <x:c r="D724" s="82" t="n">
        <x:f>IF(ISNUMBER('Transfer_Ratings'!K724),'Transfer_Ratings'!K724,"")</x:f>
        <x:v>6.1</x:v>
      </x:c>
      <x:c r="E724" s="86"/>
      <x:c r="F724" s="86"/>
      <x:c r="G724" s="86"/>
      <x:c r="H724" s="86"/>
      <x:c r="I724" s="86"/>
      <x:c r="J724" s="82" t="str">
        <x:f>IF(C724="","Choose position",IF(COUNT(E724:I724)&lt;5,"",IF(OR(MIN(E724:I724)&lt;0.1,MAX(E724:I724)&gt;10),"Invalid score",IF(INDEX('Position_Rubric'!$H$6:$H$14,M724)&lt;&gt;1,"Check weights",ROUND(E724*INDEX('Position_Rubric'!$C$6:$C$14,M724)+F724*INDEX('Position_Rubric'!$D$6:$D$14,M724)+G724*INDEX('Position_Rubric'!$E$6:$E$14,M724)+H724*INDEX('Position_Rubric'!$F$6:$F$14,M724)+I724*INDEX('Position_Rubric'!$G$6:$G$14,M724),1)))))</x:f>
      </x:c>
      <x:c r="K724" s="82" t="str">
        <x:f>IF(AND(ISNUMBER(J724),ISNUMBER(D724)),J724-D724,"")</x:f>
      </x:c>
      <x:c r="L724" s="69" t="str">
        <x:f>IF(COUNT(E724:I724)&lt;5,"Needs component scores",IF(ISNUMBER(J724),"Calculated",J724))</x:f>
        <x:v>Needs component scores</x:v>
      </x:c>
      <x:c r="M724" s="69" t="n">
        <x:f>IF(C724="","",MATCH(C724,'Position_Rubric'!$A$6:$A$14,0))</x:f>
        <x:v>4</x:v>
      </x:c>
      <x:c r="N724" s="69" t="str"/>
    </x:row>
    <x:row r="725" ht="25" customHeight="1">
      <x:c r="A725" s="69" t="str">
        <x:v>historical-36</x:v>
      </x:c>
      <x:c r="B725" s="69" t="str">
        <x:v>Matthijs de Ligt</x:v>
      </x:c>
      <x:c r="C725" s="69" t="str">
        <x:v>CB</x:v>
      </x:c>
      <x:c r="D725" s="82" t="n">
        <x:f>IF(ISNUMBER('Transfer_Ratings'!K725),'Transfer_Ratings'!K725,"")</x:f>
        <x:v>7.4</x:v>
      </x:c>
      <x:c r="E725" s="86"/>
      <x:c r="F725" s="86"/>
      <x:c r="G725" s="86"/>
      <x:c r="H725" s="86"/>
      <x:c r="I725" s="86"/>
      <x:c r="J725" s="82" t="str">
        <x:f>IF(C725="","Choose position",IF(COUNT(E725:I725)&lt;5,"",IF(OR(MIN(E725:I725)&lt;0.1,MAX(E725:I725)&gt;10),"Invalid score",IF(INDEX('Position_Rubric'!$H$6:$H$14,M725)&lt;&gt;1,"Check weights",ROUND(E725*INDEX('Position_Rubric'!$C$6:$C$14,M725)+F725*INDEX('Position_Rubric'!$D$6:$D$14,M725)+G725*INDEX('Position_Rubric'!$E$6:$E$14,M725)+H725*INDEX('Position_Rubric'!$F$6:$F$14,M725)+I725*INDEX('Position_Rubric'!$G$6:$G$14,M725),1)))))</x:f>
      </x:c>
      <x:c r="K725" s="82" t="str">
        <x:f>IF(AND(ISNUMBER(J725),ISNUMBER(D725)),J725-D725,"")</x:f>
      </x:c>
      <x:c r="L725" s="69" t="str">
        <x:f>IF(COUNT(E725:I725)&lt;5,"Needs component scores",IF(ISNUMBER(J725),"Calculated",J725))</x:f>
        <x:v>Needs component scores</x:v>
      </x:c>
      <x:c r="M725" s="69" t="n">
        <x:f>IF(C725="","",MATCH(C725,'Position_Rubric'!$A$6:$A$14,0))</x:f>
        <x:v>4</x:v>
      </x:c>
      <x:c r="N725" s="69" t="str"/>
    </x:row>
    <x:row r="726" ht="25" customHeight="1">
      <x:c r="A726" s="69" t="str">
        <x:v>historical-41</x:v>
      </x:c>
      <x:c r="B726" s="69" t="str">
        <x:v>Virgil van Dijk</x:v>
      </x:c>
      <x:c r="C726" s="69" t="str">
        <x:v>CB</x:v>
      </x:c>
      <x:c r="D726" s="82" t="n">
        <x:f>IF(ISNUMBER('Transfer_Ratings'!K726),'Transfer_Ratings'!K726,"")</x:f>
        <x:v>9.8</x:v>
      </x:c>
      <x:c r="E726" s="86"/>
      <x:c r="F726" s="86"/>
      <x:c r="G726" s="86"/>
      <x:c r="H726" s="86"/>
      <x:c r="I726" s="86"/>
      <x:c r="J726" s="82" t="str">
        <x:f>IF(C726="","Choose position",IF(COUNT(E726:I726)&lt;5,"",IF(OR(MIN(E726:I726)&lt;0.1,MAX(E726:I726)&gt;10),"Invalid score",IF(INDEX('Position_Rubric'!$H$6:$H$14,M726)&lt;&gt;1,"Check weights",ROUND(E726*INDEX('Position_Rubric'!$C$6:$C$14,M726)+F726*INDEX('Position_Rubric'!$D$6:$D$14,M726)+G726*INDEX('Position_Rubric'!$E$6:$E$14,M726)+H726*INDEX('Position_Rubric'!$F$6:$F$14,M726)+I726*INDEX('Position_Rubric'!$G$6:$G$14,M726),1)))))</x:f>
      </x:c>
      <x:c r="K726" s="82" t="str">
        <x:f>IF(AND(ISNUMBER(J726),ISNUMBER(D726)),J726-D726,"")</x:f>
      </x:c>
      <x:c r="L726" s="69" t="str">
        <x:f>IF(COUNT(E726:I726)&lt;5,"Needs component scores",IF(ISNUMBER(J726),"Calculated",J726))</x:f>
        <x:v>Needs component scores</x:v>
      </x:c>
      <x:c r="M726" s="69" t="n">
        <x:f>IF(C726="","",MATCH(C726,'Position_Rubric'!$A$6:$A$14,0))</x:f>
        <x:v>4</x:v>
      </x:c>
      <x:c r="N726" s="69" t="str"/>
    </x:row>
    <x:row r="727" ht="25" customHeight="1">
      <x:c r="A727" s="69" t="str">
        <x:v>historical-44</x:v>
      </x:c>
      <x:c r="B727" s="69" t="str">
        <x:v>Wesley Fofana</x:v>
      </x:c>
      <x:c r="C727" s="69" t="str">
        <x:v>CB</x:v>
      </x:c>
      <x:c r="D727" s="82" t="n">
        <x:f>IF(ISNUMBER('Transfer_Ratings'!K727),'Transfer_Ratings'!K727,"")</x:f>
        <x:v>4.8</x:v>
      </x:c>
      <x:c r="E727" s="86"/>
      <x:c r="F727" s="86"/>
      <x:c r="G727" s="86"/>
      <x:c r="H727" s="86"/>
      <x:c r="I727" s="86"/>
      <x:c r="J727" s="82" t="str">
        <x:f>IF(C727="","Choose position",IF(COUNT(E727:I727)&lt;5,"",IF(OR(MIN(E727:I727)&lt;0.1,MAX(E727:I727)&gt;10),"Invalid score",IF(INDEX('Position_Rubric'!$H$6:$H$14,M727)&lt;&gt;1,"Check weights",ROUND(E727*INDEX('Position_Rubric'!$C$6:$C$14,M727)+F727*INDEX('Position_Rubric'!$D$6:$D$14,M727)+G727*INDEX('Position_Rubric'!$E$6:$E$14,M727)+H727*INDEX('Position_Rubric'!$F$6:$F$14,M727)+I727*INDEX('Position_Rubric'!$G$6:$G$14,M727),1)))))</x:f>
      </x:c>
      <x:c r="K727" s="82" t="str">
        <x:f>IF(AND(ISNUMBER(J727),ISNUMBER(D727)),J727-D727,"")</x:f>
      </x:c>
      <x:c r="L727" s="69" t="str">
        <x:f>IF(COUNT(E727:I727)&lt;5,"Needs component scores",IF(ISNUMBER(J727),"Calculated",J727))</x:f>
        <x:v>Needs component scores</x:v>
      </x:c>
      <x:c r="M727" s="69" t="n">
        <x:f>IF(C727="","",MATCH(C727,'Position_Rubric'!$A$6:$A$14,0))</x:f>
        <x:v>4</x:v>
      </x:c>
      <x:c r="N727" s="69" t="str"/>
    </x:row>
    <x:row r="728" ht="25" customHeight="1">
      <x:c r="A728" s="69" t="str">
        <x:v>historical-45</x:v>
      </x:c>
      <x:c r="B728" s="69" t="str">
        <x:v>Lucas Hernández</x:v>
      </x:c>
      <x:c r="C728" s="69" t="str">
        <x:v>CB</x:v>
      </x:c>
      <x:c r="D728" s="82" t="n">
        <x:f>IF(ISNUMBER('Transfer_Ratings'!K728),'Transfer_Ratings'!K728,"")</x:f>
        <x:v>6.8</x:v>
      </x:c>
      <x:c r="E728" s="86"/>
      <x:c r="F728" s="86"/>
      <x:c r="G728" s="86"/>
      <x:c r="H728" s="86"/>
      <x:c r="I728" s="86"/>
      <x:c r="J728" s="82" t="str">
        <x:f>IF(C728="","Choose position",IF(COUNT(E728:I728)&lt;5,"",IF(OR(MIN(E728:I728)&lt;0.1,MAX(E728:I728)&gt;10),"Invalid score",IF(INDEX('Position_Rubric'!$H$6:$H$14,M728)&lt;&gt;1,"Check weights",ROUND(E728*INDEX('Position_Rubric'!$C$6:$C$14,M728)+F728*INDEX('Position_Rubric'!$D$6:$D$14,M728)+G728*INDEX('Position_Rubric'!$E$6:$E$14,M728)+H728*INDEX('Position_Rubric'!$F$6:$F$14,M728)+I728*INDEX('Position_Rubric'!$G$6:$G$14,M728),1)))))</x:f>
      </x:c>
      <x:c r="K728" s="82" t="str">
        <x:f>IF(AND(ISNUMBER(J728),ISNUMBER(D728)),J728-D728,"")</x:f>
      </x:c>
      <x:c r="L728" s="69" t="str">
        <x:f>IF(COUNT(E728:I728)&lt;5,"Needs component scores",IF(ISNUMBER(J728),"Calculated",J728))</x:f>
        <x:v>Needs component scores</x:v>
      </x:c>
      <x:c r="M728" s="69" t="n">
        <x:f>IF(C728="","",MATCH(C728,'Position_Rubric'!$A$6:$A$14,0))</x:f>
        <x:v>4</x:v>
      </x:c>
      <x:c r="N728" s="69" t="str"/>
    </x:row>
    <x:row r="729" ht="25" customHeight="1">
      <x:c r="A729" s="69" t="str">
        <x:v>historical-49</x:v>
      </x:c>
      <x:c r="B729" s="69" t="str">
        <x:v>Kepa Arrizabalaga</x:v>
      </x:c>
      <x:c r="C729" s="69" t="str">
        <x:v>GK</x:v>
      </x:c>
      <x:c r="D729" s="82" t="n">
        <x:f>IF(ISNUMBER('Transfer_Ratings'!K729),'Transfer_Ratings'!K729,"")</x:f>
        <x:v>4.6</x:v>
      </x:c>
      <x:c r="E729" s="86"/>
      <x:c r="F729" s="86"/>
      <x:c r="G729" s="86"/>
      <x:c r="H729" s="86"/>
      <x:c r="I729" s="86"/>
      <x:c r="J729" s="82" t="str">
        <x:f>IF(C729="","Choose position",IF(COUNT(E729:I729)&lt;5,"",IF(OR(MIN(E729:I729)&lt;0.1,MAX(E729:I729)&gt;10),"Invalid score",IF(INDEX('Position_Rubric'!$H$6:$H$14,M729)&lt;&gt;1,"Check weights",ROUND(E729*INDEX('Position_Rubric'!$C$6:$C$14,M729)+F729*INDEX('Position_Rubric'!$D$6:$D$14,M729)+G729*INDEX('Position_Rubric'!$E$6:$E$14,M729)+H729*INDEX('Position_Rubric'!$F$6:$F$14,M729)+I729*INDEX('Position_Rubric'!$G$6:$G$14,M729),1)))))</x:f>
      </x:c>
      <x:c r="K729" s="82" t="str">
        <x:f>IF(AND(ISNUMBER(J729),ISNUMBER(D729)),J729-D729,"")</x:f>
      </x:c>
      <x:c r="L729" s="69" t="str">
        <x:f>IF(COUNT(E729:I729)&lt;5,"Needs component scores",IF(ISNUMBER(J729),"Calculated",J729))</x:f>
        <x:v>Needs component scores</x:v>
      </x:c>
      <x:c r="M729" s="69" t="n">
        <x:f>IF(C729="","",MATCH(C729,'Position_Rubric'!$A$6:$A$14,0))</x:f>
        <x:v>9</x:v>
      </x:c>
      <x:c r="N729" s="69" t="str"/>
    </x:row>
    <x:row r="730" ht="25" customHeight="1">
      <x:c r="A730" s="69" t="str">
        <x:v>historical-57</x:v>
      </x:c>
      <x:c r="B730" s="69" t="str">
        <x:v>Kevin De Bruyne</x:v>
      </x:c>
      <x:c r="C730" s="69" t="str">
        <x:v>CAM</x:v>
      </x:c>
      <x:c r="D730" s="82" t="n">
        <x:f>IF(ISNUMBER('Transfer_Ratings'!K730),'Transfer_Ratings'!K730,"")</x:f>
        <x:v>9.9</x:v>
      </x:c>
      <x:c r="E730" s="86"/>
      <x:c r="F730" s="86"/>
      <x:c r="G730" s="86"/>
      <x:c r="H730" s="86"/>
      <x:c r="I730" s="86"/>
      <x:c r="J730" s="82" t="str">
        <x:f>IF(C730="","Choose position",IF(COUNT(E730:I730)&lt;5,"",IF(OR(MIN(E730:I730)&lt;0.1,MAX(E730:I730)&gt;10),"Invalid score",IF(INDEX('Position_Rubric'!$H$6:$H$14,M730)&lt;&gt;1,"Check weights",ROUND(E730*INDEX('Position_Rubric'!$C$6:$C$14,M730)+F730*INDEX('Position_Rubric'!$D$6:$D$14,M730)+G730*INDEX('Position_Rubric'!$E$6:$E$14,M730)+H730*INDEX('Position_Rubric'!$F$6:$F$14,M730)+I730*INDEX('Position_Rubric'!$G$6:$G$14,M730),1)))))</x:f>
      </x:c>
      <x:c r="K730" s="82" t="str">
        <x:f>IF(AND(ISNUMBER(J730),ISNUMBER(D730)),J730-D730,"")</x:f>
      </x:c>
      <x:c r="L730" s="69" t="str">
        <x:f>IF(COUNT(E730:I730)&lt;5,"Needs component scores",IF(ISNUMBER(J730),"Calculated",J730))</x:f>
        <x:v>Needs component scores</x:v>
      </x:c>
      <x:c r="M730" s="69" t="n">
        <x:f>IF(C730="","",MATCH(C730,'Position_Rubric'!$A$6:$A$14,0))</x:f>
        <x:v>3</x:v>
      </x:c>
      <x:c r="N730" s="69" t="str"/>
    </x:row>
    <x:row r="731" ht="25" customHeight="1">
      <x:c r="A731" s="69" t="str">
        <x:v>historical-64</x:v>
      </x:c>
      <x:c r="B731" s="69" t="str">
        <x:v>James Rodríguez</x:v>
      </x:c>
      <x:c r="C731" s="69" t="str">
        <x:v>CAM</x:v>
      </x:c>
      <x:c r="D731" s="82" t="n">
        <x:f>IF(ISNUMBER('Transfer_Ratings'!K731),'Transfer_Ratings'!K731,"")</x:f>
        <x:v>7.1</x:v>
      </x:c>
      <x:c r="E731" s="86"/>
      <x:c r="F731" s="86"/>
      <x:c r="G731" s="86"/>
      <x:c r="H731" s="86"/>
      <x:c r="I731" s="86"/>
      <x:c r="J731" s="82" t="str">
        <x:f>IF(C731="","Choose position",IF(COUNT(E731:I731)&lt;5,"",IF(OR(MIN(E731:I731)&lt;0.1,MAX(E731:I731)&gt;10),"Invalid score",IF(INDEX('Position_Rubric'!$H$6:$H$14,M731)&lt;&gt;1,"Check weights",ROUND(E731*INDEX('Position_Rubric'!$C$6:$C$14,M731)+F731*INDEX('Position_Rubric'!$D$6:$D$14,M731)+G731*INDEX('Position_Rubric'!$E$6:$E$14,M731)+H731*INDEX('Position_Rubric'!$F$6:$F$14,M731)+I731*INDEX('Position_Rubric'!$G$6:$G$14,M731),1)))))</x:f>
      </x:c>
      <x:c r="K731" s="82" t="str">
        <x:f>IF(AND(ISNUMBER(J731),ISNUMBER(D731)),J731-D731,"")</x:f>
      </x:c>
      <x:c r="L731" s="69" t="str">
        <x:f>IF(COUNT(E731:I731)&lt;5,"Needs component scores",IF(ISNUMBER(J731),"Calculated",J731))</x:f>
        <x:v>Needs component scores</x:v>
      </x:c>
      <x:c r="M731" s="69" t="n">
        <x:f>IF(C731="","",MATCH(C731,'Position_Rubric'!$A$6:$A$14,0))</x:f>
        <x:v>3</x:v>
      </x:c>
      <x:c r="N731" s="69" t="str"/>
    </x:row>
    <x:row r="732" ht="25" customHeight="1">
      <x:c r="A732" s="69" t="str">
        <x:v>historical-69</x:v>
      </x:c>
      <x:c r="B732" s="69" t="str">
        <x:v>Alisson</x:v>
      </x:c>
      <x:c r="C732" s="69" t="str">
        <x:v>GK</x:v>
      </x:c>
      <x:c r="D732" s="82" t="n">
        <x:f>IF(ISNUMBER('Transfer_Ratings'!K732),'Transfer_Ratings'!K732,"")</x:f>
        <x:v>9.7</x:v>
      </x:c>
      <x:c r="E732" s="86"/>
      <x:c r="F732" s="86"/>
      <x:c r="G732" s="86"/>
      <x:c r="H732" s="86"/>
      <x:c r="I732" s="86"/>
      <x:c r="J732" s="82" t="str">
        <x:f>IF(C732="","Choose position",IF(COUNT(E732:I732)&lt;5,"",IF(OR(MIN(E732:I732)&lt;0.1,MAX(E732:I732)&gt;10),"Invalid score",IF(INDEX('Position_Rubric'!$H$6:$H$14,M732)&lt;&gt;1,"Check weights",ROUND(E732*INDEX('Position_Rubric'!$C$6:$C$14,M732)+F732*INDEX('Position_Rubric'!$D$6:$D$14,M732)+G732*INDEX('Position_Rubric'!$E$6:$E$14,M732)+H732*INDEX('Position_Rubric'!$F$6:$F$14,M732)+I732*INDEX('Position_Rubric'!$G$6:$G$14,M732),1)))))</x:f>
      </x:c>
      <x:c r="K732" s="82" t="str">
        <x:f>IF(AND(ISNUMBER(J732),ISNUMBER(D732)),J732-D732,"")</x:f>
      </x:c>
      <x:c r="L732" s="69" t="str">
        <x:f>IF(COUNT(E732:I732)&lt;5,"Needs component scores",IF(ISNUMBER(J732),"Calculated",J732))</x:f>
        <x:v>Needs component scores</x:v>
      </x:c>
      <x:c r="M732" s="69" t="n">
        <x:f>IF(C732="","",MATCH(C732,'Position_Rubric'!$A$6:$A$14,0))</x:f>
        <x:v>9</x:v>
      </x:c>
      <x:c r="N732" s="69" t="str"/>
    </x:row>
    <x:row r="733" ht="25" customHeight="1">
      <x:c r="A733" s="69" t="str">
        <x:v>historical-71</x:v>
      </x:c>
      <x:c r="B733" s="69" t="str">
        <x:v>Thomas Lemar</x:v>
      </x:c>
      <x:c r="C733" s="69" t="str">
        <x:v>CM</x:v>
      </x:c>
      <x:c r="D733" s="82" t="n">
        <x:f>IF(ISNUMBER('Transfer_Ratings'!K733),'Transfer_Ratings'!K733,"")</x:f>
        <x:v>5.4</x:v>
      </x:c>
      <x:c r="E733" s="86"/>
      <x:c r="F733" s="86"/>
      <x:c r="G733" s="86"/>
      <x:c r="H733" s="86"/>
      <x:c r="I733" s="86"/>
      <x:c r="J733" s="82" t="str">
        <x:f>IF(C733="","Choose position",IF(COUNT(E733:I733)&lt;5,"",IF(OR(MIN(E733:I733)&lt;0.1,MAX(E733:I733)&gt;10),"Invalid score",IF(INDEX('Position_Rubric'!$H$6:$H$14,M733)&lt;&gt;1,"Check weights",ROUND(E733*INDEX('Position_Rubric'!$C$6:$C$14,M733)+F733*INDEX('Position_Rubric'!$D$6:$D$14,M733)+G733*INDEX('Position_Rubric'!$E$6:$E$14,M733)+H733*INDEX('Position_Rubric'!$F$6:$F$14,M733)+I733*INDEX('Position_Rubric'!$G$6:$G$14,M733),1)))))</x:f>
      </x:c>
      <x:c r="K733" s="82" t="str">
        <x:f>IF(AND(ISNUMBER(J733),ISNUMBER(D733)),J733-D733,"")</x:f>
      </x:c>
      <x:c r="L733" s="69" t="str">
        <x:f>IF(COUNT(E733:I733)&lt;5,"Needs component scores",IF(ISNUMBER(J733),"Calculated",J733))</x:f>
        <x:v>Needs component scores</x:v>
      </x:c>
      <x:c r="M733" s="69" t="n">
        <x:f>IF(C733="","",MATCH(C733,'Position_Rubric'!$A$6:$A$14,0))</x:f>
        <x:v>2</x:v>
      </x:c>
      <x:c r="N733" s="69" t="str"/>
    </x:row>
    <x:row r="734" ht="25" customHeight="1">
      <x:c r="A734" s="69" t="str">
        <x:v>historical-72</x:v>
      </x:c>
      <x:c r="B734" s="69" t="str">
        <x:v>Rúben Dias</x:v>
      </x:c>
      <x:c r="C734" s="69" t="str">
        <x:v>CB</x:v>
      </x:c>
      <x:c r="D734" s="82" t="n">
        <x:f>IF(ISNUMBER('Transfer_Ratings'!K734),'Transfer_Ratings'!K734,"")</x:f>
        <x:v>9.5</x:v>
      </x:c>
      <x:c r="E734" s="86"/>
      <x:c r="F734" s="86"/>
      <x:c r="G734" s="86"/>
      <x:c r="H734" s="86"/>
      <x:c r="I734" s="86"/>
      <x:c r="J734" s="82" t="str">
        <x:f>IF(C734="","Choose position",IF(COUNT(E734:I734)&lt;5,"",IF(OR(MIN(E734:I734)&lt;0.1,MAX(E734:I734)&gt;10),"Invalid score",IF(INDEX('Position_Rubric'!$H$6:$H$14,M734)&lt;&gt;1,"Check weights",ROUND(E734*INDEX('Position_Rubric'!$C$6:$C$14,M734)+F734*INDEX('Position_Rubric'!$D$6:$D$14,M734)+G734*INDEX('Position_Rubric'!$E$6:$E$14,M734)+H734*INDEX('Position_Rubric'!$F$6:$F$14,M734)+I734*INDEX('Position_Rubric'!$G$6:$G$14,M734),1)))))</x:f>
      </x:c>
      <x:c r="K734" s="82" t="str">
        <x:f>IF(AND(ISNUMBER(J734),ISNUMBER(D734)),J734-D734,"")</x:f>
      </x:c>
      <x:c r="L734" s="69" t="str">
        <x:f>IF(COUNT(E734:I734)&lt;5,"Needs component scores",IF(ISNUMBER(J734),"Calculated",J734))</x:f>
        <x:v>Needs component scores</x:v>
      </x:c>
      <x:c r="M734" s="69" t="n">
        <x:f>IF(C734="","",MATCH(C734,'Position_Rubric'!$A$6:$A$14,0))</x:f>
        <x:v>4</x:v>
      </x:c>
      <x:c r="N734" s="69" t="str"/>
    </x:row>
    <x:row r="735" ht="25" customHeight="1">
      <x:c r="A735" s="69" t="str">
        <x:v>historical-78</x:v>
      </x:c>
      <x:c r="B735" s="69" t="str">
        <x:v>Dominik Szoboszlai</x:v>
      </x:c>
      <x:c r="C735" s="69" t="str">
        <x:v>CM</x:v>
      </x:c>
      <x:c r="D735" s="82" t="n">
        <x:f>IF(ISNUMBER('Transfer_Ratings'!K735),'Transfer_Ratings'!K735,"")</x:f>
        <x:v>8.8</x:v>
      </x:c>
      <x:c r="E735" s="86"/>
      <x:c r="F735" s="86"/>
      <x:c r="G735" s="86"/>
      <x:c r="H735" s="86"/>
      <x:c r="I735" s="86"/>
      <x:c r="J735" s="82" t="str">
        <x:f>IF(C735="","Choose position",IF(COUNT(E735:I735)&lt;5,"",IF(OR(MIN(E735:I735)&lt;0.1,MAX(E735:I735)&gt;10),"Invalid score",IF(INDEX('Position_Rubric'!$H$6:$H$14,M735)&lt;&gt;1,"Check weights",ROUND(E735*INDEX('Position_Rubric'!$C$6:$C$14,M735)+F735*INDEX('Position_Rubric'!$D$6:$D$14,M735)+G735*INDEX('Position_Rubric'!$E$6:$E$14,M735)+H735*INDEX('Position_Rubric'!$F$6:$F$14,M735)+I735*INDEX('Position_Rubric'!$G$6:$G$14,M735),1)))))</x:f>
      </x:c>
      <x:c r="K735" s="82" t="str">
        <x:f>IF(AND(ISNUMBER(J735),ISNUMBER(D735)),J735-D735,"")</x:f>
      </x:c>
      <x:c r="L735" s="69" t="str">
        <x:f>IF(COUNT(E735:I735)&lt;5,"Needs component scores",IF(ISNUMBER(J735),"Calculated",J735))</x:f>
        <x:v>Needs component scores</x:v>
      </x:c>
      <x:c r="M735" s="69" t="n">
        <x:f>IF(C735="","",MATCH(C735,'Position_Rubric'!$A$6:$A$14,0))</x:f>
        <x:v>2</x:v>
      </x:c>
      <x:c r="N735" s="69" t="str"/>
    </x:row>
    <x:row r="736" ht="25" customHeight="1">
      <x:c r="A736" s="69" t="str">
        <x:v>historical-79</x:v>
      </x:c>
      <x:c r="B736" s="69" t="str">
        <x:v>Eberechi Eze</x:v>
      </x:c>
      <x:c r="C736" s="69" t="str">
        <x:v>CAM</x:v>
      </x:c>
      <x:c r="D736" s="82" t="n">
        <x:f>IF(ISNUMBER('Transfer_Ratings'!K736),'Transfer_Ratings'!K736,"")</x:f>
        <x:v>8.2</x:v>
      </x:c>
      <x:c r="E736" s="86"/>
      <x:c r="F736" s="86"/>
      <x:c r="G736" s="86"/>
      <x:c r="H736" s="86"/>
      <x:c r="I736" s="86"/>
      <x:c r="J736" s="82" t="str">
        <x:f>IF(C736="","Choose position",IF(COUNT(E736:I736)&lt;5,"",IF(OR(MIN(E736:I736)&lt;0.1,MAX(E736:I736)&gt;10),"Invalid score",IF(INDEX('Position_Rubric'!$H$6:$H$14,M736)&lt;&gt;1,"Check weights",ROUND(E736*INDEX('Position_Rubric'!$C$6:$C$14,M736)+F736*INDEX('Position_Rubric'!$D$6:$D$14,M736)+G736*INDEX('Position_Rubric'!$E$6:$E$14,M736)+H736*INDEX('Position_Rubric'!$F$6:$F$14,M736)+I736*INDEX('Position_Rubric'!$G$6:$G$14,M736),1)))))</x:f>
      </x:c>
      <x:c r="K736" s="82" t="str">
        <x:f>IF(AND(ISNUMBER(J736),ISNUMBER(D736)),J736-D736,"")</x:f>
      </x:c>
      <x:c r="L736" s="69" t="str">
        <x:f>IF(COUNT(E736:I736)&lt;5,"Needs component scores",IF(ISNUMBER(J736),"Calculated",J736))</x:f>
        <x:v>Needs component scores</x:v>
      </x:c>
      <x:c r="M736" s="69" t="n">
        <x:f>IF(C736="","",MATCH(C736,'Position_Rubric'!$A$6:$A$14,0))</x:f>
        <x:v>3</x:v>
      </x:c>
      <x:c r="N736" s="69" t="str"/>
    </x:row>
    <x:row r="737" ht="25" customHeight="1">
      <x:c r="A737" s="69" t="str">
        <x:v>historical-80</x:v>
      </x:c>
      <x:c r="B737" s="69" t="str">
        <x:v>Achraf Hakimi</x:v>
      </x:c>
      <x:c r="C737" s="69" t="str">
        <x:v>FB</x:v>
      </x:c>
      <x:c r="D737" s="82" t="n">
        <x:f>IF(ISNUMBER('Transfer_Ratings'!K737),'Transfer_Ratings'!K737,"")</x:f>
        <x:v>9.5</x:v>
      </x:c>
      <x:c r="E737" s="86"/>
      <x:c r="F737" s="86"/>
      <x:c r="G737" s="86"/>
      <x:c r="H737" s="86"/>
      <x:c r="I737" s="86"/>
      <x:c r="J737" s="82" t="str">
        <x:f>IF(C737="","Choose position",IF(COUNT(E737:I737)&lt;5,"",IF(OR(MIN(E737:I737)&lt;0.1,MAX(E737:I737)&gt;10),"Invalid score",IF(INDEX('Position_Rubric'!$H$6:$H$14,M737)&lt;&gt;1,"Check weights",ROUND(E737*INDEX('Position_Rubric'!$C$6:$C$14,M737)+F737*INDEX('Position_Rubric'!$D$6:$D$14,M737)+G737*INDEX('Position_Rubric'!$E$6:$E$14,M737)+H737*INDEX('Position_Rubric'!$F$6:$F$14,M737)+I737*INDEX('Position_Rubric'!$G$6:$G$14,M737),1)))))</x:f>
      </x:c>
      <x:c r="K737" s="82" t="str">
        <x:f>IF(AND(ISNUMBER(J737),ISNUMBER(D737)),J737-D737,"")</x:f>
      </x:c>
      <x:c r="L737" s="69" t="str">
        <x:f>IF(COUNT(E737:I737)&lt;5,"Needs component scores",IF(ISNUMBER(J737),"Calculated",J737))</x:f>
        <x:v>Needs component scores</x:v>
      </x:c>
      <x:c r="M737" s="69" t="n">
        <x:f>IF(C737="","",MATCH(C737,'Position_Rubric'!$A$6:$A$14,0))</x:f>
        <x:v>5</x:v>
      </x:c>
      <x:c r="N737" s="69" t="str"/>
    </x:row>
    <x:row r="738" ht="25" customHeight="1">
      <x:c r="A738" s="69" t="str">
        <x:v>historical-82</x:v>
      </x:c>
      <x:c r="B738" s="69" t="str">
        <x:v>Mason Mount</x:v>
      </x:c>
      <x:c r="C738" s="69" t="str">
        <x:v>CAM</x:v>
      </x:c>
      <x:c r="D738" s="82" t="n">
        <x:f>IF(ISNUMBER('Transfer_Ratings'!K738),'Transfer_Ratings'!K738,"")</x:f>
        <x:v>4.9</x:v>
      </x:c>
      <x:c r="E738" s="86"/>
      <x:c r="F738" s="86"/>
      <x:c r="G738" s="86"/>
      <x:c r="H738" s="86"/>
      <x:c r="I738" s="86"/>
      <x:c r="J738" s="82" t="str">
        <x:f>IF(C738="","Choose position",IF(COUNT(E738:I738)&lt;5,"",IF(OR(MIN(E738:I738)&lt;0.1,MAX(E738:I738)&gt;10),"Invalid score",IF(INDEX('Position_Rubric'!$H$6:$H$14,M738)&lt;&gt;1,"Check weights",ROUND(E738*INDEX('Position_Rubric'!$C$6:$C$14,M738)+F738*INDEX('Position_Rubric'!$D$6:$D$14,M738)+G738*INDEX('Position_Rubric'!$E$6:$E$14,M738)+H738*INDEX('Position_Rubric'!$F$6:$F$14,M738)+I738*INDEX('Position_Rubric'!$G$6:$G$14,M738),1)))))</x:f>
      </x:c>
      <x:c r="K738" s="82" t="str">
        <x:f>IF(AND(ISNUMBER(J738),ISNUMBER(D738)),J738-D738,"")</x:f>
      </x:c>
      <x:c r="L738" s="69" t="str">
        <x:f>IF(COUNT(E738:I738)&lt;5,"Needs component scores",IF(ISNUMBER(J738),"Calculated",J738))</x:f>
        <x:v>Needs component scores</x:v>
      </x:c>
      <x:c r="M738" s="69" t="n">
        <x:f>IF(C738="","",MATCH(C738,'Position_Rubric'!$A$6:$A$14,0))</x:f>
        <x:v>3</x:v>
      </x:c>
      <x:c r="N738" s="69" t="str"/>
    </x:row>
    <x:row r="739" ht="25" customHeight="1">
      <x:c r="A739" s="69" t="str">
        <x:v>historical-83</x:v>
      </x:c>
      <x:c r="B739" s="69" t="str">
        <x:v>Matthijs de Ligt</x:v>
      </x:c>
      <x:c r="C739" s="69" t="str">
        <x:v>CB</x:v>
      </x:c>
      <x:c r="D739" s="82" t="n">
        <x:f>IF(ISNUMBER('Transfer_Ratings'!K739),'Transfer_Ratings'!K739,"")</x:f>
        <x:v>7.9</x:v>
      </x:c>
      <x:c r="E739" s="86"/>
      <x:c r="F739" s="86"/>
      <x:c r="G739" s="86"/>
      <x:c r="H739" s="86"/>
      <x:c r="I739" s="86"/>
      <x:c r="J739" s="82" t="str">
        <x:f>IF(C739="","Choose position",IF(COUNT(E739:I739)&lt;5,"",IF(OR(MIN(E739:I739)&lt;0.1,MAX(E739:I739)&gt;10),"Invalid score",IF(INDEX('Position_Rubric'!$H$6:$H$14,M739)&lt;&gt;1,"Check weights",ROUND(E739*INDEX('Position_Rubric'!$C$6:$C$14,M739)+F739*INDEX('Position_Rubric'!$D$6:$D$14,M739)+G739*INDEX('Position_Rubric'!$E$6:$E$14,M739)+H739*INDEX('Position_Rubric'!$F$6:$F$14,M739)+I739*INDEX('Position_Rubric'!$G$6:$G$14,M739),1)))))</x:f>
      </x:c>
      <x:c r="K739" s="82" t="str">
        <x:f>IF(AND(ISNUMBER(J739),ISNUMBER(D739)),J739-D739,"")</x:f>
      </x:c>
      <x:c r="L739" s="69" t="str">
        <x:f>IF(COUNT(E739:I739)&lt;5,"Needs component scores",IF(ISNUMBER(J739),"Calculated",J739))</x:f>
        <x:v>Needs component scores</x:v>
      </x:c>
      <x:c r="M739" s="69" t="n">
        <x:f>IF(C739="","",MATCH(C739,'Position_Rubric'!$A$6:$A$14,0))</x:f>
        <x:v>4</x:v>
      </x:c>
      <x:c r="N739" s="69" t="str"/>
    </x:row>
    <x:row r="740" ht="25" customHeight="1">
      <x:c r="A740" s="69" t="str">
        <x:v>historical-87</x:v>
      </x:c>
      <x:c r="B740" s="69" t="str">
        <x:v>Marc Cucurella</x:v>
      </x:c>
      <x:c r="C740" s="69" t="str">
        <x:v>FB</x:v>
      </x:c>
      <x:c r="D740" s="82" t="n">
        <x:f>IF(ISNUMBER('Transfer_Ratings'!K740),'Transfer_Ratings'!K740,"")</x:f>
        <x:v>8</x:v>
      </x:c>
      <x:c r="E740" s="86"/>
      <x:c r="F740" s="86"/>
      <x:c r="G740" s="86"/>
      <x:c r="H740" s="86"/>
      <x:c r="I740" s="86"/>
      <x:c r="J740" s="82" t="str">
        <x:f>IF(C740="","Choose position",IF(COUNT(E740:I740)&lt;5,"",IF(OR(MIN(E740:I740)&lt;0.1,MAX(E740:I740)&gt;10),"Invalid score",IF(INDEX('Position_Rubric'!$H$6:$H$14,M740)&lt;&gt;1,"Check weights",ROUND(E740*INDEX('Position_Rubric'!$C$6:$C$14,M740)+F740*INDEX('Position_Rubric'!$D$6:$D$14,M740)+G740*INDEX('Position_Rubric'!$E$6:$E$14,M740)+H740*INDEX('Position_Rubric'!$F$6:$F$14,M740)+I740*INDEX('Position_Rubric'!$G$6:$G$14,M740),1)))))</x:f>
      </x:c>
      <x:c r="K740" s="82" t="str">
        <x:f>IF(AND(ISNUMBER(J740),ISNUMBER(D740)),J740-D740,"")</x:f>
      </x:c>
      <x:c r="L740" s="69" t="str">
        <x:f>IF(COUNT(E740:I740)&lt;5,"Needs component scores",IF(ISNUMBER(J740),"Calculated",J740))</x:f>
        <x:v>Needs component scores</x:v>
      </x:c>
      <x:c r="M740" s="69" t="n">
        <x:f>IF(C740="","",MATCH(C740,'Position_Rubric'!$A$6:$A$14,0))</x:f>
        <x:v>5</x:v>
      </x:c>
      <x:c r="N740" s="69" t="str"/>
    </x:row>
    <x:row r="741" ht="25" customHeight="1">
      <x:c r="A741" s="69" t="str">
        <x:v>historical-89</x:v>
      </x:c>
      <x:c r="B741" s="69" t="str">
        <x:v>Xavi Simons</x:v>
      </x:c>
      <x:c r="C741" s="69" t="str">
        <x:v>CAM</x:v>
      </x:c>
      <x:c r="D741" s="82" t="n">
        <x:f>IF(ISNUMBER('Transfer_Ratings'!K741),'Transfer_Ratings'!K741,"")</x:f>
        <x:v>7.8</x:v>
      </x:c>
      <x:c r="E741" s="86"/>
      <x:c r="F741" s="86"/>
      <x:c r="G741" s="86"/>
      <x:c r="H741" s="86"/>
      <x:c r="I741" s="86"/>
      <x:c r="J741" s="82" t="str">
        <x:f>IF(C741="","Choose position",IF(COUNT(E741:I741)&lt;5,"",IF(OR(MIN(E741:I741)&lt;0.1,MAX(E741:I741)&gt;10),"Invalid score",IF(INDEX('Position_Rubric'!$H$6:$H$14,M741)&lt;&gt;1,"Check weights",ROUND(E741*INDEX('Position_Rubric'!$C$6:$C$14,M741)+F741*INDEX('Position_Rubric'!$D$6:$D$14,M741)+G741*INDEX('Position_Rubric'!$E$6:$E$14,M741)+H741*INDEX('Position_Rubric'!$F$6:$F$14,M741)+I741*INDEX('Position_Rubric'!$G$6:$G$14,M741),1)))))</x:f>
      </x:c>
      <x:c r="K741" s="82" t="str">
        <x:f>IF(AND(ISNUMBER(J741),ISNUMBER(D741)),J741-D741,"")</x:f>
      </x:c>
      <x:c r="L741" s="69" t="str">
        <x:f>IF(COUNT(E741:I741)&lt;5,"Needs component scores",IF(ISNUMBER(J741),"Calculated",J741))</x:f>
        <x:v>Needs component scores</x:v>
      </x:c>
      <x:c r="M741" s="69" t="n">
        <x:f>IF(C741="","",MATCH(C741,'Position_Rubric'!$A$6:$A$14,0))</x:f>
        <x:v>3</x:v>
      </x:c>
      <x:c r="N741" s="69" t="str"/>
    </x:row>
    <x:row r="742" ht="25" customHeight="1">
      <x:c r="A742" s="69" t="str">
        <x:v>historical-90</x:v>
      </x:c>
      <x:c r="B742" s="69" t="str">
        <x:v>Aymeric Laporte</x:v>
      </x:c>
      <x:c r="C742" s="69" t="str">
        <x:v>CB</x:v>
      </x:c>
      <x:c r="D742" s="82" t="n">
        <x:f>IF(ISNUMBER('Transfer_Ratings'!K742),'Transfer_Ratings'!K742,"")</x:f>
        <x:v>8.8</x:v>
      </x:c>
      <x:c r="E742" s="86"/>
      <x:c r="F742" s="86"/>
      <x:c r="G742" s="86"/>
      <x:c r="H742" s="86"/>
      <x:c r="I742" s="86"/>
      <x:c r="J742" s="82" t="str">
        <x:f>IF(C742="","Choose position",IF(COUNT(E742:I742)&lt;5,"",IF(OR(MIN(E742:I742)&lt;0.1,MAX(E742:I742)&gt;10),"Invalid score",IF(INDEX('Position_Rubric'!$H$6:$H$14,M742)&lt;&gt;1,"Check weights",ROUND(E742*INDEX('Position_Rubric'!$C$6:$C$14,M742)+F742*INDEX('Position_Rubric'!$D$6:$D$14,M742)+G742*INDEX('Position_Rubric'!$E$6:$E$14,M742)+H742*INDEX('Position_Rubric'!$F$6:$F$14,M742)+I742*INDEX('Position_Rubric'!$G$6:$G$14,M742),1)))))</x:f>
      </x:c>
      <x:c r="K742" s="82" t="str">
        <x:f>IF(AND(ISNUMBER(J742),ISNUMBER(D742)),J742-D742,"")</x:f>
      </x:c>
      <x:c r="L742" s="69" t="str">
        <x:f>IF(COUNT(E742:I742)&lt;5,"Needs component scores",IF(ISNUMBER(J742),"Calculated",J742))</x:f>
        <x:v>Needs component scores</x:v>
      </x:c>
      <x:c r="M742" s="69" t="n">
        <x:f>IF(C742="","",MATCH(C742,'Position_Rubric'!$A$6:$A$14,0))</x:f>
        <x:v>4</x:v>
      </x:c>
      <x:c r="N742" s="69" t="str"/>
    </x:row>
    <x:row r="743" ht="25" customHeight="1">
      <x:c r="A743" s="69" t="str">
        <x:v>historical-91</x:v>
      </x:c>
      <x:c r="B743" s="69" t="str">
        <x:v>Bruno Fernandes</x:v>
      </x:c>
      <x:c r="C743" s="69" t="str">
        <x:v>CAM</x:v>
      </x:c>
      <x:c r="D743" s="82" t="n">
        <x:f>IF(ISNUMBER('Transfer_Ratings'!K743),'Transfer_Ratings'!K743,"")</x:f>
        <x:v>9.7</x:v>
      </x:c>
      <x:c r="E743" s="86"/>
      <x:c r="F743" s="86"/>
      <x:c r="G743" s="86"/>
      <x:c r="H743" s="86"/>
      <x:c r="I743" s="86"/>
      <x:c r="J743" s="82" t="str">
        <x:f>IF(C743="","Choose position",IF(COUNT(E743:I743)&lt;5,"",IF(OR(MIN(E743:I743)&lt;0.1,MAX(E743:I743)&gt;10),"Invalid score",IF(INDEX('Position_Rubric'!$H$6:$H$14,M743)&lt;&gt;1,"Check weights",ROUND(E743*INDEX('Position_Rubric'!$C$6:$C$14,M743)+F743*INDEX('Position_Rubric'!$D$6:$D$14,M743)+G743*INDEX('Position_Rubric'!$E$6:$E$14,M743)+H743*INDEX('Position_Rubric'!$F$6:$F$14,M743)+I743*INDEX('Position_Rubric'!$G$6:$G$14,M743),1)))))</x:f>
      </x:c>
      <x:c r="K743" s="82" t="str">
        <x:f>IF(AND(ISNUMBER(J743),ISNUMBER(D743)),J743-D743,"")</x:f>
      </x:c>
      <x:c r="L743" s="69" t="str">
        <x:f>IF(COUNT(E743:I743)&lt;5,"Needs component scores",IF(ISNUMBER(J743),"Calculated",J743))</x:f>
        <x:v>Needs component scores</x:v>
      </x:c>
      <x:c r="M743" s="69" t="n">
        <x:f>IF(C743="","",MATCH(C743,'Position_Rubric'!$A$6:$A$14,0))</x:f>
        <x:v>3</x:v>
      </x:c>
      <x:c r="N743" s="69" t="str"/>
    </x:row>
    <x:row r="744" ht="25" customHeight="1">
      <x:c r="A744" s="69" t="str">
        <x:v>historical-92</x:v>
      </x:c>
      <x:c r="B744" s="69" t="str">
        <x:v>João Cancelo</x:v>
      </x:c>
      <x:c r="C744" s="69" t="str">
        <x:v>FB</x:v>
      </x:c>
      <x:c r="D744" s="82" t="n">
        <x:f>IF(ISNUMBER('Transfer_Ratings'!K744),'Transfer_Ratings'!K744,"")</x:f>
        <x:v>8.4</x:v>
      </x:c>
      <x:c r="E744" s="86"/>
      <x:c r="F744" s="86"/>
      <x:c r="G744" s="86"/>
      <x:c r="H744" s="86"/>
      <x:c r="I744" s="86"/>
      <x:c r="J744" s="82" t="str">
        <x:f>IF(C744="","Choose position",IF(COUNT(E744:I744)&lt;5,"",IF(OR(MIN(E744:I744)&lt;0.1,MAX(E744:I744)&gt;10),"Invalid score",IF(INDEX('Position_Rubric'!$H$6:$H$14,M744)&lt;&gt;1,"Check weights",ROUND(E744*INDEX('Position_Rubric'!$C$6:$C$14,M744)+F744*INDEX('Position_Rubric'!$D$6:$D$14,M744)+G744*INDEX('Position_Rubric'!$E$6:$E$14,M744)+H744*INDEX('Position_Rubric'!$F$6:$F$14,M744)+I744*INDEX('Position_Rubric'!$G$6:$G$14,M744),1)))))</x:f>
      </x:c>
      <x:c r="K744" s="82" t="str">
        <x:f>IF(AND(ISNUMBER(J744),ISNUMBER(D744)),J744-D744,"")</x:f>
      </x:c>
      <x:c r="L744" s="69" t="str">
        <x:f>IF(COUNT(E744:I744)&lt;5,"Needs component scores",IF(ISNUMBER(J744),"Calculated",J744))</x:f>
        <x:v>Needs component scores</x:v>
      </x:c>
      <x:c r="M744" s="69" t="n">
        <x:f>IF(C744="","",MATCH(C744,'Position_Rubric'!$A$6:$A$14,0))</x:f>
        <x:v>5</x:v>
      </x:c>
      <x:c r="N744" s="69" t="str"/>
    </x:row>
    <x:row r="745" ht="25" customHeight="1">
      <x:c r="A745" s="69" t="str">
        <x:v>historical-100</x:v>
      </x:c>
      <x:c r="B745" s="69" t="str">
        <x:v>Jérémy Jacquet</x:v>
      </x:c>
      <x:c r="C745" s="69" t="str">
        <x:v>CB</x:v>
      </x:c>
      <x:c r="D745" s="82" t="str">
        <x:f>IF(ISNUMBER('Transfer_Ratings'!K745),'Transfer_Ratings'!K745,"")</x:f>
      </x:c>
      <x:c r="E745" s="86"/>
      <x:c r="F745" s="86"/>
      <x:c r="G745" s="86"/>
      <x:c r="H745" s="86"/>
      <x:c r="I745" s="86"/>
      <x:c r="J745" s="82" t="str">
        <x:f>IF(C745="","Choose position",IF(COUNT(E745:I745)&lt;5,"",IF(OR(MIN(E745:I745)&lt;0.1,MAX(E745:I745)&gt;10),"Invalid score",IF(INDEX('Position_Rubric'!$H$6:$H$14,M745)&lt;&gt;1,"Check weights",ROUND(E745*INDEX('Position_Rubric'!$C$6:$C$14,M745)+F745*INDEX('Position_Rubric'!$D$6:$D$14,M745)+G745*INDEX('Position_Rubric'!$E$6:$E$14,M745)+H745*INDEX('Position_Rubric'!$F$6:$F$14,M745)+I745*INDEX('Position_Rubric'!$G$6:$G$14,M745),1)))))</x:f>
      </x:c>
      <x:c r="K745" s="82" t="str">
        <x:f>IF(AND(ISNUMBER(J745),ISNUMBER(D745)),J745-D745,"")</x:f>
      </x:c>
      <x:c r="L745" s="69" t="str">
        <x:f>IF(COUNT(E745:I745)&lt;5,"Needs component scores",IF(ISNUMBER(J745),"Calculated",J745))</x:f>
        <x:v>Needs component scores</x:v>
      </x:c>
      <x:c r="M745" s="69" t="n">
        <x:f>IF(C745="","",MATCH(C745,'Position_Rubric'!$A$6:$A$14,0))</x:f>
        <x:v>4</x:v>
      </x:c>
      <x:c r="N745" s="69" t="str"/>
    </x:row>
    <x:row r="746" ht="25" customHeight="1">
      <x:c r="A746" s="69" t="str">
        <x:v>historical-101</x:v>
      </x:c>
      <x:c r="B746" s="69" t="str">
        <x:v>Ilya Zabarnyi</x:v>
      </x:c>
      <x:c r="C746" s="69" t="str">
        <x:v>CB</x:v>
      </x:c>
      <x:c r="D746" s="82" t="n">
        <x:f>IF(ISNUMBER('Transfer_Ratings'!K746),'Transfer_Ratings'!K746,"")</x:f>
        <x:v>8</x:v>
      </x:c>
      <x:c r="E746" s="86"/>
      <x:c r="F746" s="86"/>
      <x:c r="G746" s="86"/>
      <x:c r="H746" s="86"/>
      <x:c r="I746" s="86"/>
      <x:c r="J746" s="82" t="str">
        <x:f>IF(C746="","Choose position",IF(COUNT(E746:I746)&lt;5,"",IF(OR(MIN(E746:I746)&lt;0.1,MAX(E746:I746)&gt;10),"Invalid score",IF(INDEX('Position_Rubric'!$H$6:$H$14,M746)&lt;&gt;1,"Check weights",ROUND(E746*INDEX('Position_Rubric'!$C$6:$C$14,M746)+F746*INDEX('Position_Rubric'!$D$6:$D$14,M746)+G746*INDEX('Position_Rubric'!$E$6:$E$14,M746)+H746*INDEX('Position_Rubric'!$F$6:$F$14,M746)+I746*INDEX('Position_Rubric'!$G$6:$G$14,M746),1)))))</x:f>
      </x:c>
      <x:c r="K746" s="82" t="str">
        <x:f>IF(AND(ISNUMBER(J746),ISNUMBER(D746)),J746-D746,"")</x:f>
      </x:c>
      <x:c r="L746" s="69" t="str">
        <x:f>IF(COUNT(E746:I746)&lt;5,"Needs component scores",IF(ISNUMBER(J746),"Calculated",J746))</x:f>
        <x:v>Needs component scores</x:v>
      </x:c>
      <x:c r="M746" s="69" t="n">
        <x:f>IF(C746="","",MATCH(C746,'Position_Rubric'!$A$6:$A$14,0))</x:f>
        <x:v>4</x:v>
      </x:c>
      <x:c r="N746" s="69" t="str"/>
    </x:row>
    <x:row r="747" ht="25" customHeight="1">
      <x:c r="A747" s="69" t="str">
        <x:v>historical-104</x:v>
      </x:c>
      <x:c r="B747" s="69" t="str">
        <x:v>Dean Huijsen</x:v>
      </x:c>
      <x:c r="C747" s="69" t="str">
        <x:v>CB</x:v>
      </x:c>
      <x:c r="D747" s="82" t="n">
        <x:f>IF(ISNUMBER('Transfer_Ratings'!K747),'Transfer_Ratings'!K747,"")</x:f>
        <x:v>8.7</x:v>
      </x:c>
      <x:c r="E747" s="86"/>
      <x:c r="F747" s="86"/>
      <x:c r="G747" s="86"/>
      <x:c r="H747" s="86"/>
      <x:c r="I747" s="86"/>
      <x:c r="J747" s="82" t="str">
        <x:f>IF(C747="","Choose position",IF(COUNT(E747:I747)&lt;5,"",IF(OR(MIN(E747:I747)&lt;0.1,MAX(E747:I747)&gt;10),"Invalid score",IF(INDEX('Position_Rubric'!$H$6:$H$14,M747)&lt;&gt;1,"Check weights",ROUND(E747*INDEX('Position_Rubric'!$C$6:$C$14,M747)+F747*INDEX('Position_Rubric'!$D$6:$D$14,M747)+G747*INDEX('Position_Rubric'!$E$6:$E$14,M747)+H747*INDEX('Position_Rubric'!$F$6:$F$14,M747)+I747*INDEX('Position_Rubric'!$G$6:$G$14,M747),1)))))</x:f>
      </x:c>
      <x:c r="K747" s="82" t="str">
        <x:f>IF(AND(ISNUMBER(J747),ISNUMBER(D747)),J747-D747,"")</x:f>
      </x:c>
      <x:c r="L747" s="69" t="str">
        <x:f>IF(COUNT(E747:I747)&lt;5,"Needs component scores",IF(ISNUMBER(J747),"Calculated",J747))</x:f>
        <x:v>Needs component scores</x:v>
      </x:c>
      <x:c r="M747" s="69" t="n">
        <x:f>IF(C747="","",MATCH(C747,'Position_Rubric'!$A$6:$A$14,0))</x:f>
        <x:v>4</x:v>
      </x:c>
      <x:c r="N747" s="69" t="str"/>
    </x:row>
    <x:row r="748" ht="25" customHeight="1">
      <x:c r="A748" s="69" t="str">
        <x:v>historical-106</x:v>
      </x:c>
      <x:c r="B748" s="69" t="str">
        <x:v>Matheus Nunes</x:v>
      </x:c>
      <x:c r="C748" s="69" t="str">
        <x:v>FB</x:v>
      </x:c>
      <x:c r="D748" s="82" t="n">
        <x:f>IF(ISNUMBER('Transfer_Ratings'!K748),'Transfer_Ratings'!K748,"")</x:f>
        <x:v>7.2</x:v>
      </x:c>
      <x:c r="E748" s="86"/>
      <x:c r="F748" s="86"/>
      <x:c r="G748" s="86"/>
      <x:c r="H748" s="86"/>
      <x:c r="I748" s="86"/>
      <x:c r="J748" s="82" t="str">
        <x:f>IF(C748="","Choose position",IF(COUNT(E748:I748)&lt;5,"",IF(OR(MIN(E748:I748)&lt;0.1,MAX(E748:I748)&gt;10),"Invalid score",IF(INDEX('Position_Rubric'!$H$6:$H$14,M748)&lt;&gt;1,"Check weights",ROUND(E748*INDEX('Position_Rubric'!$C$6:$C$14,M748)+F748*INDEX('Position_Rubric'!$D$6:$D$14,M748)+G748*INDEX('Position_Rubric'!$E$6:$E$14,M748)+H748*INDEX('Position_Rubric'!$F$6:$F$14,M748)+I748*INDEX('Position_Rubric'!$G$6:$G$14,M748),1)))))</x:f>
      </x:c>
      <x:c r="K748" s="82" t="str">
        <x:f>IF(AND(ISNUMBER(J748),ISNUMBER(D748)),J748-D748,"")</x:f>
      </x:c>
      <x:c r="L748" s="69" t="str">
        <x:f>IF(COUNT(E748:I748)&lt;5,"Needs component scores",IF(ISNUMBER(J748),"Calculated",J748))</x:f>
        <x:v>Needs component scores</x:v>
      </x:c>
      <x:c r="M748" s="69" t="n">
        <x:f>IF(C748="","",MATCH(C748,'Position_Rubric'!$A$6:$A$14,0))</x:f>
        <x:v>5</x:v>
      </x:c>
      <x:c r="N748" s="69" t="str"/>
    </x:row>
    <x:row r="749" ht="25" customHeight="1">
      <x:c r="A749" s="69" t="str">
        <x:v>historical-107</x:v>
      </x:c>
      <x:c r="B749" s="69" t="str">
        <x:v>Leny Yoro</x:v>
      </x:c>
      <x:c r="C749" s="69" t="str">
        <x:v>CB</x:v>
      </x:c>
      <x:c r="D749" s="82" t="n">
        <x:f>IF(ISNUMBER('Transfer_Ratings'!K749),'Transfer_Ratings'!K749,"")</x:f>
        <x:v>7.7</x:v>
      </x:c>
      <x:c r="E749" s="86"/>
      <x:c r="F749" s="86"/>
      <x:c r="G749" s="86"/>
      <x:c r="H749" s="86"/>
      <x:c r="I749" s="86"/>
      <x:c r="J749" s="82" t="str">
        <x:f>IF(C749="","Choose position",IF(COUNT(E749:I749)&lt;5,"",IF(OR(MIN(E749:I749)&lt;0.1,MAX(E749:I749)&gt;10),"Invalid score",IF(INDEX('Position_Rubric'!$H$6:$H$14,M749)&lt;&gt;1,"Check weights",ROUND(E749*INDEX('Position_Rubric'!$C$6:$C$14,M749)+F749*INDEX('Position_Rubric'!$D$6:$D$14,M749)+G749*INDEX('Position_Rubric'!$E$6:$E$14,M749)+H749*INDEX('Position_Rubric'!$F$6:$F$14,M749)+I749*INDEX('Position_Rubric'!$G$6:$G$14,M749),1)))))</x:f>
      </x:c>
      <x:c r="K749" s="82" t="str">
        <x:f>IF(AND(ISNUMBER(J749),ISNUMBER(D749)),J749-D749,"")</x:f>
      </x:c>
      <x:c r="L749" s="69" t="str">
        <x:f>IF(COUNT(E749:I749)&lt;5,"Needs component scores",IF(ISNUMBER(J749),"Calculated",J749))</x:f>
        <x:v>Needs component scores</x:v>
      </x:c>
      <x:c r="M749" s="69" t="n">
        <x:f>IF(C749="","",MATCH(C749,'Position_Rubric'!$A$6:$A$14,0))</x:f>
        <x:v>4</x:v>
      </x:c>
      <x:c r="N749" s="69" t="str"/>
    </x:row>
    <x:row r="750" ht="25" customHeight="1">
      <x:c r="A750" s="69" t="str">
        <x:v>historical-108</x:v>
      </x:c>
      <x:c r="B750" s="69" t="str">
        <x:v>Tanguy Ndombélé</x:v>
      </x:c>
      <x:c r="C750" s="69" t="str">
        <x:v>CM</x:v>
      </x:c>
      <x:c r="D750" s="82" t="n">
        <x:f>IF(ISNUMBER('Transfer_Ratings'!K750),'Transfer_Ratings'!K750,"")</x:f>
        <x:v>2.9</x:v>
      </x:c>
      <x:c r="E750" s="86"/>
      <x:c r="F750" s="86"/>
      <x:c r="G750" s="86"/>
      <x:c r="H750" s="86"/>
      <x:c r="I750" s="86"/>
      <x:c r="J750" s="82" t="str">
        <x:f>IF(C750="","Choose position",IF(COUNT(E750:I750)&lt;5,"",IF(OR(MIN(E750:I750)&lt;0.1,MAX(E750:I750)&gt;10),"Invalid score",IF(INDEX('Position_Rubric'!$H$6:$H$14,M750)&lt;&gt;1,"Check weights",ROUND(E750*INDEX('Position_Rubric'!$C$6:$C$14,M750)+F750*INDEX('Position_Rubric'!$D$6:$D$14,M750)+G750*INDEX('Position_Rubric'!$E$6:$E$14,M750)+H750*INDEX('Position_Rubric'!$F$6:$F$14,M750)+I750*INDEX('Position_Rubric'!$G$6:$G$14,M750),1)))))</x:f>
      </x:c>
      <x:c r="K750" s="82" t="str">
        <x:f>IF(AND(ISNUMBER(J750),ISNUMBER(D750)),J750-D750,"")</x:f>
      </x:c>
      <x:c r="L750" s="69" t="str">
        <x:f>IF(COUNT(E750:I750)&lt;5,"Needs component scores",IF(ISNUMBER(J750),"Calculated",J750))</x:f>
        <x:v>Needs component scores</x:v>
      </x:c>
      <x:c r="M750" s="69" t="n">
        <x:f>IF(C750="","",MATCH(C750,'Position_Rubric'!$A$6:$A$14,0))</x:f>
        <x:v>2</x:v>
      </x:c>
      <x:c r="N750" s="69" t="str"/>
    </x:row>
    <x:row r="751" ht="25" customHeight="1">
      <x:c r="A751" s="69" t="str">
        <x:v>historical-111</x:v>
      </x:c>
      <x:c r="B751" s="69" t="str">
        <x:v>Dani Olmo</x:v>
      </x:c>
      <x:c r="C751" s="69" t="str">
        <x:v>CAM</x:v>
      </x:c>
      <x:c r="D751" s="82" t="n">
        <x:f>IF(ISNUMBER('Transfer_Ratings'!K751),'Transfer_Ratings'!K751,"")</x:f>
        <x:v>8.1</x:v>
      </x:c>
      <x:c r="E751" s="86"/>
      <x:c r="F751" s="86"/>
      <x:c r="G751" s="86"/>
      <x:c r="H751" s="86"/>
      <x:c r="I751" s="86"/>
      <x:c r="J751" s="82" t="str">
        <x:f>IF(C751="","Choose position",IF(COUNT(E751:I751)&lt;5,"",IF(OR(MIN(E751:I751)&lt;0.1,MAX(E751:I751)&gt;10),"Invalid score",IF(INDEX('Position_Rubric'!$H$6:$H$14,M751)&lt;&gt;1,"Check weights",ROUND(E751*INDEX('Position_Rubric'!$C$6:$C$14,M751)+F751*INDEX('Position_Rubric'!$D$6:$D$14,M751)+G751*INDEX('Position_Rubric'!$E$6:$E$14,M751)+H751*INDEX('Position_Rubric'!$F$6:$F$14,M751)+I751*INDEX('Position_Rubric'!$G$6:$G$14,M751),1)))))</x:f>
      </x:c>
      <x:c r="K751" s="82" t="str">
        <x:f>IF(AND(ISNUMBER(J751),ISNUMBER(D751)),J751-D751,"")</x:f>
      </x:c>
      <x:c r="L751" s="69" t="str">
        <x:f>IF(COUNT(E751:I751)&lt;5,"Needs component scores",IF(ISNUMBER(J751),"Calculated",J751))</x:f>
        <x:v>Needs component scores</x:v>
      </x:c>
      <x:c r="M751" s="69" t="n">
        <x:f>IF(C751="","",MATCH(C751,'Position_Rubric'!$A$6:$A$14,0))</x:f>
        <x:v>3</x:v>
      </x:c>
      <x:c r="N751" s="69" t="str"/>
    </x:row>
    <x:row r="752" ht="25" customHeight="1">
      <x:c r="A752" s="69" t="str">
        <x:v>historical-115</x:v>
      </x:c>
      <x:c r="B752" s="69" t="str">
        <x:v>Jan Paul van Hecke</x:v>
      </x:c>
      <x:c r="C752" s="69" t="str">
        <x:v>CB</x:v>
      </x:c>
      <x:c r="D752" s="82" t="str">
        <x:f>IF(ISNUMBER('Transfer_Ratings'!K752),'Transfer_Ratings'!K752,"")</x:f>
      </x:c>
      <x:c r="E752" s="86"/>
      <x:c r="F752" s="86"/>
      <x:c r="G752" s="86"/>
      <x:c r="H752" s="86"/>
      <x:c r="I752" s="86"/>
      <x:c r="J752" s="82" t="str">
        <x:f>IF(C752="","Choose position",IF(COUNT(E752:I752)&lt;5,"",IF(OR(MIN(E752:I752)&lt;0.1,MAX(E752:I752)&gt;10),"Invalid score",IF(INDEX('Position_Rubric'!$H$6:$H$14,M752)&lt;&gt;1,"Check weights",ROUND(E752*INDEX('Position_Rubric'!$C$6:$C$14,M752)+F752*INDEX('Position_Rubric'!$D$6:$D$14,M752)+G752*INDEX('Position_Rubric'!$E$6:$E$14,M752)+H752*INDEX('Position_Rubric'!$F$6:$F$14,M752)+I752*INDEX('Position_Rubric'!$G$6:$G$14,M752),1)))))</x:f>
      </x:c>
      <x:c r="K752" s="82" t="str">
        <x:f>IF(AND(ISNUMBER(J752),ISNUMBER(D752)),J752-D752,"")</x:f>
      </x:c>
      <x:c r="L752" s="69" t="str">
        <x:f>IF(COUNT(E752:I752)&lt;5,"Needs component scores",IF(ISNUMBER(J752),"Calculated",J752))</x:f>
        <x:v>Needs component scores</x:v>
      </x:c>
      <x:c r="M752" s="69" t="n">
        <x:f>IF(C752="","",MATCH(C752,'Position_Rubric'!$A$6:$A$14,0))</x:f>
        <x:v>4</x:v>
      </x:c>
      <x:c r="N752" s="69" t="str"/>
    </x:row>
    <x:row r="753" ht="25" customHeight="1">
      <x:c r="A753" s="69" t="str">
        <x:v>historical-116</x:v>
      </x:c>
      <x:c r="B753" s="69" t="str">
        <x:v>Naby Keïta</x:v>
      </x:c>
      <x:c r="C753" s="69" t="str">
        <x:v>CM</x:v>
      </x:c>
      <x:c r="D753" s="82" t="n">
        <x:f>IF(ISNUMBER('Transfer_Ratings'!K753),'Transfer_Ratings'!K753,"")</x:f>
        <x:v>5.2</x:v>
      </x:c>
      <x:c r="E753" s="86"/>
      <x:c r="F753" s="86"/>
      <x:c r="G753" s="86"/>
      <x:c r="H753" s="86"/>
      <x:c r="I753" s="86"/>
      <x:c r="J753" s="82" t="str">
        <x:f>IF(C753="","Choose position",IF(COUNT(E753:I753)&lt;5,"",IF(OR(MIN(E753:I753)&lt;0.1,MAX(E753:I753)&gt;10),"Invalid score",IF(INDEX('Position_Rubric'!$H$6:$H$14,M753)&lt;&gt;1,"Check weights",ROUND(E753*INDEX('Position_Rubric'!$C$6:$C$14,M753)+F753*INDEX('Position_Rubric'!$D$6:$D$14,M753)+G753*INDEX('Position_Rubric'!$E$6:$E$14,M753)+H753*INDEX('Position_Rubric'!$F$6:$F$14,M753)+I753*INDEX('Position_Rubric'!$G$6:$G$14,M753),1)))))</x:f>
      </x:c>
      <x:c r="K753" s="82" t="str">
        <x:f>IF(AND(ISNUMBER(J753),ISNUMBER(D753)),J753-D753,"")</x:f>
      </x:c>
      <x:c r="L753" s="69" t="str">
        <x:f>IF(COUNT(E753:I753)&lt;5,"Needs component scores",IF(ISNUMBER(J753),"Calculated",J753))</x:f>
        <x:v>Needs component scores</x:v>
      </x:c>
      <x:c r="M753" s="69" t="n">
        <x:f>IF(C753="","",MATCH(C753,'Position_Rubric'!$A$6:$A$14,0))</x:f>
        <x:v>2</x:v>
      </x:c>
      <x:c r="N753" s="69" t="str"/>
    </x:row>
    <x:row r="754" ht="25" customHeight="1">
      <x:c r="A754" s="69" t="str">
        <x:v>historical-123</x:v>
      </x:c>
      <x:c r="B754" s="69" t="str">
        <x:v>Otávio</x:v>
      </x:c>
      <x:c r="C754" s="69" t="str">
        <x:v>CAM</x:v>
      </x:c>
      <x:c r="D754" s="82" t="n">
        <x:f>IF(ISNUMBER('Transfer_Ratings'!K754),'Transfer_Ratings'!K754,"")</x:f>
        <x:v>7</x:v>
      </x:c>
      <x:c r="E754" s="86"/>
      <x:c r="F754" s="86"/>
      <x:c r="G754" s="86"/>
      <x:c r="H754" s="86"/>
      <x:c r="I754" s="86"/>
      <x:c r="J754" s="82" t="str">
        <x:f>IF(C754="","Choose position",IF(COUNT(E754:I754)&lt;5,"",IF(OR(MIN(E754:I754)&lt;0.1,MAX(E754:I754)&gt;10),"Invalid score",IF(INDEX('Position_Rubric'!$H$6:$H$14,M754)&lt;&gt;1,"Check weights",ROUND(E754*INDEX('Position_Rubric'!$C$6:$C$14,M754)+F754*INDEX('Position_Rubric'!$D$6:$D$14,M754)+G754*INDEX('Position_Rubric'!$E$6:$E$14,M754)+H754*INDEX('Position_Rubric'!$F$6:$F$14,M754)+I754*INDEX('Position_Rubric'!$G$6:$G$14,M754),1)))))</x:f>
      </x:c>
      <x:c r="K754" s="82" t="str">
        <x:f>IF(AND(ISNUMBER(J754),ISNUMBER(D754)),J754-D754,"")</x:f>
      </x:c>
      <x:c r="L754" s="69" t="str">
        <x:f>IF(COUNT(E754:I754)&lt;5,"Needs component scores",IF(ISNUMBER(J754),"Calculated",J754))</x:f>
        <x:v>Needs component scores</x:v>
      </x:c>
      <x:c r="M754" s="69" t="n">
        <x:f>IF(C754="","",MATCH(C754,'Position_Rubric'!$A$6:$A$14,0))</x:f>
        <x:v>3</x:v>
      </x:c>
      <x:c r="N754" s="69" t="str"/>
    </x:row>
    <x:row r="755" ht="25" customHeight="1">
      <x:c r="A755" s="69" t="str">
        <x:v>historical-128</x:v>
      </x:c>
      <x:c r="B755" s="69" t="str">
        <x:v>Ezri Konsa</x:v>
      </x:c>
      <x:c r="C755" s="69" t="str">
        <x:v>CB</x:v>
      </x:c>
      <x:c r="D755" s="82" t="str">
        <x:f>IF(ISNUMBER('Transfer_Ratings'!K755),'Transfer_Ratings'!K755,"")</x:f>
      </x:c>
      <x:c r="E755" s="86"/>
      <x:c r="F755" s="86"/>
      <x:c r="G755" s="86"/>
      <x:c r="H755" s="86"/>
      <x:c r="I755" s="86"/>
      <x:c r="J755" s="82" t="str">
        <x:f>IF(C755="","Choose position",IF(COUNT(E755:I755)&lt;5,"",IF(OR(MIN(E755:I755)&lt;0.1,MAX(E755:I755)&gt;10),"Invalid score",IF(INDEX('Position_Rubric'!$H$6:$H$14,M755)&lt;&gt;1,"Check weights",ROUND(E755*INDEX('Position_Rubric'!$C$6:$C$14,M755)+F755*INDEX('Position_Rubric'!$D$6:$D$14,M755)+G755*INDEX('Position_Rubric'!$E$6:$E$14,M755)+H755*INDEX('Position_Rubric'!$F$6:$F$14,M755)+I755*INDEX('Position_Rubric'!$G$6:$G$14,M755),1)))))</x:f>
      </x:c>
      <x:c r="K755" s="82" t="str">
        <x:f>IF(AND(ISNUMBER(J755),ISNUMBER(D755)),J755-D755,"")</x:f>
      </x:c>
      <x:c r="L755" s="69" t="str">
        <x:f>IF(COUNT(E755:I755)&lt;5,"Needs component scores",IF(ISNUMBER(J755),"Calculated",J755))</x:f>
        <x:v>Needs component scores</x:v>
      </x:c>
      <x:c r="M755" s="69" t="n">
        <x:f>IF(C755="","",MATCH(C755,'Position_Rubric'!$A$6:$A$14,0))</x:f>
        <x:v>4</x:v>
      </x:c>
      <x:c r="N755" s="69" t="str"/>
    </x:row>
    <x:row r="756" ht="25" customHeight="1">
      <x:c r="A756" s="69" t="str">
        <x:v>historical-129</x:v>
      </x:c>
      <x:c r="B756" s="69" t="str">
        <x:v>Ben White</x:v>
      </x:c>
      <x:c r="C756" s="69" t="str">
        <x:v>FB</x:v>
      </x:c>
      <x:c r="D756" s="82" t="n">
        <x:f>IF(ISNUMBER('Transfer_Ratings'!K756),'Transfer_Ratings'!K756,"")</x:f>
        <x:v>8.8</x:v>
      </x:c>
      <x:c r="E756" s="86"/>
      <x:c r="F756" s="86"/>
      <x:c r="G756" s="86"/>
      <x:c r="H756" s="86"/>
      <x:c r="I756" s="86"/>
      <x:c r="J756" s="82" t="str">
        <x:f>IF(C756="","Choose position",IF(COUNT(E756:I756)&lt;5,"",IF(OR(MIN(E756:I756)&lt;0.1,MAX(E756:I756)&gt;10),"Invalid score",IF(INDEX('Position_Rubric'!$H$6:$H$14,M756)&lt;&gt;1,"Check weights",ROUND(E756*INDEX('Position_Rubric'!$C$6:$C$14,M756)+F756*INDEX('Position_Rubric'!$D$6:$D$14,M756)+G756*INDEX('Position_Rubric'!$E$6:$E$14,M756)+H756*INDEX('Position_Rubric'!$F$6:$F$14,M756)+I756*INDEX('Position_Rubric'!$G$6:$G$14,M756),1)))))</x:f>
      </x:c>
      <x:c r="K756" s="82" t="str">
        <x:f>IF(AND(ISNUMBER(J756),ISNUMBER(D756)),J756-D756,"")</x:f>
      </x:c>
      <x:c r="L756" s="69" t="str">
        <x:f>IF(COUNT(E756:I756)&lt;5,"Needs component scores",IF(ISNUMBER(J756),"Calculated",J756))</x:f>
        <x:v>Needs component scores</x:v>
      </x:c>
      <x:c r="M756" s="69" t="n">
        <x:f>IF(C756="","",MATCH(C756,'Position_Rubric'!$A$6:$A$14,0))</x:f>
        <x:v>5</x:v>
      </x:c>
      <x:c r="N756" s="69" t="str"/>
    </x:row>
    <x:row r="757" ht="25" customHeight="1">
      <x:c r="A757" s="69" t="str">
        <x:v>historical-134</x:v>
      </x:c>
      <x:c r="B757" s="69" t="str">
        <x:v>Benjamin Mendy</x:v>
      </x:c>
      <x:c r="C757" s="69" t="str">
        <x:v>FB</x:v>
      </x:c>
      <x:c r="D757" s="82" t="n">
        <x:f>IF(ISNUMBER('Transfer_Ratings'!K757),'Transfer_Ratings'!K757,"")</x:f>
        <x:v>3.3</x:v>
      </x:c>
      <x:c r="E757" s="86"/>
      <x:c r="F757" s="86"/>
      <x:c r="G757" s="86"/>
      <x:c r="H757" s="86"/>
      <x:c r="I757" s="86"/>
      <x:c r="J757" s="82" t="str">
        <x:f>IF(C757="","Choose position",IF(COUNT(E757:I757)&lt;5,"",IF(OR(MIN(E757:I757)&lt;0.1,MAX(E757:I757)&gt;10),"Invalid score",IF(INDEX('Position_Rubric'!$H$6:$H$14,M757)&lt;&gt;1,"Check weights",ROUND(E757*INDEX('Position_Rubric'!$C$6:$C$14,M757)+F757*INDEX('Position_Rubric'!$D$6:$D$14,M757)+G757*INDEX('Position_Rubric'!$E$6:$E$14,M757)+H757*INDEX('Position_Rubric'!$F$6:$F$14,M757)+I757*INDEX('Position_Rubric'!$G$6:$G$14,M757),1)))))</x:f>
      </x:c>
      <x:c r="K757" s="82" t="str">
        <x:f>IF(AND(ISNUMBER(J757),ISNUMBER(D757)),J757-D757,"")</x:f>
      </x:c>
      <x:c r="L757" s="69" t="str">
        <x:f>IF(COUNT(E757:I757)&lt;5,"Needs component scores",IF(ISNUMBER(J757),"Calculated",J757))</x:f>
        <x:v>Needs component scores</x:v>
      </x:c>
      <x:c r="M757" s="69" t="n">
        <x:f>IF(C757="","",MATCH(C757,'Position_Rubric'!$A$6:$A$14,0))</x:f>
        <x:v>5</x:v>
      </x:c>
      <x:c r="N757" s="69" t="str"/>
    </x:row>
    <x:row r="758" ht="25" customHeight="1">
      <x:c r="A758" s="69" t="str">
        <x:v>historical-135</x:v>
      </x:c>
      <x:c r="B758" s="69" t="str">
        <x:v>Lisandro Martínez</x:v>
      </x:c>
      <x:c r="C758" s="69" t="str">
        <x:v>CB</x:v>
      </x:c>
      <x:c r="D758" s="82" t="n">
        <x:f>IF(ISNUMBER('Transfer_Ratings'!K758),'Transfer_Ratings'!K758,"")</x:f>
        <x:v>7.7</x:v>
      </x:c>
      <x:c r="E758" s="86"/>
      <x:c r="F758" s="86"/>
      <x:c r="G758" s="86"/>
      <x:c r="H758" s="86"/>
      <x:c r="I758" s="86"/>
      <x:c r="J758" s="82" t="str">
        <x:f>IF(C758="","Choose position",IF(COUNT(E758:I758)&lt;5,"",IF(OR(MIN(E758:I758)&lt;0.1,MAX(E758:I758)&gt;10),"Invalid score",IF(INDEX('Position_Rubric'!$H$6:$H$14,M758)&lt;&gt;1,"Check weights",ROUND(E758*INDEX('Position_Rubric'!$C$6:$C$14,M758)+F758*INDEX('Position_Rubric'!$D$6:$D$14,M758)+G758*INDEX('Position_Rubric'!$E$6:$E$14,M758)+H758*INDEX('Position_Rubric'!$F$6:$F$14,M758)+I758*INDEX('Position_Rubric'!$G$6:$G$14,M758),1)))))</x:f>
      </x:c>
      <x:c r="K758" s="82" t="str">
        <x:f>IF(AND(ISNUMBER(J758),ISNUMBER(D758)),J758-D758,"")</x:f>
      </x:c>
      <x:c r="L758" s="69" t="str">
        <x:f>IF(COUNT(E758:I758)&lt;5,"Needs component scores",IF(ISNUMBER(J758),"Calculated",J758))</x:f>
        <x:v>Needs component scores</x:v>
      </x:c>
      <x:c r="M758" s="69" t="n">
        <x:f>IF(C758="","",MATCH(C758,'Position_Rubric'!$A$6:$A$14,0))</x:f>
        <x:v>4</x:v>
      </x:c>
      <x:c r="N758" s="69" t="str"/>
    </x:row>
    <x:row r="759" ht="25" customHeight="1">
      <x:c r="A759" s="69" t="str">
        <x:v>historical-141</x:v>
      </x:c>
      <x:c r="B759" s="69" t="str">
        <x:v>John Stones</x:v>
      </x:c>
      <x:c r="C759" s="69" t="str">
        <x:v>CB</x:v>
      </x:c>
      <x:c r="D759" s="82" t="n">
        <x:f>IF(ISNUMBER('Transfer_Ratings'!K759),'Transfer_Ratings'!K759,"")</x:f>
        <x:v>9.1</x:v>
      </x:c>
      <x:c r="E759" s="86"/>
      <x:c r="F759" s="86"/>
      <x:c r="G759" s="86"/>
      <x:c r="H759" s="86"/>
      <x:c r="I759" s="86"/>
      <x:c r="J759" s="82" t="str">
        <x:f>IF(C759="","Choose position",IF(COUNT(E759:I759)&lt;5,"",IF(OR(MIN(E759:I759)&lt;0.1,MAX(E759:I759)&gt;10),"Invalid score",IF(INDEX('Position_Rubric'!$H$6:$H$14,M759)&lt;&gt;1,"Check weights",ROUND(E759*INDEX('Position_Rubric'!$C$6:$C$14,M759)+F759*INDEX('Position_Rubric'!$D$6:$D$14,M759)+G759*INDEX('Position_Rubric'!$E$6:$E$14,M759)+H759*INDEX('Position_Rubric'!$F$6:$F$14,M759)+I759*INDEX('Position_Rubric'!$G$6:$G$14,M759),1)))))</x:f>
      </x:c>
      <x:c r="K759" s="82" t="str">
        <x:f>IF(AND(ISNUMBER(J759),ISNUMBER(D759)),J759-D759,"")</x:f>
      </x:c>
      <x:c r="L759" s="69" t="str">
        <x:f>IF(COUNT(E759:I759)&lt;5,"Needs component scores",IF(ISNUMBER(J759),"Calculated",J759))</x:f>
        <x:v>Needs component scores</x:v>
      </x:c>
      <x:c r="M759" s="69" t="n">
        <x:f>IF(C759="","",MATCH(C759,'Position_Rubric'!$A$6:$A$14,0))</x:f>
        <x:v>4</x:v>
      </x:c>
      <x:c r="N759" s="69" t="str"/>
    </x:row>
    <x:row r="760" ht="25" customHeight="1">
      <x:c r="A760" s="69" t="str">
        <x:v>historical-145</x:v>
      </x:c>
      <x:c r="B760" s="69" t="str">
        <x:v>Aaron Wan-Bissaka</x:v>
      </x:c>
      <x:c r="C760" s="69" t="str">
        <x:v>FB</x:v>
      </x:c>
      <x:c r="D760" s="82" t="n">
        <x:f>IF(ISNUMBER('Transfer_Ratings'!K760),'Transfer_Ratings'!K760,"")</x:f>
        <x:v>6.5</x:v>
      </x:c>
      <x:c r="E760" s="86"/>
      <x:c r="F760" s="86"/>
      <x:c r="G760" s="86"/>
      <x:c r="H760" s="86"/>
      <x:c r="I760" s="86"/>
      <x:c r="J760" s="82" t="str">
        <x:f>IF(C760="","Choose position",IF(COUNT(E760:I760)&lt;5,"",IF(OR(MIN(E760:I760)&lt;0.1,MAX(E760:I760)&gt;10),"Invalid score",IF(INDEX('Position_Rubric'!$H$6:$H$14,M760)&lt;&gt;1,"Check weights",ROUND(E760*INDEX('Position_Rubric'!$C$6:$C$14,M760)+F760*INDEX('Position_Rubric'!$D$6:$D$14,M760)+G760*INDEX('Position_Rubric'!$E$6:$E$14,M760)+H760*INDEX('Position_Rubric'!$F$6:$F$14,M760)+I760*INDEX('Position_Rubric'!$G$6:$G$14,M760),1)))))</x:f>
      </x:c>
      <x:c r="K760" s="82" t="str">
        <x:f>IF(AND(ISNUMBER(J760),ISNUMBER(D760)),J760-D760,"")</x:f>
      </x:c>
      <x:c r="L760" s="69" t="str">
        <x:f>IF(COUNT(E760:I760)&lt;5,"Needs component scores",IF(ISNUMBER(J760),"Calculated",J760))</x:f>
        <x:v>Needs component scores</x:v>
      </x:c>
      <x:c r="M760" s="69" t="n">
        <x:f>IF(C760="","",MATCH(C760,'Position_Rubric'!$A$6:$A$14,0))</x:f>
        <x:v>5</x:v>
      </x:c>
      <x:c r="N760" s="69" t="str"/>
    </x:row>
    <x:row r="761" ht="25" customHeight="1">
      <x:c r="A761" s="69" t="str">
        <x:v>historical-148</x:v>
      </x:c>
      <x:c r="B761" s="69" t="str">
        <x:v>Tijjani Reijnders</x:v>
      </x:c>
      <x:c r="C761" s="69" t="str">
        <x:v>CM</x:v>
      </x:c>
      <x:c r="D761" s="82" t="n">
        <x:f>IF(ISNUMBER('Transfer_Ratings'!K761),'Transfer_Ratings'!K761,"")</x:f>
        <x:v>8.3</x:v>
      </x:c>
      <x:c r="E761" s="86"/>
      <x:c r="F761" s="86"/>
      <x:c r="G761" s="86"/>
      <x:c r="H761" s="86"/>
      <x:c r="I761" s="86"/>
      <x:c r="J761" s="82" t="str">
        <x:f>IF(C761="","Choose position",IF(COUNT(E761:I761)&lt;5,"",IF(OR(MIN(E761:I761)&lt;0.1,MAX(E761:I761)&gt;10),"Invalid score",IF(INDEX('Position_Rubric'!$H$6:$H$14,M761)&lt;&gt;1,"Check weights",ROUND(E761*INDEX('Position_Rubric'!$C$6:$C$14,M761)+F761*INDEX('Position_Rubric'!$D$6:$D$14,M761)+G761*INDEX('Position_Rubric'!$E$6:$E$14,M761)+H761*INDEX('Position_Rubric'!$F$6:$F$14,M761)+I761*INDEX('Position_Rubric'!$G$6:$G$14,M761),1)))))</x:f>
      </x:c>
      <x:c r="K761" s="82" t="str">
        <x:f>IF(AND(ISNUMBER(J761),ISNUMBER(D761)),J761-D761,"")</x:f>
      </x:c>
      <x:c r="L761" s="69" t="str">
        <x:f>IF(COUNT(E761:I761)&lt;5,"Needs component scores",IF(ISNUMBER(J761),"Calculated",J761))</x:f>
        <x:v>Needs component scores</x:v>
      </x:c>
      <x:c r="M761" s="69" t="n">
        <x:f>IF(C761="","",MATCH(C761,'Position_Rubric'!$A$6:$A$14,0))</x:f>
        <x:v>2</x:v>
      </x:c>
      <x:c r="N761" s="69" t="str"/>
    </x:row>
    <x:row r="762" ht="25" customHeight="1">
      <x:c r="A762" s="69" t="str">
        <x:v>historical-150</x:v>
      </x:c>
      <x:c r="B762" s="69" t="str">
        <x:v>Cristian Romero</x:v>
      </x:c>
      <x:c r="C762" s="69" t="str">
        <x:v>CB</x:v>
      </x:c>
      <x:c r="D762" s="82" t="n">
        <x:f>IF(ISNUMBER('Transfer_Ratings'!K762),'Transfer_Ratings'!K762,"")</x:f>
        <x:v>8.8</x:v>
      </x:c>
      <x:c r="E762" s="86"/>
      <x:c r="F762" s="86"/>
      <x:c r="G762" s="86"/>
      <x:c r="H762" s="86"/>
      <x:c r="I762" s="86"/>
      <x:c r="J762" s="82" t="str">
        <x:f>IF(C762="","Choose position",IF(COUNT(E762:I762)&lt;5,"",IF(OR(MIN(E762:I762)&lt;0.1,MAX(E762:I762)&gt;10),"Invalid score",IF(INDEX('Position_Rubric'!$H$6:$H$14,M762)&lt;&gt;1,"Check weights",ROUND(E762*INDEX('Position_Rubric'!$C$6:$C$14,M762)+F762*INDEX('Position_Rubric'!$D$6:$D$14,M762)+G762*INDEX('Position_Rubric'!$E$6:$E$14,M762)+H762*INDEX('Position_Rubric'!$F$6:$F$14,M762)+I762*INDEX('Position_Rubric'!$G$6:$G$14,M762),1)))))</x:f>
      </x:c>
      <x:c r="K762" s="82" t="str">
        <x:f>IF(AND(ISNUMBER(J762),ISNUMBER(D762)),J762-D762,"")</x:f>
      </x:c>
      <x:c r="L762" s="69" t="str">
        <x:f>IF(COUNT(E762:I762)&lt;5,"Needs component scores",IF(ISNUMBER(J762),"Calculated",J762))</x:f>
        <x:v>Needs component scores</x:v>
      </x:c>
      <x:c r="M762" s="69" t="n">
        <x:f>IF(C762="","",MATCH(C762,'Position_Rubric'!$A$6:$A$14,0))</x:f>
        <x:v>4</x:v>
      </x:c>
      <x:c r="N762" s="69" t="str"/>
    </x:row>
    <x:row r="763" ht="25" customHeight="1">
      <x:c r="A763" s="69" t="str">
        <x:v>historical-155</x:v>
      </x:c>
      <x:c r="B763" s="69" t="str">
        <x:v>Kyle Walker</x:v>
      </x:c>
      <x:c r="C763" s="69" t="str">
        <x:v>FB</x:v>
      </x:c>
      <x:c r="D763" s="82" t="n">
        <x:f>IF(ISNUMBER('Transfer_Ratings'!K763),'Transfer_Ratings'!K763,"")</x:f>
        <x:v>9.4</x:v>
      </x:c>
      <x:c r="E763" s="86"/>
      <x:c r="F763" s="86"/>
      <x:c r="G763" s="86"/>
      <x:c r="H763" s="86"/>
      <x:c r="I763" s="86"/>
      <x:c r="J763" s="82" t="str">
        <x:f>IF(C763="","Choose position",IF(COUNT(E763:I763)&lt;5,"",IF(OR(MIN(E763:I763)&lt;0.1,MAX(E763:I763)&gt;10),"Invalid score",IF(INDEX('Position_Rubric'!$H$6:$H$14,M763)&lt;&gt;1,"Check weights",ROUND(E763*INDEX('Position_Rubric'!$C$6:$C$14,M763)+F763*INDEX('Position_Rubric'!$D$6:$D$14,M763)+G763*INDEX('Position_Rubric'!$E$6:$E$14,M763)+H763*INDEX('Position_Rubric'!$F$6:$F$14,M763)+I763*INDEX('Position_Rubric'!$G$6:$G$14,M763),1)))))</x:f>
      </x:c>
      <x:c r="K763" s="82" t="str">
        <x:f>IF(AND(ISNUMBER(J763),ISNUMBER(D763)),J763-D763,"")</x:f>
      </x:c>
      <x:c r="L763" s="69" t="str">
        <x:f>IF(COUNT(E763:I763)&lt;5,"Needs component scores",IF(ISNUMBER(J763),"Calculated",J763))</x:f>
        <x:v>Needs component scores</x:v>
      </x:c>
      <x:c r="M763" s="69" t="n">
        <x:f>IF(C763="","",MATCH(C763,'Position_Rubric'!$A$6:$A$14,0))</x:f>
        <x:v>5</x:v>
      </x:c>
      <x:c r="N763" s="69" t="str"/>
    </x:row>
    <x:row r="764" ht="25" customHeight="1">
      <x:c r="A764" s="69" t="str">
        <x:v>historical-159</x:v>
      </x:c>
      <x:c r="B764" s="69" t="str">
        <x:v>Piero Hincapié</x:v>
      </x:c>
      <x:c r="C764" s="69" t="str">
        <x:v>CB</x:v>
      </x:c>
      <x:c r="D764" s="82" t="str">
        <x:f>IF(ISNUMBER('Transfer_Ratings'!K764),'Transfer_Ratings'!K764,"")</x:f>
      </x:c>
      <x:c r="E764" s="86"/>
      <x:c r="F764" s="86"/>
      <x:c r="G764" s="86"/>
      <x:c r="H764" s="86"/>
      <x:c r="I764" s="86"/>
      <x:c r="J764" s="82" t="str">
        <x:f>IF(C764="","Choose position",IF(COUNT(E764:I764)&lt;5,"",IF(OR(MIN(E764:I764)&lt;0.1,MAX(E764:I764)&gt;10),"Invalid score",IF(INDEX('Position_Rubric'!$H$6:$H$14,M764)&lt;&gt;1,"Check weights",ROUND(E764*INDEX('Position_Rubric'!$C$6:$C$14,M764)+F764*INDEX('Position_Rubric'!$D$6:$D$14,M764)+G764*INDEX('Position_Rubric'!$E$6:$E$14,M764)+H764*INDEX('Position_Rubric'!$F$6:$F$14,M764)+I764*INDEX('Position_Rubric'!$G$6:$G$14,M764),1)))))</x:f>
      </x:c>
      <x:c r="K764" s="82" t="str">
        <x:f>IF(AND(ISNUMBER(J764),ISNUMBER(D764)),J764-D764,"")</x:f>
      </x:c>
      <x:c r="L764" s="69" t="str">
        <x:f>IF(COUNT(E764:I764)&lt;5,"Needs component scores",IF(ISNUMBER(J764),"Calculated",J764))</x:f>
        <x:v>Needs component scores</x:v>
      </x:c>
      <x:c r="M764" s="69" t="n">
        <x:f>IF(C764="","",MATCH(C764,'Position_Rubric'!$A$6:$A$14,0))</x:f>
        <x:v>4</x:v>
      </x:c>
      <x:c r="N764" s="69" t="str"/>
    </x:row>
    <x:row r="765" ht="25" customHeight="1">
      <x:c r="A765" s="69" t="str">
        <x:v>historical-162</x:v>
      </x:c>
      <x:c r="B765" s="69" t="str">
        <x:v>Bremer</x:v>
      </x:c>
      <x:c r="C765" s="69" t="str">
        <x:v>CB</x:v>
      </x:c>
      <x:c r="D765" s="82" t="n">
        <x:f>IF(ISNUMBER('Transfer_Ratings'!K765),'Transfer_Ratings'!K765,"")</x:f>
        <x:v>8.5</x:v>
      </x:c>
      <x:c r="E765" s="86"/>
      <x:c r="F765" s="86"/>
      <x:c r="G765" s="86"/>
      <x:c r="H765" s="86"/>
      <x:c r="I765" s="86"/>
      <x:c r="J765" s="82" t="str">
        <x:f>IF(C765="","Choose position",IF(COUNT(E765:I765)&lt;5,"",IF(OR(MIN(E765:I765)&lt;0.1,MAX(E765:I765)&gt;10),"Invalid score",IF(INDEX('Position_Rubric'!$H$6:$H$14,M765)&lt;&gt;1,"Check weights",ROUND(E765*INDEX('Position_Rubric'!$C$6:$C$14,M765)+F765*INDEX('Position_Rubric'!$D$6:$D$14,M765)+G765*INDEX('Position_Rubric'!$E$6:$E$14,M765)+H765*INDEX('Position_Rubric'!$F$6:$F$14,M765)+I765*INDEX('Position_Rubric'!$G$6:$G$14,M765),1)))))</x:f>
      </x:c>
      <x:c r="K765" s="82" t="str">
        <x:f>IF(AND(ISNUMBER(J765),ISNUMBER(D765)),J765-D765,"")</x:f>
      </x:c>
      <x:c r="L765" s="69" t="str">
        <x:f>IF(COUNT(E765:I765)&lt;5,"Needs component scores",IF(ISNUMBER(J765),"Calculated",J765))</x:f>
        <x:v>Needs component scores</x:v>
      </x:c>
      <x:c r="M765" s="69" t="n">
        <x:f>IF(C765="","",MATCH(C765,'Position_Rubric'!$A$6:$A$14,0))</x:f>
        <x:v>4</x:v>
      </x:c>
      <x:c r="N765" s="69" t="str"/>
    </x:row>
    <x:row r="766" ht="25" customHeight="1">
      <x:c r="A766" s="69" t="str">
        <x:v>historical-165</x:v>
      </x:c>
      <x:c r="B766" s="69" t="str">
        <x:v>Ben Chilwell</x:v>
      </x:c>
      <x:c r="C766" s="69" t="str">
        <x:v>FB</x:v>
      </x:c>
      <x:c r="D766" s="82" t="n">
        <x:f>IF(ISNUMBER('Transfer_Ratings'!K766),'Transfer_Ratings'!K766,"")</x:f>
        <x:v>7.1</x:v>
      </x:c>
      <x:c r="E766" s="86"/>
      <x:c r="F766" s="86"/>
      <x:c r="G766" s="86"/>
      <x:c r="H766" s="86"/>
      <x:c r="I766" s="86"/>
      <x:c r="J766" s="82" t="str">
        <x:f>IF(C766="","Choose position",IF(COUNT(E766:I766)&lt;5,"",IF(OR(MIN(E766:I766)&lt;0.1,MAX(E766:I766)&gt;10),"Invalid score",IF(INDEX('Position_Rubric'!$H$6:$H$14,M766)&lt;&gt;1,"Check weights",ROUND(E766*INDEX('Position_Rubric'!$C$6:$C$14,M766)+F766*INDEX('Position_Rubric'!$D$6:$D$14,M766)+G766*INDEX('Position_Rubric'!$E$6:$E$14,M766)+H766*INDEX('Position_Rubric'!$F$6:$F$14,M766)+I766*INDEX('Position_Rubric'!$G$6:$G$14,M766),1)))))</x:f>
      </x:c>
      <x:c r="K766" s="82" t="str">
        <x:f>IF(AND(ISNUMBER(J766),ISNUMBER(D766)),J766-D766,"")</x:f>
      </x:c>
      <x:c r="L766" s="69" t="str">
        <x:f>IF(COUNT(E766:I766)&lt;5,"Needs component scores",IF(ISNUMBER(J766),"Calculated",J766))</x:f>
        <x:v>Needs component scores</x:v>
      </x:c>
      <x:c r="M766" s="69" t="n">
        <x:f>IF(C766="","",MATCH(C766,'Position_Rubric'!$A$6:$A$14,0))</x:f>
        <x:v>5</x:v>
      </x:c>
      <x:c r="N766" s="69" t="str"/>
    </x:row>
    <x:row r="767" ht="25" customHeight="1">
      <x:c r="A767" s="69" t="str">
        <x:v>historical-166</x:v>
      </x:c>
      <x:c r="B767" s="69" t="str">
        <x:v>André Onana</x:v>
      </x:c>
      <x:c r="C767" s="69" t="str">
        <x:v>GK</x:v>
      </x:c>
      <x:c r="D767" s="82" t="n">
        <x:f>IF(ISNUMBER('Transfer_Ratings'!K767),'Transfer_Ratings'!K767,"")</x:f>
        <x:v>5.1</x:v>
      </x:c>
      <x:c r="E767" s="86"/>
      <x:c r="F767" s="86"/>
      <x:c r="G767" s="86"/>
      <x:c r="H767" s="86"/>
      <x:c r="I767" s="86"/>
      <x:c r="J767" s="82" t="str">
        <x:f>IF(C767="","Choose position",IF(COUNT(E767:I767)&lt;5,"",IF(OR(MIN(E767:I767)&lt;0.1,MAX(E767:I767)&gt;10),"Invalid score",IF(INDEX('Position_Rubric'!$H$6:$H$14,M767)&lt;&gt;1,"Check weights",ROUND(E767*INDEX('Position_Rubric'!$C$6:$C$14,M767)+F767*INDEX('Position_Rubric'!$D$6:$D$14,M767)+G767*INDEX('Position_Rubric'!$E$6:$E$14,M767)+H767*INDEX('Position_Rubric'!$F$6:$F$14,M767)+I767*INDEX('Position_Rubric'!$G$6:$G$14,M767),1)))))</x:f>
      </x:c>
      <x:c r="K767" s="82" t="str">
        <x:f>IF(AND(ISNUMBER(J767),ISNUMBER(D767)),J767-D767,"")</x:f>
      </x:c>
      <x:c r="L767" s="69" t="str">
        <x:f>IF(COUNT(E767:I767)&lt;5,"Needs component scores",IF(ISNUMBER(J767),"Calculated",J767))</x:f>
        <x:v>Needs component scores</x:v>
      </x:c>
      <x:c r="M767" s="69" t="n">
        <x:f>IF(C767="","",MATCH(C767,'Position_Rubric'!$A$6:$A$14,0))</x:f>
        <x:v>9</x:v>
      </x:c>
      <x:c r="N767" s="69" t="str"/>
    </x:row>
    <x:row r="768" ht="25" customHeight="1">
      <x:c r="A768" s="69" t="str">
        <x:v>historical-167</x:v>
      </x:c>
      <x:c r="B768" s="69" t="str">
        <x:v>Bernardo Silva</x:v>
      </x:c>
      <x:c r="C768" s="69" t="str">
        <x:v>CM</x:v>
      </x:c>
      <x:c r="D768" s="82" t="n">
        <x:f>IF(ISNUMBER('Transfer_Ratings'!K768),'Transfer_Ratings'!K768,"")</x:f>
        <x:v>9.7</x:v>
      </x:c>
      <x:c r="E768" s="86"/>
      <x:c r="F768" s="86"/>
      <x:c r="G768" s="86"/>
      <x:c r="H768" s="86"/>
      <x:c r="I768" s="86"/>
      <x:c r="J768" s="82" t="str">
        <x:f>IF(C768="","Choose position",IF(COUNT(E768:I768)&lt;5,"",IF(OR(MIN(E768:I768)&lt;0.1,MAX(E768:I768)&gt;10),"Invalid score",IF(INDEX('Position_Rubric'!$H$6:$H$14,M768)&lt;&gt;1,"Check weights",ROUND(E768*INDEX('Position_Rubric'!$C$6:$C$14,M768)+F768*INDEX('Position_Rubric'!$D$6:$D$14,M768)+G768*INDEX('Position_Rubric'!$E$6:$E$14,M768)+H768*INDEX('Position_Rubric'!$F$6:$F$14,M768)+I768*INDEX('Position_Rubric'!$G$6:$G$14,M768),1)))))</x:f>
      </x:c>
      <x:c r="K768" s="82" t="str">
        <x:f>IF(AND(ISNUMBER(J768),ISNUMBER(D768)),J768-D768,"")</x:f>
      </x:c>
      <x:c r="L768" s="69" t="str">
        <x:f>IF(COUNT(E768:I768)&lt;5,"Needs component scores",IF(ISNUMBER(J768),"Calculated",J768))</x:f>
        <x:v>Needs component scores</x:v>
      </x:c>
      <x:c r="M768" s="69" t="n">
        <x:f>IF(C768="","",MATCH(C768,'Position_Rubric'!$A$6:$A$14,0))</x:f>
        <x:v>2</x:v>
      </x:c>
      <x:c r="N768" s="69" t="str"/>
    </x:row>
    <x:row r="769" ht="25" customHeight="1">
      <x:c r="A769" s="69" t="str">
        <x:v>historical-169</x:v>
      </x:c>
      <x:c r="B769" s="69" t="str">
        <x:v>Min-jae Kim</x:v>
      </x:c>
      <x:c r="C769" s="69" t="str">
        <x:v>CB</x:v>
      </x:c>
      <x:c r="D769" s="82" t="n">
        <x:f>IF(ISNUMBER('Transfer_Ratings'!K769),'Transfer_Ratings'!K769,"")</x:f>
        <x:v>8</x:v>
      </x:c>
      <x:c r="E769" s="86"/>
      <x:c r="F769" s="86"/>
      <x:c r="G769" s="86"/>
      <x:c r="H769" s="86"/>
      <x:c r="I769" s="86"/>
      <x:c r="J769" s="82" t="str">
        <x:f>IF(C769="","Choose position",IF(COUNT(E769:I769)&lt;5,"",IF(OR(MIN(E769:I769)&lt;0.1,MAX(E769:I769)&gt;10),"Invalid score",IF(INDEX('Position_Rubric'!$H$6:$H$14,M769)&lt;&gt;1,"Check weights",ROUND(E769*INDEX('Position_Rubric'!$C$6:$C$14,M769)+F769*INDEX('Position_Rubric'!$D$6:$D$14,M769)+G769*INDEX('Position_Rubric'!$E$6:$E$14,M769)+H769*INDEX('Position_Rubric'!$F$6:$F$14,M769)+I769*INDEX('Position_Rubric'!$G$6:$G$14,M769),1)))))</x:f>
      </x:c>
      <x:c r="K769" s="82" t="str">
        <x:f>IF(AND(ISNUMBER(J769),ISNUMBER(D769)),J769-D769,"")</x:f>
      </x:c>
      <x:c r="L769" s="69" t="str">
        <x:f>IF(COUNT(E769:I769)&lt;5,"Needs component scores",IF(ISNUMBER(J769),"Calculated",J769))</x:f>
        <x:v>Needs component scores</x:v>
      </x:c>
      <x:c r="M769" s="69" t="n">
        <x:f>IF(C769="","",MATCH(C769,'Position_Rubric'!$A$6:$A$14,0))</x:f>
        <x:v>4</x:v>
      </x:c>
      <x:c r="N769" s="69" t="str"/>
    </x:row>
    <x:row r="770" ht="25" customHeight="1">
      <x:c r="A770" s="69" t="str">
        <x:v>historical-171</x:v>
      </x:c>
      <x:c r="B770" s="69" t="str">
        <x:v>Xavi Simons</x:v>
      </x:c>
      <x:c r="C770" s="69" t="str">
        <x:v>CAM</x:v>
      </x:c>
      <x:c r="D770" s="82" t="n">
        <x:f>IF(ISNUMBER('Transfer_Ratings'!K770),'Transfer_Ratings'!K770,"")</x:f>
        <x:v>8.6</x:v>
      </x:c>
      <x:c r="E770" s="86"/>
      <x:c r="F770" s="86"/>
      <x:c r="G770" s="86"/>
      <x:c r="H770" s="86"/>
      <x:c r="I770" s="86"/>
      <x:c r="J770" s="82" t="str">
        <x:f>IF(C770="","Choose position",IF(COUNT(E770:I770)&lt;5,"",IF(OR(MIN(E770:I770)&lt;0.1,MAX(E770:I770)&gt;10),"Invalid score",IF(INDEX('Position_Rubric'!$H$6:$H$14,M770)&lt;&gt;1,"Check weights",ROUND(E770*INDEX('Position_Rubric'!$C$6:$C$14,M770)+F770*INDEX('Position_Rubric'!$D$6:$D$14,M770)+G770*INDEX('Position_Rubric'!$E$6:$E$14,M770)+H770*INDEX('Position_Rubric'!$F$6:$F$14,M770)+I770*INDEX('Position_Rubric'!$G$6:$G$14,M770),1)))))</x:f>
      </x:c>
      <x:c r="K770" s="82" t="str">
        <x:f>IF(AND(ISNUMBER(J770),ISNUMBER(D770)),J770-D770,"")</x:f>
      </x:c>
      <x:c r="L770" s="69" t="str">
        <x:f>IF(COUNT(E770:I770)&lt;5,"Needs component scores",IF(ISNUMBER(J770),"Calculated",J770))</x:f>
        <x:v>Needs component scores</x:v>
      </x:c>
      <x:c r="M770" s="69" t="n">
        <x:f>IF(C770="","",MATCH(C770,'Position_Rubric'!$A$6:$A$14,0))</x:f>
        <x:v>3</x:v>
      </x:c>
      <x:c r="N770" s="69" t="str"/>
    </x:row>
    <x:row r="771" ht="25" customHeight="1">
      <x:c r="A771" s="69" t="str">
        <x:v>historical-172</x:v>
      </x:c>
      <x:c r="B771" s="69" t="str">
        <x:v>Álvaro Carreras</x:v>
      </x:c>
      <x:c r="C771" s="69" t="str">
        <x:v>FB</x:v>
      </x:c>
      <x:c r="D771" s="82" t="n">
        <x:f>IF(ISNUMBER('Transfer_Ratings'!K771),'Transfer_Ratings'!K771,"")</x:f>
        <x:v>8.1</x:v>
      </x:c>
      <x:c r="E771" s="86"/>
      <x:c r="F771" s="86"/>
      <x:c r="G771" s="86"/>
      <x:c r="H771" s="86"/>
      <x:c r="I771" s="86"/>
      <x:c r="J771" s="82" t="str">
        <x:f>IF(C771="","Choose position",IF(COUNT(E771:I771)&lt;5,"",IF(OR(MIN(E771:I771)&lt;0.1,MAX(E771:I771)&gt;10),"Invalid score",IF(INDEX('Position_Rubric'!$H$6:$H$14,M771)&lt;&gt;1,"Check weights",ROUND(E771*INDEX('Position_Rubric'!$C$6:$C$14,M771)+F771*INDEX('Position_Rubric'!$D$6:$D$14,M771)+G771*INDEX('Position_Rubric'!$E$6:$E$14,M771)+H771*INDEX('Position_Rubric'!$F$6:$F$14,M771)+I771*INDEX('Position_Rubric'!$G$6:$G$14,M771),1)))))</x:f>
      </x:c>
      <x:c r="K771" s="82" t="str">
        <x:f>IF(AND(ISNUMBER(J771),ISNUMBER(D771)),J771-D771,"")</x:f>
      </x:c>
      <x:c r="L771" s="69" t="str">
        <x:f>IF(COUNT(E771:I771)&lt;5,"Needs component scores",IF(ISNUMBER(J771),"Calculated",J771))</x:f>
        <x:v>Needs component scores</x:v>
      </x:c>
      <x:c r="M771" s="69" t="n">
        <x:f>IF(C771="","",MATCH(C771,'Position_Rubric'!$A$6:$A$14,0))</x:f>
        <x:v>5</x:v>
      </x:c>
      <x:c r="N771" s="69" t="str"/>
    </x:row>
    <x:row r="772" ht="25" customHeight="1">
      <x:c r="A772" s="69" t="str">
        <x:v>historical-174</x:v>
      </x:c>
      <x:c r="B772" s="69" t="str">
        <x:v>Alex Teixeira</x:v>
      </x:c>
      <x:c r="C772" s="69" t="str">
        <x:v>CAM</x:v>
      </x:c>
      <x:c r="D772" s="82" t="n">
        <x:f>IF(ISNUMBER('Transfer_Ratings'!K772),'Transfer_Ratings'!K772,"")</x:f>
        <x:v>7</x:v>
      </x:c>
      <x:c r="E772" s="86"/>
      <x:c r="F772" s="86"/>
      <x:c r="G772" s="86"/>
      <x:c r="H772" s="86"/>
      <x:c r="I772" s="86"/>
      <x:c r="J772" s="82" t="str">
        <x:f>IF(C772="","Choose position",IF(COUNT(E772:I772)&lt;5,"",IF(OR(MIN(E772:I772)&lt;0.1,MAX(E772:I772)&gt;10),"Invalid score",IF(INDEX('Position_Rubric'!$H$6:$H$14,M772)&lt;&gt;1,"Check weights",ROUND(E772*INDEX('Position_Rubric'!$C$6:$C$14,M772)+F772*INDEX('Position_Rubric'!$D$6:$D$14,M772)+G772*INDEX('Position_Rubric'!$E$6:$E$14,M772)+H772*INDEX('Position_Rubric'!$F$6:$F$14,M772)+I772*INDEX('Position_Rubric'!$G$6:$G$14,M772),1)))))</x:f>
      </x:c>
      <x:c r="K772" s="82" t="str">
        <x:f>IF(AND(ISNUMBER(J772),ISNUMBER(D772)),J772-D772,"")</x:f>
      </x:c>
      <x:c r="L772" s="69" t="str">
        <x:f>IF(COUNT(E772:I772)&lt;5,"Needs component scores",IF(ISNUMBER(J772),"Calculated",J772))</x:f>
        <x:v>Needs component scores</x:v>
      </x:c>
      <x:c r="M772" s="69" t="n">
        <x:f>IF(C772="","",MATCH(C772,'Position_Rubric'!$A$6:$A$14,0))</x:f>
        <x:v>3</x:v>
      </x:c>
      <x:c r="N772" s="69" t="str"/>
    </x:row>
    <x:row r="773" ht="25" customHeight="1">
      <x:c r="A773" s="69" t="str">
        <x:v>historical-176</x:v>
      </x:c>
      <x:c r="B773" s="69" t="str">
        <x:v>Jules Koundé</x:v>
      </x:c>
      <x:c r="C773" s="69" t="str">
        <x:v>FB</x:v>
      </x:c>
      <x:c r="D773" s="82" t="n">
        <x:f>IF(ISNUMBER('Transfer_Ratings'!K773),'Transfer_Ratings'!K773,"")</x:f>
        <x:v>9</x:v>
      </x:c>
      <x:c r="E773" s="86"/>
      <x:c r="F773" s="86"/>
      <x:c r="G773" s="86"/>
      <x:c r="H773" s="86"/>
      <x:c r="I773" s="86"/>
      <x:c r="J773" s="82" t="str">
        <x:f>IF(C773="","Choose position",IF(COUNT(E773:I773)&lt;5,"",IF(OR(MIN(E773:I773)&lt;0.1,MAX(E773:I773)&gt;10),"Invalid score",IF(INDEX('Position_Rubric'!$H$6:$H$14,M773)&lt;&gt;1,"Check weights",ROUND(E773*INDEX('Position_Rubric'!$C$6:$C$14,M773)+F773*INDEX('Position_Rubric'!$D$6:$D$14,M773)+G773*INDEX('Position_Rubric'!$E$6:$E$14,M773)+H773*INDEX('Position_Rubric'!$F$6:$F$14,M773)+I773*INDEX('Position_Rubric'!$G$6:$G$14,M773),1)))))</x:f>
      </x:c>
      <x:c r="K773" s="82" t="str">
        <x:f>IF(AND(ISNUMBER(J773),ISNUMBER(D773)),J773-D773,"")</x:f>
      </x:c>
      <x:c r="L773" s="69" t="str">
        <x:f>IF(COUNT(E773:I773)&lt;5,"Needs component scores",IF(ISNUMBER(J773),"Calculated",J773))</x:f>
        <x:v>Needs component scores</x:v>
      </x:c>
      <x:c r="M773" s="69" t="n">
        <x:f>IF(C773="","",MATCH(C773,'Position_Rubric'!$A$6:$A$14,0))</x:f>
        <x:v>5</x:v>
      </x:c>
      <x:c r="N773" s="69" t="str"/>
    </x:row>
    <x:row r="774" ht="25" customHeight="1">
      <x:c r="A774" s="69" t="str">
        <x:v>historical-181</x:v>
      </x:c>
      <x:c r="B774" s="69" t="str">
        <x:v>Éder Militão</x:v>
      </x:c>
      <x:c r="C774" s="69" t="str">
        <x:v>CB</x:v>
      </x:c>
      <x:c r="D774" s="82" t="n">
        <x:f>IF(ISNUMBER('Transfer_Ratings'!K774),'Transfer_Ratings'!K774,"")</x:f>
        <x:v>8.7</x:v>
      </x:c>
      <x:c r="E774" s="86"/>
      <x:c r="F774" s="86"/>
      <x:c r="G774" s="86"/>
      <x:c r="H774" s="86"/>
      <x:c r="I774" s="86"/>
      <x:c r="J774" s="82" t="str">
        <x:f>IF(C774="","Choose position",IF(COUNT(E774:I774)&lt;5,"",IF(OR(MIN(E774:I774)&lt;0.1,MAX(E774:I774)&gt;10),"Invalid score",IF(INDEX('Position_Rubric'!$H$6:$H$14,M774)&lt;&gt;1,"Check weights",ROUND(E774*INDEX('Position_Rubric'!$C$6:$C$14,M774)+F774*INDEX('Position_Rubric'!$D$6:$D$14,M774)+G774*INDEX('Position_Rubric'!$E$6:$E$14,M774)+H774*INDEX('Position_Rubric'!$F$6:$F$14,M774)+I774*INDEX('Position_Rubric'!$G$6:$G$14,M774),1)))))</x:f>
      </x:c>
      <x:c r="K774" s="82" t="str">
        <x:f>IF(AND(ISNUMBER(J774),ISNUMBER(D774)),J774-D774,"")</x:f>
      </x:c>
      <x:c r="L774" s="69" t="str">
        <x:f>IF(COUNT(E774:I774)&lt;5,"Needs component scores",IF(ISNUMBER(J774),"Calculated",J774))</x:f>
        <x:v>Needs component scores</x:v>
      </x:c>
      <x:c r="M774" s="69" t="n">
        <x:f>IF(C774="","",MATCH(C774,'Position_Rubric'!$A$6:$A$14,0))</x:f>
        <x:v>4</x:v>
      </x:c>
      <x:c r="N774" s="69" t="str"/>
    </x:row>
    <x:row r="775" ht="25" customHeight="1">
      <x:c r="A775" s="69" t="str">
        <x:v>historical-185</x:v>
      </x:c>
      <x:c r="B775" s="69" t="str">
        <x:v>Gylfi Sigurdsson</x:v>
      </x:c>
      <x:c r="C775" s="69" t="str">
        <x:v>CAM</x:v>
      </x:c>
      <x:c r="D775" s="82" t="n">
        <x:f>IF(ISNUMBER('Transfer_Ratings'!K775),'Transfer_Ratings'!K775,"")</x:f>
        <x:v>5.8</x:v>
      </x:c>
      <x:c r="E775" s="86"/>
      <x:c r="F775" s="86"/>
      <x:c r="G775" s="86"/>
      <x:c r="H775" s="86"/>
      <x:c r="I775" s="86"/>
      <x:c r="J775" s="82" t="str">
        <x:f>IF(C775="","Choose position",IF(COUNT(E775:I775)&lt;5,"",IF(OR(MIN(E775:I775)&lt;0.1,MAX(E775:I775)&gt;10),"Invalid score",IF(INDEX('Position_Rubric'!$H$6:$H$14,M775)&lt;&gt;1,"Check weights",ROUND(E775*INDEX('Position_Rubric'!$C$6:$C$14,M775)+F775*INDEX('Position_Rubric'!$D$6:$D$14,M775)+G775*INDEX('Position_Rubric'!$E$6:$E$14,M775)+H775*INDEX('Position_Rubric'!$F$6:$F$14,M775)+I775*INDEX('Position_Rubric'!$G$6:$G$14,M775),1)))))</x:f>
      </x:c>
      <x:c r="K775" s="82" t="str">
        <x:f>IF(AND(ISNUMBER(J775),ISNUMBER(D775)),J775-D775,"")</x:f>
      </x:c>
      <x:c r="L775" s="69" t="str">
        <x:f>IF(COUNT(E775:I775)&lt;5,"Needs component scores",IF(ISNUMBER(J775),"Calculated",J775))</x:f>
        <x:v>Needs component scores</x:v>
      </x:c>
      <x:c r="M775" s="69" t="n">
        <x:f>IF(C775="","",MATCH(C775,'Position_Rubric'!$A$6:$A$14,0))</x:f>
        <x:v>3</x:v>
      </x:c>
      <x:c r="N775" s="69" t="str"/>
    </x:row>
    <x:row r="776" ht="25" customHeight="1">
      <x:c r="A776" s="69" t="str">
        <x:v>historical-189</x:v>
      </x:c>
      <x:c r="B776" s="69" t="str">
        <x:v>Ferland Mendy</x:v>
      </x:c>
      <x:c r="C776" s="69" t="str">
        <x:v>FB</x:v>
      </x:c>
      <x:c r="D776" s="82" t="n">
        <x:f>IF(ISNUMBER('Transfer_Ratings'!K776),'Transfer_Ratings'!K776,"")</x:f>
        <x:v>8.6</x:v>
      </x:c>
      <x:c r="E776" s="86"/>
      <x:c r="F776" s="86"/>
      <x:c r="G776" s="86"/>
      <x:c r="H776" s="86"/>
      <x:c r="I776" s="86"/>
      <x:c r="J776" s="82" t="str">
        <x:f>IF(C776="","Choose position",IF(COUNT(E776:I776)&lt;5,"",IF(OR(MIN(E776:I776)&lt;0.1,MAX(E776:I776)&gt;10),"Invalid score",IF(INDEX('Position_Rubric'!$H$6:$H$14,M776)&lt;&gt;1,"Check weights",ROUND(E776*INDEX('Position_Rubric'!$C$6:$C$14,M776)+F776*INDEX('Position_Rubric'!$D$6:$D$14,M776)+G776*INDEX('Position_Rubric'!$E$6:$E$14,M776)+H776*INDEX('Position_Rubric'!$F$6:$F$14,M776)+I776*INDEX('Position_Rubric'!$G$6:$G$14,M776),1)))))</x:f>
      </x:c>
      <x:c r="K776" s="82" t="str">
        <x:f>IF(AND(ISNUMBER(J776),ISNUMBER(D776)),J776-D776,"")</x:f>
      </x:c>
      <x:c r="L776" s="69" t="str">
        <x:f>IF(COUNT(E776:I776)&lt;5,"Needs component scores",IF(ISNUMBER(J776),"Calculated",J776))</x:f>
        <x:v>Needs component scores</x:v>
      </x:c>
      <x:c r="M776" s="69" t="n">
        <x:f>IF(C776="","",MATCH(C776,'Position_Rubric'!$A$6:$A$14,0))</x:f>
        <x:v>5</x:v>
      </x:c>
      <x:c r="N776" s="69" t="str"/>
    </x:row>
    <x:row r="777" ht="25" customHeight="1">
      <x:c r="A777" s="69" t="str">
        <x:v>historical-191</x:v>
      </x:c>
      <x:c r="B777" s="69" t="str">
        <x:v>Maximilian Kilman</x:v>
      </x:c>
      <x:c r="C777" s="69" t="str">
        <x:v>CB</x:v>
      </x:c>
      <x:c r="D777" s="82" t="n">
        <x:f>IF(ISNUMBER('Transfer_Ratings'!K777),'Transfer_Ratings'!K777,"")</x:f>
        <x:v>6.8</x:v>
      </x:c>
      <x:c r="E777" s="86"/>
      <x:c r="F777" s="86"/>
      <x:c r="G777" s="86"/>
      <x:c r="H777" s="86"/>
      <x:c r="I777" s="86"/>
      <x:c r="J777" s="82" t="str">
        <x:f>IF(C777="","Choose position",IF(COUNT(E777:I777)&lt;5,"",IF(OR(MIN(E777:I777)&lt;0.1,MAX(E777:I777)&gt;10),"Invalid score",IF(INDEX('Position_Rubric'!$H$6:$H$14,M777)&lt;&gt;1,"Check weights",ROUND(E777*INDEX('Position_Rubric'!$C$6:$C$14,M777)+F777*INDEX('Position_Rubric'!$D$6:$D$14,M777)+G777*INDEX('Position_Rubric'!$E$6:$E$14,M777)+H777*INDEX('Position_Rubric'!$F$6:$F$14,M777)+I777*INDEX('Position_Rubric'!$G$6:$G$14,M777),1)))))</x:f>
      </x:c>
      <x:c r="K777" s="82" t="str">
        <x:f>IF(AND(ISNUMBER(J777),ISNUMBER(D777)),J777-D777,"")</x:f>
      </x:c>
      <x:c r="L777" s="69" t="str">
        <x:f>IF(COUNT(E777:I777)&lt;5,"Needs component scores",IF(ISNUMBER(J777),"Calculated",J777))</x:f>
        <x:v>Needs component scores</x:v>
      </x:c>
      <x:c r="M777" s="69" t="n">
        <x:f>IF(C777="","",MATCH(C777,'Position_Rubric'!$A$6:$A$14,0))</x:f>
        <x:v>4</x:v>
      </x:c>
      <x:c r="N777" s="69" t="str"/>
    </x:row>
    <x:row r="778" ht="25" customHeight="1">
      <x:c r="A778" s="69" t="str">
        <x:v>historical-192</x:v>
      </x:c>
      <x:c r="B778" s="69" t="str">
        <x:v>Matheus Nunes</x:v>
      </x:c>
      <x:c r="C778" s="69" t="str">
        <x:v>CM</x:v>
      </x:c>
      <x:c r="D778" s="82" t="n">
        <x:f>IF(ISNUMBER('Transfer_Ratings'!K778),'Transfer_Ratings'!K778,"")</x:f>
        <x:v>7.4</x:v>
      </x:c>
      <x:c r="E778" s="86"/>
      <x:c r="F778" s="86"/>
      <x:c r="G778" s="86"/>
      <x:c r="H778" s="86"/>
      <x:c r="I778" s="86"/>
      <x:c r="J778" s="82" t="str">
        <x:f>IF(C778="","Choose position",IF(COUNT(E778:I778)&lt;5,"",IF(OR(MIN(E778:I778)&lt;0.1,MAX(E778:I778)&gt;10),"Invalid score",IF(INDEX('Position_Rubric'!$H$6:$H$14,M778)&lt;&gt;1,"Check weights",ROUND(E778*INDEX('Position_Rubric'!$C$6:$C$14,M778)+F778*INDEX('Position_Rubric'!$D$6:$D$14,M778)+G778*INDEX('Position_Rubric'!$E$6:$E$14,M778)+H778*INDEX('Position_Rubric'!$F$6:$F$14,M778)+I778*INDEX('Position_Rubric'!$G$6:$G$14,M778),1)))))</x:f>
      </x:c>
      <x:c r="K778" s="82" t="str">
        <x:f>IF(AND(ISNUMBER(J778),ISNUMBER(D778)),J778-D778,"")</x:f>
      </x:c>
      <x:c r="L778" s="69" t="str">
        <x:f>IF(COUNT(E778:I778)&lt;5,"Needs component scores",IF(ISNUMBER(J778),"Calculated",J778))</x:f>
        <x:v>Needs component scores</x:v>
      </x:c>
      <x:c r="M778" s="69" t="n">
        <x:f>IF(C778="","",MATCH(C778,'Position_Rubric'!$A$6:$A$14,0))</x:f>
        <x:v>2</x:v>
      </x:c>
      <x:c r="N778" s="69" t="str"/>
    </x:row>
    <x:row r="779" ht="25" customHeight="1">
      <x:c r="A779" s="69" t="str">
        <x:v>historical-193</x:v>
      </x:c>
      <x:c r="B779" s="69" t="str">
        <x:v>Cole Palmer</x:v>
      </x:c>
      <x:c r="C779" s="69" t="str">
        <x:v>CAM</x:v>
      </x:c>
      <x:c r="D779" s="82" t="n">
        <x:f>IF(ISNUMBER('Transfer_Ratings'!K779),'Transfer_Ratings'!K779,"")</x:f>
        <x:v>9.8</x:v>
      </x:c>
      <x:c r="E779" s="86"/>
      <x:c r="F779" s="86"/>
      <x:c r="G779" s="86"/>
      <x:c r="H779" s="86"/>
      <x:c r="I779" s="86"/>
      <x:c r="J779" s="82" t="str">
        <x:f>IF(C779="","Choose position",IF(COUNT(E779:I779)&lt;5,"",IF(OR(MIN(E779:I779)&lt;0.1,MAX(E779:I779)&gt;10),"Invalid score",IF(INDEX('Position_Rubric'!$H$6:$H$14,M779)&lt;&gt;1,"Check weights",ROUND(E779*INDEX('Position_Rubric'!$C$6:$C$14,M779)+F779*INDEX('Position_Rubric'!$D$6:$D$14,M779)+G779*INDEX('Position_Rubric'!$E$6:$E$14,M779)+H779*INDEX('Position_Rubric'!$F$6:$F$14,M779)+I779*INDEX('Position_Rubric'!$G$6:$G$14,M779),1)))))</x:f>
      </x:c>
      <x:c r="K779" s="82" t="str">
        <x:f>IF(AND(ISNUMBER(J779),ISNUMBER(D779)),J779-D779,"")</x:f>
      </x:c>
      <x:c r="L779" s="69" t="str">
        <x:f>IF(COUNT(E779:I779)&lt;5,"Needs component scores",IF(ISNUMBER(J779),"Calculated",J779))</x:f>
        <x:v>Needs component scores</x:v>
      </x:c>
      <x:c r="M779" s="69" t="n">
        <x:f>IF(C779="","",MATCH(C779,'Position_Rubric'!$A$6:$A$14,0))</x:f>
        <x:v>3</x:v>
      </x:c>
      <x:c r="N779" s="69" t="str"/>
    </x:row>
    <x:row r="780" ht="25" customHeight="1">
      <x:c r="A780" s="69" t="str">
        <x:v>historical-194</x:v>
      </x:c>
      <x:c r="B780" s="69" t="str">
        <x:v>Milos Kerkez</x:v>
      </x:c>
      <x:c r="C780" s="69" t="str">
        <x:v>FB</x:v>
      </x:c>
      <x:c r="D780" s="82" t="n">
        <x:f>IF(ISNUMBER('Transfer_Ratings'!K780),'Transfer_Ratings'!K780,"")</x:f>
        <x:v>8.4</x:v>
      </x:c>
      <x:c r="E780" s="86"/>
      <x:c r="F780" s="86"/>
      <x:c r="G780" s="86"/>
      <x:c r="H780" s="86"/>
      <x:c r="I780" s="86"/>
      <x:c r="J780" s="82" t="str">
        <x:f>IF(C780="","Choose position",IF(COUNT(E780:I780)&lt;5,"",IF(OR(MIN(E780:I780)&lt;0.1,MAX(E780:I780)&gt;10),"Invalid score",IF(INDEX('Position_Rubric'!$H$6:$H$14,M780)&lt;&gt;1,"Check weights",ROUND(E780*INDEX('Position_Rubric'!$C$6:$C$14,M780)+F780*INDEX('Position_Rubric'!$D$6:$D$14,M780)+G780*INDEX('Position_Rubric'!$E$6:$E$14,M780)+H780*INDEX('Position_Rubric'!$F$6:$F$14,M780)+I780*INDEX('Position_Rubric'!$G$6:$G$14,M780),1)))))</x:f>
      </x:c>
      <x:c r="K780" s="82" t="str">
        <x:f>IF(AND(ISNUMBER(J780),ISNUMBER(D780)),J780-D780,"")</x:f>
      </x:c>
      <x:c r="L780" s="69" t="str">
        <x:f>IF(COUNT(E780:I780)&lt;5,"Needs component scores",IF(ISNUMBER(J780),"Calculated",J780))</x:f>
        <x:v>Needs component scores</x:v>
      </x:c>
      <x:c r="M780" s="69" t="n">
        <x:f>IF(C780="","",MATCH(C780,'Position_Rubric'!$A$6:$A$14,0))</x:f>
        <x:v>5</x:v>
      </x:c>
      <x:c r="N780" s="69" t="str"/>
    </x:row>
    <x:row r="781" ht="25" customHeight="1">
      <x:c r="A781" s="69" t="str">
        <x:v>historical-197</x:v>
      </x:c>
      <x:c r="B781" s="69" t="str">
        <x:v>James Maddison</x:v>
      </x:c>
      <x:c r="C781" s="69" t="str">
        <x:v>CAM</x:v>
      </x:c>
      <x:c r="D781" s="82" t="n">
        <x:f>IF(ISNUMBER('Transfer_Ratings'!K781),'Transfer_Ratings'!K781,"")</x:f>
        <x:v>8</x:v>
      </x:c>
      <x:c r="E781" s="86"/>
      <x:c r="F781" s="86"/>
      <x:c r="G781" s="86"/>
      <x:c r="H781" s="86"/>
      <x:c r="I781" s="86"/>
      <x:c r="J781" s="82" t="str">
        <x:f>IF(C781="","Choose position",IF(COUNT(E781:I781)&lt;5,"",IF(OR(MIN(E781:I781)&lt;0.1,MAX(E781:I781)&gt;10),"Invalid score",IF(INDEX('Position_Rubric'!$H$6:$H$14,M781)&lt;&gt;1,"Check weights",ROUND(E781*INDEX('Position_Rubric'!$C$6:$C$14,M781)+F781*INDEX('Position_Rubric'!$D$6:$D$14,M781)+G781*INDEX('Position_Rubric'!$E$6:$E$14,M781)+H781*INDEX('Position_Rubric'!$F$6:$F$14,M781)+I781*INDEX('Position_Rubric'!$G$6:$G$14,M781),1)))))</x:f>
      </x:c>
      <x:c r="K781" s="82" t="str">
        <x:f>IF(AND(ISNUMBER(J781),ISNUMBER(D781)),J781-D781,"")</x:f>
      </x:c>
      <x:c r="L781" s="69" t="str">
        <x:f>IF(COUNT(E781:I781)&lt;5,"Needs component scores",IF(ISNUMBER(J781),"Calculated",J781))</x:f>
        <x:v>Needs component scores</x:v>
      </x:c>
      <x:c r="M781" s="69" t="n">
        <x:f>IF(C781="","",MATCH(C781,'Position_Rubric'!$A$6:$A$14,0))</x:f>
        <x:v>3</x:v>
      </x:c>
      <x:c r="N781" s="69" t="str"/>
    </x:row>
    <x:row r="782" ht="25" customHeight="1">
      <x:c r="A782" s="69" t="str">
        <x:v>summer-S26-0001</x:v>
      </x:c>
      <x:c r="B782" s="69" t="str">
        <x:v>John Stones</x:v>
      </x:c>
      <x:c r="C782" s="69"/>
      <x:c r="D782" s="82" t="str">
        <x:f>IF(ISNUMBER('Transfer_Ratings'!K782),'Transfer_Ratings'!K782,"")</x:f>
      </x:c>
      <x:c r="E782" s="86"/>
      <x:c r="F782" s="86"/>
      <x:c r="G782" s="86"/>
      <x:c r="H782" s="86"/>
      <x:c r="I782" s="86"/>
      <x:c r="J782" s="82" t="str">
        <x:f>IF(C782="","Choose position",IF(COUNT(E782:I782)&lt;5,"",IF(OR(MIN(E782:I782)&lt;0.1,MAX(E782:I782)&gt;10),"Invalid score",IF(INDEX('Position_Rubric'!$H$6:$H$14,M782)&lt;&gt;1,"Check weights",ROUND(E782*INDEX('Position_Rubric'!$C$6:$C$14,M782)+F782*INDEX('Position_Rubric'!$D$6:$D$14,M782)+G782*INDEX('Position_Rubric'!$E$6:$E$14,M782)+H782*INDEX('Position_Rubric'!$F$6:$F$14,M782)+I782*INDEX('Position_Rubric'!$G$6:$G$14,M782),1)))))</x:f>
        <x:v>Choose position</x:v>
      </x:c>
      <x:c r="K782" s="82" t="str">
        <x:f>IF(AND(ISNUMBER(J782),ISNUMBER(D782)),J782-D782,"")</x:f>
      </x:c>
      <x:c r="L782" s="69" t="str">
        <x:f>IF(COUNT(E782:I782)&lt;5,"Needs component scores",IF(ISNUMBER(J782),"Calculated",J782))</x:f>
        <x:v>Needs component scores</x:v>
      </x:c>
      <x:c r="M782" s="69" t="str">
        <x:f>IF(C782="","",MATCH(C782,'Position_Rubric'!$A$6:$A$14,0))</x:f>
      </x:c>
      <x:c r="N782" s="69" t="str"/>
    </x:row>
    <x:row r="783" ht="25" customHeight="1">
      <x:c r="A783" s="69" t="str">
        <x:v>summer-S26-0003</x:v>
      </x:c>
      <x:c r="B783" s="69" t="str">
        <x:v>Ismaïl Diallo</x:v>
      </x:c>
      <x:c r="C783" s="69"/>
      <x:c r="D783" s="82" t="str">
        <x:f>IF(ISNUMBER('Transfer_Ratings'!K783),'Transfer_Ratings'!K783,"")</x:f>
      </x:c>
      <x:c r="E783" s="86"/>
      <x:c r="F783" s="86"/>
      <x:c r="G783" s="86"/>
      <x:c r="H783" s="86"/>
      <x:c r="I783" s="86"/>
      <x:c r="J783" s="82" t="str">
        <x:f>IF(C783="","Choose position",IF(COUNT(E783:I783)&lt;5,"",IF(OR(MIN(E783:I783)&lt;0.1,MAX(E783:I783)&gt;10),"Invalid score",IF(INDEX('Position_Rubric'!$H$6:$H$14,M783)&lt;&gt;1,"Check weights",ROUND(E783*INDEX('Position_Rubric'!$C$6:$C$14,M783)+F783*INDEX('Position_Rubric'!$D$6:$D$14,M783)+G783*INDEX('Position_Rubric'!$E$6:$E$14,M783)+H783*INDEX('Position_Rubric'!$F$6:$F$14,M783)+I783*INDEX('Position_Rubric'!$G$6:$G$14,M783),1)))))</x:f>
        <x:v>Choose position</x:v>
      </x:c>
      <x:c r="K783" s="82" t="str">
        <x:f>IF(AND(ISNUMBER(J783),ISNUMBER(D783)),J783-D783,"")</x:f>
      </x:c>
      <x:c r="L783" s="69" t="str">
        <x:f>IF(COUNT(E783:I783)&lt;5,"Needs component scores",IF(ISNUMBER(J783),"Calculated",J783))</x:f>
        <x:v>Needs component scores</x:v>
      </x:c>
      <x:c r="M783" s="69" t="str">
        <x:f>IF(C783="","",MATCH(C783,'Position_Rubric'!$A$6:$A$14,0))</x:f>
      </x:c>
      <x:c r="N783" s="69" t="str"/>
    </x:row>
    <x:row r="784" ht="25" customHeight="1">
      <x:c r="A784" s="69" t="str">
        <x:v>summer-S26-0008</x:v>
      </x:c>
      <x:c r="B784" s="69" t="str">
        <x:v>Luka Duric</x:v>
      </x:c>
      <x:c r="C784" s="69"/>
      <x:c r="D784" s="82" t="str">
        <x:f>IF(ISNUMBER('Transfer_Ratings'!K784),'Transfer_Ratings'!K784,"")</x:f>
      </x:c>
      <x:c r="E784" s="86"/>
      <x:c r="F784" s="86"/>
      <x:c r="G784" s="86"/>
      <x:c r="H784" s="86"/>
      <x:c r="I784" s="86"/>
      <x:c r="J784" s="82" t="str">
        <x:f>IF(C784="","Choose position",IF(COUNT(E784:I784)&lt;5,"",IF(OR(MIN(E784:I784)&lt;0.1,MAX(E784:I784)&gt;10),"Invalid score",IF(INDEX('Position_Rubric'!$H$6:$H$14,M784)&lt;&gt;1,"Check weights",ROUND(E784*INDEX('Position_Rubric'!$C$6:$C$14,M784)+F784*INDEX('Position_Rubric'!$D$6:$D$14,M784)+G784*INDEX('Position_Rubric'!$E$6:$E$14,M784)+H784*INDEX('Position_Rubric'!$F$6:$F$14,M784)+I784*INDEX('Position_Rubric'!$G$6:$G$14,M784),1)))))</x:f>
        <x:v>Choose position</x:v>
      </x:c>
      <x:c r="K784" s="82" t="str">
        <x:f>IF(AND(ISNUMBER(J784),ISNUMBER(D784)),J784-D784,"")</x:f>
      </x:c>
      <x:c r="L784" s="69" t="str">
        <x:f>IF(COUNT(E784:I784)&lt;5,"Needs component scores",IF(ISNUMBER(J784),"Calculated",J784))</x:f>
        <x:v>Needs component scores</x:v>
      </x:c>
      <x:c r="M784" s="69" t="str">
        <x:f>IF(C784="","",MATCH(C784,'Position_Rubric'!$A$6:$A$14,0))</x:f>
      </x:c>
      <x:c r="N784" s="69" t="str"/>
    </x:row>
    <x:row r="785" ht="25" customHeight="1">
      <x:c r="A785" s="69" t="str">
        <x:v>summer-S26-0009</x:v>
      </x:c>
      <x:c r="B785" s="69" t="str">
        <x:v>Bilal El Khannouss</x:v>
      </x:c>
      <x:c r="C785" s="69"/>
      <x:c r="D785" s="82" t="str">
        <x:f>IF(ISNUMBER('Transfer_Ratings'!K785),'Transfer_Ratings'!K785,"")</x:f>
      </x:c>
      <x:c r="E785" s="86"/>
      <x:c r="F785" s="86"/>
      <x:c r="G785" s="86"/>
      <x:c r="H785" s="86"/>
      <x:c r="I785" s="86"/>
      <x:c r="J785" s="82" t="str">
        <x:f>IF(C785="","Choose position",IF(COUNT(E785:I785)&lt;5,"",IF(OR(MIN(E785:I785)&lt;0.1,MAX(E785:I785)&gt;10),"Invalid score",IF(INDEX('Position_Rubric'!$H$6:$H$14,M785)&lt;&gt;1,"Check weights",ROUND(E785*INDEX('Position_Rubric'!$C$6:$C$14,M785)+F785*INDEX('Position_Rubric'!$D$6:$D$14,M785)+G785*INDEX('Position_Rubric'!$E$6:$E$14,M785)+H785*INDEX('Position_Rubric'!$F$6:$F$14,M785)+I785*INDEX('Position_Rubric'!$G$6:$G$14,M785),1)))))</x:f>
        <x:v>Choose position</x:v>
      </x:c>
      <x:c r="K785" s="82" t="str">
        <x:f>IF(AND(ISNUMBER(J785),ISNUMBER(D785)),J785-D785,"")</x:f>
      </x:c>
      <x:c r="L785" s="69" t="str">
        <x:f>IF(COUNT(E785:I785)&lt;5,"Needs component scores",IF(ISNUMBER(J785),"Calculated",J785))</x:f>
        <x:v>Needs component scores</x:v>
      </x:c>
      <x:c r="M785" s="69" t="str">
        <x:f>IF(C785="","",MATCH(C785,'Position_Rubric'!$A$6:$A$14,0))</x:f>
      </x:c>
      <x:c r="N785" s="69" t="str"/>
    </x:row>
    <x:row r="786" ht="25" customHeight="1">
      <x:c r="A786" s="69" t="str">
        <x:v>summer-S26-0011</x:v>
      </x:c>
      <x:c r="B786" s="69" t="str">
        <x:v>Arijanet Muric</x:v>
      </x:c>
      <x:c r="C786" s="69" t="str">
        <x:v>GK</x:v>
      </x:c>
      <x:c r="D786" s="82" t="str">
        <x:f>IF(ISNUMBER('Transfer_Ratings'!K786),'Transfer_Ratings'!K786,"")</x:f>
      </x:c>
      <x:c r="E786" s="86"/>
      <x:c r="F786" s="86"/>
      <x:c r="G786" s="86"/>
      <x:c r="H786" s="86"/>
      <x:c r="I786" s="86"/>
      <x:c r="J786" s="82" t="str">
        <x:f>IF(C786="","Choose position",IF(COUNT(E786:I786)&lt;5,"",IF(OR(MIN(E786:I786)&lt;0.1,MAX(E786:I786)&gt;10),"Invalid score",IF(INDEX('Position_Rubric'!$H$6:$H$14,M786)&lt;&gt;1,"Check weights",ROUND(E786*INDEX('Position_Rubric'!$C$6:$C$14,M786)+F786*INDEX('Position_Rubric'!$D$6:$D$14,M786)+G786*INDEX('Position_Rubric'!$E$6:$E$14,M786)+H786*INDEX('Position_Rubric'!$F$6:$F$14,M786)+I786*INDEX('Position_Rubric'!$G$6:$G$14,M786),1)))))</x:f>
      </x:c>
      <x:c r="K786" s="82" t="str">
        <x:f>IF(AND(ISNUMBER(J786),ISNUMBER(D786)),J786-D786,"")</x:f>
      </x:c>
      <x:c r="L786" s="69" t="str">
        <x:f>IF(COUNT(E786:I786)&lt;5,"Needs component scores",IF(ISNUMBER(J786),"Calculated",J786))</x:f>
        <x:v>Needs component scores</x:v>
      </x:c>
      <x:c r="M786" s="69" t="n">
        <x:f>IF(C786="","",MATCH(C786,'Position_Rubric'!$A$6:$A$14,0))</x:f>
        <x:v>9</x:v>
      </x:c>
      <x:c r="N786" s="69" t="str"/>
    </x:row>
    <x:row r="787" ht="25" customHeight="1">
      <x:c r="A787" s="69" t="str">
        <x:v>summer-S26-0014</x:v>
      </x:c>
      <x:c r="B787" s="69" t="str">
        <x:v>Issa Doumbia</x:v>
      </x:c>
      <x:c r="C787" s="69"/>
      <x:c r="D787" s="82" t="str">
        <x:f>IF(ISNUMBER('Transfer_Ratings'!K787),'Transfer_Ratings'!K787,"")</x:f>
      </x:c>
      <x:c r="E787" s="86"/>
      <x:c r="F787" s="86"/>
      <x:c r="G787" s="86"/>
      <x:c r="H787" s="86"/>
      <x:c r="I787" s="86"/>
      <x:c r="J787" s="82" t="str">
        <x:f>IF(C787="","Choose position",IF(COUNT(E787:I787)&lt;5,"",IF(OR(MIN(E787:I787)&lt;0.1,MAX(E787:I787)&gt;10),"Invalid score",IF(INDEX('Position_Rubric'!$H$6:$H$14,M787)&lt;&gt;1,"Check weights",ROUND(E787*INDEX('Position_Rubric'!$C$6:$C$14,M787)+F787*INDEX('Position_Rubric'!$D$6:$D$14,M787)+G787*INDEX('Position_Rubric'!$E$6:$E$14,M787)+H787*INDEX('Position_Rubric'!$F$6:$F$14,M787)+I787*INDEX('Position_Rubric'!$G$6:$G$14,M787),1)))))</x:f>
        <x:v>Choose position</x:v>
      </x:c>
      <x:c r="K787" s="82" t="str">
        <x:f>IF(AND(ISNUMBER(J787),ISNUMBER(D787)),J787-D787,"")</x:f>
      </x:c>
      <x:c r="L787" s="69" t="str">
        <x:f>IF(COUNT(E787:I787)&lt;5,"Needs component scores",IF(ISNUMBER(J787),"Calculated",J787))</x:f>
        <x:v>Needs component scores</x:v>
      </x:c>
      <x:c r="M787" s="69" t="str">
        <x:f>IF(C787="","",MATCH(C787,'Position_Rubric'!$A$6:$A$14,0))</x:f>
      </x:c>
      <x:c r="N787" s="69" t="str"/>
    </x:row>
    <x:row r="788" ht="25" customHeight="1">
      <x:c r="A788" s="69" t="str">
        <x:v>summer-S26-0015</x:v>
      </x:c>
      <x:c r="B788" s="69" t="str">
        <x:v>Chuki</x:v>
      </x:c>
      <x:c r="C788" s="69"/>
      <x:c r="D788" s="82" t="str">
        <x:f>IF(ISNUMBER('Transfer_Ratings'!K788),'Transfer_Ratings'!K788,"")</x:f>
      </x:c>
      <x:c r="E788" s="86"/>
      <x:c r="F788" s="86"/>
      <x:c r="G788" s="86"/>
      <x:c r="H788" s="86"/>
      <x:c r="I788" s="86"/>
      <x:c r="J788" s="82" t="str">
        <x:f>IF(C788="","Choose position",IF(COUNT(E788:I788)&lt;5,"",IF(OR(MIN(E788:I788)&lt;0.1,MAX(E788:I788)&gt;10),"Invalid score",IF(INDEX('Position_Rubric'!$H$6:$H$14,M788)&lt;&gt;1,"Check weights",ROUND(E788*INDEX('Position_Rubric'!$C$6:$C$14,M788)+F788*INDEX('Position_Rubric'!$D$6:$D$14,M788)+G788*INDEX('Position_Rubric'!$E$6:$E$14,M788)+H788*INDEX('Position_Rubric'!$F$6:$F$14,M788)+I788*INDEX('Position_Rubric'!$G$6:$G$14,M788),1)))))</x:f>
        <x:v>Choose position</x:v>
      </x:c>
      <x:c r="K788" s="82" t="str">
        <x:f>IF(AND(ISNUMBER(J788),ISNUMBER(D788)),J788-D788,"")</x:f>
      </x:c>
      <x:c r="L788" s="69" t="str">
        <x:f>IF(COUNT(E788:I788)&lt;5,"Needs component scores",IF(ISNUMBER(J788),"Calculated",J788))</x:f>
        <x:v>Needs component scores</x:v>
      </x:c>
      <x:c r="M788" s="69" t="str">
        <x:f>IF(C788="","",MATCH(C788,'Position_Rubric'!$A$6:$A$14,0))</x:f>
      </x:c>
      <x:c r="N788" s="69" t="str"/>
    </x:row>
    <x:row r="789" ht="25" customHeight="1">
      <x:c r="A789" s="69" t="str">
        <x:v>summer-S26-0016</x:v>
      </x:c>
      <x:c r="B789" s="69" t="str">
        <x:v>Buba Sangaré</x:v>
      </x:c>
      <x:c r="C789" s="69"/>
      <x:c r="D789" s="82" t="str">
        <x:f>IF(ISNUMBER('Transfer_Ratings'!K789),'Transfer_Ratings'!K789,"")</x:f>
      </x:c>
      <x:c r="E789" s="86"/>
      <x:c r="F789" s="86"/>
      <x:c r="G789" s="86"/>
      <x:c r="H789" s="86"/>
      <x:c r="I789" s="86"/>
      <x:c r="J789" s="82" t="str">
        <x:f>IF(C789="","Choose position",IF(COUNT(E789:I789)&lt;5,"",IF(OR(MIN(E789:I789)&lt;0.1,MAX(E789:I789)&gt;10),"Invalid score",IF(INDEX('Position_Rubric'!$H$6:$H$14,M789)&lt;&gt;1,"Check weights",ROUND(E789*INDEX('Position_Rubric'!$C$6:$C$14,M789)+F789*INDEX('Position_Rubric'!$D$6:$D$14,M789)+G789*INDEX('Position_Rubric'!$E$6:$E$14,M789)+H789*INDEX('Position_Rubric'!$F$6:$F$14,M789)+I789*INDEX('Position_Rubric'!$G$6:$G$14,M789),1)))))</x:f>
        <x:v>Choose position</x:v>
      </x:c>
      <x:c r="K789" s="82" t="str">
        <x:f>IF(AND(ISNUMBER(J789),ISNUMBER(D789)),J789-D789,"")</x:f>
      </x:c>
      <x:c r="L789" s="69" t="str">
        <x:f>IF(COUNT(E789:I789)&lt;5,"Needs component scores",IF(ISNUMBER(J789),"Calculated",J789))</x:f>
        <x:v>Needs component scores</x:v>
      </x:c>
      <x:c r="M789" s="69" t="str">
        <x:f>IF(C789="","",MATCH(C789,'Position_Rubric'!$A$6:$A$14,0))</x:f>
      </x:c>
      <x:c r="N789" s="69" t="str"/>
    </x:row>
    <x:row r="790" ht="25" customHeight="1">
      <x:c r="A790" s="69" t="str">
        <x:v>summer-S26-0022</x:v>
      </x:c>
      <x:c r="B790" s="69" t="str">
        <x:v>Andy Robertson</x:v>
      </x:c>
      <x:c r="C790" s="69"/>
      <x:c r="D790" s="82" t="str">
        <x:f>IF(ISNUMBER('Transfer_Ratings'!K790),'Transfer_Ratings'!K790,"")</x:f>
      </x:c>
      <x:c r="E790" s="86"/>
      <x:c r="F790" s="86"/>
      <x:c r="G790" s="86"/>
      <x:c r="H790" s="86"/>
      <x:c r="I790" s="86"/>
      <x:c r="J790" s="82" t="str">
        <x:f>IF(C790="","Choose position",IF(COUNT(E790:I790)&lt;5,"",IF(OR(MIN(E790:I790)&lt;0.1,MAX(E790:I790)&gt;10),"Invalid score",IF(INDEX('Position_Rubric'!$H$6:$H$14,M790)&lt;&gt;1,"Check weights",ROUND(E790*INDEX('Position_Rubric'!$C$6:$C$14,M790)+F790*INDEX('Position_Rubric'!$D$6:$D$14,M790)+G790*INDEX('Position_Rubric'!$E$6:$E$14,M790)+H790*INDEX('Position_Rubric'!$F$6:$F$14,M790)+I790*INDEX('Position_Rubric'!$G$6:$G$14,M790),1)))))</x:f>
        <x:v>Choose position</x:v>
      </x:c>
      <x:c r="K790" s="82" t="str">
        <x:f>IF(AND(ISNUMBER(J790),ISNUMBER(D790)),J790-D790,"")</x:f>
      </x:c>
      <x:c r="L790" s="69" t="str">
        <x:f>IF(COUNT(E790:I790)&lt;5,"Needs component scores",IF(ISNUMBER(J790),"Calculated",J790))</x:f>
        <x:v>Needs component scores</x:v>
      </x:c>
      <x:c r="M790" s="69" t="str">
        <x:f>IF(C790="","",MATCH(C790,'Position_Rubric'!$A$6:$A$14,0))</x:f>
      </x:c>
      <x:c r="N790" s="69" t="str"/>
    </x:row>
    <x:row r="791" ht="25" customHeight="1">
      <x:c r="A791" s="69" t="str">
        <x:v>summer-S26-0023</x:v>
      </x:c>
      <x:c r="B791" s="69" t="str">
        <x:v>Jonas Omlin</x:v>
      </x:c>
      <x:c r="C791" s="69" t="str">
        <x:v>GK</x:v>
      </x:c>
      <x:c r="D791" s="82" t="str">
        <x:f>IF(ISNUMBER('Transfer_Ratings'!K791),'Transfer_Ratings'!K791,"")</x:f>
      </x:c>
      <x:c r="E791" s="86"/>
      <x:c r="F791" s="86"/>
      <x:c r="G791" s="86"/>
      <x:c r="H791" s="86"/>
      <x:c r="I791" s="86"/>
      <x:c r="J791" s="82" t="str">
        <x:f>IF(C791="","Choose position",IF(COUNT(E791:I791)&lt;5,"",IF(OR(MIN(E791:I791)&lt;0.1,MAX(E791:I791)&gt;10),"Invalid score",IF(INDEX('Position_Rubric'!$H$6:$H$14,M791)&lt;&gt;1,"Check weights",ROUND(E791*INDEX('Position_Rubric'!$C$6:$C$14,M791)+F791*INDEX('Position_Rubric'!$D$6:$D$14,M791)+G791*INDEX('Position_Rubric'!$E$6:$E$14,M791)+H791*INDEX('Position_Rubric'!$F$6:$F$14,M791)+I791*INDEX('Position_Rubric'!$G$6:$G$14,M791),1)))))</x:f>
      </x:c>
      <x:c r="K791" s="82" t="str">
        <x:f>IF(AND(ISNUMBER(J791),ISNUMBER(D791)),J791-D791,"")</x:f>
      </x:c>
      <x:c r="L791" s="69" t="str">
        <x:f>IF(COUNT(E791:I791)&lt;5,"Needs component scores",IF(ISNUMBER(J791),"Calculated",J791))</x:f>
        <x:v>Needs component scores</x:v>
      </x:c>
      <x:c r="M791" s="69" t="n">
        <x:f>IF(C791="","",MATCH(C791,'Position_Rubric'!$A$6:$A$14,0))</x:f>
        <x:v>9</x:v>
      </x:c>
      <x:c r="N791" s="69" t="str"/>
    </x:row>
    <x:row r="792" ht="25" customHeight="1">
      <x:c r="A792" s="69" t="str">
        <x:v>summer-S26-0025</x:v>
      </x:c>
      <x:c r="B792" s="69" t="str">
        <x:v>Albert Grønbaek</x:v>
      </x:c>
      <x:c r="C792" s="69"/>
      <x:c r="D792" s="82" t="str">
        <x:f>IF(ISNUMBER('Transfer_Ratings'!K792),'Transfer_Ratings'!K792,"")</x:f>
      </x:c>
      <x:c r="E792" s="86"/>
      <x:c r="F792" s="86"/>
      <x:c r="G792" s="86"/>
      <x:c r="H792" s="86"/>
      <x:c r="I792" s="86"/>
      <x:c r="J792" s="82" t="str">
        <x:f>IF(C792="","Choose position",IF(COUNT(E792:I792)&lt;5,"",IF(OR(MIN(E792:I792)&lt;0.1,MAX(E792:I792)&gt;10),"Invalid score",IF(INDEX('Position_Rubric'!$H$6:$H$14,M792)&lt;&gt;1,"Check weights",ROUND(E792*INDEX('Position_Rubric'!$C$6:$C$14,M792)+F792*INDEX('Position_Rubric'!$D$6:$D$14,M792)+G792*INDEX('Position_Rubric'!$E$6:$E$14,M792)+H792*INDEX('Position_Rubric'!$F$6:$F$14,M792)+I792*INDEX('Position_Rubric'!$G$6:$G$14,M792),1)))))</x:f>
        <x:v>Choose position</x:v>
      </x:c>
      <x:c r="K792" s="82" t="str">
        <x:f>IF(AND(ISNUMBER(J792),ISNUMBER(D792)),J792-D792,"")</x:f>
      </x:c>
      <x:c r="L792" s="69" t="str">
        <x:f>IF(COUNT(E792:I792)&lt;5,"Needs component scores",IF(ISNUMBER(J792),"Calculated",J792))</x:f>
        <x:v>Needs component scores</x:v>
      </x:c>
      <x:c r="M792" s="69" t="str">
        <x:f>IF(C792="","",MATCH(C792,'Position_Rubric'!$A$6:$A$14,0))</x:f>
      </x:c>
      <x:c r="N792" s="69" t="str"/>
    </x:row>
    <x:row r="793" ht="25" customHeight="1">
      <x:c r="A793" s="69" t="str">
        <x:v>summer-S26-0027</x:v>
      </x:c>
      <x:c r="B793" s="69" t="str">
        <x:v>Daniel Peretz</x:v>
      </x:c>
      <x:c r="C793" s="69" t="str">
        <x:v>GK</x:v>
      </x:c>
      <x:c r="D793" s="82" t="str">
        <x:f>IF(ISNUMBER('Transfer_Ratings'!K793),'Transfer_Ratings'!K793,"")</x:f>
      </x:c>
      <x:c r="E793" s="86"/>
      <x:c r="F793" s="86"/>
      <x:c r="G793" s="86"/>
      <x:c r="H793" s="86"/>
      <x:c r="I793" s="86"/>
      <x:c r="J793" s="82" t="str">
        <x:f>IF(C793="","Choose position",IF(COUNT(E793:I793)&lt;5,"",IF(OR(MIN(E793:I793)&lt;0.1,MAX(E793:I793)&gt;10),"Invalid score",IF(INDEX('Position_Rubric'!$H$6:$H$14,M793)&lt;&gt;1,"Check weights",ROUND(E793*INDEX('Position_Rubric'!$C$6:$C$14,M793)+F793*INDEX('Position_Rubric'!$D$6:$D$14,M793)+G793*INDEX('Position_Rubric'!$E$6:$E$14,M793)+H793*INDEX('Position_Rubric'!$F$6:$F$14,M793)+I793*INDEX('Position_Rubric'!$G$6:$G$14,M793),1)))))</x:f>
      </x:c>
      <x:c r="K793" s="82" t="str">
        <x:f>IF(AND(ISNUMBER(J793),ISNUMBER(D793)),J793-D793,"")</x:f>
      </x:c>
      <x:c r="L793" s="69" t="str">
        <x:f>IF(COUNT(E793:I793)&lt;5,"Needs component scores",IF(ISNUMBER(J793),"Calculated",J793))</x:f>
        <x:v>Needs component scores</x:v>
      </x:c>
      <x:c r="M793" s="69" t="n">
        <x:f>IF(C793="","",MATCH(C793,'Position_Rubric'!$A$6:$A$14,0))</x:f>
        <x:v>9</x:v>
      </x:c>
      <x:c r="N793" s="69" t="str"/>
    </x:row>
    <x:row r="794" ht="25" customHeight="1">
      <x:c r="A794" s="69" t="str">
        <x:v>summer-S26-0029</x:v>
      </x:c>
      <x:c r="B794" s="69" t="str">
        <x:v>Lukasz Poreba</x:v>
      </x:c>
      <x:c r="C794" s="69"/>
      <x:c r="D794" s="82" t="str">
        <x:f>IF(ISNUMBER('Transfer_Ratings'!K794),'Transfer_Ratings'!K794,"")</x:f>
      </x:c>
      <x:c r="E794" s="86"/>
      <x:c r="F794" s="86"/>
      <x:c r="G794" s="86"/>
      <x:c r="H794" s="86"/>
      <x:c r="I794" s="86"/>
      <x:c r="J794" s="82" t="str">
        <x:f>IF(C794="","Choose position",IF(COUNT(E794:I794)&lt;5,"",IF(OR(MIN(E794:I794)&lt;0.1,MAX(E794:I794)&gt;10),"Invalid score",IF(INDEX('Position_Rubric'!$H$6:$H$14,M794)&lt;&gt;1,"Check weights",ROUND(E794*INDEX('Position_Rubric'!$C$6:$C$14,M794)+F794*INDEX('Position_Rubric'!$D$6:$D$14,M794)+G794*INDEX('Position_Rubric'!$E$6:$E$14,M794)+H794*INDEX('Position_Rubric'!$F$6:$F$14,M794)+I794*INDEX('Position_Rubric'!$G$6:$G$14,M794),1)))))</x:f>
        <x:v>Choose position</x:v>
      </x:c>
      <x:c r="K794" s="82" t="str">
        <x:f>IF(AND(ISNUMBER(J794),ISNUMBER(D794)),J794-D794,"")</x:f>
      </x:c>
      <x:c r="L794" s="69" t="str">
        <x:f>IF(COUNT(E794:I794)&lt;5,"Needs component scores",IF(ISNUMBER(J794),"Calculated",J794))</x:f>
        <x:v>Needs component scores</x:v>
      </x:c>
      <x:c r="M794" s="69" t="str">
        <x:f>IF(C794="","",MATCH(C794,'Position_Rubric'!$A$6:$A$14,0))</x:f>
      </x:c>
      <x:c r="N794" s="69" t="str"/>
    </x:row>
    <x:row r="795" ht="25" customHeight="1">
      <x:c r="A795" s="69" t="str">
        <x:v>summer-S26-0034</x:v>
      </x:c>
      <x:c r="B795" s="69" t="str">
        <x:v>Jakub Kiwior</x:v>
      </x:c>
      <x:c r="C795" s="69"/>
      <x:c r="D795" s="82" t="str">
        <x:f>IF(ISNUMBER('Transfer_Ratings'!K795),'Transfer_Ratings'!K795,"")</x:f>
      </x:c>
      <x:c r="E795" s="86"/>
      <x:c r="F795" s="86"/>
      <x:c r="G795" s="86"/>
      <x:c r="H795" s="86"/>
      <x:c r="I795" s="86"/>
      <x:c r="J795" s="82" t="str">
        <x:f>IF(C795="","Choose position",IF(COUNT(E795:I795)&lt;5,"",IF(OR(MIN(E795:I795)&lt;0.1,MAX(E795:I795)&gt;10),"Invalid score",IF(INDEX('Position_Rubric'!$H$6:$H$14,M795)&lt;&gt;1,"Check weights",ROUND(E795*INDEX('Position_Rubric'!$C$6:$C$14,M795)+F795*INDEX('Position_Rubric'!$D$6:$D$14,M795)+G795*INDEX('Position_Rubric'!$E$6:$E$14,M795)+H795*INDEX('Position_Rubric'!$F$6:$F$14,M795)+I795*INDEX('Position_Rubric'!$G$6:$G$14,M795),1)))))</x:f>
        <x:v>Choose position</x:v>
      </x:c>
      <x:c r="K795" s="82" t="str">
        <x:f>IF(AND(ISNUMBER(J795),ISNUMBER(D795)),J795-D795,"")</x:f>
      </x:c>
      <x:c r="L795" s="69" t="str">
        <x:f>IF(COUNT(E795:I795)&lt;5,"Needs component scores",IF(ISNUMBER(J795),"Calculated",J795))</x:f>
        <x:v>Needs component scores</x:v>
      </x:c>
      <x:c r="M795" s="69" t="str">
        <x:f>IF(C795="","",MATCH(C795,'Position_Rubric'!$A$6:$A$14,0))</x:f>
      </x:c>
      <x:c r="N795" s="69" t="str"/>
    </x:row>
    <x:row r="796" ht="25" customHeight="1">
      <x:c r="A796" s="69" t="str">
        <x:v>summer-S26-0035</x:v>
      </x:c>
      <x:c r="B796" s="69" t="str">
        <x:v>Merlin Röhl</x:v>
      </x:c>
      <x:c r="C796" s="69"/>
      <x:c r="D796" s="82" t="str">
        <x:f>IF(ISNUMBER('Transfer_Ratings'!K796),'Transfer_Ratings'!K796,"")</x:f>
      </x:c>
      <x:c r="E796" s="86"/>
      <x:c r="F796" s="86"/>
      <x:c r="G796" s="86"/>
      <x:c r="H796" s="86"/>
      <x:c r="I796" s="86"/>
      <x:c r="J796" s="82" t="str">
        <x:f>IF(C796="","Choose position",IF(COUNT(E796:I796)&lt;5,"",IF(OR(MIN(E796:I796)&lt;0.1,MAX(E796:I796)&gt;10),"Invalid score",IF(INDEX('Position_Rubric'!$H$6:$H$14,M796)&lt;&gt;1,"Check weights",ROUND(E796*INDEX('Position_Rubric'!$C$6:$C$14,M796)+F796*INDEX('Position_Rubric'!$D$6:$D$14,M796)+G796*INDEX('Position_Rubric'!$E$6:$E$14,M796)+H796*INDEX('Position_Rubric'!$F$6:$F$14,M796)+I796*INDEX('Position_Rubric'!$G$6:$G$14,M796),1)))))</x:f>
        <x:v>Choose position</x:v>
      </x:c>
      <x:c r="K796" s="82" t="str">
        <x:f>IF(AND(ISNUMBER(J796),ISNUMBER(D796)),J796-D796,"")</x:f>
      </x:c>
      <x:c r="L796" s="69" t="str">
        <x:f>IF(COUNT(E796:I796)&lt;5,"Needs component scores",IF(ISNUMBER(J796),"Calculated",J796))</x:f>
        <x:v>Needs component scores</x:v>
      </x:c>
      <x:c r="M796" s="69" t="str">
        <x:f>IF(C796="","",MATCH(C796,'Position_Rubric'!$A$6:$A$14,0))</x:f>
      </x:c>
      <x:c r="N796" s="69" t="str"/>
    </x:row>
    <x:row r="797" ht="25" customHeight="1">
      <x:c r="A797" s="69" t="str">
        <x:v>summer-S26-0036</x:v>
      </x:c>
      <x:c r="B797" s="69" t="str">
        <x:v>Patrick Zabi</x:v>
      </x:c>
      <x:c r="C797" s="69"/>
      <x:c r="D797" s="82" t="str">
        <x:f>IF(ISNUMBER('Transfer_Ratings'!K797),'Transfer_Ratings'!K797,"")</x:f>
      </x:c>
      <x:c r="E797" s="86"/>
      <x:c r="F797" s="86"/>
      <x:c r="G797" s="86"/>
      <x:c r="H797" s="86"/>
      <x:c r="I797" s="86"/>
      <x:c r="J797" s="82" t="str">
        <x:f>IF(C797="","Choose position",IF(COUNT(E797:I797)&lt;5,"",IF(OR(MIN(E797:I797)&lt;0.1,MAX(E797:I797)&gt;10),"Invalid score",IF(INDEX('Position_Rubric'!$H$6:$H$14,M797)&lt;&gt;1,"Check weights",ROUND(E797*INDEX('Position_Rubric'!$C$6:$C$14,M797)+F797*INDEX('Position_Rubric'!$D$6:$D$14,M797)+G797*INDEX('Position_Rubric'!$E$6:$E$14,M797)+H797*INDEX('Position_Rubric'!$F$6:$F$14,M797)+I797*INDEX('Position_Rubric'!$G$6:$G$14,M797),1)))))</x:f>
        <x:v>Choose position</x:v>
      </x:c>
      <x:c r="K797" s="82" t="str">
        <x:f>IF(AND(ISNUMBER(J797),ISNUMBER(D797)),J797-D797,"")</x:f>
      </x:c>
      <x:c r="L797" s="69" t="str">
        <x:f>IF(COUNT(E797:I797)&lt;5,"Needs component scores",IF(ISNUMBER(J797),"Calculated",J797))</x:f>
        <x:v>Needs component scores</x:v>
      </x:c>
      <x:c r="M797" s="69" t="str">
        <x:f>IF(C797="","",MATCH(C797,'Position_Rubric'!$A$6:$A$14,0))</x:f>
      </x:c>
      <x:c r="N797" s="69" t="str"/>
    </x:row>
    <x:row r="798" ht="25" customHeight="1">
      <x:c r="A798" s="69" t="str">
        <x:v>summer-S26-0038</x:v>
      </x:c>
      <x:c r="B798" s="69" t="str">
        <x:v>Saud Abdulhamid</x:v>
      </x:c>
      <x:c r="C798" s="69"/>
      <x:c r="D798" s="82" t="str">
        <x:f>IF(ISNUMBER('Transfer_Ratings'!K798),'Transfer_Ratings'!K798,"")</x:f>
      </x:c>
      <x:c r="E798" s="86"/>
      <x:c r="F798" s="86"/>
      <x:c r="G798" s="86"/>
      <x:c r="H798" s="86"/>
      <x:c r="I798" s="86"/>
      <x:c r="J798" s="82" t="str">
        <x:f>IF(C798="","Choose position",IF(COUNT(E798:I798)&lt;5,"",IF(OR(MIN(E798:I798)&lt;0.1,MAX(E798:I798)&gt;10),"Invalid score",IF(INDEX('Position_Rubric'!$H$6:$H$14,M798)&lt;&gt;1,"Check weights",ROUND(E798*INDEX('Position_Rubric'!$C$6:$C$14,M798)+F798*INDEX('Position_Rubric'!$D$6:$D$14,M798)+G798*INDEX('Position_Rubric'!$E$6:$E$14,M798)+H798*INDEX('Position_Rubric'!$F$6:$F$14,M798)+I798*INDEX('Position_Rubric'!$G$6:$G$14,M798),1)))))</x:f>
        <x:v>Choose position</x:v>
      </x:c>
      <x:c r="K798" s="82" t="str">
        <x:f>IF(AND(ISNUMBER(J798),ISNUMBER(D798)),J798-D798,"")</x:f>
      </x:c>
      <x:c r="L798" s="69" t="str">
        <x:f>IF(COUNT(E798:I798)&lt;5,"Needs component scores",IF(ISNUMBER(J798),"Calculated",J798))</x:f>
        <x:v>Needs component scores</x:v>
      </x:c>
      <x:c r="M798" s="69" t="str">
        <x:f>IF(C798="","",MATCH(C798,'Position_Rubric'!$A$6:$A$14,0))</x:f>
      </x:c>
      <x:c r="N798" s="69" t="str"/>
    </x:row>
    <x:row r="799" ht="25" customHeight="1">
      <x:c r="A799" s="69" t="str">
        <x:v>summer-S26-0039</x:v>
      </x:c>
      <x:c r="B799" s="69" t="str">
        <x:v>Kieran Trippier</x:v>
      </x:c>
      <x:c r="C799" s="69"/>
      <x:c r="D799" s="82" t="str">
        <x:f>IF(ISNUMBER('Transfer_Ratings'!K799),'Transfer_Ratings'!K799,"")</x:f>
      </x:c>
      <x:c r="E799" s="86"/>
      <x:c r="F799" s="86"/>
      <x:c r="G799" s="86"/>
      <x:c r="H799" s="86"/>
      <x:c r="I799" s="86"/>
      <x:c r="J799" s="82" t="str">
        <x:f>IF(C799="","Choose position",IF(COUNT(E799:I799)&lt;5,"",IF(OR(MIN(E799:I799)&lt;0.1,MAX(E799:I799)&gt;10),"Invalid score",IF(INDEX('Position_Rubric'!$H$6:$H$14,M799)&lt;&gt;1,"Check weights",ROUND(E799*INDEX('Position_Rubric'!$C$6:$C$14,M799)+F799*INDEX('Position_Rubric'!$D$6:$D$14,M799)+G799*INDEX('Position_Rubric'!$E$6:$E$14,M799)+H799*INDEX('Position_Rubric'!$F$6:$F$14,M799)+I799*INDEX('Position_Rubric'!$G$6:$G$14,M799),1)))))</x:f>
        <x:v>Choose position</x:v>
      </x:c>
      <x:c r="K799" s="82" t="str">
        <x:f>IF(AND(ISNUMBER(J799),ISNUMBER(D799)),J799-D799,"")</x:f>
      </x:c>
      <x:c r="L799" s="69" t="str">
        <x:f>IF(COUNT(E799:I799)&lt;5,"Needs component scores",IF(ISNUMBER(J799),"Calculated",J799))</x:f>
        <x:v>Needs component scores</x:v>
      </x:c>
      <x:c r="M799" s="69" t="str">
        <x:f>IF(C799="","",MATCH(C799,'Position_Rubric'!$A$6:$A$14,0))</x:f>
      </x:c>
      <x:c r="N799" s="69" t="str"/>
    </x:row>
    <x:row r="800" ht="25" customHeight="1">
      <x:c r="A800" s="69" t="str">
        <x:v>summer-S26-0040</x:v>
      </x:c>
      <x:c r="B800" s="69" t="str">
        <x:v>Nikolas Veratschnig</x:v>
      </x:c>
      <x:c r="C800" s="69"/>
      <x:c r="D800" s="82" t="str">
        <x:f>IF(ISNUMBER('Transfer_Ratings'!K800),'Transfer_Ratings'!K800,"")</x:f>
      </x:c>
      <x:c r="E800" s="86"/>
      <x:c r="F800" s="86"/>
      <x:c r="G800" s="86"/>
      <x:c r="H800" s="86"/>
      <x:c r="I800" s="86"/>
      <x:c r="J800" s="82" t="str">
        <x:f>IF(C800="","Choose position",IF(COUNT(E800:I800)&lt;5,"",IF(OR(MIN(E800:I800)&lt;0.1,MAX(E800:I800)&gt;10),"Invalid score",IF(INDEX('Position_Rubric'!$H$6:$H$14,M800)&lt;&gt;1,"Check weights",ROUND(E800*INDEX('Position_Rubric'!$C$6:$C$14,M800)+F800*INDEX('Position_Rubric'!$D$6:$D$14,M800)+G800*INDEX('Position_Rubric'!$E$6:$E$14,M800)+H800*INDEX('Position_Rubric'!$F$6:$F$14,M800)+I800*INDEX('Position_Rubric'!$G$6:$G$14,M800),1)))))</x:f>
        <x:v>Choose position</x:v>
      </x:c>
      <x:c r="K800" s="82" t="str">
        <x:f>IF(AND(ISNUMBER(J800),ISNUMBER(D800)),J800-D800,"")</x:f>
      </x:c>
      <x:c r="L800" s="69" t="str">
        <x:f>IF(COUNT(E800:I800)&lt;5,"Needs component scores",IF(ISNUMBER(J800),"Calculated",J800))</x:f>
        <x:v>Needs component scores</x:v>
      </x:c>
      <x:c r="M800" s="69" t="str">
        <x:f>IF(C800="","",MATCH(C800,'Position_Rubric'!$A$6:$A$14,0))</x:f>
      </x:c>
      <x:c r="N800" s="69" t="str"/>
    </x:row>
    <x:row r="801" ht="25" customHeight="1">
      <x:c r="A801" s="69" t="str">
        <x:v>summer-S26-0041</x:v>
      </x:c>
      <x:c r="B801" s="69" t="str">
        <x:v>Craig Farquhar</x:v>
      </x:c>
      <x:c r="C801" s="69"/>
      <x:c r="D801" s="82" t="str">
        <x:f>IF(ISNUMBER('Transfer_Ratings'!K801),'Transfer_Ratings'!K801,"")</x:f>
      </x:c>
      <x:c r="E801" s="86"/>
      <x:c r="F801" s="86"/>
      <x:c r="G801" s="86"/>
      <x:c r="H801" s="86"/>
      <x:c r="I801" s="86"/>
      <x:c r="J801" s="82" t="str">
        <x:f>IF(C801="","Choose position",IF(COUNT(E801:I801)&lt;5,"",IF(OR(MIN(E801:I801)&lt;0.1,MAX(E801:I801)&gt;10),"Invalid score",IF(INDEX('Position_Rubric'!$H$6:$H$14,M801)&lt;&gt;1,"Check weights",ROUND(E801*INDEX('Position_Rubric'!$C$6:$C$14,M801)+F801*INDEX('Position_Rubric'!$D$6:$D$14,M801)+G801*INDEX('Position_Rubric'!$E$6:$E$14,M801)+H801*INDEX('Position_Rubric'!$F$6:$F$14,M801)+I801*INDEX('Position_Rubric'!$G$6:$G$14,M801),1)))))</x:f>
        <x:v>Choose position</x:v>
      </x:c>
      <x:c r="K801" s="82" t="str">
        <x:f>IF(AND(ISNUMBER(J801),ISNUMBER(D801)),J801-D801,"")</x:f>
      </x:c>
      <x:c r="L801" s="69" t="str">
        <x:f>IF(COUNT(E801:I801)&lt;5,"Needs component scores",IF(ISNUMBER(J801),"Calculated",J801))</x:f>
        <x:v>Needs component scores</x:v>
      </x:c>
      <x:c r="M801" s="69" t="str">
        <x:f>IF(C801="","",MATCH(C801,'Position_Rubric'!$A$6:$A$14,0))</x:f>
      </x:c>
      <x:c r="N801" s="69" t="str"/>
    </x:row>
    <x:row r="802" ht="25" customHeight="1">
      <x:c r="A802" s="69" t="str">
        <x:v>summer-S26-0043</x:v>
      </x:c>
      <x:c r="B802" s="69" t="str">
        <x:v>Mats Rots</x:v>
      </x:c>
      <x:c r="C802" s="69"/>
      <x:c r="D802" s="82" t="str">
        <x:f>IF(ISNUMBER('Transfer_Ratings'!K802),'Transfer_Ratings'!K802,"")</x:f>
      </x:c>
      <x:c r="E802" s="86"/>
      <x:c r="F802" s="86"/>
      <x:c r="G802" s="86"/>
      <x:c r="H802" s="86"/>
      <x:c r="I802" s="86"/>
      <x:c r="J802" s="82" t="str">
        <x:f>IF(C802="","Choose position",IF(COUNT(E802:I802)&lt;5,"",IF(OR(MIN(E802:I802)&lt;0.1,MAX(E802:I802)&gt;10),"Invalid score",IF(INDEX('Position_Rubric'!$H$6:$H$14,M802)&lt;&gt;1,"Check weights",ROUND(E802*INDEX('Position_Rubric'!$C$6:$C$14,M802)+F802*INDEX('Position_Rubric'!$D$6:$D$14,M802)+G802*INDEX('Position_Rubric'!$E$6:$E$14,M802)+H802*INDEX('Position_Rubric'!$F$6:$F$14,M802)+I802*INDEX('Position_Rubric'!$G$6:$G$14,M802),1)))))</x:f>
        <x:v>Choose position</x:v>
      </x:c>
      <x:c r="K802" s="82" t="str">
        <x:f>IF(AND(ISNUMBER(J802),ISNUMBER(D802)),J802-D802,"")</x:f>
      </x:c>
      <x:c r="L802" s="69" t="str">
        <x:f>IF(COUNT(E802:I802)&lt;5,"Needs component scores",IF(ISNUMBER(J802),"Calculated",J802))</x:f>
        <x:v>Needs component scores</x:v>
      </x:c>
      <x:c r="M802" s="69" t="str">
        <x:f>IF(C802="","",MATCH(C802,'Position_Rubric'!$A$6:$A$14,0))</x:f>
      </x:c>
      <x:c r="N802" s="69" t="str"/>
    </x:row>
    <x:row r="803" ht="25" customHeight="1">
      <x:c r="A803" s="69" t="str">
        <x:v>summer-S26-0044</x:v>
      </x:c>
      <x:c r="B803" s="69" t="str">
        <x:v>Ewen Jaouen</x:v>
      </x:c>
      <x:c r="C803" s="69" t="str">
        <x:v>GK</x:v>
      </x:c>
      <x:c r="D803" s="82" t="str">
        <x:f>IF(ISNUMBER('Transfer_Ratings'!K803),'Transfer_Ratings'!K803,"")</x:f>
      </x:c>
      <x:c r="E803" s="86"/>
      <x:c r="F803" s="86"/>
      <x:c r="G803" s="86"/>
      <x:c r="H803" s="86"/>
      <x:c r="I803" s="86"/>
      <x:c r="J803" s="82" t="str">
        <x:f>IF(C803="","Choose position",IF(COUNT(E803:I803)&lt;5,"",IF(OR(MIN(E803:I803)&lt;0.1,MAX(E803:I803)&gt;10),"Invalid score",IF(INDEX('Position_Rubric'!$H$6:$H$14,M803)&lt;&gt;1,"Check weights",ROUND(E803*INDEX('Position_Rubric'!$C$6:$C$14,M803)+F803*INDEX('Position_Rubric'!$D$6:$D$14,M803)+G803*INDEX('Position_Rubric'!$E$6:$E$14,M803)+H803*INDEX('Position_Rubric'!$F$6:$F$14,M803)+I803*INDEX('Position_Rubric'!$G$6:$G$14,M803),1)))))</x:f>
      </x:c>
      <x:c r="K803" s="82" t="str">
        <x:f>IF(AND(ISNUMBER(J803),ISNUMBER(D803)),J803-D803,"")</x:f>
      </x:c>
      <x:c r="L803" s="69" t="str">
        <x:f>IF(COUNT(E803:I803)&lt;5,"Needs component scores",IF(ISNUMBER(J803),"Calculated",J803))</x:f>
        <x:v>Needs component scores</x:v>
      </x:c>
      <x:c r="M803" s="69" t="n">
        <x:f>IF(C803="","",MATCH(C803,'Position_Rubric'!$A$6:$A$14,0))</x:f>
        <x:v>9</x:v>
      </x:c>
      <x:c r="N803" s="69" t="str"/>
    </x:row>
    <x:row r="804" ht="25" customHeight="1">
      <x:c r="A804" s="69" t="str">
        <x:v>summer-S26-0045</x:v>
      </x:c>
      <x:c r="B804" s="69" t="str">
        <x:v>Jon Guridi</x:v>
      </x:c>
      <x:c r="C804" s="69"/>
      <x:c r="D804" s="82" t="str">
        <x:f>IF(ISNUMBER('Transfer_Ratings'!K804),'Transfer_Ratings'!K804,"")</x:f>
      </x:c>
      <x:c r="E804" s="86"/>
      <x:c r="F804" s="86"/>
      <x:c r="G804" s="86"/>
      <x:c r="H804" s="86"/>
      <x:c r="I804" s="86"/>
      <x:c r="J804" s="82" t="str">
        <x:f>IF(C804="","Choose position",IF(COUNT(E804:I804)&lt;5,"",IF(OR(MIN(E804:I804)&lt;0.1,MAX(E804:I804)&gt;10),"Invalid score",IF(INDEX('Position_Rubric'!$H$6:$H$14,M804)&lt;&gt;1,"Check weights",ROUND(E804*INDEX('Position_Rubric'!$C$6:$C$14,M804)+F804*INDEX('Position_Rubric'!$D$6:$D$14,M804)+G804*INDEX('Position_Rubric'!$E$6:$E$14,M804)+H804*INDEX('Position_Rubric'!$F$6:$F$14,M804)+I804*INDEX('Position_Rubric'!$G$6:$G$14,M804),1)))))</x:f>
        <x:v>Choose position</x:v>
      </x:c>
      <x:c r="K804" s="82" t="str">
        <x:f>IF(AND(ISNUMBER(J804),ISNUMBER(D804)),J804-D804,"")</x:f>
      </x:c>
      <x:c r="L804" s="69" t="str">
        <x:f>IF(COUNT(E804:I804)&lt;5,"Needs component scores",IF(ISNUMBER(J804),"Calculated",J804))</x:f>
        <x:v>Needs component scores</x:v>
      </x:c>
      <x:c r="M804" s="69" t="str">
        <x:f>IF(C804="","",MATCH(C804,'Position_Rubric'!$A$6:$A$14,0))</x:f>
      </x:c>
      <x:c r="N804" s="69" t="str"/>
    </x:row>
    <x:row r="805" ht="25" customHeight="1">
      <x:c r="A805" s="69" t="str">
        <x:v>summer-S26-0046</x:v>
      </x:c>
      <x:c r="B805" s="69" t="str">
        <x:v>Marcos Senesi</x:v>
      </x:c>
      <x:c r="C805" s="69"/>
      <x:c r="D805" s="82" t="str">
        <x:f>IF(ISNUMBER('Transfer_Ratings'!K805),'Transfer_Ratings'!K805,"")</x:f>
      </x:c>
      <x:c r="E805" s="86"/>
      <x:c r="F805" s="86"/>
      <x:c r="G805" s="86"/>
      <x:c r="H805" s="86"/>
      <x:c r="I805" s="86"/>
      <x:c r="J805" s="82" t="str">
        <x:f>IF(C805="","Choose position",IF(COUNT(E805:I805)&lt;5,"",IF(OR(MIN(E805:I805)&lt;0.1,MAX(E805:I805)&gt;10),"Invalid score",IF(INDEX('Position_Rubric'!$H$6:$H$14,M805)&lt;&gt;1,"Check weights",ROUND(E805*INDEX('Position_Rubric'!$C$6:$C$14,M805)+F805*INDEX('Position_Rubric'!$D$6:$D$14,M805)+G805*INDEX('Position_Rubric'!$E$6:$E$14,M805)+H805*INDEX('Position_Rubric'!$F$6:$F$14,M805)+I805*INDEX('Position_Rubric'!$G$6:$G$14,M805),1)))))</x:f>
        <x:v>Choose position</x:v>
      </x:c>
      <x:c r="K805" s="82" t="str">
        <x:f>IF(AND(ISNUMBER(J805),ISNUMBER(D805)),J805-D805,"")</x:f>
      </x:c>
      <x:c r="L805" s="69" t="str">
        <x:f>IF(COUNT(E805:I805)&lt;5,"Needs component scores",IF(ISNUMBER(J805),"Calculated",J805))</x:f>
        <x:v>Needs component scores</x:v>
      </x:c>
      <x:c r="M805" s="69" t="str">
        <x:f>IF(C805="","",MATCH(C805,'Position_Rubric'!$A$6:$A$14,0))</x:f>
      </x:c>
      <x:c r="N805" s="69" t="str"/>
    </x:row>
    <x:row r="806" ht="25" customHeight="1">
      <x:c r="A806" s="69" t="str">
        <x:v>summer-S26-0047</x:v>
      </x:c>
      <x:c r="B806" s="69" t="str">
        <x:v>Denis Huseinbasic</x:v>
      </x:c>
      <x:c r="C806" s="69"/>
      <x:c r="D806" s="82" t="str">
        <x:f>IF(ISNUMBER('Transfer_Ratings'!K806),'Transfer_Ratings'!K806,"")</x:f>
      </x:c>
      <x:c r="E806" s="86"/>
      <x:c r="F806" s="86"/>
      <x:c r="G806" s="86"/>
      <x:c r="H806" s="86"/>
      <x:c r="I806" s="86"/>
      <x:c r="J806" s="82" t="str">
        <x:f>IF(C806="","Choose position",IF(COUNT(E806:I806)&lt;5,"",IF(OR(MIN(E806:I806)&lt;0.1,MAX(E806:I806)&gt;10),"Invalid score",IF(INDEX('Position_Rubric'!$H$6:$H$14,M806)&lt;&gt;1,"Check weights",ROUND(E806*INDEX('Position_Rubric'!$C$6:$C$14,M806)+F806*INDEX('Position_Rubric'!$D$6:$D$14,M806)+G806*INDEX('Position_Rubric'!$E$6:$E$14,M806)+H806*INDEX('Position_Rubric'!$F$6:$F$14,M806)+I806*INDEX('Position_Rubric'!$G$6:$G$14,M806),1)))))</x:f>
        <x:v>Choose position</x:v>
      </x:c>
      <x:c r="K806" s="82" t="str">
        <x:f>IF(AND(ISNUMBER(J806),ISNUMBER(D806)),J806-D806,"")</x:f>
      </x:c>
      <x:c r="L806" s="69" t="str">
        <x:f>IF(COUNT(E806:I806)&lt;5,"Needs component scores",IF(ISNUMBER(J806),"Calculated",J806))</x:f>
        <x:v>Needs component scores</x:v>
      </x:c>
      <x:c r="M806" s="69" t="str">
        <x:f>IF(C806="","",MATCH(C806,'Position_Rubric'!$A$6:$A$14,0))</x:f>
      </x:c>
      <x:c r="N806" s="69" t="str"/>
    </x:row>
    <x:row r="807" ht="25" customHeight="1">
      <x:c r="A807" s="69" t="str">
        <x:v>summer-S26-0048</x:v>
      </x:c>
      <x:c r="B807" s="69" t="str">
        <x:v>Noham Kamara</x:v>
      </x:c>
      <x:c r="C807" s="69"/>
      <x:c r="D807" s="82" t="str">
        <x:f>IF(ISNUMBER('Transfer_Ratings'!K807),'Transfer_Ratings'!K807,"")</x:f>
      </x:c>
      <x:c r="E807" s="86"/>
      <x:c r="F807" s="86"/>
      <x:c r="G807" s="86"/>
      <x:c r="H807" s="86"/>
      <x:c r="I807" s="86"/>
      <x:c r="J807" s="82" t="str">
        <x:f>IF(C807="","Choose position",IF(COUNT(E807:I807)&lt;5,"",IF(OR(MIN(E807:I807)&lt;0.1,MAX(E807:I807)&gt;10),"Invalid score",IF(INDEX('Position_Rubric'!$H$6:$H$14,M807)&lt;&gt;1,"Check weights",ROUND(E807*INDEX('Position_Rubric'!$C$6:$C$14,M807)+F807*INDEX('Position_Rubric'!$D$6:$D$14,M807)+G807*INDEX('Position_Rubric'!$E$6:$E$14,M807)+H807*INDEX('Position_Rubric'!$F$6:$F$14,M807)+I807*INDEX('Position_Rubric'!$G$6:$G$14,M807),1)))))</x:f>
        <x:v>Choose position</x:v>
      </x:c>
      <x:c r="K807" s="82" t="str">
        <x:f>IF(AND(ISNUMBER(J807),ISNUMBER(D807)),J807-D807,"")</x:f>
      </x:c>
      <x:c r="L807" s="69" t="str">
        <x:f>IF(COUNT(E807:I807)&lt;5,"Needs component scores",IF(ISNUMBER(J807),"Calculated",J807))</x:f>
        <x:v>Needs component scores</x:v>
      </x:c>
      <x:c r="M807" s="69" t="str">
        <x:f>IF(C807="","",MATCH(C807,'Position_Rubric'!$A$6:$A$14,0))</x:f>
      </x:c>
      <x:c r="N807" s="69" t="str"/>
    </x:row>
    <x:row r="808" ht="25" customHeight="1">
      <x:c r="A808" s="69" t="str">
        <x:v>summer-S26-0049</x:v>
      </x:c>
      <x:c r="B808" s="69" t="str">
        <x:v>Marvin Friedrich</x:v>
      </x:c>
      <x:c r="C808" s="69"/>
      <x:c r="D808" s="82" t="str">
        <x:f>IF(ISNUMBER('Transfer_Ratings'!K808),'Transfer_Ratings'!K808,"")</x:f>
      </x:c>
      <x:c r="E808" s="86"/>
      <x:c r="F808" s="86"/>
      <x:c r="G808" s="86"/>
      <x:c r="H808" s="86"/>
      <x:c r="I808" s="86"/>
      <x:c r="J808" s="82" t="str">
        <x:f>IF(C808="","Choose position",IF(COUNT(E808:I808)&lt;5,"",IF(OR(MIN(E808:I808)&lt;0.1,MAX(E808:I808)&gt;10),"Invalid score",IF(INDEX('Position_Rubric'!$H$6:$H$14,M808)&lt;&gt;1,"Check weights",ROUND(E808*INDEX('Position_Rubric'!$C$6:$C$14,M808)+F808*INDEX('Position_Rubric'!$D$6:$D$14,M808)+G808*INDEX('Position_Rubric'!$E$6:$E$14,M808)+H808*INDEX('Position_Rubric'!$F$6:$F$14,M808)+I808*INDEX('Position_Rubric'!$G$6:$G$14,M808),1)))))</x:f>
        <x:v>Choose position</x:v>
      </x:c>
      <x:c r="K808" s="82" t="str">
        <x:f>IF(AND(ISNUMBER(J808),ISNUMBER(D808)),J808-D808,"")</x:f>
      </x:c>
      <x:c r="L808" s="69" t="str">
        <x:f>IF(COUNT(E808:I808)&lt;5,"Needs component scores",IF(ISNUMBER(J808),"Calculated",J808))</x:f>
        <x:v>Needs component scores</x:v>
      </x:c>
      <x:c r="M808" s="69" t="str">
        <x:f>IF(C808="","",MATCH(C808,'Position_Rubric'!$A$6:$A$14,0))</x:f>
      </x:c>
      <x:c r="N808" s="69" t="str"/>
    </x:row>
    <x:row r="809" ht="25" customHeight="1">
      <x:c r="A809" s="69" t="str">
        <x:v>summer-S26-0054</x:v>
      </x:c>
      <x:c r="B809" s="69" t="str">
        <x:v>Juan Iglesias</x:v>
      </x:c>
      <x:c r="C809" s="69"/>
      <x:c r="D809" s="82" t="str">
        <x:f>IF(ISNUMBER('Transfer_Ratings'!K809),'Transfer_Ratings'!K809,"")</x:f>
      </x:c>
      <x:c r="E809" s="86"/>
      <x:c r="F809" s="86"/>
      <x:c r="G809" s="86"/>
      <x:c r="H809" s="86"/>
      <x:c r="I809" s="86"/>
      <x:c r="J809" s="82" t="str">
        <x:f>IF(C809="","Choose position",IF(COUNT(E809:I809)&lt;5,"",IF(OR(MIN(E809:I809)&lt;0.1,MAX(E809:I809)&gt;10),"Invalid score",IF(INDEX('Position_Rubric'!$H$6:$H$14,M809)&lt;&gt;1,"Check weights",ROUND(E809*INDEX('Position_Rubric'!$C$6:$C$14,M809)+F809*INDEX('Position_Rubric'!$D$6:$D$14,M809)+G809*INDEX('Position_Rubric'!$E$6:$E$14,M809)+H809*INDEX('Position_Rubric'!$F$6:$F$14,M809)+I809*INDEX('Position_Rubric'!$G$6:$G$14,M809),1)))))</x:f>
        <x:v>Choose position</x:v>
      </x:c>
      <x:c r="K809" s="82" t="str">
        <x:f>IF(AND(ISNUMBER(J809),ISNUMBER(D809)),J809-D809,"")</x:f>
      </x:c>
      <x:c r="L809" s="69" t="str">
        <x:f>IF(COUNT(E809:I809)&lt;5,"Needs component scores",IF(ISNUMBER(J809),"Calculated",J809))</x:f>
        <x:v>Needs component scores</x:v>
      </x:c>
      <x:c r="M809" s="69" t="str">
        <x:f>IF(C809="","",MATCH(C809,'Position_Rubric'!$A$6:$A$14,0))</x:f>
      </x:c>
      <x:c r="N809" s="69" t="str"/>
    </x:row>
    <x:row r="810" ht="25" customHeight="1">
      <x:c r="A810" s="69" t="str">
        <x:v>summer-S26-0055</x:v>
      </x:c>
      <x:c r="B810" s="69" t="str">
        <x:v>Leonardo Bittencourt</x:v>
      </x:c>
      <x:c r="C810" s="69"/>
      <x:c r="D810" s="82" t="str">
        <x:f>IF(ISNUMBER('Transfer_Ratings'!K810),'Transfer_Ratings'!K810,"")</x:f>
      </x:c>
      <x:c r="E810" s="86"/>
      <x:c r="F810" s="86"/>
      <x:c r="G810" s="86"/>
      <x:c r="H810" s="86"/>
      <x:c r="I810" s="86"/>
      <x:c r="J810" s="82" t="str">
        <x:f>IF(C810="","Choose position",IF(COUNT(E810:I810)&lt;5,"",IF(OR(MIN(E810:I810)&lt;0.1,MAX(E810:I810)&gt;10),"Invalid score",IF(INDEX('Position_Rubric'!$H$6:$H$14,M810)&lt;&gt;1,"Check weights",ROUND(E810*INDEX('Position_Rubric'!$C$6:$C$14,M810)+F810*INDEX('Position_Rubric'!$D$6:$D$14,M810)+G810*INDEX('Position_Rubric'!$E$6:$E$14,M810)+H810*INDEX('Position_Rubric'!$F$6:$F$14,M810)+I810*INDEX('Position_Rubric'!$G$6:$G$14,M810),1)))))</x:f>
        <x:v>Choose position</x:v>
      </x:c>
      <x:c r="K810" s="82" t="str">
        <x:f>IF(AND(ISNUMBER(J810),ISNUMBER(D810)),J810-D810,"")</x:f>
      </x:c>
      <x:c r="L810" s="69" t="str">
        <x:f>IF(COUNT(E810:I810)&lt;5,"Needs component scores",IF(ISNUMBER(J810),"Calculated",J810))</x:f>
        <x:v>Needs component scores</x:v>
      </x:c>
      <x:c r="M810" s="69" t="str">
        <x:f>IF(C810="","",MATCH(C810,'Position_Rubric'!$A$6:$A$14,0))</x:f>
      </x:c>
      <x:c r="N810" s="69" t="str"/>
    </x:row>
    <x:row r="811" ht="25" customHeight="1">
      <x:c r="A811" s="69" t="str">
        <x:v>summer-S26-0057</x:v>
      </x:c>
      <x:c r="B811" s="69" t="str">
        <x:v>Enzo Bardeli</x:v>
      </x:c>
      <x:c r="C811" s="69"/>
      <x:c r="D811" s="82" t="str">
        <x:f>IF(ISNUMBER('Transfer_Ratings'!K811),'Transfer_Ratings'!K811,"")</x:f>
      </x:c>
      <x:c r="E811" s="86"/>
      <x:c r="F811" s="86"/>
      <x:c r="G811" s="86"/>
      <x:c r="H811" s="86"/>
      <x:c r="I811" s="86"/>
      <x:c r="J811" s="82" t="str">
        <x:f>IF(C811="","Choose position",IF(COUNT(E811:I811)&lt;5,"",IF(OR(MIN(E811:I811)&lt;0.1,MAX(E811:I811)&gt;10),"Invalid score",IF(INDEX('Position_Rubric'!$H$6:$H$14,M811)&lt;&gt;1,"Check weights",ROUND(E811*INDEX('Position_Rubric'!$C$6:$C$14,M811)+F811*INDEX('Position_Rubric'!$D$6:$D$14,M811)+G811*INDEX('Position_Rubric'!$E$6:$E$14,M811)+H811*INDEX('Position_Rubric'!$F$6:$F$14,M811)+I811*INDEX('Position_Rubric'!$G$6:$G$14,M811),1)))))</x:f>
        <x:v>Choose position</x:v>
      </x:c>
      <x:c r="K811" s="82" t="str">
        <x:f>IF(AND(ISNUMBER(J811),ISNUMBER(D811)),J811-D811,"")</x:f>
      </x:c>
      <x:c r="L811" s="69" t="str">
        <x:f>IF(COUNT(E811:I811)&lt;5,"Needs component scores",IF(ISNUMBER(J811),"Calculated",J811))</x:f>
        <x:v>Needs component scores</x:v>
      </x:c>
      <x:c r="M811" s="69" t="str">
        <x:f>IF(C811="","",MATCH(C811,'Position_Rubric'!$A$6:$A$14,0))</x:f>
      </x:c>
      <x:c r="N811" s="69" t="str"/>
    </x:row>
    <x:row r="812" ht="25" customHeight="1">
      <x:c r="A812" s="69" t="str">
        <x:v>summer-S26-0060</x:v>
      </x:c>
      <x:c r="B812" s="69" t="str">
        <x:v>Maurice Krattenmacher</x:v>
      </x:c>
      <x:c r="C812" s="69"/>
      <x:c r="D812" s="82" t="str">
        <x:f>IF(ISNUMBER('Transfer_Ratings'!K812),'Transfer_Ratings'!K812,"")</x:f>
      </x:c>
      <x:c r="E812" s="86"/>
      <x:c r="F812" s="86"/>
      <x:c r="G812" s="86"/>
      <x:c r="H812" s="86"/>
      <x:c r="I812" s="86"/>
      <x:c r="J812" s="82" t="str">
        <x:f>IF(C812="","Choose position",IF(COUNT(E812:I812)&lt;5,"",IF(OR(MIN(E812:I812)&lt;0.1,MAX(E812:I812)&gt;10),"Invalid score",IF(INDEX('Position_Rubric'!$H$6:$H$14,M812)&lt;&gt;1,"Check weights",ROUND(E812*INDEX('Position_Rubric'!$C$6:$C$14,M812)+F812*INDEX('Position_Rubric'!$D$6:$D$14,M812)+G812*INDEX('Position_Rubric'!$E$6:$E$14,M812)+H812*INDEX('Position_Rubric'!$F$6:$F$14,M812)+I812*INDEX('Position_Rubric'!$G$6:$G$14,M812),1)))))</x:f>
        <x:v>Choose position</x:v>
      </x:c>
      <x:c r="K812" s="82" t="str">
        <x:f>IF(AND(ISNUMBER(J812),ISNUMBER(D812)),J812-D812,"")</x:f>
      </x:c>
      <x:c r="L812" s="69" t="str">
        <x:f>IF(COUNT(E812:I812)&lt;5,"Needs component scores",IF(ISNUMBER(J812),"Calculated",J812))</x:f>
        <x:v>Needs component scores</x:v>
      </x:c>
      <x:c r="M812" s="69" t="str">
        <x:f>IF(C812="","",MATCH(C812,'Position_Rubric'!$A$6:$A$14,0))</x:f>
      </x:c>
      <x:c r="N812" s="69" t="str"/>
    </x:row>
    <x:row r="813" ht="25" customHeight="1">
      <x:c r="A813" s="69" t="str">
        <x:v>summer-S26-0061</x:v>
      </x:c>
      <x:c r="B813" s="69" t="str">
        <x:v>Jahmai Simpson-Pusey</x:v>
      </x:c>
      <x:c r="C813" s="69"/>
      <x:c r="D813" s="82" t="str">
        <x:f>IF(ISNUMBER('Transfer_Ratings'!K813),'Transfer_Ratings'!K813,"")</x:f>
      </x:c>
      <x:c r="E813" s="86"/>
      <x:c r="F813" s="86"/>
      <x:c r="G813" s="86"/>
      <x:c r="H813" s="86"/>
      <x:c r="I813" s="86"/>
      <x:c r="J813" s="82" t="str">
        <x:f>IF(C813="","Choose position",IF(COUNT(E813:I813)&lt;5,"",IF(OR(MIN(E813:I813)&lt;0.1,MAX(E813:I813)&gt;10),"Invalid score",IF(INDEX('Position_Rubric'!$H$6:$H$14,M813)&lt;&gt;1,"Check weights",ROUND(E813*INDEX('Position_Rubric'!$C$6:$C$14,M813)+F813*INDEX('Position_Rubric'!$D$6:$D$14,M813)+G813*INDEX('Position_Rubric'!$E$6:$E$14,M813)+H813*INDEX('Position_Rubric'!$F$6:$F$14,M813)+I813*INDEX('Position_Rubric'!$G$6:$G$14,M813),1)))))</x:f>
        <x:v>Choose position</x:v>
      </x:c>
      <x:c r="K813" s="82" t="str">
        <x:f>IF(AND(ISNUMBER(J813),ISNUMBER(D813)),J813-D813,"")</x:f>
      </x:c>
      <x:c r="L813" s="69" t="str">
        <x:f>IF(COUNT(E813:I813)&lt;5,"Needs component scores",IF(ISNUMBER(J813),"Calculated",J813))</x:f>
        <x:v>Needs component scores</x:v>
      </x:c>
      <x:c r="M813" s="69" t="str">
        <x:f>IF(C813="","",MATCH(C813,'Position_Rubric'!$A$6:$A$14,0))</x:f>
      </x:c>
      <x:c r="N813" s="69" t="str"/>
    </x:row>
    <x:row r="814" ht="25" customHeight="1">
      <x:c r="A814" s="69" t="str">
        <x:v>summer-S26-0062</x:v>
      </x:c>
      <x:c r="B814" s="69" t="str">
        <x:v>Fabio Gruber</x:v>
      </x:c>
      <x:c r="C814" s="69"/>
      <x:c r="D814" s="82" t="str">
        <x:f>IF(ISNUMBER('Transfer_Ratings'!K814),'Transfer_Ratings'!K814,"")</x:f>
      </x:c>
      <x:c r="E814" s="86"/>
      <x:c r="F814" s="86"/>
      <x:c r="G814" s="86"/>
      <x:c r="H814" s="86"/>
      <x:c r="I814" s="86"/>
      <x:c r="J814" s="82" t="str">
        <x:f>IF(C814="","Choose position",IF(COUNT(E814:I814)&lt;5,"",IF(OR(MIN(E814:I814)&lt;0.1,MAX(E814:I814)&gt;10),"Invalid score",IF(INDEX('Position_Rubric'!$H$6:$H$14,M814)&lt;&gt;1,"Check weights",ROUND(E814*INDEX('Position_Rubric'!$C$6:$C$14,M814)+F814*INDEX('Position_Rubric'!$D$6:$D$14,M814)+G814*INDEX('Position_Rubric'!$E$6:$E$14,M814)+H814*INDEX('Position_Rubric'!$F$6:$F$14,M814)+I814*INDEX('Position_Rubric'!$G$6:$G$14,M814),1)))))</x:f>
        <x:v>Choose position</x:v>
      </x:c>
      <x:c r="K814" s="82" t="str">
        <x:f>IF(AND(ISNUMBER(J814),ISNUMBER(D814)),J814-D814,"")</x:f>
      </x:c>
      <x:c r="L814" s="69" t="str">
        <x:f>IF(COUNT(E814:I814)&lt;5,"Needs component scores",IF(ISNUMBER(J814),"Calculated",J814))</x:f>
        <x:v>Needs component scores</x:v>
      </x:c>
      <x:c r="M814" s="69" t="str">
        <x:f>IF(C814="","",MATCH(C814,'Position_Rubric'!$A$6:$A$14,0))</x:f>
      </x:c>
      <x:c r="N814" s="69" t="str"/>
    </x:row>
    <x:row r="815" ht="25" customHeight="1">
      <x:c r="A815" s="69" t="str">
        <x:v>summer-S26-0065</x:v>
      </x:c>
      <x:c r="B815" s="69" t="str">
        <x:v>Ville Koski</x:v>
      </x:c>
      <x:c r="C815" s="69"/>
      <x:c r="D815" s="82" t="str">
        <x:f>IF(ISNUMBER('Transfer_Ratings'!K815),'Transfer_Ratings'!K815,"")</x:f>
      </x:c>
      <x:c r="E815" s="86"/>
      <x:c r="F815" s="86"/>
      <x:c r="G815" s="86"/>
      <x:c r="H815" s="86"/>
      <x:c r="I815" s="86"/>
      <x:c r="J815" s="82" t="str">
        <x:f>IF(C815="","Choose position",IF(COUNT(E815:I815)&lt;5,"",IF(OR(MIN(E815:I815)&lt;0.1,MAX(E815:I815)&gt;10),"Invalid score",IF(INDEX('Position_Rubric'!$H$6:$H$14,M815)&lt;&gt;1,"Check weights",ROUND(E815*INDEX('Position_Rubric'!$C$6:$C$14,M815)+F815*INDEX('Position_Rubric'!$D$6:$D$14,M815)+G815*INDEX('Position_Rubric'!$E$6:$E$14,M815)+H815*INDEX('Position_Rubric'!$F$6:$F$14,M815)+I815*INDEX('Position_Rubric'!$G$6:$G$14,M815),1)))))</x:f>
        <x:v>Choose position</x:v>
      </x:c>
      <x:c r="K815" s="82" t="str">
        <x:f>IF(AND(ISNUMBER(J815),ISNUMBER(D815)),J815-D815,"")</x:f>
      </x:c>
      <x:c r="L815" s="69" t="str">
        <x:f>IF(COUNT(E815:I815)&lt;5,"Needs component scores",IF(ISNUMBER(J815),"Calculated",J815))</x:f>
        <x:v>Needs component scores</x:v>
      </x:c>
      <x:c r="M815" s="69" t="str">
        <x:f>IF(C815="","",MATCH(C815,'Position_Rubric'!$A$6:$A$14,0))</x:f>
      </x:c>
      <x:c r="N815" s="69" t="str"/>
    </x:row>
    <x:row r="816" ht="25" customHeight="1">
      <x:c r="A816" s="69" t="str">
        <x:v>summer-S26-0066</x:v>
      </x:c>
      <x:c r="B816" s="69" t="str">
        <x:v>Zeno Van Den Bosch</x:v>
      </x:c>
      <x:c r="C816" s="69"/>
      <x:c r="D816" s="82" t="str">
        <x:f>IF(ISNUMBER('Transfer_Ratings'!K816),'Transfer_Ratings'!K816,"")</x:f>
      </x:c>
      <x:c r="E816" s="86"/>
      <x:c r="F816" s="86"/>
      <x:c r="G816" s="86"/>
      <x:c r="H816" s="86"/>
      <x:c r="I816" s="86"/>
      <x:c r="J816" s="82" t="str">
        <x:f>IF(C816="","Choose position",IF(COUNT(E816:I816)&lt;5,"",IF(OR(MIN(E816:I816)&lt;0.1,MAX(E816:I816)&gt;10),"Invalid score",IF(INDEX('Position_Rubric'!$H$6:$H$14,M816)&lt;&gt;1,"Check weights",ROUND(E816*INDEX('Position_Rubric'!$C$6:$C$14,M816)+F816*INDEX('Position_Rubric'!$D$6:$D$14,M816)+G816*INDEX('Position_Rubric'!$E$6:$E$14,M816)+H816*INDEX('Position_Rubric'!$F$6:$F$14,M816)+I816*INDEX('Position_Rubric'!$G$6:$G$14,M816),1)))))</x:f>
        <x:v>Choose position</x:v>
      </x:c>
      <x:c r="K816" s="82" t="str">
        <x:f>IF(AND(ISNUMBER(J816),ISNUMBER(D816)),J816-D816,"")</x:f>
      </x:c>
      <x:c r="L816" s="69" t="str">
        <x:f>IF(COUNT(E816:I816)&lt;5,"Needs component scores",IF(ISNUMBER(J816),"Calculated",J816))</x:f>
        <x:v>Needs component scores</x:v>
      </x:c>
      <x:c r="M816" s="69" t="str">
        <x:f>IF(C816="","",MATCH(C816,'Position_Rubric'!$A$6:$A$14,0))</x:f>
      </x:c>
      <x:c r="N816" s="69" t="str"/>
    </x:row>
    <x:row r="817" ht="25" customHeight="1">
      <x:c r="A817" s="69" t="str">
        <x:v>summer-S26-0067</x:v>
      </x:c>
      <x:c r="B817" s="69" t="str">
        <x:v>Marc Cucurella</x:v>
      </x:c>
      <x:c r="C817" s="69"/>
      <x:c r="D817" s="82" t="str">
        <x:f>IF(ISNUMBER('Transfer_Ratings'!K817),'Transfer_Ratings'!K817,"")</x:f>
      </x:c>
      <x:c r="E817" s="86"/>
      <x:c r="F817" s="86"/>
      <x:c r="G817" s="86"/>
      <x:c r="H817" s="86"/>
      <x:c r="I817" s="86"/>
      <x:c r="J817" s="82" t="str">
        <x:f>IF(C817="","Choose position",IF(COUNT(E817:I817)&lt;5,"",IF(OR(MIN(E817:I817)&lt;0.1,MAX(E817:I817)&gt;10),"Invalid score",IF(INDEX('Position_Rubric'!$H$6:$H$14,M817)&lt;&gt;1,"Check weights",ROUND(E817*INDEX('Position_Rubric'!$C$6:$C$14,M817)+F817*INDEX('Position_Rubric'!$D$6:$D$14,M817)+G817*INDEX('Position_Rubric'!$E$6:$E$14,M817)+H817*INDEX('Position_Rubric'!$F$6:$F$14,M817)+I817*INDEX('Position_Rubric'!$G$6:$G$14,M817),1)))))</x:f>
        <x:v>Choose position</x:v>
      </x:c>
      <x:c r="K817" s="82" t="str">
        <x:f>IF(AND(ISNUMBER(J817),ISNUMBER(D817)),J817-D817,"")</x:f>
      </x:c>
      <x:c r="L817" s="69" t="str">
        <x:f>IF(COUNT(E817:I817)&lt;5,"Needs component scores",IF(ISNUMBER(J817),"Calculated",J817))</x:f>
        <x:v>Needs component scores</x:v>
      </x:c>
      <x:c r="M817" s="69" t="str">
        <x:f>IF(C817="","",MATCH(C817,'Position_Rubric'!$A$6:$A$14,0))</x:f>
      </x:c>
      <x:c r="N817" s="69" t="str"/>
    </x:row>
    <x:row r="818" ht="25" customHeight="1">
      <x:c r="A818" s="69" t="str">
        <x:v>summer-S26-0068</x:v>
      </x:c>
      <x:c r="B818" s="69" t="str">
        <x:v>Francis Onyeka</x:v>
      </x:c>
      <x:c r="C818" s="69"/>
      <x:c r="D818" s="82" t="str">
        <x:f>IF(ISNUMBER('Transfer_Ratings'!K818),'Transfer_Ratings'!K818,"")</x:f>
      </x:c>
      <x:c r="E818" s="86"/>
      <x:c r="F818" s="86"/>
      <x:c r="G818" s="86"/>
      <x:c r="H818" s="86"/>
      <x:c r="I818" s="86"/>
      <x:c r="J818" s="82" t="str">
        <x:f>IF(C818="","Choose position",IF(COUNT(E818:I818)&lt;5,"",IF(OR(MIN(E818:I818)&lt;0.1,MAX(E818:I818)&gt;10),"Invalid score",IF(INDEX('Position_Rubric'!$H$6:$H$14,M818)&lt;&gt;1,"Check weights",ROUND(E818*INDEX('Position_Rubric'!$C$6:$C$14,M818)+F818*INDEX('Position_Rubric'!$D$6:$D$14,M818)+G818*INDEX('Position_Rubric'!$E$6:$E$14,M818)+H818*INDEX('Position_Rubric'!$F$6:$F$14,M818)+I818*INDEX('Position_Rubric'!$G$6:$G$14,M818),1)))))</x:f>
        <x:v>Choose position</x:v>
      </x:c>
      <x:c r="K818" s="82" t="str">
        <x:f>IF(AND(ISNUMBER(J818),ISNUMBER(D818)),J818-D818,"")</x:f>
      </x:c>
      <x:c r="L818" s="69" t="str">
        <x:f>IF(COUNT(E818:I818)&lt;5,"Needs component scores",IF(ISNUMBER(J818),"Calculated",J818))</x:f>
        <x:v>Needs component scores</x:v>
      </x:c>
      <x:c r="M818" s="69" t="str">
        <x:f>IF(C818="","",MATCH(C818,'Position_Rubric'!$A$6:$A$14,0))</x:f>
      </x:c>
      <x:c r="N818" s="69" t="str"/>
    </x:row>
    <x:row r="819" ht="25" customHeight="1">
      <x:c r="A819" s="69" t="str">
        <x:v>summer-S26-0070</x:v>
      </x:c>
      <x:c r="B819" s="69" t="str">
        <x:v>Anthony Lopes</x:v>
      </x:c>
      <x:c r="C819" s="69" t="str">
        <x:v>GK</x:v>
      </x:c>
      <x:c r="D819" s="82" t="str">
        <x:f>IF(ISNUMBER('Transfer_Ratings'!K819),'Transfer_Ratings'!K819,"")</x:f>
      </x:c>
      <x:c r="E819" s="86"/>
      <x:c r="F819" s="86"/>
      <x:c r="G819" s="86"/>
      <x:c r="H819" s="86"/>
      <x:c r="I819" s="86"/>
      <x:c r="J819" s="82" t="str">
        <x:f>IF(C819="","Choose position",IF(COUNT(E819:I819)&lt;5,"",IF(OR(MIN(E819:I819)&lt;0.1,MAX(E819:I819)&gt;10),"Invalid score",IF(INDEX('Position_Rubric'!$H$6:$H$14,M819)&lt;&gt;1,"Check weights",ROUND(E819*INDEX('Position_Rubric'!$C$6:$C$14,M819)+F819*INDEX('Position_Rubric'!$D$6:$D$14,M819)+G819*INDEX('Position_Rubric'!$E$6:$E$14,M819)+H819*INDEX('Position_Rubric'!$F$6:$F$14,M819)+I819*INDEX('Position_Rubric'!$G$6:$G$14,M819),1)))))</x:f>
      </x:c>
      <x:c r="K819" s="82" t="str">
        <x:f>IF(AND(ISNUMBER(J819),ISNUMBER(D819)),J819-D819,"")</x:f>
      </x:c>
      <x:c r="L819" s="69" t="str">
        <x:f>IF(COUNT(E819:I819)&lt;5,"Needs component scores",IF(ISNUMBER(J819),"Calculated",J819))</x:f>
        <x:v>Needs component scores</x:v>
      </x:c>
      <x:c r="M819" s="69" t="n">
        <x:f>IF(C819="","",MATCH(C819,'Position_Rubric'!$A$6:$A$14,0))</x:f>
        <x:v>9</x:v>
      </x:c>
      <x:c r="N819" s="69" t="str"/>
    </x:row>
    <x:row r="820" ht="25" customHeight="1">
      <x:c r="A820" s="69" t="str">
        <x:v>summer-S26-0071</x:v>
      </x:c>
      <x:c r="B820" s="69" t="str">
        <x:v>Costinha</x:v>
      </x:c>
      <x:c r="C820" s="69"/>
      <x:c r="D820" s="82" t="str">
        <x:f>IF(ISNUMBER('Transfer_Ratings'!K820),'Transfer_Ratings'!K820,"")</x:f>
      </x:c>
      <x:c r="E820" s="86"/>
      <x:c r="F820" s="86"/>
      <x:c r="G820" s="86"/>
      <x:c r="H820" s="86"/>
      <x:c r="I820" s="86"/>
      <x:c r="J820" s="82" t="str">
        <x:f>IF(C820="","Choose position",IF(COUNT(E820:I820)&lt;5,"",IF(OR(MIN(E820:I820)&lt;0.1,MAX(E820:I820)&gt;10),"Invalid score",IF(INDEX('Position_Rubric'!$H$6:$H$14,M820)&lt;&gt;1,"Check weights",ROUND(E820*INDEX('Position_Rubric'!$C$6:$C$14,M820)+F820*INDEX('Position_Rubric'!$D$6:$D$14,M820)+G820*INDEX('Position_Rubric'!$E$6:$E$14,M820)+H820*INDEX('Position_Rubric'!$F$6:$F$14,M820)+I820*INDEX('Position_Rubric'!$G$6:$G$14,M820),1)))))</x:f>
        <x:v>Choose position</x:v>
      </x:c>
      <x:c r="K820" s="82" t="str">
        <x:f>IF(AND(ISNUMBER(J820),ISNUMBER(D820)),J820-D820,"")</x:f>
      </x:c>
      <x:c r="L820" s="69" t="str">
        <x:f>IF(COUNT(E820:I820)&lt;5,"Needs component scores",IF(ISNUMBER(J820),"Calculated",J820))</x:f>
        <x:v>Needs component scores</x:v>
      </x:c>
      <x:c r="M820" s="69" t="str">
        <x:f>IF(C820="","",MATCH(C820,'Position_Rubric'!$A$6:$A$14,0))</x:f>
      </x:c>
      <x:c r="N820" s="69" t="str"/>
    </x:row>
    <x:row r="821" ht="25" customHeight="1">
      <x:c r="A821" s="69" t="str">
        <x:v>summer-S26-0074</x:v>
      </x:c>
      <x:c r="B821" s="69" t="str">
        <x:v>Arouna Sangante</x:v>
      </x:c>
      <x:c r="C821" s="69"/>
      <x:c r="D821" s="82" t="str">
        <x:f>IF(ISNUMBER('Transfer_Ratings'!K821),'Transfer_Ratings'!K821,"")</x:f>
      </x:c>
      <x:c r="E821" s="86"/>
      <x:c r="F821" s="86"/>
      <x:c r="G821" s="86"/>
      <x:c r="H821" s="86"/>
      <x:c r="I821" s="86"/>
      <x:c r="J821" s="82" t="str">
        <x:f>IF(C821="","Choose position",IF(COUNT(E821:I821)&lt;5,"",IF(OR(MIN(E821:I821)&lt;0.1,MAX(E821:I821)&gt;10),"Invalid score",IF(INDEX('Position_Rubric'!$H$6:$H$14,M821)&lt;&gt;1,"Check weights",ROUND(E821*INDEX('Position_Rubric'!$C$6:$C$14,M821)+F821*INDEX('Position_Rubric'!$D$6:$D$14,M821)+G821*INDEX('Position_Rubric'!$E$6:$E$14,M821)+H821*INDEX('Position_Rubric'!$F$6:$F$14,M821)+I821*INDEX('Position_Rubric'!$G$6:$G$14,M821),1)))))</x:f>
        <x:v>Choose position</x:v>
      </x:c>
      <x:c r="K821" s="82" t="str">
        <x:f>IF(AND(ISNUMBER(J821),ISNUMBER(D821)),J821-D821,"")</x:f>
      </x:c>
      <x:c r="L821" s="69" t="str">
        <x:f>IF(COUNT(E821:I821)&lt;5,"Needs component scores",IF(ISNUMBER(J821),"Calculated",J821))</x:f>
        <x:v>Needs component scores</x:v>
      </x:c>
      <x:c r="M821" s="69" t="str">
        <x:f>IF(C821="","",MATCH(C821,'Position_Rubric'!$A$6:$A$14,0))</x:f>
      </x:c>
      <x:c r="N821" s="69" t="str"/>
    </x:row>
    <x:row r="822" ht="25" customHeight="1">
      <x:c r="A822" s="69" t="str">
        <x:v>summer-S26-0075</x:v>
      </x:c>
      <x:c r="B822" s="69" t="str">
        <x:v>Florian Hellstern</x:v>
      </x:c>
      <x:c r="C822" s="69" t="str">
        <x:v>GK</x:v>
      </x:c>
      <x:c r="D822" s="82" t="str">
        <x:f>IF(ISNUMBER('Transfer_Ratings'!K822),'Transfer_Ratings'!K822,"")</x:f>
      </x:c>
      <x:c r="E822" s="86"/>
      <x:c r="F822" s="86"/>
      <x:c r="G822" s="86"/>
      <x:c r="H822" s="86"/>
      <x:c r="I822" s="86"/>
      <x:c r="J822" s="82" t="str">
        <x:f>IF(C822="","Choose position",IF(COUNT(E822:I822)&lt;5,"",IF(OR(MIN(E822:I822)&lt;0.1,MAX(E822:I822)&gt;10),"Invalid score",IF(INDEX('Position_Rubric'!$H$6:$H$14,M822)&lt;&gt;1,"Check weights",ROUND(E822*INDEX('Position_Rubric'!$C$6:$C$14,M822)+F822*INDEX('Position_Rubric'!$D$6:$D$14,M822)+G822*INDEX('Position_Rubric'!$E$6:$E$14,M822)+H822*INDEX('Position_Rubric'!$F$6:$F$14,M822)+I822*INDEX('Position_Rubric'!$G$6:$G$14,M822),1)))))</x:f>
      </x:c>
      <x:c r="K822" s="82" t="str">
        <x:f>IF(AND(ISNUMBER(J822),ISNUMBER(D822)),J822-D822,"")</x:f>
      </x:c>
      <x:c r="L822" s="69" t="str">
        <x:f>IF(COUNT(E822:I822)&lt;5,"Needs component scores",IF(ISNUMBER(J822),"Calculated",J822))</x:f>
        <x:v>Needs component scores</x:v>
      </x:c>
      <x:c r="M822" s="69" t="n">
        <x:f>IF(C822="","",MATCH(C822,'Position_Rubric'!$A$6:$A$14,0))</x:f>
        <x:v>9</x:v>
      </x:c>
      <x:c r="N822" s="69" t="str"/>
    </x:row>
    <x:row r="823" ht="25" customHeight="1">
      <x:c r="A823" s="69" t="str">
        <x:v>summer-S26-0080</x:v>
      </x:c>
      <x:c r="B823" s="69" t="str">
        <x:v>Bernardo Silva</x:v>
      </x:c>
      <x:c r="C823" s="69"/>
      <x:c r="D823" s="82" t="str">
        <x:f>IF(ISNUMBER('Transfer_Ratings'!K823),'Transfer_Ratings'!K823,"")</x:f>
      </x:c>
      <x:c r="E823" s="86"/>
      <x:c r="F823" s="86"/>
      <x:c r="G823" s="86"/>
      <x:c r="H823" s="86"/>
      <x:c r="I823" s="86"/>
      <x:c r="J823" s="82" t="str">
        <x:f>IF(C823="","Choose position",IF(COUNT(E823:I823)&lt;5,"",IF(OR(MIN(E823:I823)&lt;0.1,MAX(E823:I823)&gt;10),"Invalid score",IF(INDEX('Position_Rubric'!$H$6:$H$14,M823)&lt;&gt;1,"Check weights",ROUND(E823*INDEX('Position_Rubric'!$C$6:$C$14,M823)+F823*INDEX('Position_Rubric'!$D$6:$D$14,M823)+G823*INDEX('Position_Rubric'!$E$6:$E$14,M823)+H823*INDEX('Position_Rubric'!$F$6:$F$14,M823)+I823*INDEX('Position_Rubric'!$G$6:$G$14,M823),1)))))</x:f>
        <x:v>Choose position</x:v>
      </x:c>
      <x:c r="K823" s="82" t="str">
        <x:f>IF(AND(ISNUMBER(J823),ISNUMBER(D823)),J823-D823,"")</x:f>
      </x:c>
      <x:c r="L823" s="69" t="str">
        <x:f>IF(COUNT(E823:I823)&lt;5,"Needs component scores",IF(ISNUMBER(J823),"Calculated",J823))</x:f>
        <x:v>Needs component scores</x:v>
      </x:c>
      <x:c r="M823" s="69" t="str">
        <x:f>IF(C823="","",MATCH(C823,'Position_Rubric'!$A$6:$A$14,0))</x:f>
      </x:c>
      <x:c r="N823" s="69" t="str"/>
    </x:row>
    <x:row r="824" ht="25" customHeight="1">
      <x:c r="A824" s="69" t="str">
        <x:v>summer-S26-0082</x:v>
      </x:c>
      <x:c r="B824" s="69" t="str">
        <x:v>Sebastian Walukiewicz</x:v>
      </x:c>
      <x:c r="C824" s="69"/>
      <x:c r="D824" s="82" t="str">
        <x:f>IF(ISNUMBER('Transfer_Ratings'!K824),'Transfer_Ratings'!K824,"")</x:f>
      </x:c>
      <x:c r="E824" s="86"/>
      <x:c r="F824" s="86"/>
      <x:c r="G824" s="86"/>
      <x:c r="H824" s="86"/>
      <x:c r="I824" s="86"/>
      <x:c r="J824" s="82" t="str">
        <x:f>IF(C824="","Choose position",IF(COUNT(E824:I824)&lt;5,"",IF(OR(MIN(E824:I824)&lt;0.1,MAX(E824:I824)&gt;10),"Invalid score",IF(INDEX('Position_Rubric'!$H$6:$H$14,M824)&lt;&gt;1,"Check weights",ROUND(E824*INDEX('Position_Rubric'!$C$6:$C$14,M824)+F824*INDEX('Position_Rubric'!$D$6:$D$14,M824)+G824*INDEX('Position_Rubric'!$E$6:$E$14,M824)+H824*INDEX('Position_Rubric'!$F$6:$F$14,M824)+I824*INDEX('Position_Rubric'!$G$6:$G$14,M824),1)))))</x:f>
        <x:v>Choose position</x:v>
      </x:c>
      <x:c r="K824" s="82" t="str">
        <x:f>IF(AND(ISNUMBER(J824),ISNUMBER(D824)),J824-D824,"")</x:f>
      </x:c>
      <x:c r="L824" s="69" t="str">
        <x:f>IF(COUNT(E824:I824)&lt;5,"Needs component scores",IF(ISNUMBER(J824),"Calculated",J824))</x:f>
        <x:v>Needs component scores</x:v>
      </x:c>
      <x:c r="M824" s="69" t="str">
        <x:f>IF(C824="","",MATCH(C824,'Position_Rubric'!$A$6:$A$14,0))</x:f>
      </x:c>
      <x:c r="N824" s="69" t="str"/>
    </x:row>
    <x:row r="825" ht="25" customHeight="1">
      <x:c r="A825" s="69" t="str">
        <x:v>summer-S26-0083</x:v>
      </x:c>
      <x:c r="B825" s="69" t="str">
        <x:v>Ruan</x:v>
      </x:c>
      <x:c r="C825" s="69"/>
      <x:c r="D825" s="82" t="str">
        <x:f>IF(ISNUMBER('Transfer_Ratings'!K825),'Transfer_Ratings'!K825,"")</x:f>
      </x:c>
      <x:c r="E825" s="86"/>
      <x:c r="F825" s="86"/>
      <x:c r="G825" s="86"/>
      <x:c r="H825" s="86"/>
      <x:c r="I825" s="86"/>
      <x:c r="J825" s="82" t="str">
        <x:f>IF(C825="","Choose position",IF(COUNT(E825:I825)&lt;5,"",IF(OR(MIN(E825:I825)&lt;0.1,MAX(E825:I825)&gt;10),"Invalid score",IF(INDEX('Position_Rubric'!$H$6:$H$14,M825)&lt;&gt;1,"Check weights",ROUND(E825*INDEX('Position_Rubric'!$C$6:$C$14,M825)+F825*INDEX('Position_Rubric'!$D$6:$D$14,M825)+G825*INDEX('Position_Rubric'!$E$6:$E$14,M825)+H825*INDEX('Position_Rubric'!$F$6:$F$14,M825)+I825*INDEX('Position_Rubric'!$G$6:$G$14,M825),1)))))</x:f>
        <x:v>Choose position</x:v>
      </x:c>
      <x:c r="K825" s="82" t="str">
        <x:f>IF(AND(ISNUMBER(J825),ISNUMBER(D825)),J825-D825,"")</x:f>
      </x:c>
      <x:c r="L825" s="69" t="str">
        <x:f>IF(COUNT(E825:I825)&lt;5,"Needs component scores",IF(ISNUMBER(J825),"Calculated",J825))</x:f>
        <x:v>Needs component scores</x:v>
      </x:c>
      <x:c r="M825" s="69" t="str">
        <x:f>IF(C825="","",MATCH(C825,'Position_Rubric'!$A$6:$A$14,0))</x:f>
      </x:c>
      <x:c r="N825" s="69" t="str"/>
    </x:row>
    <x:row r="826" ht="25" customHeight="1">
      <x:c r="A826" s="69" t="str">
        <x:v>summer-S26-0085</x:v>
      </x:c>
      <x:c r="B826" s="69" t="str">
        <x:v>Sean Dulic</x:v>
      </x:c>
      <x:c r="C826" s="69"/>
      <x:c r="D826" s="82" t="str">
        <x:f>IF(ISNUMBER('Transfer_Ratings'!K826),'Transfer_Ratings'!K826,"")</x:f>
      </x:c>
      <x:c r="E826" s="86"/>
      <x:c r="F826" s="86"/>
      <x:c r="G826" s="86"/>
      <x:c r="H826" s="86"/>
      <x:c r="I826" s="86"/>
      <x:c r="J826" s="82" t="str">
        <x:f>IF(C826="","Choose position",IF(COUNT(E826:I826)&lt;5,"",IF(OR(MIN(E826:I826)&lt;0.1,MAX(E826:I826)&gt;10),"Invalid score",IF(INDEX('Position_Rubric'!$H$6:$H$14,M826)&lt;&gt;1,"Check weights",ROUND(E826*INDEX('Position_Rubric'!$C$6:$C$14,M826)+F826*INDEX('Position_Rubric'!$D$6:$D$14,M826)+G826*INDEX('Position_Rubric'!$E$6:$E$14,M826)+H826*INDEX('Position_Rubric'!$F$6:$F$14,M826)+I826*INDEX('Position_Rubric'!$G$6:$G$14,M826),1)))))</x:f>
        <x:v>Choose position</x:v>
      </x:c>
      <x:c r="K826" s="82" t="str">
        <x:f>IF(AND(ISNUMBER(J826),ISNUMBER(D826)),J826-D826,"")</x:f>
      </x:c>
      <x:c r="L826" s="69" t="str">
        <x:f>IF(COUNT(E826:I826)&lt;5,"Needs component scores",IF(ISNUMBER(J826),"Calculated",J826))</x:f>
        <x:v>Needs component scores</x:v>
      </x:c>
      <x:c r="M826" s="69" t="str">
        <x:f>IF(C826="","",MATCH(C826,'Position_Rubric'!$A$6:$A$14,0))</x:f>
      </x:c>
      <x:c r="N826" s="69" t="str"/>
    </x:row>
    <x:row r="827" ht="25" customHeight="1">
      <x:c r="A827" s="69" t="str">
        <x:v>summer-S26-0086</x:v>
      </x:c>
      <x:c r="B827" s="69" t="str">
        <x:v>Víctor Chust</x:v>
      </x:c>
      <x:c r="C827" s="69"/>
      <x:c r="D827" s="82" t="str">
        <x:f>IF(ISNUMBER('Transfer_Ratings'!K827),'Transfer_Ratings'!K827,"")</x:f>
      </x:c>
      <x:c r="E827" s="86"/>
      <x:c r="F827" s="86"/>
      <x:c r="G827" s="86"/>
      <x:c r="H827" s="86"/>
      <x:c r="I827" s="86"/>
      <x:c r="J827" s="82" t="str">
        <x:f>IF(C827="","Choose position",IF(COUNT(E827:I827)&lt;5,"",IF(OR(MIN(E827:I827)&lt;0.1,MAX(E827:I827)&gt;10),"Invalid score",IF(INDEX('Position_Rubric'!$H$6:$H$14,M827)&lt;&gt;1,"Check weights",ROUND(E827*INDEX('Position_Rubric'!$C$6:$C$14,M827)+F827*INDEX('Position_Rubric'!$D$6:$D$14,M827)+G827*INDEX('Position_Rubric'!$E$6:$E$14,M827)+H827*INDEX('Position_Rubric'!$F$6:$F$14,M827)+I827*INDEX('Position_Rubric'!$G$6:$G$14,M827),1)))))</x:f>
        <x:v>Choose position</x:v>
      </x:c>
      <x:c r="K827" s="82" t="str">
        <x:f>IF(AND(ISNUMBER(J827),ISNUMBER(D827)),J827-D827,"")</x:f>
      </x:c>
      <x:c r="L827" s="69" t="str">
        <x:f>IF(COUNT(E827:I827)&lt;5,"Needs component scores",IF(ISNUMBER(J827),"Calculated",J827))</x:f>
        <x:v>Needs component scores</x:v>
      </x:c>
      <x:c r="M827" s="69" t="str">
        <x:f>IF(C827="","",MATCH(C827,'Position_Rubric'!$A$6:$A$14,0))</x:f>
      </x:c>
      <x:c r="N827" s="69" t="str"/>
    </x:row>
    <x:row r="828" ht="25" customHeight="1">
      <x:c r="A828" s="69" t="str">
        <x:v>summer-S26-0087</x:v>
      </x:c>
      <x:c r="B828" s="69" t="str">
        <x:v>Emmanuel Chukwu</x:v>
      </x:c>
      <x:c r="C828" s="69"/>
      <x:c r="D828" s="82" t="str">
        <x:f>IF(ISNUMBER('Transfer_Ratings'!K828),'Transfer_Ratings'!K828,"")</x:f>
      </x:c>
      <x:c r="E828" s="86"/>
      <x:c r="F828" s="86"/>
      <x:c r="G828" s="86"/>
      <x:c r="H828" s="86"/>
      <x:c r="I828" s="86"/>
      <x:c r="J828" s="82" t="str">
        <x:f>IF(C828="","Choose position",IF(COUNT(E828:I828)&lt;5,"",IF(OR(MIN(E828:I828)&lt;0.1,MAX(E828:I828)&gt;10),"Invalid score",IF(INDEX('Position_Rubric'!$H$6:$H$14,M828)&lt;&gt;1,"Check weights",ROUND(E828*INDEX('Position_Rubric'!$C$6:$C$14,M828)+F828*INDEX('Position_Rubric'!$D$6:$D$14,M828)+G828*INDEX('Position_Rubric'!$E$6:$E$14,M828)+H828*INDEX('Position_Rubric'!$F$6:$F$14,M828)+I828*INDEX('Position_Rubric'!$G$6:$G$14,M828),1)))))</x:f>
        <x:v>Choose position</x:v>
      </x:c>
      <x:c r="K828" s="82" t="str">
        <x:f>IF(AND(ISNUMBER(J828),ISNUMBER(D828)),J828-D828,"")</x:f>
      </x:c>
      <x:c r="L828" s="69" t="str">
        <x:f>IF(COUNT(E828:I828)&lt;5,"Needs component scores",IF(ISNUMBER(J828),"Calculated",J828))</x:f>
        <x:v>Needs component scores</x:v>
      </x:c>
      <x:c r="M828" s="69" t="str">
        <x:f>IF(C828="","",MATCH(C828,'Position_Rubric'!$A$6:$A$14,0))</x:f>
      </x:c>
      <x:c r="N828" s="69" t="str"/>
    </x:row>
    <x:row r="829" ht="25" customHeight="1">
      <x:c r="A829" s="69" t="str">
        <x:v>summer-S26-0088</x:v>
      </x:c>
      <x:c r="B829" s="69" t="str">
        <x:v>Mauro Arambarri</x:v>
      </x:c>
      <x:c r="C829" s="69"/>
      <x:c r="D829" s="82" t="str">
        <x:f>IF(ISNUMBER('Transfer_Ratings'!K829),'Transfer_Ratings'!K829,"")</x:f>
      </x:c>
      <x:c r="E829" s="86"/>
      <x:c r="F829" s="86"/>
      <x:c r="G829" s="86"/>
      <x:c r="H829" s="86"/>
      <x:c r="I829" s="86"/>
      <x:c r="J829" s="82" t="str">
        <x:f>IF(C829="","Choose position",IF(COUNT(E829:I829)&lt;5,"",IF(OR(MIN(E829:I829)&lt;0.1,MAX(E829:I829)&gt;10),"Invalid score",IF(INDEX('Position_Rubric'!$H$6:$H$14,M829)&lt;&gt;1,"Check weights",ROUND(E829*INDEX('Position_Rubric'!$C$6:$C$14,M829)+F829*INDEX('Position_Rubric'!$D$6:$D$14,M829)+G829*INDEX('Position_Rubric'!$E$6:$E$14,M829)+H829*INDEX('Position_Rubric'!$F$6:$F$14,M829)+I829*INDEX('Position_Rubric'!$G$6:$G$14,M829),1)))))</x:f>
        <x:v>Choose position</x:v>
      </x:c>
      <x:c r="K829" s="82" t="str">
        <x:f>IF(AND(ISNUMBER(J829),ISNUMBER(D829)),J829-D829,"")</x:f>
      </x:c>
      <x:c r="L829" s="69" t="str">
        <x:f>IF(COUNT(E829:I829)&lt;5,"Needs component scores",IF(ISNUMBER(J829),"Calculated",J829))</x:f>
        <x:v>Needs component scores</x:v>
      </x:c>
      <x:c r="M829" s="69" t="str">
        <x:f>IF(C829="","",MATCH(C829,'Position_Rubric'!$A$6:$A$14,0))</x:f>
      </x:c>
      <x:c r="N829" s="69" t="str"/>
    </x:row>
    <x:row r="830" ht="25" customHeight="1">
      <x:c r="A830" s="69" t="str">
        <x:v>summer-S26-0089</x:v>
      </x:c>
      <x:c r="B830" s="69" t="str">
        <x:v>Ibrahima Konaté</x:v>
      </x:c>
      <x:c r="C830" s="69"/>
      <x:c r="D830" s="82" t="str">
        <x:f>IF(ISNUMBER('Transfer_Ratings'!K830),'Transfer_Ratings'!K830,"")</x:f>
      </x:c>
      <x:c r="E830" s="86"/>
      <x:c r="F830" s="86"/>
      <x:c r="G830" s="86"/>
      <x:c r="H830" s="86"/>
      <x:c r="I830" s="86"/>
      <x:c r="J830" s="82" t="str">
        <x:f>IF(C830="","Choose position",IF(COUNT(E830:I830)&lt;5,"",IF(OR(MIN(E830:I830)&lt;0.1,MAX(E830:I830)&gt;10),"Invalid score",IF(INDEX('Position_Rubric'!$H$6:$H$14,M830)&lt;&gt;1,"Check weights",ROUND(E830*INDEX('Position_Rubric'!$C$6:$C$14,M830)+F830*INDEX('Position_Rubric'!$D$6:$D$14,M830)+G830*INDEX('Position_Rubric'!$E$6:$E$14,M830)+H830*INDEX('Position_Rubric'!$F$6:$F$14,M830)+I830*INDEX('Position_Rubric'!$G$6:$G$14,M830),1)))))</x:f>
        <x:v>Choose position</x:v>
      </x:c>
      <x:c r="K830" s="82" t="str">
        <x:f>IF(AND(ISNUMBER(J830),ISNUMBER(D830)),J830-D830,"")</x:f>
      </x:c>
      <x:c r="L830" s="69" t="str">
        <x:f>IF(COUNT(E830:I830)&lt;5,"Needs component scores",IF(ISNUMBER(J830),"Calculated",J830))</x:f>
        <x:v>Needs component scores</x:v>
      </x:c>
      <x:c r="M830" s="69" t="str">
        <x:f>IF(C830="","",MATCH(C830,'Position_Rubric'!$A$6:$A$14,0))</x:f>
      </x:c>
      <x:c r="N830" s="69" t="str"/>
    </x:row>
    <x:row r="831" ht="25" customHeight="1">
      <x:c r="A831" s="69" t="str">
        <x:v>summer-S26-0090</x:v>
      </x:c>
      <x:c r="B831" s="69" t="str">
        <x:v>Zento Uno</x:v>
      </x:c>
      <x:c r="C831" s="69"/>
      <x:c r="D831" s="82" t="str">
        <x:f>IF(ISNUMBER('Transfer_Ratings'!K831),'Transfer_Ratings'!K831,"")</x:f>
      </x:c>
      <x:c r="E831" s="86"/>
      <x:c r="F831" s="86"/>
      <x:c r="G831" s="86"/>
      <x:c r="H831" s="86"/>
      <x:c r="I831" s="86"/>
      <x:c r="J831" s="82" t="str">
        <x:f>IF(C831="","Choose position",IF(COUNT(E831:I831)&lt;5,"",IF(OR(MIN(E831:I831)&lt;0.1,MAX(E831:I831)&gt;10),"Invalid score",IF(INDEX('Position_Rubric'!$H$6:$H$14,M831)&lt;&gt;1,"Check weights",ROUND(E831*INDEX('Position_Rubric'!$C$6:$C$14,M831)+F831*INDEX('Position_Rubric'!$D$6:$D$14,M831)+G831*INDEX('Position_Rubric'!$E$6:$E$14,M831)+H831*INDEX('Position_Rubric'!$F$6:$F$14,M831)+I831*INDEX('Position_Rubric'!$G$6:$G$14,M831),1)))))</x:f>
        <x:v>Choose position</x:v>
      </x:c>
      <x:c r="K831" s="82" t="str">
        <x:f>IF(AND(ISNUMBER(J831),ISNUMBER(D831)),J831-D831,"")</x:f>
      </x:c>
      <x:c r="L831" s="69" t="str">
        <x:f>IF(COUNT(E831:I831)&lt;5,"Needs component scores",IF(ISNUMBER(J831),"Calculated",J831))</x:f>
        <x:v>Needs component scores</x:v>
      </x:c>
      <x:c r="M831" s="69" t="str">
        <x:f>IF(C831="","",MATCH(C831,'Position_Rubric'!$A$6:$A$14,0))</x:f>
      </x:c>
      <x:c r="N831" s="69" t="str"/>
    </x:row>
    <x:row r="832" ht="25" customHeight="1">
      <x:c r="A832" s="69" t="str">
        <x:v>summer-S26-0091</x:v>
      </x:c>
      <x:c r="B832" s="69" t="str">
        <x:v>Jano ter Horst</x:v>
      </x:c>
      <x:c r="C832" s="69"/>
      <x:c r="D832" s="82" t="str">
        <x:f>IF(ISNUMBER('Transfer_Ratings'!K832),'Transfer_Ratings'!K832,"")</x:f>
      </x:c>
      <x:c r="E832" s="86"/>
      <x:c r="F832" s="86"/>
      <x:c r="G832" s="86"/>
      <x:c r="H832" s="86"/>
      <x:c r="I832" s="86"/>
      <x:c r="J832" s="82" t="str">
        <x:f>IF(C832="","Choose position",IF(COUNT(E832:I832)&lt;5,"",IF(OR(MIN(E832:I832)&lt;0.1,MAX(E832:I832)&gt;10),"Invalid score",IF(INDEX('Position_Rubric'!$H$6:$H$14,M832)&lt;&gt;1,"Check weights",ROUND(E832*INDEX('Position_Rubric'!$C$6:$C$14,M832)+F832*INDEX('Position_Rubric'!$D$6:$D$14,M832)+G832*INDEX('Position_Rubric'!$E$6:$E$14,M832)+H832*INDEX('Position_Rubric'!$F$6:$F$14,M832)+I832*INDEX('Position_Rubric'!$G$6:$G$14,M832),1)))))</x:f>
        <x:v>Choose position</x:v>
      </x:c>
      <x:c r="K832" s="82" t="str">
        <x:f>IF(AND(ISNUMBER(J832),ISNUMBER(D832)),J832-D832,"")</x:f>
      </x:c>
      <x:c r="L832" s="69" t="str">
        <x:f>IF(COUNT(E832:I832)&lt;5,"Needs component scores",IF(ISNUMBER(J832),"Calculated",J832))</x:f>
        <x:v>Needs component scores</x:v>
      </x:c>
      <x:c r="M832" s="69" t="str">
        <x:f>IF(C832="","",MATCH(C832,'Position_Rubric'!$A$6:$A$14,0))</x:f>
      </x:c>
      <x:c r="N832" s="69" t="str"/>
    </x:row>
    <x:row r="833" ht="25" customHeight="1">
      <x:c r="A833" s="69" t="str">
        <x:v>summer-S26-0096</x:v>
      </x:c>
      <x:c r="B833" s="69" t="str">
        <x:v>Milan Aleksic</x:v>
      </x:c>
      <x:c r="C833" s="69"/>
      <x:c r="D833" s="82" t="str">
        <x:f>IF(ISNUMBER('Transfer_Ratings'!K833),'Transfer_Ratings'!K833,"")</x:f>
      </x:c>
      <x:c r="E833" s="86"/>
      <x:c r="F833" s="86"/>
      <x:c r="G833" s="86"/>
      <x:c r="H833" s="86"/>
      <x:c r="I833" s="86"/>
      <x:c r="J833" s="82" t="str">
        <x:f>IF(C833="","Choose position",IF(COUNT(E833:I833)&lt;5,"",IF(OR(MIN(E833:I833)&lt;0.1,MAX(E833:I833)&gt;10),"Invalid score",IF(INDEX('Position_Rubric'!$H$6:$H$14,M833)&lt;&gt;1,"Check weights",ROUND(E833*INDEX('Position_Rubric'!$C$6:$C$14,M833)+F833*INDEX('Position_Rubric'!$D$6:$D$14,M833)+G833*INDEX('Position_Rubric'!$E$6:$E$14,M833)+H833*INDEX('Position_Rubric'!$F$6:$F$14,M833)+I833*INDEX('Position_Rubric'!$G$6:$G$14,M833),1)))))</x:f>
        <x:v>Choose position</x:v>
      </x:c>
      <x:c r="K833" s="82" t="str">
        <x:f>IF(AND(ISNUMBER(J833),ISNUMBER(D833)),J833-D833,"")</x:f>
      </x:c>
      <x:c r="L833" s="69" t="str">
        <x:f>IF(COUNT(E833:I833)&lt;5,"Needs component scores",IF(ISNUMBER(J833),"Calculated",J833))</x:f>
        <x:v>Needs component scores</x:v>
      </x:c>
      <x:c r="M833" s="69" t="str">
        <x:f>IF(C833="","",MATCH(C833,'Position_Rubric'!$A$6:$A$14,0))</x:f>
      </x:c>
      <x:c r="N833" s="69" t="str"/>
    </x:row>
    <x:row r="834" ht="25" customHeight="1">
      <x:c r="A834" s="69" t="str">
        <x:v>summer-S26-0097</x:v>
      </x:c>
      <x:c r="B834" s="69" t="str">
        <x:v>Harrison Jones</x:v>
      </x:c>
      <x:c r="C834" s="69"/>
      <x:c r="D834" s="82" t="str">
        <x:f>IF(ISNUMBER('Transfer_Ratings'!K834),'Transfer_Ratings'!K834,"")</x:f>
      </x:c>
      <x:c r="E834" s="86"/>
      <x:c r="F834" s="86"/>
      <x:c r="G834" s="86"/>
      <x:c r="H834" s="86"/>
      <x:c r="I834" s="86"/>
      <x:c r="J834" s="82" t="str">
        <x:f>IF(C834="","Choose position",IF(COUNT(E834:I834)&lt;5,"",IF(OR(MIN(E834:I834)&lt;0.1,MAX(E834:I834)&gt;10),"Invalid score",IF(INDEX('Position_Rubric'!$H$6:$H$14,M834)&lt;&gt;1,"Check weights",ROUND(E834*INDEX('Position_Rubric'!$C$6:$C$14,M834)+F834*INDEX('Position_Rubric'!$D$6:$D$14,M834)+G834*INDEX('Position_Rubric'!$E$6:$E$14,M834)+H834*INDEX('Position_Rubric'!$F$6:$F$14,M834)+I834*INDEX('Position_Rubric'!$G$6:$G$14,M834),1)))))</x:f>
        <x:v>Choose position</x:v>
      </x:c>
      <x:c r="K834" s="82" t="str">
        <x:f>IF(AND(ISNUMBER(J834),ISNUMBER(D834)),J834-D834,"")</x:f>
      </x:c>
      <x:c r="L834" s="69" t="str">
        <x:f>IF(COUNT(E834:I834)&lt;5,"Needs component scores",IF(ISNUMBER(J834),"Calculated",J834))</x:f>
        <x:v>Needs component scores</x:v>
      </x:c>
      <x:c r="M834" s="69" t="str">
        <x:f>IF(C834="","",MATCH(C834,'Position_Rubric'!$A$6:$A$14,0))</x:f>
      </x:c>
      <x:c r="N834" s="69" t="str"/>
    </x:row>
    <x:row r="835" ht="25" customHeight="1">
      <x:c r="A835" s="69" t="str">
        <x:v>summer-S26-0100</x:v>
      </x:c>
      <x:c r="B835" s="69" t="str">
        <x:v>Daouda Guindo</x:v>
      </x:c>
      <x:c r="C835" s="69"/>
      <x:c r="D835" s="82" t="str">
        <x:f>IF(ISNUMBER('Transfer_Ratings'!K835),'Transfer_Ratings'!K835,"")</x:f>
      </x:c>
      <x:c r="E835" s="86"/>
      <x:c r="F835" s="86"/>
      <x:c r="G835" s="86"/>
      <x:c r="H835" s="86"/>
      <x:c r="I835" s="86"/>
      <x:c r="J835" s="82" t="str">
        <x:f>IF(C835="","Choose position",IF(COUNT(E835:I835)&lt;5,"",IF(OR(MIN(E835:I835)&lt;0.1,MAX(E835:I835)&gt;10),"Invalid score",IF(INDEX('Position_Rubric'!$H$6:$H$14,M835)&lt;&gt;1,"Check weights",ROUND(E835*INDEX('Position_Rubric'!$C$6:$C$14,M835)+F835*INDEX('Position_Rubric'!$D$6:$D$14,M835)+G835*INDEX('Position_Rubric'!$E$6:$E$14,M835)+H835*INDEX('Position_Rubric'!$F$6:$F$14,M835)+I835*INDEX('Position_Rubric'!$G$6:$G$14,M835),1)))))</x:f>
        <x:v>Choose position</x:v>
      </x:c>
      <x:c r="K835" s="82" t="str">
        <x:f>IF(AND(ISNUMBER(J835),ISNUMBER(D835)),J835-D835,"")</x:f>
      </x:c>
      <x:c r="L835" s="69" t="str">
        <x:f>IF(COUNT(E835:I835)&lt;5,"Needs component scores",IF(ISNUMBER(J835),"Calculated",J835))</x:f>
        <x:v>Needs component scores</x:v>
      </x:c>
      <x:c r="M835" s="69" t="str">
        <x:f>IF(C835="","",MATCH(C835,'Position_Rubric'!$A$6:$A$14,0))</x:f>
      </x:c>
      <x:c r="N835" s="69" t="str"/>
    </x:row>
    <x:row r="836" ht="25" customHeight="1">
      <x:c r="A836" s="69" t="str">
        <x:v>summer-S26-0101</x:v>
      </x:c>
      <x:c r="B836" s="69" t="str">
        <x:v>Dominique Heintz</x:v>
      </x:c>
      <x:c r="C836" s="69"/>
      <x:c r="D836" s="82" t="str">
        <x:f>IF(ISNUMBER('Transfer_Ratings'!K836),'Transfer_Ratings'!K836,"")</x:f>
      </x:c>
      <x:c r="E836" s="86"/>
      <x:c r="F836" s="86"/>
      <x:c r="G836" s="86"/>
      <x:c r="H836" s="86"/>
      <x:c r="I836" s="86"/>
      <x:c r="J836" s="82" t="str">
        <x:f>IF(C836="","Choose position",IF(COUNT(E836:I836)&lt;5,"",IF(OR(MIN(E836:I836)&lt;0.1,MAX(E836:I836)&gt;10),"Invalid score",IF(INDEX('Position_Rubric'!$H$6:$H$14,M836)&lt;&gt;1,"Check weights",ROUND(E836*INDEX('Position_Rubric'!$C$6:$C$14,M836)+F836*INDEX('Position_Rubric'!$D$6:$D$14,M836)+G836*INDEX('Position_Rubric'!$E$6:$E$14,M836)+H836*INDEX('Position_Rubric'!$F$6:$F$14,M836)+I836*INDEX('Position_Rubric'!$G$6:$G$14,M836),1)))))</x:f>
        <x:v>Choose position</x:v>
      </x:c>
      <x:c r="K836" s="82" t="str">
        <x:f>IF(AND(ISNUMBER(J836),ISNUMBER(D836)),J836-D836,"")</x:f>
      </x:c>
      <x:c r="L836" s="69" t="str">
        <x:f>IF(COUNT(E836:I836)&lt;5,"Needs component scores",IF(ISNUMBER(J836),"Calculated",J836))</x:f>
        <x:v>Needs component scores</x:v>
      </x:c>
      <x:c r="M836" s="69" t="str">
        <x:f>IF(C836="","",MATCH(C836,'Position_Rubric'!$A$6:$A$14,0))</x:f>
      </x:c>
      <x:c r="N836" s="69" t="str"/>
    </x:row>
    <x:row r="837" ht="25" customHeight="1">
      <x:c r="A837" s="69" t="str">
        <x:v>summer-S26-0102</x:v>
      </x:c>
      <x:c r="B837" s="69" t="str">
        <x:v>Mateo Flores</x:v>
      </x:c>
      <x:c r="C837" s="69"/>
      <x:c r="D837" s="82" t="str">
        <x:f>IF(ISNUMBER('Transfer_Ratings'!K837),'Transfer_Ratings'!K837,"")</x:f>
      </x:c>
      <x:c r="E837" s="86"/>
      <x:c r="F837" s="86"/>
      <x:c r="G837" s="86"/>
      <x:c r="H837" s="86"/>
      <x:c r="I837" s="86"/>
      <x:c r="J837" s="82" t="str">
        <x:f>IF(C837="","Choose position",IF(COUNT(E837:I837)&lt;5,"",IF(OR(MIN(E837:I837)&lt;0.1,MAX(E837:I837)&gt;10),"Invalid score",IF(INDEX('Position_Rubric'!$H$6:$H$14,M837)&lt;&gt;1,"Check weights",ROUND(E837*INDEX('Position_Rubric'!$C$6:$C$14,M837)+F837*INDEX('Position_Rubric'!$D$6:$D$14,M837)+G837*INDEX('Position_Rubric'!$E$6:$E$14,M837)+H837*INDEX('Position_Rubric'!$F$6:$F$14,M837)+I837*INDEX('Position_Rubric'!$G$6:$G$14,M837),1)))))</x:f>
        <x:v>Choose position</x:v>
      </x:c>
      <x:c r="K837" s="82" t="str">
        <x:f>IF(AND(ISNUMBER(J837),ISNUMBER(D837)),J837-D837,"")</x:f>
      </x:c>
      <x:c r="L837" s="69" t="str">
        <x:f>IF(COUNT(E837:I837)&lt;5,"Needs component scores",IF(ISNUMBER(J837),"Calculated",J837))</x:f>
        <x:v>Needs component scores</x:v>
      </x:c>
      <x:c r="M837" s="69" t="str">
        <x:f>IF(C837="","",MATCH(C837,'Position_Rubric'!$A$6:$A$14,0))</x:f>
      </x:c>
      <x:c r="N837" s="69" t="str"/>
    </x:row>
    <x:row r="838" ht="25" customHeight="1">
      <x:c r="A838" s="69" t="str">
        <x:v>summer-S26-0103</x:v>
      </x:c>
      <x:c r="B838" s="69" t="str">
        <x:v>Razvan Sava</x:v>
      </x:c>
      <x:c r="C838" s="69" t="str">
        <x:v>GK</x:v>
      </x:c>
      <x:c r="D838" s="82" t="str">
        <x:f>IF(ISNUMBER('Transfer_Ratings'!K838),'Transfer_Ratings'!K838,"")</x:f>
      </x:c>
      <x:c r="E838" s="86"/>
      <x:c r="F838" s="86"/>
      <x:c r="G838" s="86"/>
      <x:c r="H838" s="86"/>
      <x:c r="I838" s="86"/>
      <x:c r="J838" s="82" t="str">
        <x:f>IF(C838="","Choose position",IF(COUNT(E838:I838)&lt;5,"",IF(OR(MIN(E838:I838)&lt;0.1,MAX(E838:I838)&gt;10),"Invalid score",IF(INDEX('Position_Rubric'!$H$6:$H$14,M838)&lt;&gt;1,"Check weights",ROUND(E838*INDEX('Position_Rubric'!$C$6:$C$14,M838)+F838*INDEX('Position_Rubric'!$D$6:$D$14,M838)+G838*INDEX('Position_Rubric'!$E$6:$E$14,M838)+H838*INDEX('Position_Rubric'!$F$6:$F$14,M838)+I838*INDEX('Position_Rubric'!$G$6:$G$14,M838),1)))))</x:f>
      </x:c>
      <x:c r="K838" s="82" t="str">
        <x:f>IF(AND(ISNUMBER(J838),ISNUMBER(D838)),J838-D838,"")</x:f>
      </x:c>
      <x:c r="L838" s="69" t="str">
        <x:f>IF(COUNT(E838:I838)&lt;5,"Needs component scores",IF(ISNUMBER(J838),"Calculated",J838))</x:f>
        <x:v>Needs component scores</x:v>
      </x:c>
      <x:c r="M838" s="69" t="n">
        <x:f>IF(C838="","",MATCH(C838,'Position_Rubric'!$A$6:$A$14,0))</x:f>
        <x:v>9</x:v>
      </x:c>
      <x:c r="N838" s="69" t="str"/>
    </x:row>
    <x:row r="839" ht="25" customHeight="1">
      <x:c r="A839" s="69" t="str">
        <x:v>summer-S26-0104</x:v>
      </x:c>
      <x:c r="B839" s="69" t="str">
        <x:v>Pele Arganese-McDermott</x:v>
      </x:c>
      <x:c r="C839" s="69"/>
      <x:c r="D839" s="82" t="str">
        <x:f>IF(ISNUMBER('Transfer_Ratings'!K839),'Transfer_Ratings'!K839,"")</x:f>
      </x:c>
      <x:c r="E839" s="86"/>
      <x:c r="F839" s="86"/>
      <x:c r="G839" s="86"/>
      <x:c r="H839" s="86"/>
      <x:c r="I839" s="86"/>
      <x:c r="J839" s="82" t="str">
        <x:f>IF(C839="","Choose position",IF(COUNT(E839:I839)&lt;5,"",IF(OR(MIN(E839:I839)&lt;0.1,MAX(E839:I839)&gt;10),"Invalid score",IF(INDEX('Position_Rubric'!$H$6:$H$14,M839)&lt;&gt;1,"Check weights",ROUND(E839*INDEX('Position_Rubric'!$C$6:$C$14,M839)+F839*INDEX('Position_Rubric'!$D$6:$D$14,M839)+G839*INDEX('Position_Rubric'!$E$6:$E$14,M839)+H839*INDEX('Position_Rubric'!$F$6:$F$14,M839)+I839*INDEX('Position_Rubric'!$G$6:$G$14,M839),1)))))</x:f>
        <x:v>Choose position</x:v>
      </x:c>
      <x:c r="K839" s="82" t="str">
        <x:f>IF(AND(ISNUMBER(J839),ISNUMBER(D839)),J839-D839,"")</x:f>
      </x:c>
      <x:c r="L839" s="69" t="str">
        <x:f>IF(COUNT(E839:I839)&lt;5,"Needs component scores",IF(ISNUMBER(J839),"Calculated",J839))</x:f>
        <x:v>Needs component scores</x:v>
      </x:c>
      <x:c r="M839" s="69" t="str">
        <x:f>IF(C839="","",MATCH(C839,'Position_Rubric'!$A$6:$A$14,0))</x:f>
      </x:c>
      <x:c r="N839" s="69" t="str"/>
    </x:row>
    <x:row r="840" ht="25" customHeight="1">
      <x:c r="A840" s="69" t="str">
        <x:v>summer-S26-0105</x:v>
      </x:c>
      <x:c r="B840" s="69" t="str">
        <x:v>Giovanni Daffara</x:v>
      </x:c>
      <x:c r="C840" s="69" t="str">
        <x:v>GK</x:v>
      </x:c>
      <x:c r="D840" s="82" t="str">
        <x:f>IF(ISNUMBER('Transfer_Ratings'!K840),'Transfer_Ratings'!K840,"")</x:f>
      </x:c>
      <x:c r="E840" s="86"/>
      <x:c r="F840" s="86"/>
      <x:c r="G840" s="86"/>
      <x:c r="H840" s="86"/>
      <x:c r="I840" s="86"/>
      <x:c r="J840" s="82" t="str">
        <x:f>IF(C840="","Choose position",IF(COUNT(E840:I840)&lt;5,"",IF(OR(MIN(E840:I840)&lt;0.1,MAX(E840:I840)&gt;10),"Invalid score",IF(INDEX('Position_Rubric'!$H$6:$H$14,M840)&lt;&gt;1,"Check weights",ROUND(E840*INDEX('Position_Rubric'!$C$6:$C$14,M840)+F840*INDEX('Position_Rubric'!$D$6:$D$14,M840)+G840*INDEX('Position_Rubric'!$E$6:$E$14,M840)+H840*INDEX('Position_Rubric'!$F$6:$F$14,M840)+I840*INDEX('Position_Rubric'!$G$6:$G$14,M840),1)))))</x:f>
      </x:c>
      <x:c r="K840" s="82" t="str">
        <x:f>IF(AND(ISNUMBER(J840),ISNUMBER(D840)),J840-D840,"")</x:f>
      </x:c>
      <x:c r="L840" s="69" t="str">
        <x:f>IF(COUNT(E840:I840)&lt;5,"Needs component scores",IF(ISNUMBER(J840),"Calculated",J840))</x:f>
        <x:v>Needs component scores</x:v>
      </x:c>
      <x:c r="M840" s="69" t="n">
        <x:f>IF(C840="","",MATCH(C840,'Position_Rubric'!$A$6:$A$14,0))</x:f>
        <x:v>9</x:v>
      </x:c>
      <x:c r="N840" s="69" t="str"/>
    </x:row>
    <x:row r="841" ht="25" customHeight="1">
      <x:c r="A841" s="69" t="str">
        <x:v>summer-S26-0106</x:v>
      </x:c>
      <x:c r="B841" s="69" t="str">
        <x:v>Giovanni Daffara</x:v>
      </x:c>
      <x:c r="C841" s="69" t="str">
        <x:v>GK</x:v>
      </x:c>
      <x:c r="D841" s="82" t="str">
        <x:f>IF(ISNUMBER('Transfer_Ratings'!K841),'Transfer_Ratings'!K841,"")</x:f>
      </x:c>
      <x:c r="E841" s="86"/>
      <x:c r="F841" s="86"/>
      <x:c r="G841" s="86"/>
      <x:c r="H841" s="86"/>
      <x:c r="I841" s="86"/>
      <x:c r="J841" s="82" t="str">
        <x:f>IF(C841="","Choose position",IF(COUNT(E841:I841)&lt;5,"",IF(OR(MIN(E841:I841)&lt;0.1,MAX(E841:I841)&gt;10),"Invalid score",IF(INDEX('Position_Rubric'!$H$6:$H$14,M841)&lt;&gt;1,"Check weights",ROUND(E841*INDEX('Position_Rubric'!$C$6:$C$14,M841)+F841*INDEX('Position_Rubric'!$D$6:$D$14,M841)+G841*INDEX('Position_Rubric'!$E$6:$E$14,M841)+H841*INDEX('Position_Rubric'!$F$6:$F$14,M841)+I841*INDEX('Position_Rubric'!$G$6:$G$14,M841),1)))))</x:f>
      </x:c>
      <x:c r="K841" s="82" t="str">
        <x:f>IF(AND(ISNUMBER(J841),ISNUMBER(D841)),J841-D841,"")</x:f>
      </x:c>
      <x:c r="L841" s="69" t="str">
        <x:f>IF(COUNT(E841:I841)&lt;5,"Needs component scores",IF(ISNUMBER(J841),"Calculated",J841))</x:f>
        <x:v>Needs component scores</x:v>
      </x:c>
      <x:c r="M841" s="69" t="n">
        <x:f>IF(C841="","",MATCH(C841,'Position_Rubric'!$A$6:$A$14,0))</x:f>
        <x:v>9</x:v>
      </x:c>
      <x:c r="N841" s="69" t="str"/>
    </x:row>
    <x:row r="842" ht="25" customHeight="1">
      <x:c r="A842" s="69" t="str">
        <x:v>summer-S26-0107</x:v>
      </x:c>
      <x:c r="B842" s="69" t="str">
        <x:v>Gonçalo Oliveira</x:v>
      </x:c>
      <x:c r="C842" s="69"/>
      <x:c r="D842" s="82" t="str">
        <x:f>IF(ISNUMBER('Transfer_Ratings'!K842),'Transfer_Ratings'!K842,"")</x:f>
      </x:c>
      <x:c r="E842" s="86"/>
      <x:c r="F842" s="86"/>
      <x:c r="G842" s="86"/>
      <x:c r="H842" s="86"/>
      <x:c r="I842" s="86"/>
      <x:c r="J842" s="82" t="str">
        <x:f>IF(C842="","Choose position",IF(COUNT(E842:I842)&lt;5,"",IF(OR(MIN(E842:I842)&lt;0.1,MAX(E842:I842)&gt;10),"Invalid score",IF(INDEX('Position_Rubric'!$H$6:$H$14,M842)&lt;&gt;1,"Check weights",ROUND(E842*INDEX('Position_Rubric'!$C$6:$C$14,M842)+F842*INDEX('Position_Rubric'!$D$6:$D$14,M842)+G842*INDEX('Position_Rubric'!$E$6:$E$14,M842)+H842*INDEX('Position_Rubric'!$F$6:$F$14,M842)+I842*INDEX('Position_Rubric'!$G$6:$G$14,M842),1)))))</x:f>
        <x:v>Choose position</x:v>
      </x:c>
      <x:c r="K842" s="82" t="str">
        <x:f>IF(AND(ISNUMBER(J842),ISNUMBER(D842)),J842-D842,"")</x:f>
      </x:c>
      <x:c r="L842" s="69" t="str">
        <x:f>IF(COUNT(E842:I842)&lt;5,"Needs component scores",IF(ISNUMBER(J842),"Calculated",J842))</x:f>
        <x:v>Needs component scores</x:v>
      </x:c>
      <x:c r="M842" s="69" t="str">
        <x:f>IF(C842="","",MATCH(C842,'Position_Rubric'!$A$6:$A$14,0))</x:f>
      </x:c>
      <x:c r="N842" s="69" t="str"/>
    </x:row>
    <x:row r="843" ht="25" customHeight="1">
      <x:c r="A843" s="69" t="str">
        <x:v>summer-S26-0108</x:v>
      </x:c>
      <x:c r="B843" s="69" t="str">
        <x:v>Alessandro Nunziante</x:v>
      </x:c>
      <x:c r="C843" s="69" t="str">
        <x:v>GK</x:v>
      </x:c>
      <x:c r="D843" s="82" t="str">
        <x:f>IF(ISNUMBER('Transfer_Ratings'!K843),'Transfer_Ratings'!K843,"")</x:f>
      </x:c>
      <x:c r="E843" s="86"/>
      <x:c r="F843" s="86"/>
      <x:c r="G843" s="86"/>
      <x:c r="H843" s="86"/>
      <x:c r="I843" s="86"/>
      <x:c r="J843" s="82" t="str">
        <x:f>IF(C843="","Choose position",IF(COUNT(E843:I843)&lt;5,"",IF(OR(MIN(E843:I843)&lt;0.1,MAX(E843:I843)&gt;10),"Invalid score",IF(INDEX('Position_Rubric'!$H$6:$H$14,M843)&lt;&gt;1,"Check weights",ROUND(E843*INDEX('Position_Rubric'!$C$6:$C$14,M843)+F843*INDEX('Position_Rubric'!$D$6:$D$14,M843)+G843*INDEX('Position_Rubric'!$E$6:$E$14,M843)+H843*INDEX('Position_Rubric'!$F$6:$F$14,M843)+I843*INDEX('Position_Rubric'!$G$6:$G$14,M843),1)))))</x:f>
      </x:c>
      <x:c r="K843" s="82" t="str">
        <x:f>IF(AND(ISNUMBER(J843),ISNUMBER(D843)),J843-D843,"")</x:f>
      </x:c>
      <x:c r="L843" s="69" t="str">
        <x:f>IF(COUNT(E843:I843)&lt;5,"Needs component scores",IF(ISNUMBER(J843),"Calculated",J843))</x:f>
        <x:v>Needs component scores</x:v>
      </x:c>
      <x:c r="M843" s="69" t="n">
        <x:f>IF(C843="","",MATCH(C843,'Position_Rubric'!$A$6:$A$14,0))</x:f>
        <x:v>9</x:v>
      </x:c>
      <x:c r="N843" s="69" t="str"/>
    </x:row>
    <x:row r="844" ht="25" customHeight="1">
      <x:c r="A844" s="69" t="str">
        <x:v>summer-S26-0111</x:v>
      </x:c>
      <x:c r="B844" s="69" t="str">
        <x:v>Marcel Lubik</x:v>
      </x:c>
      <x:c r="C844" s="69" t="str">
        <x:v>GK</x:v>
      </x:c>
      <x:c r="D844" s="82" t="str">
        <x:f>IF(ISNUMBER('Transfer_Ratings'!K844),'Transfer_Ratings'!K844,"")</x:f>
      </x:c>
      <x:c r="E844" s="86"/>
      <x:c r="F844" s="86"/>
      <x:c r="G844" s="86"/>
      <x:c r="H844" s="86"/>
      <x:c r="I844" s="86"/>
      <x:c r="J844" s="82" t="str">
        <x:f>IF(C844="","Choose position",IF(COUNT(E844:I844)&lt;5,"",IF(OR(MIN(E844:I844)&lt;0.1,MAX(E844:I844)&gt;10),"Invalid score",IF(INDEX('Position_Rubric'!$H$6:$H$14,M844)&lt;&gt;1,"Check weights",ROUND(E844*INDEX('Position_Rubric'!$C$6:$C$14,M844)+F844*INDEX('Position_Rubric'!$D$6:$D$14,M844)+G844*INDEX('Position_Rubric'!$E$6:$E$14,M844)+H844*INDEX('Position_Rubric'!$F$6:$F$14,M844)+I844*INDEX('Position_Rubric'!$G$6:$G$14,M844),1)))))</x:f>
      </x:c>
      <x:c r="K844" s="82" t="str">
        <x:f>IF(AND(ISNUMBER(J844),ISNUMBER(D844)),J844-D844,"")</x:f>
      </x:c>
      <x:c r="L844" s="69" t="str">
        <x:f>IF(COUNT(E844:I844)&lt;5,"Needs component scores",IF(ISNUMBER(J844),"Calculated",J844))</x:f>
        <x:v>Needs component scores</x:v>
      </x:c>
      <x:c r="M844" s="69" t="n">
        <x:f>IF(C844="","",MATCH(C844,'Position_Rubric'!$A$6:$A$14,0))</x:f>
        <x:v>9</x:v>
      </x:c>
      <x:c r="N844" s="69" t="str"/>
    </x:row>
    <x:row r="845" ht="25" customHeight="1">
      <x:c r="A845" s="69" t="str">
        <x:v>summer-S26-0112</x:v>
      </x:c>
      <x:c r="B845" s="69" t="str">
        <x:v>Karl Hein</x:v>
      </x:c>
      <x:c r="C845" s="69" t="str">
        <x:v>GK</x:v>
      </x:c>
      <x:c r="D845" s="82" t="str">
        <x:f>IF(ISNUMBER('Transfer_Ratings'!K845),'Transfer_Ratings'!K845,"")</x:f>
      </x:c>
      <x:c r="E845" s="86"/>
      <x:c r="F845" s="86"/>
      <x:c r="G845" s="86"/>
      <x:c r="H845" s="86"/>
      <x:c r="I845" s="86"/>
      <x:c r="J845" s="82" t="str">
        <x:f>IF(C845="","Choose position",IF(COUNT(E845:I845)&lt;5,"",IF(OR(MIN(E845:I845)&lt;0.1,MAX(E845:I845)&gt;10),"Invalid score",IF(INDEX('Position_Rubric'!$H$6:$H$14,M845)&lt;&gt;1,"Check weights",ROUND(E845*INDEX('Position_Rubric'!$C$6:$C$14,M845)+F845*INDEX('Position_Rubric'!$D$6:$D$14,M845)+G845*INDEX('Position_Rubric'!$E$6:$E$14,M845)+H845*INDEX('Position_Rubric'!$F$6:$F$14,M845)+I845*INDEX('Position_Rubric'!$G$6:$G$14,M845),1)))))</x:f>
      </x:c>
      <x:c r="K845" s="82" t="str">
        <x:f>IF(AND(ISNUMBER(J845),ISNUMBER(D845)),J845-D845,"")</x:f>
      </x:c>
      <x:c r="L845" s="69" t="str">
        <x:f>IF(COUNT(E845:I845)&lt;5,"Needs component scores",IF(ISNUMBER(J845),"Calculated",J845))</x:f>
        <x:v>Needs component scores</x:v>
      </x:c>
      <x:c r="M845" s="69" t="n">
        <x:f>IF(C845="","",MATCH(C845,'Position_Rubric'!$A$6:$A$14,0))</x:f>
        <x:v>9</x:v>
      </x:c>
      <x:c r="N845" s="69" t="str"/>
    </x:row>
    <x:row r="846" ht="25" customHeight="1">
      <x:c r="A846" s="69" t="str">
        <x:v>summer-S26-0113</x:v>
      </x:c>
      <x:c r="B846" s="69" t="str">
        <x:v>Mio Backhaus</x:v>
      </x:c>
      <x:c r="C846" s="69" t="str">
        <x:v>GK</x:v>
      </x:c>
      <x:c r="D846" s="82" t="str">
        <x:f>IF(ISNUMBER('Transfer_Ratings'!K846),'Transfer_Ratings'!K846,"")</x:f>
      </x:c>
      <x:c r="E846" s="86"/>
      <x:c r="F846" s="86"/>
      <x:c r="G846" s="86"/>
      <x:c r="H846" s="86"/>
      <x:c r="I846" s="86"/>
      <x:c r="J846" s="82" t="str">
        <x:f>IF(C846="","Choose position",IF(COUNT(E846:I846)&lt;5,"",IF(OR(MIN(E846:I846)&lt;0.1,MAX(E846:I846)&gt;10),"Invalid score",IF(INDEX('Position_Rubric'!$H$6:$H$14,M846)&lt;&gt;1,"Check weights",ROUND(E846*INDEX('Position_Rubric'!$C$6:$C$14,M846)+F846*INDEX('Position_Rubric'!$D$6:$D$14,M846)+G846*INDEX('Position_Rubric'!$E$6:$E$14,M846)+H846*INDEX('Position_Rubric'!$F$6:$F$14,M846)+I846*INDEX('Position_Rubric'!$G$6:$G$14,M846),1)))))</x:f>
      </x:c>
      <x:c r="K846" s="82" t="str">
        <x:f>IF(AND(ISNUMBER(J846),ISNUMBER(D846)),J846-D846,"")</x:f>
      </x:c>
      <x:c r="L846" s="69" t="str">
        <x:f>IF(COUNT(E846:I846)&lt;5,"Needs component scores",IF(ISNUMBER(J846),"Calculated",J846))</x:f>
        <x:v>Needs component scores</x:v>
      </x:c>
      <x:c r="M846" s="69" t="n">
        <x:f>IF(C846="","",MATCH(C846,'Position_Rubric'!$A$6:$A$14,0))</x:f>
        <x:v>9</x:v>
      </x:c>
      <x:c r="N846" s="69" t="str"/>
    </x:row>
    <x:row r="847" ht="25" customHeight="1">
      <x:c r="A847" s="69" t="str">
        <x:v>summer-S26-0115</x:v>
      </x:c>
      <x:c r="B847" s="69" t="str">
        <x:v>Jannik Schuster</x:v>
      </x:c>
      <x:c r="C847" s="69"/>
      <x:c r="D847" s="82" t="str">
        <x:f>IF(ISNUMBER('Transfer_Ratings'!K847),'Transfer_Ratings'!K847,"")</x:f>
      </x:c>
      <x:c r="E847" s="86"/>
      <x:c r="F847" s="86"/>
      <x:c r="G847" s="86"/>
      <x:c r="H847" s="86"/>
      <x:c r="I847" s="86"/>
      <x:c r="J847" s="82" t="str">
        <x:f>IF(C847="","Choose position",IF(COUNT(E847:I847)&lt;5,"",IF(OR(MIN(E847:I847)&lt;0.1,MAX(E847:I847)&gt;10),"Invalid score",IF(INDEX('Position_Rubric'!$H$6:$H$14,M847)&lt;&gt;1,"Check weights",ROUND(E847*INDEX('Position_Rubric'!$C$6:$C$14,M847)+F847*INDEX('Position_Rubric'!$D$6:$D$14,M847)+G847*INDEX('Position_Rubric'!$E$6:$E$14,M847)+H847*INDEX('Position_Rubric'!$F$6:$F$14,M847)+I847*INDEX('Position_Rubric'!$G$6:$G$14,M847),1)))))</x:f>
        <x:v>Choose position</x:v>
      </x:c>
      <x:c r="K847" s="82" t="str">
        <x:f>IF(AND(ISNUMBER(J847),ISNUMBER(D847)),J847-D847,"")</x:f>
      </x:c>
      <x:c r="L847" s="69" t="str">
        <x:f>IF(COUNT(E847:I847)&lt;5,"Needs component scores",IF(ISNUMBER(J847),"Calculated",J847))</x:f>
        <x:v>Needs component scores</x:v>
      </x:c>
      <x:c r="M847" s="69" t="str">
        <x:f>IF(C847="","",MATCH(C847,'Position_Rubric'!$A$6:$A$14,0))</x:f>
      </x:c>
      <x:c r="N847" s="69" t="str"/>
    </x:row>
    <x:row r="848" ht="25" customHeight="1">
      <x:c r="A848" s="69" t="str">
        <x:v>summer-S26-0117</x:v>
      </x:c>
      <x:c r="B848" s="69" t="str">
        <x:v>Cédric Kipré</x:v>
      </x:c>
      <x:c r="C848" s="69"/>
      <x:c r="D848" s="82" t="str">
        <x:f>IF(ISNUMBER('Transfer_Ratings'!K848),'Transfer_Ratings'!K848,"")</x:f>
      </x:c>
      <x:c r="E848" s="86"/>
      <x:c r="F848" s="86"/>
      <x:c r="G848" s="86"/>
      <x:c r="H848" s="86"/>
      <x:c r="I848" s="86"/>
      <x:c r="J848" s="82" t="str">
        <x:f>IF(C848="","Choose position",IF(COUNT(E848:I848)&lt;5,"",IF(OR(MIN(E848:I848)&lt;0.1,MAX(E848:I848)&gt;10),"Invalid score",IF(INDEX('Position_Rubric'!$H$6:$H$14,M848)&lt;&gt;1,"Check weights",ROUND(E848*INDEX('Position_Rubric'!$C$6:$C$14,M848)+F848*INDEX('Position_Rubric'!$D$6:$D$14,M848)+G848*INDEX('Position_Rubric'!$E$6:$E$14,M848)+H848*INDEX('Position_Rubric'!$F$6:$F$14,M848)+I848*INDEX('Position_Rubric'!$G$6:$G$14,M848),1)))))</x:f>
        <x:v>Choose position</x:v>
      </x:c>
      <x:c r="K848" s="82" t="str">
        <x:f>IF(AND(ISNUMBER(J848),ISNUMBER(D848)),J848-D848,"")</x:f>
      </x:c>
      <x:c r="L848" s="69" t="str">
        <x:f>IF(COUNT(E848:I848)&lt;5,"Needs component scores",IF(ISNUMBER(J848),"Calculated",J848))</x:f>
        <x:v>Needs component scores</x:v>
      </x:c>
      <x:c r="M848" s="69" t="str">
        <x:f>IF(C848="","",MATCH(C848,'Position_Rubric'!$A$6:$A$14,0))</x:f>
      </x:c>
      <x:c r="N848" s="69" t="str"/>
    </x:row>
    <x:row r="849" ht="25" customHeight="1">
      <x:c r="A849" s="69" t="str">
        <x:v>summer-S26-0120</x:v>
      </x:c>
      <x:c r="B849" s="69" t="str">
        <x:v>Illan Meslier</x:v>
      </x:c>
      <x:c r="C849" s="69" t="str">
        <x:v>GK</x:v>
      </x:c>
      <x:c r="D849" s="82" t="str">
        <x:f>IF(ISNUMBER('Transfer_Ratings'!K849),'Transfer_Ratings'!K849,"")</x:f>
      </x:c>
      <x:c r="E849" s="86"/>
      <x:c r="F849" s="86"/>
      <x:c r="G849" s="86"/>
      <x:c r="H849" s="86"/>
      <x:c r="I849" s="86"/>
      <x:c r="J849" s="82" t="str">
        <x:f>IF(C849="","Choose position",IF(COUNT(E849:I849)&lt;5,"",IF(OR(MIN(E849:I849)&lt;0.1,MAX(E849:I849)&gt;10),"Invalid score",IF(INDEX('Position_Rubric'!$H$6:$H$14,M849)&lt;&gt;1,"Check weights",ROUND(E849*INDEX('Position_Rubric'!$C$6:$C$14,M849)+F849*INDEX('Position_Rubric'!$D$6:$D$14,M849)+G849*INDEX('Position_Rubric'!$E$6:$E$14,M849)+H849*INDEX('Position_Rubric'!$F$6:$F$14,M849)+I849*INDEX('Position_Rubric'!$G$6:$G$14,M849),1)))))</x:f>
      </x:c>
      <x:c r="K849" s="82" t="str">
        <x:f>IF(AND(ISNUMBER(J849),ISNUMBER(D849)),J849-D849,"")</x:f>
      </x:c>
      <x:c r="L849" s="69" t="str">
        <x:f>IF(COUNT(E849:I849)&lt;5,"Needs component scores",IF(ISNUMBER(J849),"Calculated",J849))</x:f>
        <x:v>Needs component scores</x:v>
      </x:c>
      <x:c r="M849" s="69" t="n">
        <x:f>IF(C849="","",MATCH(C849,'Position_Rubric'!$A$6:$A$14,0))</x:f>
        <x:v>9</x:v>
      </x:c>
      <x:c r="N849" s="69" t="str"/>
    </x:row>
    <x:row r="850" ht="25" customHeight="1">
      <x:c r="A850" s="69" t="str">
        <x:v>summer-S26-0121</x:v>
      </x:c>
      <x:c r="B850" s="69" t="str">
        <x:v>Carter Pinnington</x:v>
      </x:c>
      <x:c r="C850" s="69"/>
      <x:c r="D850" s="82" t="str">
        <x:f>IF(ISNUMBER('Transfer_Ratings'!K850),'Transfer_Ratings'!K850,"")</x:f>
      </x:c>
      <x:c r="E850" s="86"/>
      <x:c r="F850" s="86"/>
      <x:c r="G850" s="86"/>
      <x:c r="H850" s="86"/>
      <x:c r="I850" s="86"/>
      <x:c r="J850" s="82" t="str">
        <x:f>IF(C850="","Choose position",IF(COUNT(E850:I850)&lt;5,"",IF(OR(MIN(E850:I850)&lt;0.1,MAX(E850:I850)&gt;10),"Invalid score",IF(INDEX('Position_Rubric'!$H$6:$H$14,M850)&lt;&gt;1,"Check weights",ROUND(E850*INDEX('Position_Rubric'!$C$6:$C$14,M850)+F850*INDEX('Position_Rubric'!$D$6:$D$14,M850)+G850*INDEX('Position_Rubric'!$E$6:$E$14,M850)+H850*INDEX('Position_Rubric'!$F$6:$F$14,M850)+I850*INDEX('Position_Rubric'!$G$6:$G$14,M850),1)))))</x:f>
        <x:v>Choose position</x:v>
      </x:c>
      <x:c r="K850" s="82" t="str">
        <x:f>IF(AND(ISNUMBER(J850),ISNUMBER(D850)),J850-D850,"")</x:f>
      </x:c>
      <x:c r="L850" s="69" t="str">
        <x:f>IF(COUNT(E850:I850)&lt;5,"Needs component scores",IF(ISNUMBER(J850),"Calculated",J850))</x:f>
        <x:v>Needs component scores</x:v>
      </x:c>
      <x:c r="M850" s="69" t="str">
        <x:f>IF(C850="","",MATCH(C850,'Position_Rubric'!$A$6:$A$14,0))</x:f>
      </x:c>
      <x:c r="N850" s="69" t="str"/>
    </x:row>
    <x:row r="851" ht="25" customHeight="1">
      <x:c r="A851" s="69" t="str">
        <x:v>summer-S26-0122</x:v>
      </x:c>
      <x:c r="B851" s="69" t="str">
        <x:v>Robert Wagner</x:v>
      </x:c>
      <x:c r="C851" s="69"/>
      <x:c r="D851" s="82" t="str">
        <x:f>IF(ISNUMBER('Transfer_Ratings'!K851),'Transfer_Ratings'!K851,"")</x:f>
      </x:c>
      <x:c r="E851" s="86"/>
      <x:c r="F851" s="86"/>
      <x:c r="G851" s="86"/>
      <x:c r="H851" s="86"/>
      <x:c r="I851" s="86"/>
      <x:c r="J851" s="82" t="str">
        <x:f>IF(C851="","Choose position",IF(COUNT(E851:I851)&lt;5,"",IF(OR(MIN(E851:I851)&lt;0.1,MAX(E851:I851)&gt;10),"Invalid score",IF(INDEX('Position_Rubric'!$H$6:$H$14,M851)&lt;&gt;1,"Check weights",ROUND(E851*INDEX('Position_Rubric'!$C$6:$C$14,M851)+F851*INDEX('Position_Rubric'!$D$6:$D$14,M851)+G851*INDEX('Position_Rubric'!$E$6:$E$14,M851)+H851*INDEX('Position_Rubric'!$F$6:$F$14,M851)+I851*INDEX('Position_Rubric'!$G$6:$G$14,M851),1)))))</x:f>
        <x:v>Choose position</x:v>
      </x:c>
      <x:c r="K851" s="82" t="str">
        <x:f>IF(AND(ISNUMBER(J851),ISNUMBER(D851)),J851-D851,"")</x:f>
      </x:c>
      <x:c r="L851" s="69" t="str">
        <x:f>IF(COUNT(E851:I851)&lt;5,"Needs component scores",IF(ISNUMBER(J851),"Calculated",J851))</x:f>
        <x:v>Needs component scores</x:v>
      </x:c>
      <x:c r="M851" s="69" t="str">
        <x:f>IF(C851="","",MATCH(C851,'Position_Rubric'!$A$6:$A$14,0))</x:f>
      </x:c>
      <x:c r="N851" s="69" t="str"/>
    </x:row>
    <x:row r="852" ht="25" customHeight="1">
      <x:c r="A852" s="69" t="str">
        <x:v>summer-S26-0123</x:v>
      </x:c>
      <x:c r="B852" s="69" t="str">
        <x:v>Iñaki Peña</x:v>
      </x:c>
      <x:c r="C852" s="69" t="str">
        <x:v>GK</x:v>
      </x:c>
      <x:c r="D852" s="82" t="str">
        <x:f>IF(ISNUMBER('Transfer_Ratings'!K852),'Transfer_Ratings'!K852,"")</x:f>
      </x:c>
      <x:c r="E852" s="86"/>
      <x:c r="F852" s="86"/>
      <x:c r="G852" s="86"/>
      <x:c r="H852" s="86"/>
      <x:c r="I852" s="86"/>
      <x:c r="J852" s="82" t="str">
        <x:f>IF(C852="","Choose position",IF(COUNT(E852:I852)&lt;5,"",IF(OR(MIN(E852:I852)&lt;0.1,MAX(E852:I852)&gt;10),"Invalid score",IF(INDEX('Position_Rubric'!$H$6:$H$14,M852)&lt;&gt;1,"Check weights",ROUND(E852*INDEX('Position_Rubric'!$C$6:$C$14,M852)+F852*INDEX('Position_Rubric'!$D$6:$D$14,M852)+G852*INDEX('Position_Rubric'!$E$6:$E$14,M852)+H852*INDEX('Position_Rubric'!$F$6:$F$14,M852)+I852*INDEX('Position_Rubric'!$G$6:$G$14,M852),1)))))</x:f>
      </x:c>
      <x:c r="K852" s="82" t="str">
        <x:f>IF(AND(ISNUMBER(J852),ISNUMBER(D852)),J852-D852,"")</x:f>
      </x:c>
      <x:c r="L852" s="69" t="str">
        <x:f>IF(COUNT(E852:I852)&lt;5,"Needs component scores",IF(ISNUMBER(J852),"Calculated",J852))</x:f>
        <x:v>Needs component scores</x:v>
      </x:c>
      <x:c r="M852" s="69" t="n">
        <x:f>IF(C852="","",MATCH(C852,'Position_Rubric'!$A$6:$A$14,0))</x:f>
        <x:v>9</x:v>
      </x:c>
      <x:c r="N852" s="69" t="str"/>
    </x:row>
    <x:row r="853" ht="25" customHeight="1">
      <x:c r="A853" s="69" t="str">
        <x:v>summer-S26-0125</x:v>
      </x:c>
      <x:c r="B853" s="69" t="str">
        <x:v>Martin Dubravka</x:v>
      </x:c>
      <x:c r="C853" s="69" t="str">
        <x:v>GK</x:v>
      </x:c>
      <x:c r="D853" s="82" t="str">
        <x:f>IF(ISNUMBER('Transfer_Ratings'!K853),'Transfer_Ratings'!K853,"")</x:f>
      </x:c>
      <x:c r="E853" s="86"/>
      <x:c r="F853" s="86"/>
      <x:c r="G853" s="86"/>
      <x:c r="H853" s="86"/>
      <x:c r="I853" s="86"/>
      <x:c r="J853" s="82" t="str">
        <x:f>IF(C853="","Choose position",IF(COUNT(E853:I853)&lt;5,"",IF(OR(MIN(E853:I853)&lt;0.1,MAX(E853:I853)&gt;10),"Invalid score",IF(INDEX('Position_Rubric'!$H$6:$H$14,M853)&lt;&gt;1,"Check weights",ROUND(E853*INDEX('Position_Rubric'!$C$6:$C$14,M853)+F853*INDEX('Position_Rubric'!$D$6:$D$14,M853)+G853*INDEX('Position_Rubric'!$E$6:$E$14,M853)+H853*INDEX('Position_Rubric'!$F$6:$F$14,M853)+I853*INDEX('Position_Rubric'!$G$6:$G$14,M853),1)))))</x:f>
      </x:c>
      <x:c r="K853" s="82" t="str">
        <x:f>IF(AND(ISNUMBER(J853),ISNUMBER(D853)),J853-D853,"")</x:f>
      </x:c>
      <x:c r="L853" s="69" t="str">
        <x:f>IF(COUNT(E853:I853)&lt;5,"Needs component scores",IF(ISNUMBER(J853),"Calculated",J853))</x:f>
        <x:v>Needs component scores</x:v>
      </x:c>
      <x:c r="M853" s="69" t="n">
        <x:f>IF(C853="","",MATCH(C853,'Position_Rubric'!$A$6:$A$14,0))</x:f>
        <x:v>9</x:v>
      </x:c>
      <x:c r="N853" s="69" t="str"/>
    </x:row>
    <x:row r="854" ht="25" customHeight="1">
      <x:c r="A854" s="69" t="str">
        <x:v>summer-S26-0126</x:v>
      </x:c>
      <x:c r="B854" s="69" t="str">
        <x:v>Maxime Dupé</x:v>
      </x:c>
      <x:c r="C854" s="69" t="str">
        <x:v>GK</x:v>
      </x:c>
      <x:c r="D854" s="82" t="str">
        <x:f>IF(ISNUMBER('Transfer_Ratings'!K854),'Transfer_Ratings'!K854,"")</x:f>
      </x:c>
      <x:c r="E854" s="86"/>
      <x:c r="F854" s="86"/>
      <x:c r="G854" s="86"/>
      <x:c r="H854" s="86"/>
      <x:c r="I854" s="86"/>
      <x:c r="J854" s="82" t="str">
        <x:f>IF(C854="","Choose position",IF(COUNT(E854:I854)&lt;5,"",IF(OR(MIN(E854:I854)&lt;0.1,MAX(E854:I854)&gt;10),"Invalid score",IF(INDEX('Position_Rubric'!$H$6:$H$14,M854)&lt;&gt;1,"Check weights",ROUND(E854*INDEX('Position_Rubric'!$C$6:$C$14,M854)+F854*INDEX('Position_Rubric'!$D$6:$D$14,M854)+G854*INDEX('Position_Rubric'!$E$6:$E$14,M854)+H854*INDEX('Position_Rubric'!$F$6:$F$14,M854)+I854*INDEX('Position_Rubric'!$G$6:$G$14,M854),1)))))</x:f>
      </x:c>
      <x:c r="K854" s="82" t="str">
        <x:f>IF(AND(ISNUMBER(J854),ISNUMBER(D854)),J854-D854,"")</x:f>
      </x:c>
      <x:c r="L854" s="69" t="str">
        <x:f>IF(COUNT(E854:I854)&lt;5,"Needs component scores",IF(ISNUMBER(J854),"Calculated",J854))</x:f>
        <x:v>Needs component scores</x:v>
      </x:c>
      <x:c r="M854" s="69" t="n">
        <x:f>IF(C854="","",MATCH(C854,'Position_Rubric'!$A$6:$A$14,0))</x:f>
        <x:v>9</x:v>
      </x:c>
      <x:c r="N854" s="69" t="str"/>
    </x:row>
    <x:row r="855" ht="25" customHeight="1">
      <x:c r="A855" s="69" t="str">
        <x:v>summer-S26-0128</x:v>
      </x:c>
      <x:c r="B855" s="69" t="str">
        <x:v>Diogo Sousa</x:v>
      </x:c>
      <x:c r="C855" s="69"/>
      <x:c r="D855" s="82" t="str">
        <x:f>IF(ISNUMBER('Transfer_Ratings'!K855),'Transfer_Ratings'!K855,"")</x:f>
      </x:c>
      <x:c r="E855" s="86"/>
      <x:c r="F855" s="86"/>
      <x:c r="G855" s="86"/>
      <x:c r="H855" s="86"/>
      <x:c r="I855" s="86"/>
      <x:c r="J855" s="82" t="str">
        <x:f>IF(C855="","Choose position",IF(COUNT(E855:I855)&lt;5,"",IF(OR(MIN(E855:I855)&lt;0.1,MAX(E855:I855)&gt;10),"Invalid score",IF(INDEX('Position_Rubric'!$H$6:$H$14,M855)&lt;&gt;1,"Check weights",ROUND(E855*INDEX('Position_Rubric'!$C$6:$C$14,M855)+F855*INDEX('Position_Rubric'!$D$6:$D$14,M855)+G855*INDEX('Position_Rubric'!$E$6:$E$14,M855)+H855*INDEX('Position_Rubric'!$F$6:$F$14,M855)+I855*INDEX('Position_Rubric'!$G$6:$G$14,M855),1)))))</x:f>
        <x:v>Choose position</x:v>
      </x:c>
      <x:c r="K855" s="82" t="str">
        <x:f>IF(AND(ISNUMBER(J855),ISNUMBER(D855)),J855-D855,"")</x:f>
      </x:c>
      <x:c r="L855" s="69" t="str">
        <x:f>IF(COUNT(E855:I855)&lt;5,"Needs component scores",IF(ISNUMBER(J855),"Calculated",J855))</x:f>
        <x:v>Needs component scores</x:v>
      </x:c>
      <x:c r="M855" s="69" t="str">
        <x:f>IF(C855="","",MATCH(C855,'Position_Rubric'!$A$6:$A$14,0))</x:f>
      </x:c>
      <x:c r="N855" s="69" t="str"/>
    </x:row>
    <x:row r="856" ht="25" customHeight="1">
      <x:c r="A856" s="69" t="str">
        <x:v>summer-S26-0131</x:v>
      </x:c>
      <x:c r="B856" s="69" t="str">
        <x:v>Henri Koudossou</x:v>
      </x:c>
      <x:c r="C856" s="69"/>
      <x:c r="D856" s="82" t="str">
        <x:f>IF(ISNUMBER('Transfer_Ratings'!K856),'Transfer_Ratings'!K856,"")</x:f>
      </x:c>
      <x:c r="E856" s="86"/>
      <x:c r="F856" s="86"/>
      <x:c r="G856" s="86"/>
      <x:c r="H856" s="86"/>
      <x:c r="I856" s="86"/>
      <x:c r="J856" s="82" t="str">
        <x:f>IF(C856="","Choose position",IF(COUNT(E856:I856)&lt;5,"",IF(OR(MIN(E856:I856)&lt;0.1,MAX(E856:I856)&gt;10),"Invalid score",IF(INDEX('Position_Rubric'!$H$6:$H$14,M856)&lt;&gt;1,"Check weights",ROUND(E856*INDEX('Position_Rubric'!$C$6:$C$14,M856)+F856*INDEX('Position_Rubric'!$D$6:$D$14,M856)+G856*INDEX('Position_Rubric'!$E$6:$E$14,M856)+H856*INDEX('Position_Rubric'!$F$6:$F$14,M856)+I856*INDEX('Position_Rubric'!$G$6:$G$14,M856),1)))))</x:f>
        <x:v>Choose position</x:v>
      </x:c>
      <x:c r="K856" s="82" t="str">
        <x:f>IF(AND(ISNUMBER(J856),ISNUMBER(D856)),J856-D856,"")</x:f>
      </x:c>
      <x:c r="L856" s="69" t="str">
        <x:f>IF(COUNT(E856:I856)&lt;5,"Needs component scores",IF(ISNUMBER(J856),"Calculated",J856))</x:f>
        <x:v>Needs component scores</x:v>
      </x:c>
      <x:c r="M856" s="69" t="str">
        <x:f>IF(C856="","",MATCH(C856,'Position_Rubric'!$A$6:$A$14,0))</x:f>
      </x:c>
      <x:c r="N856" s="69" t="str"/>
    </x:row>
    <x:row r="857" ht="25" customHeight="1">
      <x:c r="A857" s="69" t="str">
        <x:v>summer-S26-0132</x:v>
      </x:c>
      <x:c r="B857" s="69" t="str">
        <x:v>Matthew Craig</x:v>
      </x:c>
      <x:c r="C857" s="69"/>
      <x:c r="D857" s="82" t="str">
        <x:f>IF(ISNUMBER('Transfer_Ratings'!K857),'Transfer_Ratings'!K857,"")</x:f>
      </x:c>
      <x:c r="E857" s="86"/>
      <x:c r="F857" s="86"/>
      <x:c r="G857" s="86"/>
      <x:c r="H857" s="86"/>
      <x:c r="I857" s="86"/>
      <x:c r="J857" s="82" t="str">
        <x:f>IF(C857="","Choose position",IF(COUNT(E857:I857)&lt;5,"",IF(OR(MIN(E857:I857)&lt;0.1,MAX(E857:I857)&gt;10),"Invalid score",IF(INDEX('Position_Rubric'!$H$6:$H$14,M857)&lt;&gt;1,"Check weights",ROUND(E857*INDEX('Position_Rubric'!$C$6:$C$14,M857)+F857*INDEX('Position_Rubric'!$D$6:$D$14,M857)+G857*INDEX('Position_Rubric'!$E$6:$E$14,M857)+H857*INDEX('Position_Rubric'!$F$6:$F$14,M857)+I857*INDEX('Position_Rubric'!$G$6:$G$14,M857),1)))))</x:f>
        <x:v>Choose position</x:v>
      </x:c>
      <x:c r="K857" s="82" t="str">
        <x:f>IF(AND(ISNUMBER(J857),ISNUMBER(D857)),J857-D857,"")</x:f>
      </x:c>
      <x:c r="L857" s="69" t="str">
        <x:f>IF(COUNT(E857:I857)&lt;5,"Needs component scores",IF(ISNUMBER(J857),"Calculated",J857))</x:f>
        <x:v>Needs component scores</x:v>
      </x:c>
      <x:c r="M857" s="69" t="str">
        <x:f>IF(C857="","",MATCH(C857,'Position_Rubric'!$A$6:$A$14,0))</x:f>
      </x:c>
      <x:c r="N857" s="69" t="str"/>
    </x:row>
    <x:row r="858" ht="25" customHeight="1">
      <x:c r="A858" s="69" t="str">
        <x:v>summer-S26-0133</x:v>
      </x:c>
      <x:c r="B858" s="69" t="str">
        <x:v>Jacob Slater</x:v>
      </x:c>
      <x:c r="C858" s="69"/>
      <x:c r="D858" s="82" t="str">
        <x:f>IF(ISNUMBER('Transfer_Ratings'!K858),'Transfer_Ratings'!K858,"")</x:f>
      </x:c>
      <x:c r="E858" s="86"/>
      <x:c r="F858" s="86"/>
      <x:c r="G858" s="86"/>
      <x:c r="H858" s="86"/>
      <x:c r="I858" s="86"/>
      <x:c r="J858" s="82" t="str">
        <x:f>IF(C858="","Choose position",IF(COUNT(E858:I858)&lt;5,"",IF(OR(MIN(E858:I858)&lt;0.1,MAX(E858:I858)&gt;10),"Invalid score",IF(INDEX('Position_Rubric'!$H$6:$H$14,M858)&lt;&gt;1,"Check weights",ROUND(E858*INDEX('Position_Rubric'!$C$6:$C$14,M858)+F858*INDEX('Position_Rubric'!$D$6:$D$14,M858)+G858*INDEX('Position_Rubric'!$E$6:$E$14,M858)+H858*INDEX('Position_Rubric'!$F$6:$F$14,M858)+I858*INDEX('Position_Rubric'!$G$6:$G$14,M858),1)))))</x:f>
        <x:v>Choose position</x:v>
      </x:c>
      <x:c r="K858" s="82" t="str">
        <x:f>IF(AND(ISNUMBER(J858),ISNUMBER(D858)),J858-D858,"")</x:f>
      </x:c>
      <x:c r="L858" s="69" t="str">
        <x:f>IF(COUNT(E858:I858)&lt;5,"Needs component scores",IF(ISNUMBER(J858),"Calculated",J858))</x:f>
        <x:v>Needs component scores</x:v>
      </x:c>
      <x:c r="M858" s="69" t="str">
        <x:f>IF(C858="","",MATCH(C858,'Position_Rubric'!$A$6:$A$14,0))</x:f>
      </x:c>
      <x:c r="N858" s="69" t="str"/>
    </x:row>
    <x:row r="859" ht="25" customHeight="1">
      <x:c r="A859" s="69" t="str">
        <x:v>summer-S26-0134</x:v>
      </x:c>
      <x:c r="B859" s="69" t="str">
        <x:v>Noah Darvich</x:v>
      </x:c>
      <x:c r="C859" s="69"/>
      <x:c r="D859" s="82" t="str">
        <x:f>IF(ISNUMBER('Transfer_Ratings'!K859),'Transfer_Ratings'!K859,"")</x:f>
      </x:c>
      <x:c r="E859" s="86"/>
      <x:c r="F859" s="86"/>
      <x:c r="G859" s="86"/>
      <x:c r="H859" s="86"/>
      <x:c r="I859" s="86"/>
      <x:c r="J859" s="82" t="str">
        <x:f>IF(C859="","Choose position",IF(COUNT(E859:I859)&lt;5,"",IF(OR(MIN(E859:I859)&lt;0.1,MAX(E859:I859)&gt;10),"Invalid score",IF(INDEX('Position_Rubric'!$H$6:$H$14,M859)&lt;&gt;1,"Check weights",ROUND(E859*INDEX('Position_Rubric'!$C$6:$C$14,M859)+F859*INDEX('Position_Rubric'!$D$6:$D$14,M859)+G859*INDEX('Position_Rubric'!$E$6:$E$14,M859)+H859*INDEX('Position_Rubric'!$F$6:$F$14,M859)+I859*INDEX('Position_Rubric'!$G$6:$G$14,M859),1)))))</x:f>
        <x:v>Choose position</x:v>
      </x:c>
      <x:c r="K859" s="82" t="str">
        <x:f>IF(AND(ISNUMBER(J859),ISNUMBER(D859)),J859-D859,"")</x:f>
      </x:c>
      <x:c r="L859" s="69" t="str">
        <x:f>IF(COUNT(E859:I859)&lt;5,"Needs component scores",IF(ISNUMBER(J859),"Calculated",J859))</x:f>
        <x:v>Needs component scores</x:v>
      </x:c>
      <x:c r="M859" s="69" t="str">
        <x:f>IF(C859="","",MATCH(C859,'Position_Rubric'!$A$6:$A$14,0))</x:f>
      </x:c>
      <x:c r="N859" s="69" t="str"/>
    </x:row>
    <x:row r="860" ht="25" customHeight="1">
      <x:c r="A860" s="69" t="str">
        <x:v>summer-S26-0136</x:v>
      </x:c>
      <x:c r="B860" s="69" t="str">
        <x:v>Alessio Besio</x:v>
      </x:c>
      <x:c r="C860" s="69"/>
      <x:c r="D860" s="82" t="str">
        <x:f>IF(ISNUMBER('Transfer_Ratings'!K860),'Transfer_Ratings'!K860,"")</x:f>
      </x:c>
      <x:c r="E860" s="86"/>
      <x:c r="F860" s="86"/>
      <x:c r="G860" s="86"/>
      <x:c r="H860" s="86"/>
      <x:c r="I860" s="86"/>
      <x:c r="J860" s="82" t="str">
        <x:f>IF(C860="","Choose position",IF(COUNT(E860:I860)&lt;5,"",IF(OR(MIN(E860:I860)&lt;0.1,MAX(E860:I860)&gt;10),"Invalid score",IF(INDEX('Position_Rubric'!$H$6:$H$14,M860)&lt;&gt;1,"Check weights",ROUND(E860*INDEX('Position_Rubric'!$C$6:$C$14,M860)+F860*INDEX('Position_Rubric'!$D$6:$D$14,M860)+G860*INDEX('Position_Rubric'!$E$6:$E$14,M860)+H860*INDEX('Position_Rubric'!$F$6:$F$14,M860)+I860*INDEX('Position_Rubric'!$G$6:$G$14,M860),1)))))</x:f>
        <x:v>Choose position</x:v>
      </x:c>
      <x:c r="K860" s="82" t="str">
        <x:f>IF(AND(ISNUMBER(J860),ISNUMBER(D860)),J860-D860,"")</x:f>
      </x:c>
      <x:c r="L860" s="69" t="str">
        <x:f>IF(COUNT(E860:I860)&lt;5,"Needs component scores",IF(ISNUMBER(J860),"Calculated",J860))</x:f>
        <x:v>Needs component scores</x:v>
      </x:c>
      <x:c r="M860" s="69" t="str">
        <x:f>IF(C860="","",MATCH(C860,'Position_Rubric'!$A$6:$A$14,0))</x:f>
      </x:c>
      <x:c r="N860" s="69" t="str"/>
    </x:row>
    <x:row r="861" ht="25" customHeight="1">
      <x:c r="A861" s="69" t="str">
        <x:v>summer-S26-0137</x:v>
      </x:c>
      <x:c r="B861" s="69" t="str">
        <x:v>Michaël Cuisance</x:v>
      </x:c>
      <x:c r="C861" s="69"/>
      <x:c r="D861" s="82" t="str">
        <x:f>IF(ISNUMBER('Transfer_Ratings'!K861),'Transfer_Ratings'!K861,"")</x:f>
      </x:c>
      <x:c r="E861" s="86"/>
      <x:c r="F861" s="86"/>
      <x:c r="G861" s="86"/>
      <x:c r="H861" s="86"/>
      <x:c r="I861" s="86"/>
      <x:c r="J861" s="82" t="str">
        <x:f>IF(C861="","Choose position",IF(COUNT(E861:I861)&lt;5,"",IF(OR(MIN(E861:I861)&lt;0.1,MAX(E861:I861)&gt;10),"Invalid score",IF(INDEX('Position_Rubric'!$H$6:$H$14,M861)&lt;&gt;1,"Check weights",ROUND(E861*INDEX('Position_Rubric'!$C$6:$C$14,M861)+F861*INDEX('Position_Rubric'!$D$6:$D$14,M861)+G861*INDEX('Position_Rubric'!$E$6:$E$14,M861)+H861*INDEX('Position_Rubric'!$F$6:$F$14,M861)+I861*INDEX('Position_Rubric'!$G$6:$G$14,M861),1)))))</x:f>
        <x:v>Choose position</x:v>
      </x:c>
      <x:c r="K861" s="82" t="str">
        <x:f>IF(AND(ISNUMBER(J861),ISNUMBER(D861)),J861-D861,"")</x:f>
      </x:c>
      <x:c r="L861" s="69" t="str">
        <x:f>IF(COUNT(E861:I861)&lt;5,"Needs component scores",IF(ISNUMBER(J861),"Calculated",J861))</x:f>
        <x:v>Needs component scores</x:v>
      </x:c>
      <x:c r="M861" s="69" t="str">
        <x:f>IF(C861="","",MATCH(C861,'Position_Rubric'!$A$6:$A$14,0))</x:f>
      </x:c>
      <x:c r="N861" s="69" t="str"/>
    </x:row>
    <x:row r="862" ht="25" customHeight="1">
      <x:c r="A862" s="69" t="str">
        <x:v>summer-S26-0139</x:v>
      </x:c>
      <x:c r="B862" s="69" t="str">
        <x:v>Nicolas Lemaître</x:v>
      </x:c>
      <x:c r="C862" s="69" t="str">
        <x:v>GK</x:v>
      </x:c>
      <x:c r="D862" s="82" t="str">
        <x:f>IF(ISNUMBER('Transfer_Ratings'!K862),'Transfer_Ratings'!K862,"")</x:f>
      </x:c>
      <x:c r="E862" s="86"/>
      <x:c r="F862" s="86"/>
      <x:c r="G862" s="86"/>
      <x:c r="H862" s="86"/>
      <x:c r="I862" s="86"/>
      <x:c r="J862" s="82" t="str">
        <x:f>IF(C862="","Choose position",IF(COUNT(E862:I862)&lt;5,"",IF(OR(MIN(E862:I862)&lt;0.1,MAX(E862:I862)&gt;10),"Invalid score",IF(INDEX('Position_Rubric'!$H$6:$H$14,M862)&lt;&gt;1,"Check weights",ROUND(E862*INDEX('Position_Rubric'!$C$6:$C$14,M862)+F862*INDEX('Position_Rubric'!$D$6:$D$14,M862)+G862*INDEX('Position_Rubric'!$E$6:$E$14,M862)+H862*INDEX('Position_Rubric'!$F$6:$F$14,M862)+I862*INDEX('Position_Rubric'!$G$6:$G$14,M862),1)))))</x:f>
      </x:c>
      <x:c r="K862" s="82" t="str">
        <x:f>IF(AND(ISNUMBER(J862),ISNUMBER(D862)),J862-D862,"")</x:f>
      </x:c>
      <x:c r="L862" s="69" t="str">
        <x:f>IF(COUNT(E862:I862)&lt;5,"Needs component scores",IF(ISNUMBER(J862),"Calculated",J862))</x:f>
        <x:v>Needs component scores</x:v>
      </x:c>
      <x:c r="M862" s="69" t="n">
        <x:f>IF(C862="","",MATCH(C862,'Position_Rubric'!$A$6:$A$14,0))</x:f>
        <x:v>9</x:v>
      </x:c>
      <x:c r="N862" s="69" t="str"/>
    </x:row>
    <x:row r="863" ht="25" customHeight="1">
      <x:c r="A863" s="69" t="str">
        <x:v>summer-S26-0141</x:v>
      </x:c>
      <x:c r="B863" s="69" t="str">
        <x:v>Dariusz Stalmach</x:v>
      </x:c>
      <x:c r="C863" s="69"/>
      <x:c r="D863" s="82" t="str">
        <x:f>IF(ISNUMBER('Transfer_Ratings'!K863),'Transfer_Ratings'!K863,"")</x:f>
      </x:c>
      <x:c r="E863" s="86"/>
      <x:c r="F863" s="86"/>
      <x:c r="G863" s="86"/>
      <x:c r="H863" s="86"/>
      <x:c r="I863" s="86"/>
      <x:c r="J863" s="82" t="str">
        <x:f>IF(C863="","Choose position",IF(COUNT(E863:I863)&lt;5,"",IF(OR(MIN(E863:I863)&lt;0.1,MAX(E863:I863)&gt;10),"Invalid score",IF(INDEX('Position_Rubric'!$H$6:$H$14,M863)&lt;&gt;1,"Check weights",ROUND(E863*INDEX('Position_Rubric'!$C$6:$C$14,M863)+F863*INDEX('Position_Rubric'!$D$6:$D$14,M863)+G863*INDEX('Position_Rubric'!$E$6:$E$14,M863)+H863*INDEX('Position_Rubric'!$F$6:$F$14,M863)+I863*INDEX('Position_Rubric'!$G$6:$G$14,M863),1)))))</x:f>
        <x:v>Choose position</x:v>
      </x:c>
      <x:c r="K863" s="82" t="str">
        <x:f>IF(AND(ISNUMBER(J863),ISNUMBER(D863)),J863-D863,"")</x:f>
      </x:c>
      <x:c r="L863" s="69" t="str">
        <x:f>IF(COUNT(E863:I863)&lt;5,"Needs component scores",IF(ISNUMBER(J863),"Calculated",J863))</x:f>
        <x:v>Needs component scores</x:v>
      </x:c>
      <x:c r="M863" s="69" t="str">
        <x:f>IF(C863="","",MATCH(C863,'Position_Rubric'!$A$6:$A$14,0))</x:f>
      </x:c>
      <x:c r="N863" s="69" t="str"/>
    </x:row>
    <x:row r="864" ht="25" customHeight="1">
      <x:c r="A864" s="69" t="str">
        <x:v>summer-S26-0142</x:v>
      </x:c>
      <x:c r="B864" s="69" t="str">
        <x:v>Leon Opitz</x:v>
      </x:c>
      <x:c r="C864" s="69"/>
      <x:c r="D864" s="82" t="str">
        <x:f>IF(ISNUMBER('Transfer_Ratings'!K864),'Transfer_Ratings'!K864,"")</x:f>
      </x:c>
      <x:c r="E864" s="86"/>
      <x:c r="F864" s="86"/>
      <x:c r="G864" s="86"/>
      <x:c r="H864" s="86"/>
      <x:c r="I864" s="86"/>
      <x:c r="J864" s="82" t="str">
        <x:f>IF(C864="","Choose position",IF(COUNT(E864:I864)&lt;5,"",IF(OR(MIN(E864:I864)&lt;0.1,MAX(E864:I864)&gt;10),"Invalid score",IF(INDEX('Position_Rubric'!$H$6:$H$14,M864)&lt;&gt;1,"Check weights",ROUND(E864*INDEX('Position_Rubric'!$C$6:$C$14,M864)+F864*INDEX('Position_Rubric'!$D$6:$D$14,M864)+G864*INDEX('Position_Rubric'!$E$6:$E$14,M864)+H864*INDEX('Position_Rubric'!$F$6:$F$14,M864)+I864*INDEX('Position_Rubric'!$G$6:$G$14,M864),1)))))</x:f>
        <x:v>Choose position</x:v>
      </x:c>
      <x:c r="K864" s="82" t="str">
        <x:f>IF(AND(ISNUMBER(J864),ISNUMBER(D864)),J864-D864,"")</x:f>
      </x:c>
      <x:c r="L864" s="69" t="str">
        <x:f>IF(COUNT(E864:I864)&lt;5,"Needs component scores",IF(ISNUMBER(J864),"Calculated",J864))</x:f>
        <x:v>Needs component scores</x:v>
      </x:c>
      <x:c r="M864" s="69" t="str">
        <x:f>IF(C864="","",MATCH(C864,'Position_Rubric'!$A$6:$A$14,0))</x:f>
      </x:c>
      <x:c r="N864" s="69" t="str"/>
    </x:row>
    <x:row r="865" ht="25" customHeight="1">
      <x:c r="A865" s="69" t="str">
        <x:v>summer-S26-0144</x:v>
      </x:c>
      <x:c r="B865" s="69" t="str">
        <x:v>Nahuel Noll</x:v>
      </x:c>
      <x:c r="C865" s="69" t="str">
        <x:v>GK</x:v>
      </x:c>
      <x:c r="D865" s="82" t="str">
        <x:f>IF(ISNUMBER('Transfer_Ratings'!K865),'Transfer_Ratings'!K865,"")</x:f>
      </x:c>
      <x:c r="E865" s="86"/>
      <x:c r="F865" s="86"/>
      <x:c r="G865" s="86"/>
      <x:c r="H865" s="86"/>
      <x:c r="I865" s="86"/>
      <x:c r="J865" s="82" t="str">
        <x:f>IF(C865="","Choose position",IF(COUNT(E865:I865)&lt;5,"",IF(OR(MIN(E865:I865)&lt;0.1,MAX(E865:I865)&gt;10),"Invalid score",IF(INDEX('Position_Rubric'!$H$6:$H$14,M865)&lt;&gt;1,"Check weights",ROUND(E865*INDEX('Position_Rubric'!$C$6:$C$14,M865)+F865*INDEX('Position_Rubric'!$D$6:$D$14,M865)+G865*INDEX('Position_Rubric'!$E$6:$E$14,M865)+H865*INDEX('Position_Rubric'!$F$6:$F$14,M865)+I865*INDEX('Position_Rubric'!$G$6:$G$14,M865),1)))))</x:f>
      </x:c>
      <x:c r="K865" s="82" t="str">
        <x:f>IF(AND(ISNUMBER(J865),ISNUMBER(D865)),J865-D865,"")</x:f>
      </x:c>
      <x:c r="L865" s="69" t="str">
        <x:f>IF(COUNT(E865:I865)&lt;5,"Needs component scores",IF(ISNUMBER(J865),"Calculated",J865))</x:f>
        <x:v>Needs component scores</x:v>
      </x:c>
      <x:c r="M865" s="69" t="n">
        <x:f>IF(C865="","",MATCH(C865,'Position_Rubric'!$A$6:$A$14,0))</x:f>
        <x:v>9</x:v>
      </x:c>
      <x:c r="N865" s="69" t="str"/>
    </x:row>
    <x:row r="866" ht="25" customHeight="1">
      <x:c r="A866" s="69" t="str">
        <x:v>summer-S26-0149</x:v>
      </x:c>
      <x:c r="B866" s="69" t="str">
        <x:v>Charlie McArthur</x:v>
      </x:c>
      <x:c r="C866" s="69"/>
      <x:c r="D866" s="82" t="str">
        <x:f>IF(ISNUMBER('Transfer_Ratings'!K866),'Transfer_Ratings'!K866,"")</x:f>
      </x:c>
      <x:c r="E866" s="86"/>
      <x:c r="F866" s="86"/>
      <x:c r="G866" s="86"/>
      <x:c r="H866" s="86"/>
      <x:c r="I866" s="86"/>
      <x:c r="J866" s="82" t="str">
        <x:f>IF(C866="","Choose position",IF(COUNT(E866:I866)&lt;5,"",IF(OR(MIN(E866:I866)&lt;0.1,MAX(E866:I866)&gt;10),"Invalid score",IF(INDEX('Position_Rubric'!$H$6:$H$14,M866)&lt;&gt;1,"Check weights",ROUND(E866*INDEX('Position_Rubric'!$C$6:$C$14,M866)+F866*INDEX('Position_Rubric'!$D$6:$D$14,M866)+G866*INDEX('Position_Rubric'!$E$6:$E$14,M866)+H866*INDEX('Position_Rubric'!$F$6:$F$14,M866)+I866*INDEX('Position_Rubric'!$G$6:$G$14,M866),1)))))</x:f>
        <x:v>Choose position</x:v>
      </x:c>
      <x:c r="K866" s="82" t="str">
        <x:f>IF(AND(ISNUMBER(J866),ISNUMBER(D866)),J866-D866,"")</x:f>
      </x:c>
      <x:c r="L866" s="69" t="str">
        <x:f>IF(COUNT(E866:I866)&lt;5,"Needs component scores",IF(ISNUMBER(J866),"Calculated",J866))</x:f>
        <x:v>Needs component scores</x:v>
      </x:c>
      <x:c r="M866" s="69" t="str">
        <x:f>IF(C866="","",MATCH(C866,'Position_Rubric'!$A$6:$A$14,0))</x:f>
      </x:c>
      <x:c r="N866" s="69" t="str"/>
    </x:row>
    <x:row r="867" ht="25" customHeight="1">
      <x:c r="A867" s="69" t="str">
        <x:v>summer-S26-0150</x:v>
      </x:c>
      <x:c r="B867" s="69" t="str">
        <x:v>Zak Johnson</x:v>
      </x:c>
      <x:c r="C867" s="69"/>
      <x:c r="D867" s="82" t="str">
        <x:f>IF(ISNUMBER('Transfer_Ratings'!K867),'Transfer_Ratings'!K867,"")</x:f>
      </x:c>
      <x:c r="E867" s="86"/>
      <x:c r="F867" s="86"/>
      <x:c r="G867" s="86"/>
      <x:c r="H867" s="86"/>
      <x:c r="I867" s="86"/>
      <x:c r="J867" s="82" t="str">
        <x:f>IF(C867="","Choose position",IF(COUNT(E867:I867)&lt;5,"",IF(OR(MIN(E867:I867)&lt;0.1,MAX(E867:I867)&gt;10),"Invalid score",IF(INDEX('Position_Rubric'!$H$6:$H$14,M867)&lt;&gt;1,"Check weights",ROUND(E867*INDEX('Position_Rubric'!$C$6:$C$14,M867)+F867*INDEX('Position_Rubric'!$D$6:$D$14,M867)+G867*INDEX('Position_Rubric'!$E$6:$E$14,M867)+H867*INDEX('Position_Rubric'!$F$6:$F$14,M867)+I867*INDEX('Position_Rubric'!$G$6:$G$14,M867),1)))))</x:f>
        <x:v>Choose position</x:v>
      </x:c>
      <x:c r="K867" s="82" t="str">
        <x:f>IF(AND(ISNUMBER(J867),ISNUMBER(D867)),J867-D867,"")</x:f>
      </x:c>
      <x:c r="L867" s="69" t="str">
        <x:f>IF(COUNT(E867:I867)&lt;5,"Needs component scores",IF(ISNUMBER(J867),"Calculated",J867))</x:f>
        <x:v>Needs component scores</x:v>
      </x:c>
      <x:c r="M867" s="69" t="str">
        <x:f>IF(C867="","",MATCH(C867,'Position_Rubric'!$A$6:$A$14,0))</x:f>
      </x:c>
      <x:c r="N867" s="69" t="str"/>
    </x:row>
    <x:row r="868" ht="25" customHeight="1">
      <x:c r="A868" s="69" t="str">
        <x:v>summer-S26-0151</x:v>
      </x:c>
      <x:c r="B868" s="69" t="str">
        <x:v>Tiago Pereira Cardoso</x:v>
      </x:c>
      <x:c r="C868" s="69" t="str">
        <x:v>GK</x:v>
      </x:c>
      <x:c r="D868" s="82" t="str">
        <x:f>IF(ISNUMBER('Transfer_Ratings'!K868),'Transfer_Ratings'!K868,"")</x:f>
      </x:c>
      <x:c r="E868" s="86"/>
      <x:c r="F868" s="86"/>
      <x:c r="G868" s="86"/>
      <x:c r="H868" s="86"/>
      <x:c r="I868" s="86"/>
      <x:c r="J868" s="82" t="str">
        <x:f>IF(C868="","Choose position",IF(COUNT(E868:I868)&lt;5,"",IF(OR(MIN(E868:I868)&lt;0.1,MAX(E868:I868)&gt;10),"Invalid score",IF(INDEX('Position_Rubric'!$H$6:$H$14,M868)&lt;&gt;1,"Check weights",ROUND(E868*INDEX('Position_Rubric'!$C$6:$C$14,M868)+F868*INDEX('Position_Rubric'!$D$6:$D$14,M868)+G868*INDEX('Position_Rubric'!$E$6:$E$14,M868)+H868*INDEX('Position_Rubric'!$F$6:$F$14,M868)+I868*INDEX('Position_Rubric'!$G$6:$G$14,M868),1)))))</x:f>
      </x:c>
      <x:c r="K868" s="82" t="str">
        <x:f>IF(AND(ISNUMBER(J868),ISNUMBER(D868)),J868-D868,"")</x:f>
      </x:c>
      <x:c r="L868" s="69" t="str">
        <x:f>IF(COUNT(E868:I868)&lt;5,"Needs component scores",IF(ISNUMBER(J868),"Calculated",J868))</x:f>
        <x:v>Needs component scores</x:v>
      </x:c>
      <x:c r="M868" s="69" t="n">
        <x:f>IF(C868="","",MATCH(C868,'Position_Rubric'!$A$6:$A$14,0))</x:f>
        <x:v>9</x:v>
      </x:c>
      <x:c r="N868" s="69" t="str"/>
    </x:row>
    <x:row r="869" ht="25" customHeight="1">
      <x:c r="A869" s="69" t="str">
        <x:v>summer-S26-0155</x:v>
      </x:c>
      <x:c r="B869" s="69" t="str">
        <x:v>Benjamin Cremaschi</x:v>
      </x:c>
      <x:c r="C869" s="69"/>
      <x:c r="D869" s="82" t="str">
        <x:f>IF(ISNUMBER('Transfer_Ratings'!K869),'Transfer_Ratings'!K869,"")</x:f>
      </x:c>
      <x:c r="E869" s="86"/>
      <x:c r="F869" s="86"/>
      <x:c r="G869" s="86"/>
      <x:c r="H869" s="86"/>
      <x:c r="I869" s="86"/>
      <x:c r="J869" s="82" t="str">
        <x:f>IF(C869="","Choose position",IF(COUNT(E869:I869)&lt;5,"",IF(OR(MIN(E869:I869)&lt;0.1,MAX(E869:I869)&gt;10),"Invalid score",IF(INDEX('Position_Rubric'!$H$6:$H$14,M869)&lt;&gt;1,"Check weights",ROUND(E869*INDEX('Position_Rubric'!$C$6:$C$14,M869)+F869*INDEX('Position_Rubric'!$D$6:$D$14,M869)+G869*INDEX('Position_Rubric'!$E$6:$E$14,M869)+H869*INDEX('Position_Rubric'!$F$6:$F$14,M869)+I869*INDEX('Position_Rubric'!$G$6:$G$14,M869),1)))))</x:f>
        <x:v>Choose position</x:v>
      </x:c>
      <x:c r="K869" s="82" t="str">
        <x:f>IF(AND(ISNUMBER(J869),ISNUMBER(D869)),J869-D869,"")</x:f>
      </x:c>
      <x:c r="L869" s="69" t="str">
        <x:f>IF(COUNT(E869:I869)&lt;5,"Needs component scores",IF(ISNUMBER(J869),"Calculated",J869))</x:f>
        <x:v>Needs component scores</x:v>
      </x:c>
      <x:c r="M869" s="69" t="str">
        <x:f>IF(C869="","",MATCH(C869,'Position_Rubric'!$A$6:$A$14,0))</x:f>
      </x:c>
      <x:c r="N869" s="69" t="str"/>
    </x:row>
    <x:row r="870" ht="25" customHeight="1">
      <x:c r="A870" s="69" t="str">
        <x:v>summer-S26-0156</x:v>
      </x:c>
      <x:c r="B870" s="69" t="str">
        <x:v>Ben Godfrey</x:v>
      </x:c>
      <x:c r="C870" s="69"/>
      <x:c r="D870" s="82" t="str">
        <x:f>IF(ISNUMBER('Transfer_Ratings'!K870),'Transfer_Ratings'!K870,"")</x:f>
      </x:c>
      <x:c r="E870" s="86"/>
      <x:c r="F870" s="86"/>
      <x:c r="G870" s="86"/>
      <x:c r="H870" s="86"/>
      <x:c r="I870" s="86"/>
      <x:c r="J870" s="82" t="str">
        <x:f>IF(C870="","Choose position",IF(COUNT(E870:I870)&lt;5,"",IF(OR(MIN(E870:I870)&lt;0.1,MAX(E870:I870)&gt;10),"Invalid score",IF(INDEX('Position_Rubric'!$H$6:$H$14,M870)&lt;&gt;1,"Check weights",ROUND(E870*INDEX('Position_Rubric'!$C$6:$C$14,M870)+F870*INDEX('Position_Rubric'!$D$6:$D$14,M870)+G870*INDEX('Position_Rubric'!$E$6:$E$14,M870)+H870*INDEX('Position_Rubric'!$F$6:$F$14,M870)+I870*INDEX('Position_Rubric'!$G$6:$G$14,M870),1)))))</x:f>
        <x:v>Choose position</x:v>
      </x:c>
      <x:c r="K870" s="82" t="str">
        <x:f>IF(AND(ISNUMBER(J870),ISNUMBER(D870)),J870-D870,"")</x:f>
      </x:c>
      <x:c r="L870" s="69" t="str">
        <x:f>IF(COUNT(E870:I870)&lt;5,"Needs component scores",IF(ISNUMBER(J870),"Calculated",J870))</x:f>
        <x:v>Needs component scores</x:v>
      </x:c>
      <x:c r="M870" s="69" t="str">
        <x:f>IF(C870="","",MATCH(C870,'Position_Rubric'!$A$6:$A$14,0))</x:f>
      </x:c>
      <x:c r="N870" s="69" t="str"/>
    </x:row>
    <x:row r="871" ht="25" customHeight="1">
      <x:c r="A871" s="69" t="str">
        <x:v>summer-S26-0157</x:v>
      </x:c>
      <x:c r="B871" s="69" t="str">
        <x:v>Laszlo Benes</x:v>
      </x:c>
      <x:c r="C871" s="69"/>
      <x:c r="D871" s="82" t="str">
        <x:f>IF(ISNUMBER('Transfer_Ratings'!K871),'Transfer_Ratings'!K871,"")</x:f>
      </x:c>
      <x:c r="E871" s="86"/>
      <x:c r="F871" s="86"/>
      <x:c r="G871" s="86"/>
      <x:c r="H871" s="86"/>
      <x:c r="I871" s="86"/>
      <x:c r="J871" s="82" t="str">
        <x:f>IF(C871="","Choose position",IF(COUNT(E871:I871)&lt;5,"",IF(OR(MIN(E871:I871)&lt;0.1,MAX(E871:I871)&gt;10),"Invalid score",IF(INDEX('Position_Rubric'!$H$6:$H$14,M871)&lt;&gt;1,"Check weights",ROUND(E871*INDEX('Position_Rubric'!$C$6:$C$14,M871)+F871*INDEX('Position_Rubric'!$D$6:$D$14,M871)+G871*INDEX('Position_Rubric'!$E$6:$E$14,M871)+H871*INDEX('Position_Rubric'!$F$6:$F$14,M871)+I871*INDEX('Position_Rubric'!$G$6:$G$14,M871),1)))))</x:f>
        <x:v>Choose position</x:v>
      </x:c>
      <x:c r="K871" s="82" t="str">
        <x:f>IF(AND(ISNUMBER(J871),ISNUMBER(D871)),J871-D871,"")</x:f>
      </x:c>
      <x:c r="L871" s="69" t="str">
        <x:f>IF(COUNT(E871:I871)&lt;5,"Needs component scores",IF(ISNUMBER(J871),"Calculated",J871))</x:f>
        <x:v>Needs component scores</x:v>
      </x:c>
      <x:c r="M871" s="69" t="str">
        <x:f>IF(C871="","",MATCH(C871,'Position_Rubric'!$A$6:$A$14,0))</x:f>
      </x:c>
      <x:c r="N871" s="69" t="str"/>
    </x:row>
    <x:row r="872" ht="25" customHeight="1">
      <x:c r="A872" s="69" t="str">
        <x:v>summer-S26-0160</x:v>
      </x:c>
      <x:c r="B872" s="69" t="str">
        <x:v>Alejandro Grimaldo</x:v>
      </x:c>
      <x:c r="C872" s="69"/>
      <x:c r="D872" s="82" t="str">
        <x:f>IF(ISNUMBER('Transfer_Ratings'!K872),'Transfer_Ratings'!K872,"")</x:f>
      </x:c>
      <x:c r="E872" s="86"/>
      <x:c r="F872" s="86"/>
      <x:c r="G872" s="86"/>
      <x:c r="H872" s="86"/>
      <x:c r="I872" s="86"/>
      <x:c r="J872" s="82" t="str">
        <x:f>IF(C872="","Choose position",IF(COUNT(E872:I872)&lt;5,"",IF(OR(MIN(E872:I872)&lt;0.1,MAX(E872:I872)&gt;10),"Invalid score",IF(INDEX('Position_Rubric'!$H$6:$H$14,M872)&lt;&gt;1,"Check weights",ROUND(E872*INDEX('Position_Rubric'!$C$6:$C$14,M872)+F872*INDEX('Position_Rubric'!$D$6:$D$14,M872)+G872*INDEX('Position_Rubric'!$E$6:$E$14,M872)+H872*INDEX('Position_Rubric'!$F$6:$F$14,M872)+I872*INDEX('Position_Rubric'!$G$6:$G$14,M872),1)))))</x:f>
        <x:v>Choose position</x:v>
      </x:c>
      <x:c r="K872" s="82" t="str">
        <x:f>IF(AND(ISNUMBER(J872),ISNUMBER(D872)),J872-D872,"")</x:f>
      </x:c>
      <x:c r="L872" s="69" t="str">
        <x:f>IF(COUNT(E872:I872)&lt;5,"Needs component scores",IF(ISNUMBER(J872),"Calculated",J872))</x:f>
        <x:v>Needs component scores</x:v>
      </x:c>
      <x:c r="M872" s="69" t="str">
        <x:f>IF(C872="","",MATCH(C872,'Position_Rubric'!$A$6:$A$14,0))</x:f>
      </x:c>
      <x:c r="N872" s="69" t="str"/>
    </x:row>
    <x:row r="873" ht="25" customHeight="1">
      <x:c r="A873" s="69" t="str">
        <x:v>summer-S26-0161</x:v>
      </x:c>
      <x:c r="B873" s="69" t="str">
        <x:v>Noah Katterbach</x:v>
      </x:c>
      <x:c r="C873" s="69"/>
      <x:c r="D873" s="82" t="str">
        <x:f>IF(ISNUMBER('Transfer_Ratings'!K873),'Transfer_Ratings'!K873,"")</x:f>
      </x:c>
      <x:c r="E873" s="86"/>
      <x:c r="F873" s="86"/>
      <x:c r="G873" s="86"/>
      <x:c r="H873" s="86"/>
      <x:c r="I873" s="86"/>
      <x:c r="J873" s="82" t="str">
        <x:f>IF(C873="","Choose position",IF(COUNT(E873:I873)&lt;5,"",IF(OR(MIN(E873:I873)&lt;0.1,MAX(E873:I873)&gt;10),"Invalid score",IF(INDEX('Position_Rubric'!$H$6:$H$14,M873)&lt;&gt;1,"Check weights",ROUND(E873*INDEX('Position_Rubric'!$C$6:$C$14,M873)+F873*INDEX('Position_Rubric'!$D$6:$D$14,M873)+G873*INDEX('Position_Rubric'!$E$6:$E$14,M873)+H873*INDEX('Position_Rubric'!$F$6:$F$14,M873)+I873*INDEX('Position_Rubric'!$G$6:$G$14,M873),1)))))</x:f>
        <x:v>Choose position</x:v>
      </x:c>
      <x:c r="K873" s="82" t="str">
        <x:f>IF(AND(ISNUMBER(J873),ISNUMBER(D873)),J873-D873,"")</x:f>
      </x:c>
      <x:c r="L873" s="69" t="str">
        <x:f>IF(COUNT(E873:I873)&lt;5,"Needs component scores",IF(ISNUMBER(J873),"Calculated",J873))</x:f>
        <x:v>Needs component scores</x:v>
      </x:c>
      <x:c r="M873" s="69" t="str">
        <x:f>IF(C873="","",MATCH(C873,'Position_Rubric'!$A$6:$A$14,0))</x:f>
      </x:c>
      <x:c r="N873" s="69" t="str"/>
    </x:row>
    <x:row r="874" ht="25" customHeight="1">
      <x:c r="A874" s="69" t="str">
        <x:v>summer-S26-0163</x:v>
      </x:c>
      <x:c r="B874" s="69" t="str">
        <x:v>Javi Galán</x:v>
      </x:c>
      <x:c r="C874" s="69"/>
      <x:c r="D874" s="82" t="str">
        <x:f>IF(ISNUMBER('Transfer_Ratings'!K874),'Transfer_Ratings'!K874,"")</x:f>
      </x:c>
      <x:c r="E874" s="86"/>
      <x:c r="F874" s="86"/>
      <x:c r="G874" s="86"/>
      <x:c r="H874" s="86"/>
      <x:c r="I874" s="86"/>
      <x:c r="J874" s="82" t="str">
        <x:f>IF(C874="","Choose position",IF(COUNT(E874:I874)&lt;5,"",IF(OR(MIN(E874:I874)&lt;0.1,MAX(E874:I874)&gt;10),"Invalid score",IF(INDEX('Position_Rubric'!$H$6:$H$14,M874)&lt;&gt;1,"Check weights",ROUND(E874*INDEX('Position_Rubric'!$C$6:$C$14,M874)+F874*INDEX('Position_Rubric'!$D$6:$D$14,M874)+G874*INDEX('Position_Rubric'!$E$6:$E$14,M874)+H874*INDEX('Position_Rubric'!$F$6:$F$14,M874)+I874*INDEX('Position_Rubric'!$G$6:$G$14,M874),1)))))</x:f>
        <x:v>Choose position</x:v>
      </x:c>
      <x:c r="K874" s="82" t="str">
        <x:f>IF(AND(ISNUMBER(J874),ISNUMBER(D874)),J874-D874,"")</x:f>
      </x:c>
      <x:c r="L874" s="69" t="str">
        <x:f>IF(COUNT(E874:I874)&lt;5,"Needs component scores",IF(ISNUMBER(J874),"Calculated",J874))</x:f>
        <x:v>Needs component scores</x:v>
      </x:c>
      <x:c r="M874" s="69" t="str">
        <x:f>IF(C874="","",MATCH(C874,'Position_Rubric'!$A$6:$A$14,0))</x:f>
      </x:c>
      <x:c r="N874" s="69" t="str"/>
    </x:row>
    <x:row r="875" ht="25" customHeight="1">
      <x:c r="A875" s="69" t="str">
        <x:v>summer-S26-0165</x:v>
      </x:c>
      <x:c r="B875" s="69" t="str">
        <x:v>Pascal Struijk</x:v>
      </x:c>
      <x:c r="C875" s="69"/>
      <x:c r="D875" s="82" t="str">
        <x:f>IF(ISNUMBER('Transfer_Ratings'!K875),'Transfer_Ratings'!K875,"")</x:f>
      </x:c>
      <x:c r="E875" s="86"/>
      <x:c r="F875" s="86"/>
      <x:c r="G875" s="86"/>
      <x:c r="H875" s="86"/>
      <x:c r="I875" s="86"/>
      <x:c r="J875" s="82" t="str">
        <x:f>IF(C875="","Choose position",IF(COUNT(E875:I875)&lt;5,"",IF(OR(MIN(E875:I875)&lt;0.1,MAX(E875:I875)&gt;10),"Invalid score",IF(INDEX('Position_Rubric'!$H$6:$H$14,M875)&lt;&gt;1,"Check weights",ROUND(E875*INDEX('Position_Rubric'!$C$6:$C$14,M875)+F875*INDEX('Position_Rubric'!$D$6:$D$14,M875)+G875*INDEX('Position_Rubric'!$E$6:$E$14,M875)+H875*INDEX('Position_Rubric'!$F$6:$F$14,M875)+I875*INDEX('Position_Rubric'!$G$6:$G$14,M875),1)))))</x:f>
        <x:v>Choose position</x:v>
      </x:c>
      <x:c r="K875" s="82" t="str">
        <x:f>IF(AND(ISNUMBER(J875),ISNUMBER(D875)),J875-D875,"")</x:f>
      </x:c>
      <x:c r="L875" s="69" t="str">
        <x:f>IF(COUNT(E875:I875)&lt;5,"Needs component scores",IF(ISNUMBER(J875),"Calculated",J875))</x:f>
        <x:v>Needs component scores</x:v>
      </x:c>
      <x:c r="M875" s="69" t="str">
        <x:f>IF(C875="","",MATCH(C875,'Position_Rubric'!$A$6:$A$14,0))</x:f>
      </x:c>
      <x:c r="N875" s="69" t="str"/>
    </x:row>
    <x:row r="876" ht="25" customHeight="1">
      <x:c r="A876" s="69" t="str">
        <x:v>summer-S26-0166</x:v>
      </x:c>
      <x:c r="B876" s="69" t="str">
        <x:v>Marco Palestra</x:v>
      </x:c>
      <x:c r="C876" s="69"/>
      <x:c r="D876" s="82" t="str">
        <x:f>IF(ISNUMBER('Transfer_Ratings'!K876),'Transfer_Ratings'!K876,"")</x:f>
      </x:c>
      <x:c r="E876" s="86"/>
      <x:c r="F876" s="86"/>
      <x:c r="G876" s="86"/>
      <x:c r="H876" s="86"/>
      <x:c r="I876" s="86"/>
      <x:c r="J876" s="82" t="str">
        <x:f>IF(C876="","Choose position",IF(COUNT(E876:I876)&lt;5,"",IF(OR(MIN(E876:I876)&lt;0.1,MAX(E876:I876)&gt;10),"Invalid score",IF(INDEX('Position_Rubric'!$H$6:$H$14,M876)&lt;&gt;1,"Check weights",ROUND(E876*INDEX('Position_Rubric'!$C$6:$C$14,M876)+F876*INDEX('Position_Rubric'!$D$6:$D$14,M876)+G876*INDEX('Position_Rubric'!$E$6:$E$14,M876)+H876*INDEX('Position_Rubric'!$F$6:$F$14,M876)+I876*INDEX('Position_Rubric'!$G$6:$G$14,M876),1)))))</x:f>
        <x:v>Choose position</x:v>
      </x:c>
      <x:c r="K876" s="82" t="str">
        <x:f>IF(AND(ISNUMBER(J876),ISNUMBER(D876)),J876-D876,"")</x:f>
      </x:c>
      <x:c r="L876" s="69" t="str">
        <x:f>IF(COUNT(E876:I876)&lt;5,"Needs component scores",IF(ISNUMBER(J876),"Calculated",J876))</x:f>
        <x:v>Needs component scores</x:v>
      </x:c>
      <x:c r="M876" s="69" t="str">
        <x:f>IF(C876="","",MATCH(C876,'Position_Rubric'!$A$6:$A$14,0))</x:f>
      </x:c>
      <x:c r="N876" s="69" t="str"/>
    </x:row>
    <x:row r="877" ht="25" customHeight="1">
      <x:c r="A877" s="69" t="str">
        <x:v>summer-S26-0170</x:v>
      </x:c>
      <x:c r="B877" s="69" t="str">
        <x:v>Arthur Piedfort</x:v>
      </x:c>
      <x:c r="C877" s="69"/>
      <x:c r="D877" s="82" t="str">
        <x:f>IF(ISNUMBER('Transfer_Ratings'!K877),'Transfer_Ratings'!K877,"")</x:f>
      </x:c>
      <x:c r="E877" s="86"/>
      <x:c r="F877" s="86"/>
      <x:c r="G877" s="86"/>
      <x:c r="H877" s="86"/>
      <x:c r="I877" s="86"/>
      <x:c r="J877" s="82" t="str">
        <x:f>IF(C877="","Choose position",IF(COUNT(E877:I877)&lt;5,"",IF(OR(MIN(E877:I877)&lt;0.1,MAX(E877:I877)&gt;10),"Invalid score",IF(INDEX('Position_Rubric'!$H$6:$H$14,M877)&lt;&gt;1,"Check weights",ROUND(E877*INDEX('Position_Rubric'!$C$6:$C$14,M877)+F877*INDEX('Position_Rubric'!$D$6:$D$14,M877)+G877*INDEX('Position_Rubric'!$E$6:$E$14,M877)+H877*INDEX('Position_Rubric'!$F$6:$F$14,M877)+I877*INDEX('Position_Rubric'!$G$6:$G$14,M877),1)))))</x:f>
        <x:v>Choose position</x:v>
      </x:c>
      <x:c r="K877" s="82" t="str">
        <x:f>IF(AND(ISNUMBER(J877),ISNUMBER(D877)),J877-D877,"")</x:f>
      </x:c>
      <x:c r="L877" s="69" t="str">
        <x:f>IF(COUNT(E877:I877)&lt;5,"Needs component scores",IF(ISNUMBER(J877),"Calculated",J877))</x:f>
        <x:v>Needs component scores</x:v>
      </x:c>
      <x:c r="M877" s="69" t="str">
        <x:f>IF(C877="","",MATCH(C877,'Position_Rubric'!$A$6:$A$14,0))</x:f>
      </x:c>
      <x:c r="N877" s="69" t="str"/>
    </x:row>
    <x:row r="878" ht="25" customHeight="1">
      <x:c r="A878" s="69" t="str">
        <x:v>summer-S26-0172</x:v>
      </x:c>
      <x:c r="B878" s="69" t="str">
        <x:v>Hrvoje Smolcic</x:v>
      </x:c>
      <x:c r="C878" s="69"/>
      <x:c r="D878" s="82" t="str">
        <x:f>IF(ISNUMBER('Transfer_Ratings'!K878),'Transfer_Ratings'!K878,"")</x:f>
      </x:c>
      <x:c r="E878" s="86"/>
      <x:c r="F878" s="86"/>
      <x:c r="G878" s="86"/>
      <x:c r="H878" s="86"/>
      <x:c r="I878" s="86"/>
      <x:c r="J878" s="82" t="str">
        <x:f>IF(C878="","Choose position",IF(COUNT(E878:I878)&lt;5,"",IF(OR(MIN(E878:I878)&lt;0.1,MAX(E878:I878)&gt;10),"Invalid score",IF(INDEX('Position_Rubric'!$H$6:$H$14,M878)&lt;&gt;1,"Check weights",ROUND(E878*INDEX('Position_Rubric'!$C$6:$C$14,M878)+F878*INDEX('Position_Rubric'!$D$6:$D$14,M878)+G878*INDEX('Position_Rubric'!$E$6:$E$14,M878)+H878*INDEX('Position_Rubric'!$F$6:$F$14,M878)+I878*INDEX('Position_Rubric'!$G$6:$G$14,M878),1)))))</x:f>
        <x:v>Choose position</x:v>
      </x:c>
      <x:c r="K878" s="82" t="str">
        <x:f>IF(AND(ISNUMBER(J878),ISNUMBER(D878)),J878-D878,"")</x:f>
      </x:c>
      <x:c r="L878" s="69" t="str">
        <x:f>IF(COUNT(E878:I878)&lt;5,"Needs component scores",IF(ISNUMBER(J878),"Calculated",J878))</x:f>
        <x:v>Needs component scores</x:v>
      </x:c>
      <x:c r="M878" s="69" t="str">
        <x:f>IF(C878="","",MATCH(C878,'Position_Rubric'!$A$6:$A$14,0))</x:f>
      </x:c>
      <x:c r="N878" s="69" t="str"/>
    </x:row>
    <x:row r="879" ht="25" customHeight="1">
      <x:c r="A879" s="69" t="str">
        <x:v>summer-S26-0174</x:v>
      </x:c>
      <x:c r="B879" s="69" t="str">
        <x:v>Giovanni Daffara</x:v>
      </x:c>
      <x:c r="C879" s="69" t="str">
        <x:v>GK</x:v>
      </x:c>
      <x:c r="D879" s="82" t="str">
        <x:f>IF(ISNUMBER('Transfer_Ratings'!K879),'Transfer_Ratings'!K879,"")</x:f>
      </x:c>
      <x:c r="E879" s="86"/>
      <x:c r="F879" s="86"/>
      <x:c r="G879" s="86"/>
      <x:c r="H879" s="86"/>
      <x:c r="I879" s="86"/>
      <x:c r="J879" s="82" t="str">
        <x:f>IF(C879="","Choose position",IF(COUNT(E879:I879)&lt;5,"",IF(OR(MIN(E879:I879)&lt;0.1,MAX(E879:I879)&gt;10),"Invalid score",IF(INDEX('Position_Rubric'!$H$6:$H$14,M879)&lt;&gt;1,"Check weights",ROUND(E879*INDEX('Position_Rubric'!$C$6:$C$14,M879)+F879*INDEX('Position_Rubric'!$D$6:$D$14,M879)+G879*INDEX('Position_Rubric'!$E$6:$E$14,M879)+H879*INDEX('Position_Rubric'!$F$6:$F$14,M879)+I879*INDEX('Position_Rubric'!$G$6:$G$14,M879),1)))))</x:f>
      </x:c>
      <x:c r="K879" s="82" t="str">
        <x:f>IF(AND(ISNUMBER(J879),ISNUMBER(D879)),J879-D879,"")</x:f>
      </x:c>
      <x:c r="L879" s="69" t="str">
        <x:f>IF(COUNT(E879:I879)&lt;5,"Needs component scores",IF(ISNUMBER(J879),"Calculated",J879))</x:f>
        <x:v>Needs component scores</x:v>
      </x:c>
      <x:c r="M879" s="69" t="n">
        <x:f>IF(C879="","",MATCH(C879,'Position_Rubric'!$A$6:$A$14,0))</x:f>
        <x:v>9</x:v>
      </x:c>
      <x:c r="N879" s="69" t="str"/>
    </x:row>
    <x:row r="880" ht="25" customHeight="1">
      <x:c r="A880" s="69" t="str">
        <x:v>summer-S26-0175</x:v>
      </x:c>
      <x:c r="B880" s="69" t="str">
        <x:v>Armel Bella-Kotchap</x:v>
      </x:c>
      <x:c r="C880" s="69"/>
      <x:c r="D880" s="82" t="str">
        <x:f>IF(ISNUMBER('Transfer_Ratings'!K880),'Transfer_Ratings'!K880,"")</x:f>
      </x:c>
      <x:c r="E880" s="86"/>
      <x:c r="F880" s="86"/>
      <x:c r="G880" s="86"/>
      <x:c r="H880" s="86"/>
      <x:c r="I880" s="86"/>
      <x:c r="J880" s="82" t="str">
        <x:f>IF(C880="","Choose position",IF(COUNT(E880:I880)&lt;5,"",IF(OR(MIN(E880:I880)&lt;0.1,MAX(E880:I880)&gt;10),"Invalid score",IF(INDEX('Position_Rubric'!$H$6:$H$14,M880)&lt;&gt;1,"Check weights",ROUND(E880*INDEX('Position_Rubric'!$C$6:$C$14,M880)+F880*INDEX('Position_Rubric'!$D$6:$D$14,M880)+G880*INDEX('Position_Rubric'!$E$6:$E$14,M880)+H880*INDEX('Position_Rubric'!$F$6:$F$14,M880)+I880*INDEX('Position_Rubric'!$G$6:$G$14,M880),1)))))</x:f>
        <x:v>Choose position</x:v>
      </x:c>
      <x:c r="K880" s="82" t="str">
        <x:f>IF(AND(ISNUMBER(J880),ISNUMBER(D880)),J880-D880,"")</x:f>
      </x:c>
      <x:c r="L880" s="69" t="str">
        <x:f>IF(COUNT(E880:I880)&lt;5,"Needs component scores",IF(ISNUMBER(J880),"Calculated",J880))</x:f>
        <x:v>Needs component scores</x:v>
      </x:c>
      <x:c r="M880" s="69" t="str">
        <x:f>IF(C880="","",MATCH(C880,'Position_Rubric'!$A$6:$A$14,0))</x:f>
      </x:c>
      <x:c r="N880" s="69" t="str"/>
    </x:row>
    <x:row r="881" ht="25" customHeight="1">
      <x:c r="A881" s="69" t="str">
        <x:v>summer-S26-0176</x:v>
      </x:c>
      <x:c r="B881" s="69" t="str">
        <x:v>Rasmus Kristensen</x:v>
      </x:c>
      <x:c r="C881" s="69"/>
      <x:c r="D881" s="82" t="str">
        <x:f>IF(ISNUMBER('Transfer_Ratings'!K881),'Transfer_Ratings'!K881,"")</x:f>
      </x:c>
      <x:c r="E881" s="86"/>
      <x:c r="F881" s="86"/>
      <x:c r="G881" s="86"/>
      <x:c r="H881" s="86"/>
      <x:c r="I881" s="86"/>
      <x:c r="J881" s="82" t="str">
        <x:f>IF(C881="","Choose position",IF(COUNT(E881:I881)&lt;5,"",IF(OR(MIN(E881:I881)&lt;0.1,MAX(E881:I881)&gt;10),"Invalid score",IF(INDEX('Position_Rubric'!$H$6:$H$14,M881)&lt;&gt;1,"Check weights",ROUND(E881*INDEX('Position_Rubric'!$C$6:$C$14,M881)+F881*INDEX('Position_Rubric'!$D$6:$D$14,M881)+G881*INDEX('Position_Rubric'!$E$6:$E$14,M881)+H881*INDEX('Position_Rubric'!$F$6:$F$14,M881)+I881*INDEX('Position_Rubric'!$G$6:$G$14,M881),1)))))</x:f>
        <x:v>Choose position</x:v>
      </x:c>
      <x:c r="K881" s="82" t="str">
        <x:f>IF(AND(ISNUMBER(J881),ISNUMBER(D881)),J881-D881,"")</x:f>
      </x:c>
      <x:c r="L881" s="69" t="str">
        <x:f>IF(COUNT(E881:I881)&lt;5,"Needs component scores",IF(ISNUMBER(J881),"Calculated",J881))</x:f>
        <x:v>Needs component scores</x:v>
      </x:c>
      <x:c r="M881" s="69" t="str">
        <x:f>IF(C881="","",MATCH(C881,'Position_Rubric'!$A$6:$A$14,0))</x:f>
      </x:c>
      <x:c r="N881" s="69" t="str"/>
    </x:row>
    <x:row r="882" ht="25" customHeight="1">
      <x:c r="A882" s="69" t="str">
        <x:v>summer-S26-0177</x:v>
      </x:c>
      <x:c r="B882" s="69" t="str">
        <x:v>Caio Henrique</x:v>
      </x:c>
      <x:c r="C882" s="69"/>
      <x:c r="D882" s="82" t="str">
        <x:f>IF(ISNUMBER('Transfer_Ratings'!K882),'Transfer_Ratings'!K882,"")</x:f>
      </x:c>
      <x:c r="E882" s="86"/>
      <x:c r="F882" s="86"/>
      <x:c r="G882" s="86"/>
      <x:c r="H882" s="86"/>
      <x:c r="I882" s="86"/>
      <x:c r="J882" s="82" t="str">
        <x:f>IF(C882="","Choose position",IF(COUNT(E882:I882)&lt;5,"",IF(OR(MIN(E882:I882)&lt;0.1,MAX(E882:I882)&gt;10),"Invalid score",IF(INDEX('Position_Rubric'!$H$6:$H$14,M882)&lt;&gt;1,"Check weights",ROUND(E882*INDEX('Position_Rubric'!$C$6:$C$14,M882)+F882*INDEX('Position_Rubric'!$D$6:$D$14,M882)+G882*INDEX('Position_Rubric'!$E$6:$E$14,M882)+H882*INDEX('Position_Rubric'!$F$6:$F$14,M882)+I882*INDEX('Position_Rubric'!$G$6:$G$14,M882),1)))))</x:f>
        <x:v>Choose position</x:v>
      </x:c>
      <x:c r="K882" s="82" t="str">
        <x:f>IF(AND(ISNUMBER(J882),ISNUMBER(D882)),J882-D882,"")</x:f>
      </x:c>
      <x:c r="L882" s="69" t="str">
        <x:f>IF(COUNT(E882:I882)&lt;5,"Needs component scores",IF(ISNUMBER(J882),"Calculated",J882))</x:f>
        <x:v>Needs component scores</x:v>
      </x:c>
      <x:c r="M882" s="69" t="str">
        <x:f>IF(C882="","",MATCH(C882,'Position_Rubric'!$A$6:$A$14,0))</x:f>
      </x:c>
      <x:c r="N882" s="69" t="str"/>
    </x:row>
    <x:row r="883" ht="25" customHeight="1">
      <x:c r="A883" s="69" t="str">
        <x:v>summer-S26-0178</x:v>
      </x:c>
      <x:c r="B883" s="69" t="str">
        <x:v>Flávio Nazinho</x:v>
      </x:c>
      <x:c r="C883" s="69"/>
      <x:c r="D883" s="82" t="str">
        <x:f>IF(ISNUMBER('Transfer_Ratings'!K883),'Transfer_Ratings'!K883,"")</x:f>
      </x:c>
      <x:c r="E883" s="86"/>
      <x:c r="F883" s="86"/>
      <x:c r="G883" s="86"/>
      <x:c r="H883" s="86"/>
      <x:c r="I883" s="86"/>
      <x:c r="J883" s="82" t="str">
        <x:f>IF(C883="","Choose position",IF(COUNT(E883:I883)&lt;5,"",IF(OR(MIN(E883:I883)&lt;0.1,MAX(E883:I883)&gt;10),"Invalid score",IF(INDEX('Position_Rubric'!$H$6:$H$14,M883)&lt;&gt;1,"Check weights",ROUND(E883*INDEX('Position_Rubric'!$C$6:$C$14,M883)+F883*INDEX('Position_Rubric'!$D$6:$D$14,M883)+G883*INDEX('Position_Rubric'!$E$6:$E$14,M883)+H883*INDEX('Position_Rubric'!$F$6:$F$14,M883)+I883*INDEX('Position_Rubric'!$G$6:$G$14,M883),1)))))</x:f>
        <x:v>Choose position</x:v>
      </x:c>
      <x:c r="K883" s="82" t="str">
        <x:f>IF(AND(ISNUMBER(J883),ISNUMBER(D883)),J883-D883,"")</x:f>
      </x:c>
      <x:c r="L883" s="69" t="str">
        <x:f>IF(COUNT(E883:I883)&lt;5,"Needs component scores",IF(ISNUMBER(J883),"Calculated",J883))</x:f>
        <x:v>Needs component scores</x:v>
      </x:c>
      <x:c r="M883" s="69" t="str">
        <x:f>IF(C883="","",MATCH(C883,'Position_Rubric'!$A$6:$A$14,0))</x:f>
      </x:c>
      <x:c r="N883" s="69" t="str"/>
    </x:row>
    <x:row r="884" ht="25" customHeight="1">
      <x:c r="A884" s="69" t="str">
        <x:v>summer-S26-0180</x:v>
      </x:c>
      <x:c r="B884" s="69" t="str">
        <x:v>Stefan de Vrij</x:v>
      </x:c>
      <x:c r="C884" s="69"/>
      <x:c r="D884" s="82" t="str">
        <x:f>IF(ISNUMBER('Transfer_Ratings'!K884),'Transfer_Ratings'!K884,"")</x:f>
      </x:c>
      <x:c r="E884" s="86"/>
      <x:c r="F884" s="86"/>
      <x:c r="G884" s="86"/>
      <x:c r="H884" s="86"/>
      <x:c r="I884" s="86"/>
      <x:c r="J884" s="82" t="str">
        <x:f>IF(C884="","Choose position",IF(COUNT(E884:I884)&lt;5,"",IF(OR(MIN(E884:I884)&lt;0.1,MAX(E884:I884)&gt;10),"Invalid score",IF(INDEX('Position_Rubric'!$H$6:$H$14,M884)&lt;&gt;1,"Check weights",ROUND(E884*INDEX('Position_Rubric'!$C$6:$C$14,M884)+F884*INDEX('Position_Rubric'!$D$6:$D$14,M884)+G884*INDEX('Position_Rubric'!$E$6:$E$14,M884)+H884*INDEX('Position_Rubric'!$F$6:$F$14,M884)+I884*INDEX('Position_Rubric'!$G$6:$G$14,M884),1)))))</x:f>
        <x:v>Choose position</x:v>
      </x:c>
      <x:c r="K884" s="82" t="str">
        <x:f>IF(AND(ISNUMBER(J884),ISNUMBER(D884)),J884-D884,"")</x:f>
      </x:c>
      <x:c r="L884" s="69" t="str">
        <x:f>IF(COUNT(E884:I884)&lt;5,"Needs component scores",IF(ISNUMBER(J884),"Calculated",J884))</x:f>
        <x:v>Needs component scores</x:v>
      </x:c>
      <x:c r="M884" s="69" t="str">
        <x:f>IF(C884="","",MATCH(C884,'Position_Rubric'!$A$6:$A$14,0))</x:f>
      </x:c>
      <x:c r="N884" s="69" t="str"/>
    </x:row>
    <x:row r="885" ht="25" customHeight="1">
      <x:c r="A885" s="69" t="str">
        <x:v>summer-S26-0181</x:v>
      </x:c>
      <x:c r="B885" s="69" t="str">
        <x:v>Clément Lenglet</x:v>
      </x:c>
      <x:c r="C885" s="69"/>
      <x:c r="D885" s="82" t="str">
        <x:f>IF(ISNUMBER('Transfer_Ratings'!K885),'Transfer_Ratings'!K885,"")</x:f>
      </x:c>
      <x:c r="E885" s="86"/>
      <x:c r="F885" s="86"/>
      <x:c r="G885" s="86"/>
      <x:c r="H885" s="86"/>
      <x:c r="I885" s="86"/>
      <x:c r="J885" s="82" t="str">
        <x:f>IF(C885="","Choose position",IF(COUNT(E885:I885)&lt;5,"",IF(OR(MIN(E885:I885)&lt;0.1,MAX(E885:I885)&gt;10),"Invalid score",IF(INDEX('Position_Rubric'!$H$6:$H$14,M885)&lt;&gt;1,"Check weights",ROUND(E885*INDEX('Position_Rubric'!$C$6:$C$14,M885)+F885*INDEX('Position_Rubric'!$D$6:$D$14,M885)+G885*INDEX('Position_Rubric'!$E$6:$E$14,M885)+H885*INDEX('Position_Rubric'!$F$6:$F$14,M885)+I885*INDEX('Position_Rubric'!$G$6:$G$14,M885),1)))))</x:f>
        <x:v>Choose position</x:v>
      </x:c>
      <x:c r="K885" s="82" t="str">
        <x:f>IF(AND(ISNUMBER(J885),ISNUMBER(D885)),J885-D885,"")</x:f>
      </x:c>
      <x:c r="L885" s="69" t="str">
        <x:f>IF(COUNT(E885:I885)&lt;5,"Needs component scores",IF(ISNUMBER(J885),"Calculated",J885))</x:f>
        <x:v>Needs component scores</x:v>
      </x:c>
      <x:c r="M885" s="69" t="str">
        <x:f>IF(C885="","",MATCH(C885,'Position_Rubric'!$A$6:$A$14,0))</x:f>
      </x:c>
      <x:c r="N885" s="69" t="str"/>
    </x:row>
    <x:row r="886" ht="25" customHeight="1">
      <x:c r="A886" s="69" t="str">
        <x:v>summer-S26-0184</x:v>
      </x:c>
      <x:c r="B886" s="69" t="str">
        <x:v>Oliver Whatmuff</x:v>
      </x:c>
      <x:c r="C886" s="69" t="str">
        <x:v>GK</x:v>
      </x:c>
      <x:c r="D886" s="82" t="str">
        <x:f>IF(ISNUMBER('Transfer_Ratings'!K886),'Transfer_Ratings'!K886,"")</x:f>
      </x:c>
      <x:c r="E886" s="86"/>
      <x:c r="F886" s="86"/>
      <x:c r="G886" s="86"/>
      <x:c r="H886" s="86"/>
      <x:c r="I886" s="86"/>
      <x:c r="J886" s="82" t="str">
        <x:f>IF(C886="","Choose position",IF(COUNT(E886:I886)&lt;5,"",IF(OR(MIN(E886:I886)&lt;0.1,MAX(E886:I886)&gt;10),"Invalid score",IF(INDEX('Position_Rubric'!$H$6:$H$14,M886)&lt;&gt;1,"Check weights",ROUND(E886*INDEX('Position_Rubric'!$C$6:$C$14,M886)+F886*INDEX('Position_Rubric'!$D$6:$D$14,M886)+G886*INDEX('Position_Rubric'!$E$6:$E$14,M886)+H886*INDEX('Position_Rubric'!$F$6:$F$14,M886)+I886*INDEX('Position_Rubric'!$G$6:$G$14,M886),1)))))</x:f>
      </x:c>
      <x:c r="K886" s="82" t="str">
        <x:f>IF(AND(ISNUMBER(J886),ISNUMBER(D886)),J886-D886,"")</x:f>
      </x:c>
      <x:c r="L886" s="69" t="str">
        <x:f>IF(COUNT(E886:I886)&lt;5,"Needs component scores",IF(ISNUMBER(J886),"Calculated",J886))</x:f>
        <x:v>Needs component scores</x:v>
      </x:c>
      <x:c r="M886" s="69" t="n">
        <x:f>IF(C886="","",MATCH(C886,'Position_Rubric'!$A$6:$A$14,0))</x:f>
        <x:v>9</x:v>
      </x:c>
      <x:c r="N886" s="69" t="str"/>
    </x:row>
    <x:row r="887" ht="25" customHeight="1">
      <x:c r="A887" s="69" t="str">
        <x:v>summer-S26-0185</x:v>
      </x:c>
      <x:c r="B887" s="69" t="str">
        <x:v>Ethan Brierley</x:v>
      </x:c>
      <x:c r="C887" s="69"/>
      <x:c r="D887" s="82" t="str">
        <x:f>IF(ISNUMBER('Transfer_Ratings'!K887),'Transfer_Ratings'!K887,"")</x:f>
      </x:c>
      <x:c r="E887" s="86"/>
      <x:c r="F887" s="86"/>
      <x:c r="G887" s="86"/>
      <x:c r="H887" s="86"/>
      <x:c r="I887" s="86"/>
      <x:c r="J887" s="82" t="str">
        <x:f>IF(C887="","Choose position",IF(COUNT(E887:I887)&lt;5,"",IF(OR(MIN(E887:I887)&lt;0.1,MAX(E887:I887)&gt;10),"Invalid score",IF(INDEX('Position_Rubric'!$H$6:$H$14,M887)&lt;&gt;1,"Check weights",ROUND(E887*INDEX('Position_Rubric'!$C$6:$C$14,M887)+F887*INDEX('Position_Rubric'!$D$6:$D$14,M887)+G887*INDEX('Position_Rubric'!$E$6:$E$14,M887)+H887*INDEX('Position_Rubric'!$F$6:$F$14,M887)+I887*INDEX('Position_Rubric'!$G$6:$G$14,M887),1)))))</x:f>
        <x:v>Choose position</x:v>
      </x:c>
      <x:c r="K887" s="82" t="str">
        <x:f>IF(AND(ISNUMBER(J887),ISNUMBER(D887)),J887-D887,"")</x:f>
      </x:c>
      <x:c r="L887" s="69" t="str">
        <x:f>IF(COUNT(E887:I887)&lt;5,"Needs component scores",IF(ISNUMBER(J887),"Calculated",J887))</x:f>
        <x:v>Needs component scores</x:v>
      </x:c>
      <x:c r="M887" s="69" t="str">
        <x:f>IF(C887="","",MATCH(C887,'Position_Rubric'!$A$6:$A$14,0))</x:f>
      </x:c>
      <x:c r="N887" s="69" t="str"/>
    </x:row>
    <x:row r="888" ht="25" customHeight="1">
      <x:c r="A888" s="69" t="str">
        <x:v>summer-S26-0186</x:v>
      </x:c>
      <x:c r="B888" s="69" t="str">
        <x:v>Matty Young</x:v>
      </x:c>
      <x:c r="C888" s="69" t="str">
        <x:v>GK</x:v>
      </x:c>
      <x:c r="D888" s="82" t="str">
        <x:f>IF(ISNUMBER('Transfer_Ratings'!K888),'Transfer_Ratings'!K888,"")</x:f>
      </x:c>
      <x:c r="E888" s="86"/>
      <x:c r="F888" s="86"/>
      <x:c r="G888" s="86"/>
      <x:c r="H888" s="86"/>
      <x:c r="I888" s="86"/>
      <x:c r="J888" s="82" t="str">
        <x:f>IF(C888="","Choose position",IF(COUNT(E888:I888)&lt;5,"",IF(OR(MIN(E888:I888)&lt;0.1,MAX(E888:I888)&gt;10),"Invalid score",IF(INDEX('Position_Rubric'!$H$6:$H$14,M888)&lt;&gt;1,"Check weights",ROUND(E888*INDEX('Position_Rubric'!$C$6:$C$14,M888)+F888*INDEX('Position_Rubric'!$D$6:$D$14,M888)+G888*INDEX('Position_Rubric'!$E$6:$E$14,M888)+H888*INDEX('Position_Rubric'!$F$6:$F$14,M888)+I888*INDEX('Position_Rubric'!$G$6:$G$14,M888),1)))))</x:f>
      </x:c>
      <x:c r="K888" s="82" t="str">
        <x:f>IF(AND(ISNUMBER(J888),ISNUMBER(D888)),J888-D888,"")</x:f>
      </x:c>
      <x:c r="L888" s="69" t="str">
        <x:f>IF(COUNT(E888:I888)&lt;5,"Needs component scores",IF(ISNUMBER(J888),"Calculated",J888))</x:f>
        <x:v>Needs component scores</x:v>
      </x:c>
      <x:c r="M888" s="69" t="n">
        <x:f>IF(C888="","",MATCH(C888,'Position_Rubric'!$A$6:$A$14,0))</x:f>
        <x:v>9</x:v>
      </x:c>
      <x:c r="N888" s="69" t="str"/>
    </x:row>
    <x:row r="889" ht="25" customHeight="1">
      <x:c r="A889" s="69" t="str">
        <x:v>summer-S26-0187</x:v>
      </x:c>
      <x:c r="B889" s="69" t="str">
        <x:v>Stanley Nsoki</x:v>
      </x:c>
      <x:c r="C889" s="69"/>
      <x:c r="D889" s="82" t="str">
        <x:f>IF(ISNUMBER('Transfer_Ratings'!K889),'Transfer_Ratings'!K889,"")</x:f>
      </x:c>
      <x:c r="E889" s="86"/>
      <x:c r="F889" s="86"/>
      <x:c r="G889" s="86"/>
      <x:c r="H889" s="86"/>
      <x:c r="I889" s="86"/>
      <x:c r="J889" s="82" t="str">
        <x:f>IF(C889="","Choose position",IF(COUNT(E889:I889)&lt;5,"",IF(OR(MIN(E889:I889)&lt;0.1,MAX(E889:I889)&gt;10),"Invalid score",IF(INDEX('Position_Rubric'!$H$6:$H$14,M889)&lt;&gt;1,"Check weights",ROUND(E889*INDEX('Position_Rubric'!$C$6:$C$14,M889)+F889*INDEX('Position_Rubric'!$D$6:$D$14,M889)+G889*INDEX('Position_Rubric'!$E$6:$E$14,M889)+H889*INDEX('Position_Rubric'!$F$6:$F$14,M889)+I889*INDEX('Position_Rubric'!$G$6:$G$14,M889),1)))))</x:f>
        <x:v>Choose position</x:v>
      </x:c>
      <x:c r="K889" s="82" t="str">
        <x:f>IF(AND(ISNUMBER(J889),ISNUMBER(D889)),J889-D889,"")</x:f>
      </x:c>
      <x:c r="L889" s="69" t="str">
        <x:f>IF(COUNT(E889:I889)&lt;5,"Needs component scores",IF(ISNUMBER(J889),"Calculated",J889))</x:f>
        <x:v>Needs component scores</x:v>
      </x:c>
      <x:c r="M889" s="69" t="str">
        <x:f>IF(C889="","",MATCH(C889,'Position_Rubric'!$A$6:$A$14,0))</x:f>
      </x:c>
      <x:c r="N889" s="69" t="str"/>
    </x:row>
    <x:row r="890" ht="25" customHeight="1">
      <x:c r="A890" s="69" t="str">
        <x:v>summer-S26-0188</x:v>
      </x:c>
      <x:c r="B890" s="69" t="str">
        <x:v>Alessandro Romano</x:v>
      </x:c>
      <x:c r="C890" s="69"/>
      <x:c r="D890" s="82" t="str">
        <x:f>IF(ISNUMBER('Transfer_Ratings'!K890),'Transfer_Ratings'!K890,"")</x:f>
      </x:c>
      <x:c r="E890" s="86"/>
      <x:c r="F890" s="86"/>
      <x:c r="G890" s="86"/>
      <x:c r="H890" s="86"/>
      <x:c r="I890" s="86"/>
      <x:c r="J890" s="82" t="str">
        <x:f>IF(C890="","Choose position",IF(COUNT(E890:I890)&lt;5,"",IF(OR(MIN(E890:I890)&lt;0.1,MAX(E890:I890)&gt;10),"Invalid score",IF(INDEX('Position_Rubric'!$H$6:$H$14,M890)&lt;&gt;1,"Check weights",ROUND(E890*INDEX('Position_Rubric'!$C$6:$C$14,M890)+F890*INDEX('Position_Rubric'!$D$6:$D$14,M890)+G890*INDEX('Position_Rubric'!$E$6:$E$14,M890)+H890*INDEX('Position_Rubric'!$F$6:$F$14,M890)+I890*INDEX('Position_Rubric'!$G$6:$G$14,M890),1)))))</x:f>
        <x:v>Choose position</x:v>
      </x:c>
      <x:c r="K890" s="82" t="str">
        <x:f>IF(AND(ISNUMBER(J890),ISNUMBER(D890)),J890-D890,"")</x:f>
      </x:c>
      <x:c r="L890" s="69" t="str">
        <x:f>IF(COUNT(E890:I890)&lt;5,"Needs component scores",IF(ISNUMBER(J890),"Calculated",J890))</x:f>
        <x:v>Needs component scores</x:v>
      </x:c>
      <x:c r="M890" s="69" t="str">
        <x:f>IF(C890="","",MATCH(C890,'Position_Rubric'!$A$6:$A$14,0))</x:f>
      </x:c>
      <x:c r="N890" s="69" t="str"/>
    </x:row>
    <x:row r="891" ht="25" customHeight="1">
      <x:c r="A891" s="69" t="str">
        <x:v>summer-S26-0189</x:v>
      </x:c>
      <x:c r="B891" s="69" t="str">
        <x:v>Fodé Sylla</x:v>
      </x:c>
      <x:c r="C891" s="69"/>
      <x:c r="D891" s="82" t="str">
        <x:f>IF(ISNUMBER('Transfer_Ratings'!K891),'Transfer_Ratings'!K891,"")</x:f>
      </x:c>
      <x:c r="E891" s="86"/>
      <x:c r="F891" s="86"/>
      <x:c r="G891" s="86"/>
      <x:c r="H891" s="86"/>
      <x:c r="I891" s="86"/>
      <x:c r="J891" s="82" t="str">
        <x:f>IF(C891="","Choose position",IF(COUNT(E891:I891)&lt;5,"",IF(OR(MIN(E891:I891)&lt;0.1,MAX(E891:I891)&gt;10),"Invalid score",IF(INDEX('Position_Rubric'!$H$6:$H$14,M891)&lt;&gt;1,"Check weights",ROUND(E891*INDEX('Position_Rubric'!$C$6:$C$14,M891)+F891*INDEX('Position_Rubric'!$D$6:$D$14,M891)+G891*INDEX('Position_Rubric'!$E$6:$E$14,M891)+H891*INDEX('Position_Rubric'!$F$6:$F$14,M891)+I891*INDEX('Position_Rubric'!$G$6:$G$14,M891),1)))))</x:f>
        <x:v>Choose position</x:v>
      </x:c>
      <x:c r="K891" s="82" t="str">
        <x:f>IF(AND(ISNUMBER(J891),ISNUMBER(D891)),J891-D891,"")</x:f>
      </x:c>
      <x:c r="L891" s="69" t="str">
        <x:f>IF(COUNT(E891:I891)&lt;5,"Needs component scores",IF(ISNUMBER(J891),"Calculated",J891))</x:f>
        <x:v>Needs component scores</x:v>
      </x:c>
      <x:c r="M891" s="69" t="str">
        <x:f>IF(C891="","",MATCH(C891,'Position_Rubric'!$A$6:$A$14,0))</x:f>
      </x:c>
      <x:c r="N891" s="69" t="str"/>
    </x:row>
    <x:row r="892" ht="25" customHeight="1">
      <x:c r="A892" s="69" t="str">
        <x:v>summer-S26-0190</x:v>
      </x:c>
      <x:c r="B892" s="69" t="str">
        <x:v>Thórir Jóhann Helgason</x:v>
      </x:c>
      <x:c r="C892" s="69"/>
      <x:c r="D892" s="82" t="str">
        <x:f>IF(ISNUMBER('Transfer_Ratings'!K892),'Transfer_Ratings'!K892,"")</x:f>
      </x:c>
      <x:c r="E892" s="86"/>
      <x:c r="F892" s="86"/>
      <x:c r="G892" s="86"/>
      <x:c r="H892" s="86"/>
      <x:c r="I892" s="86"/>
      <x:c r="J892" s="82" t="str">
        <x:f>IF(C892="","Choose position",IF(COUNT(E892:I892)&lt;5,"",IF(OR(MIN(E892:I892)&lt;0.1,MAX(E892:I892)&gt;10),"Invalid score",IF(INDEX('Position_Rubric'!$H$6:$H$14,M892)&lt;&gt;1,"Check weights",ROUND(E892*INDEX('Position_Rubric'!$C$6:$C$14,M892)+F892*INDEX('Position_Rubric'!$D$6:$D$14,M892)+G892*INDEX('Position_Rubric'!$E$6:$E$14,M892)+H892*INDEX('Position_Rubric'!$F$6:$F$14,M892)+I892*INDEX('Position_Rubric'!$G$6:$G$14,M892),1)))))</x:f>
        <x:v>Choose position</x:v>
      </x:c>
      <x:c r="K892" s="82" t="str">
        <x:f>IF(AND(ISNUMBER(J892),ISNUMBER(D892)),J892-D892,"")</x:f>
      </x:c>
      <x:c r="L892" s="69" t="str">
        <x:f>IF(COUNT(E892:I892)&lt;5,"Needs component scores",IF(ISNUMBER(J892),"Calculated",J892))</x:f>
        <x:v>Needs component scores</x:v>
      </x:c>
      <x:c r="M892" s="69" t="str">
        <x:f>IF(C892="","",MATCH(C892,'Position_Rubric'!$A$6:$A$14,0))</x:f>
      </x:c>
      <x:c r="N892" s="69" t="str"/>
    </x:row>
    <x:row r="893" ht="25" customHeight="1">
      <x:c r="A893" s="69" t="str">
        <x:v>summer-S26-0191</x:v>
      </x:c>
      <x:c r="B893" s="69" t="str">
        <x:v>Akin Famewo</x:v>
      </x:c>
      <x:c r="C893" s="69"/>
      <x:c r="D893" s="82" t="str">
        <x:f>IF(ISNUMBER('Transfer_Ratings'!K893),'Transfer_Ratings'!K893,"")</x:f>
      </x:c>
      <x:c r="E893" s="86"/>
      <x:c r="F893" s="86"/>
      <x:c r="G893" s="86"/>
      <x:c r="H893" s="86"/>
      <x:c r="I893" s="86"/>
      <x:c r="J893" s="82" t="str">
        <x:f>IF(C893="","Choose position",IF(COUNT(E893:I893)&lt;5,"",IF(OR(MIN(E893:I893)&lt;0.1,MAX(E893:I893)&gt;10),"Invalid score",IF(INDEX('Position_Rubric'!$H$6:$H$14,M893)&lt;&gt;1,"Check weights",ROUND(E893*INDEX('Position_Rubric'!$C$6:$C$14,M893)+F893*INDEX('Position_Rubric'!$D$6:$D$14,M893)+G893*INDEX('Position_Rubric'!$E$6:$E$14,M893)+H893*INDEX('Position_Rubric'!$F$6:$F$14,M893)+I893*INDEX('Position_Rubric'!$G$6:$G$14,M893),1)))))</x:f>
        <x:v>Choose position</x:v>
      </x:c>
      <x:c r="K893" s="82" t="str">
        <x:f>IF(AND(ISNUMBER(J893),ISNUMBER(D893)),J893-D893,"")</x:f>
      </x:c>
      <x:c r="L893" s="69" t="str">
        <x:f>IF(COUNT(E893:I893)&lt;5,"Needs component scores",IF(ISNUMBER(J893),"Calculated",J893))</x:f>
        <x:v>Needs component scores</x:v>
      </x:c>
      <x:c r="M893" s="69" t="str">
        <x:f>IF(C893="","",MATCH(C893,'Position_Rubric'!$A$6:$A$14,0))</x:f>
      </x:c>
      <x:c r="N893" s="69" t="str"/>
    </x:row>
    <x:row r="894" ht="25" customHeight="1">
      <x:c r="A894" s="69" t="str">
        <x:v>summer-S26-0193</x:v>
      </x:c>
      <x:c r="B894" s="69" t="str">
        <x:v>Ivor Pandur</x:v>
      </x:c>
      <x:c r="C894" s="69" t="str">
        <x:v>GK</x:v>
      </x:c>
      <x:c r="D894" s="82" t="str">
        <x:f>IF(ISNUMBER('Transfer_Ratings'!K894),'Transfer_Ratings'!K894,"")</x:f>
      </x:c>
      <x:c r="E894" s="86"/>
      <x:c r="F894" s="86"/>
      <x:c r="G894" s="86"/>
      <x:c r="H894" s="86"/>
      <x:c r="I894" s="86"/>
      <x:c r="J894" s="82" t="str">
        <x:f>IF(C894="","Choose position",IF(COUNT(E894:I894)&lt;5,"",IF(OR(MIN(E894:I894)&lt;0.1,MAX(E894:I894)&gt;10),"Invalid score",IF(INDEX('Position_Rubric'!$H$6:$H$14,M894)&lt;&gt;1,"Check weights",ROUND(E894*INDEX('Position_Rubric'!$C$6:$C$14,M894)+F894*INDEX('Position_Rubric'!$D$6:$D$14,M894)+G894*INDEX('Position_Rubric'!$E$6:$E$14,M894)+H894*INDEX('Position_Rubric'!$F$6:$F$14,M894)+I894*INDEX('Position_Rubric'!$G$6:$G$14,M894),1)))))</x:f>
      </x:c>
      <x:c r="K894" s="82" t="str">
        <x:f>IF(AND(ISNUMBER(J894),ISNUMBER(D894)),J894-D894,"")</x:f>
      </x:c>
      <x:c r="L894" s="69" t="str">
        <x:f>IF(COUNT(E894:I894)&lt;5,"Needs component scores",IF(ISNUMBER(J894),"Calculated",J894))</x:f>
        <x:v>Needs component scores</x:v>
      </x:c>
      <x:c r="M894" s="69" t="n">
        <x:f>IF(C894="","",MATCH(C894,'Position_Rubric'!$A$6:$A$14,0))</x:f>
        <x:v>9</x:v>
      </x:c>
      <x:c r="N894" s="69" t="str"/>
    </x:row>
    <x:row r="895" ht="25" customHeight="1">
      <x:c r="A895" s="69" t="str">
        <x:v>summer-S26-0194</x:v>
      </x:c>
      <x:c r="B895" s="69" t="str">
        <x:v>Franz-Ethan Meichtry</x:v>
      </x:c>
      <x:c r="C895" s="69"/>
      <x:c r="D895" s="82" t="str">
        <x:f>IF(ISNUMBER('Transfer_Ratings'!K895),'Transfer_Ratings'!K895,"")</x:f>
      </x:c>
      <x:c r="E895" s="86"/>
      <x:c r="F895" s="86"/>
      <x:c r="G895" s="86"/>
      <x:c r="H895" s="86"/>
      <x:c r="I895" s="86"/>
      <x:c r="J895" s="82" t="str">
        <x:f>IF(C895="","Choose position",IF(COUNT(E895:I895)&lt;5,"",IF(OR(MIN(E895:I895)&lt;0.1,MAX(E895:I895)&gt;10),"Invalid score",IF(INDEX('Position_Rubric'!$H$6:$H$14,M895)&lt;&gt;1,"Check weights",ROUND(E895*INDEX('Position_Rubric'!$C$6:$C$14,M895)+F895*INDEX('Position_Rubric'!$D$6:$D$14,M895)+G895*INDEX('Position_Rubric'!$E$6:$E$14,M895)+H895*INDEX('Position_Rubric'!$F$6:$F$14,M895)+I895*INDEX('Position_Rubric'!$G$6:$G$14,M895),1)))))</x:f>
        <x:v>Choose position</x:v>
      </x:c>
      <x:c r="K895" s="82" t="str">
        <x:f>IF(AND(ISNUMBER(J895),ISNUMBER(D895)),J895-D895,"")</x:f>
      </x:c>
      <x:c r="L895" s="69" t="str">
        <x:f>IF(COUNT(E895:I895)&lt;5,"Needs component scores",IF(ISNUMBER(J895),"Calculated",J895))</x:f>
        <x:v>Needs component scores</x:v>
      </x:c>
      <x:c r="M895" s="69" t="str">
        <x:f>IF(C895="","",MATCH(C895,'Position_Rubric'!$A$6:$A$14,0))</x:f>
      </x:c>
      <x:c r="N895" s="69" t="str"/>
    </x:row>
    <x:row r="896" ht="25" customHeight="1">
      <x:c r="A896" s="69" t="str">
        <x:v>summer-S26-0197</x:v>
      </x:c>
      <x:c r="B896" s="69" t="str">
        <x:v>Jack Butland</x:v>
      </x:c>
      <x:c r="C896" s="69" t="str">
        <x:v>GK</x:v>
      </x:c>
      <x:c r="D896" s="82" t="str">
        <x:f>IF(ISNUMBER('Transfer_Ratings'!K896),'Transfer_Ratings'!K896,"")</x:f>
      </x:c>
      <x:c r="E896" s="86"/>
      <x:c r="F896" s="86"/>
      <x:c r="G896" s="86"/>
      <x:c r="H896" s="86"/>
      <x:c r="I896" s="86"/>
      <x:c r="J896" s="82" t="str">
        <x:f>IF(C896="","Choose position",IF(COUNT(E896:I896)&lt;5,"",IF(OR(MIN(E896:I896)&lt;0.1,MAX(E896:I896)&gt;10),"Invalid score",IF(INDEX('Position_Rubric'!$H$6:$H$14,M896)&lt;&gt;1,"Check weights",ROUND(E896*INDEX('Position_Rubric'!$C$6:$C$14,M896)+F896*INDEX('Position_Rubric'!$D$6:$D$14,M896)+G896*INDEX('Position_Rubric'!$E$6:$E$14,M896)+H896*INDEX('Position_Rubric'!$F$6:$F$14,M896)+I896*INDEX('Position_Rubric'!$G$6:$G$14,M896),1)))))</x:f>
      </x:c>
      <x:c r="K896" s="82" t="str">
        <x:f>IF(AND(ISNUMBER(J896),ISNUMBER(D896)),J896-D896,"")</x:f>
      </x:c>
      <x:c r="L896" s="69" t="str">
        <x:f>IF(COUNT(E896:I896)&lt;5,"Needs component scores",IF(ISNUMBER(J896),"Calculated",J896))</x:f>
        <x:v>Needs component scores</x:v>
      </x:c>
      <x:c r="M896" s="69" t="n">
        <x:f>IF(C896="","",MATCH(C896,'Position_Rubric'!$A$6:$A$14,0))</x:f>
        <x:v>9</x:v>
      </x:c>
      <x:c r="N896" s="69" t="str"/>
    </x:row>
    <x:row r="897" ht="25" customHeight="1">
      <x:c r="A897" s="69" t="str">
        <x:v>summer-S26-0198</x:v>
      </x:c>
      <x:c r="B897" s="69" t="str">
        <x:v>Thierry Correia</x:v>
      </x:c>
      <x:c r="C897" s="69"/>
      <x:c r="D897" s="82" t="str">
        <x:f>IF(ISNUMBER('Transfer_Ratings'!K897),'Transfer_Ratings'!K897,"")</x:f>
      </x:c>
      <x:c r="E897" s="86"/>
      <x:c r="F897" s="86"/>
      <x:c r="G897" s="86"/>
      <x:c r="H897" s="86"/>
      <x:c r="I897" s="86"/>
      <x:c r="J897" s="82" t="str">
        <x:f>IF(C897="","Choose position",IF(COUNT(E897:I897)&lt;5,"",IF(OR(MIN(E897:I897)&lt;0.1,MAX(E897:I897)&gt;10),"Invalid score",IF(INDEX('Position_Rubric'!$H$6:$H$14,M897)&lt;&gt;1,"Check weights",ROUND(E897*INDEX('Position_Rubric'!$C$6:$C$14,M897)+F897*INDEX('Position_Rubric'!$D$6:$D$14,M897)+G897*INDEX('Position_Rubric'!$E$6:$E$14,M897)+H897*INDEX('Position_Rubric'!$F$6:$F$14,M897)+I897*INDEX('Position_Rubric'!$G$6:$G$14,M897),1)))))</x:f>
        <x:v>Choose position</x:v>
      </x:c>
      <x:c r="K897" s="82" t="str">
        <x:f>IF(AND(ISNUMBER(J897),ISNUMBER(D897)),J897-D897,"")</x:f>
      </x:c>
      <x:c r="L897" s="69" t="str">
        <x:f>IF(COUNT(E897:I897)&lt;5,"Needs component scores",IF(ISNUMBER(J897),"Calculated",J897))</x:f>
        <x:v>Needs component scores</x:v>
      </x:c>
      <x:c r="M897" s="69" t="str">
        <x:f>IF(C897="","",MATCH(C897,'Position_Rubric'!$A$6:$A$14,0))</x:f>
      </x:c>
      <x:c r="N897" s="69" t="str"/>
    </x:row>
    <x:row r="898" ht="25" customHeight="1">
      <x:c r="A898" s="69" t="str">
        <x:v>summer-S26-0201</x:v>
      </x:c>
      <x:c r="B898" s="69" t="str">
        <x:v>Michael Svoboda</x:v>
      </x:c>
      <x:c r="C898" s="69"/>
      <x:c r="D898" s="82" t="str">
        <x:f>IF(ISNUMBER('Transfer_Ratings'!K898),'Transfer_Ratings'!K898,"")</x:f>
      </x:c>
      <x:c r="E898" s="86"/>
      <x:c r="F898" s="86"/>
      <x:c r="G898" s="86"/>
      <x:c r="H898" s="86"/>
      <x:c r="I898" s="86"/>
      <x:c r="J898" s="82" t="str">
        <x:f>IF(C898="","Choose position",IF(COUNT(E898:I898)&lt;5,"",IF(OR(MIN(E898:I898)&lt;0.1,MAX(E898:I898)&gt;10),"Invalid score",IF(INDEX('Position_Rubric'!$H$6:$H$14,M898)&lt;&gt;1,"Check weights",ROUND(E898*INDEX('Position_Rubric'!$C$6:$C$14,M898)+F898*INDEX('Position_Rubric'!$D$6:$D$14,M898)+G898*INDEX('Position_Rubric'!$E$6:$E$14,M898)+H898*INDEX('Position_Rubric'!$F$6:$F$14,M898)+I898*INDEX('Position_Rubric'!$G$6:$G$14,M898),1)))))</x:f>
        <x:v>Choose position</x:v>
      </x:c>
      <x:c r="K898" s="82" t="str">
        <x:f>IF(AND(ISNUMBER(J898),ISNUMBER(D898)),J898-D898,"")</x:f>
      </x:c>
      <x:c r="L898" s="69" t="str">
        <x:f>IF(COUNT(E898:I898)&lt;5,"Needs component scores",IF(ISNUMBER(J898),"Calculated",J898))</x:f>
        <x:v>Needs component scores</x:v>
      </x:c>
      <x:c r="M898" s="69" t="str">
        <x:f>IF(C898="","",MATCH(C898,'Position_Rubric'!$A$6:$A$14,0))</x:f>
      </x:c>
      <x:c r="N898" s="69" t="str"/>
    </x:row>
    <x:row r="899" ht="25" customHeight="1">
      <x:c r="A899" s="69" t="str">
        <x:v>summer-S26-0202</x:v>
      </x:c>
      <x:c r="B899" s="69" t="str">
        <x:v>Kaiki</x:v>
      </x:c>
      <x:c r="C899" s="69"/>
      <x:c r="D899" s="82" t="str">
        <x:f>IF(ISNUMBER('Transfer_Ratings'!K899),'Transfer_Ratings'!K899,"")</x:f>
      </x:c>
      <x:c r="E899" s="86"/>
      <x:c r="F899" s="86"/>
      <x:c r="G899" s="86"/>
      <x:c r="H899" s="86"/>
      <x:c r="I899" s="86"/>
      <x:c r="J899" s="82" t="str">
        <x:f>IF(C899="","Choose position",IF(COUNT(E899:I899)&lt;5,"",IF(OR(MIN(E899:I899)&lt;0.1,MAX(E899:I899)&gt;10),"Invalid score",IF(INDEX('Position_Rubric'!$H$6:$H$14,M899)&lt;&gt;1,"Check weights",ROUND(E899*INDEX('Position_Rubric'!$C$6:$C$14,M899)+F899*INDEX('Position_Rubric'!$D$6:$D$14,M899)+G899*INDEX('Position_Rubric'!$E$6:$E$14,M899)+H899*INDEX('Position_Rubric'!$F$6:$F$14,M899)+I899*INDEX('Position_Rubric'!$G$6:$G$14,M899),1)))))</x:f>
        <x:v>Choose position</x:v>
      </x:c>
      <x:c r="K899" s="82" t="str">
        <x:f>IF(AND(ISNUMBER(J899),ISNUMBER(D899)),J899-D899,"")</x:f>
      </x:c>
      <x:c r="L899" s="69" t="str">
        <x:f>IF(COUNT(E899:I899)&lt;5,"Needs component scores",IF(ISNUMBER(J899),"Calculated",J899))</x:f>
        <x:v>Needs component scores</x:v>
      </x:c>
      <x:c r="M899" s="69" t="str">
        <x:f>IF(C899="","",MATCH(C899,'Position_Rubric'!$A$6:$A$14,0))</x:f>
      </x:c>
      <x:c r="N899" s="69" t="str"/>
    </x:row>
    <x:row r="900" ht="25" customHeight="1">
      <x:c r="A900" s="69" t="str">
        <x:v>summer-S26-0203</x:v>
      </x:c>
      <x:c r="B900" s="69" t="str">
        <x:v>Luca Stephenson</x:v>
      </x:c>
      <x:c r="C900" s="69"/>
      <x:c r="D900" s="82" t="str">
        <x:f>IF(ISNUMBER('Transfer_Ratings'!K900),'Transfer_Ratings'!K900,"")</x:f>
      </x:c>
      <x:c r="E900" s="86"/>
      <x:c r="F900" s="86"/>
      <x:c r="G900" s="86"/>
      <x:c r="H900" s="86"/>
      <x:c r="I900" s="86"/>
      <x:c r="J900" s="82" t="str">
        <x:f>IF(C900="","Choose position",IF(COUNT(E900:I900)&lt;5,"",IF(OR(MIN(E900:I900)&lt;0.1,MAX(E900:I900)&gt;10),"Invalid score",IF(INDEX('Position_Rubric'!$H$6:$H$14,M900)&lt;&gt;1,"Check weights",ROUND(E900*INDEX('Position_Rubric'!$C$6:$C$14,M900)+F900*INDEX('Position_Rubric'!$D$6:$D$14,M900)+G900*INDEX('Position_Rubric'!$E$6:$E$14,M900)+H900*INDEX('Position_Rubric'!$F$6:$F$14,M900)+I900*INDEX('Position_Rubric'!$G$6:$G$14,M900),1)))))</x:f>
        <x:v>Choose position</x:v>
      </x:c>
      <x:c r="K900" s="82" t="str">
        <x:f>IF(AND(ISNUMBER(J900),ISNUMBER(D900)),J900-D900,"")</x:f>
      </x:c>
      <x:c r="L900" s="69" t="str">
        <x:f>IF(COUNT(E900:I900)&lt;5,"Needs component scores",IF(ISNUMBER(J900),"Calculated",J900))</x:f>
        <x:v>Needs component scores</x:v>
      </x:c>
      <x:c r="M900" s="69" t="str">
        <x:f>IF(C900="","",MATCH(C900,'Position_Rubric'!$A$6:$A$14,0))</x:f>
      </x:c>
      <x:c r="N900" s="69" t="str"/>
    </x:row>
    <x:row r="901" ht="25" customHeight="1">
      <x:c r="A901" s="69" t="str">
        <x:v>summer-S26-0204</x:v>
      </x:c>
      <x:c r="B901" s="69" t="str">
        <x:v>Sil Swinkels</x:v>
      </x:c>
      <x:c r="C901" s="69"/>
      <x:c r="D901" s="82" t="str">
        <x:f>IF(ISNUMBER('Transfer_Ratings'!K901),'Transfer_Ratings'!K901,"")</x:f>
      </x:c>
      <x:c r="E901" s="86"/>
      <x:c r="F901" s="86"/>
      <x:c r="G901" s="86"/>
      <x:c r="H901" s="86"/>
      <x:c r="I901" s="86"/>
      <x:c r="J901" s="82" t="str">
        <x:f>IF(C901="","Choose position",IF(COUNT(E901:I901)&lt;5,"",IF(OR(MIN(E901:I901)&lt;0.1,MAX(E901:I901)&gt;10),"Invalid score",IF(INDEX('Position_Rubric'!$H$6:$H$14,M901)&lt;&gt;1,"Check weights",ROUND(E901*INDEX('Position_Rubric'!$C$6:$C$14,M901)+F901*INDEX('Position_Rubric'!$D$6:$D$14,M901)+G901*INDEX('Position_Rubric'!$E$6:$E$14,M901)+H901*INDEX('Position_Rubric'!$F$6:$F$14,M901)+I901*INDEX('Position_Rubric'!$G$6:$G$14,M901),1)))))</x:f>
        <x:v>Choose position</x:v>
      </x:c>
      <x:c r="K901" s="82" t="str">
        <x:f>IF(AND(ISNUMBER(J901),ISNUMBER(D901)),J901-D901,"")</x:f>
      </x:c>
      <x:c r="L901" s="69" t="str">
        <x:f>IF(COUNT(E901:I901)&lt;5,"Needs component scores",IF(ISNUMBER(J901),"Calculated",J901))</x:f>
        <x:v>Needs component scores</x:v>
      </x:c>
      <x:c r="M901" s="69" t="str">
        <x:f>IF(C901="","",MATCH(C901,'Position_Rubric'!$A$6:$A$14,0))</x:f>
      </x:c>
      <x:c r="N901" s="69" t="str"/>
    </x:row>
    <x:row r="902" ht="25" customHeight="1">
      <x:c r="A902" s="69" t="str">
        <x:v>summer-S26-0205</x:v>
      </x:c>
      <x:c r="B902" s="69" t="str">
        <x:v>Isaac Smith</x:v>
      </x:c>
      <x:c r="C902" s="69"/>
      <x:c r="D902" s="82" t="str">
        <x:f>IF(ISNUMBER('Transfer_Ratings'!K902),'Transfer_Ratings'!K902,"")</x:f>
      </x:c>
      <x:c r="E902" s="86"/>
      <x:c r="F902" s="86"/>
      <x:c r="G902" s="86"/>
      <x:c r="H902" s="86"/>
      <x:c r="I902" s="86"/>
      <x:c r="J902" s="82" t="str">
        <x:f>IF(C902="","Choose position",IF(COUNT(E902:I902)&lt;5,"",IF(OR(MIN(E902:I902)&lt;0.1,MAX(E902:I902)&gt;10),"Invalid score",IF(INDEX('Position_Rubric'!$H$6:$H$14,M902)&lt;&gt;1,"Check weights",ROUND(E902*INDEX('Position_Rubric'!$C$6:$C$14,M902)+F902*INDEX('Position_Rubric'!$D$6:$D$14,M902)+G902*INDEX('Position_Rubric'!$E$6:$E$14,M902)+H902*INDEX('Position_Rubric'!$F$6:$F$14,M902)+I902*INDEX('Position_Rubric'!$G$6:$G$14,M902),1)))))</x:f>
        <x:v>Choose position</x:v>
      </x:c>
      <x:c r="K902" s="82" t="str">
        <x:f>IF(AND(ISNUMBER(J902),ISNUMBER(D902)),J902-D902,"")</x:f>
      </x:c>
      <x:c r="L902" s="69" t="str">
        <x:f>IF(COUNT(E902:I902)&lt;5,"Needs component scores",IF(ISNUMBER(J902),"Calculated",J902))</x:f>
        <x:v>Needs component scores</x:v>
      </x:c>
      <x:c r="M902" s="69" t="str">
        <x:f>IF(C902="","",MATCH(C902,'Position_Rubric'!$A$6:$A$14,0))</x:f>
      </x:c>
      <x:c r="N902" s="69" t="str"/>
    </x:row>
    <x:row r="903" ht="25" customHeight="1">
      <x:c r="A903" s="69" t="str">
        <x:v>summer-S26-0212</x:v>
      </x:c>
      <x:c r="B903" s="69" t="str">
        <x:v>Léo Pétrot</x:v>
      </x:c>
      <x:c r="C903" s="69"/>
      <x:c r="D903" s="82" t="str">
        <x:f>IF(ISNUMBER('Transfer_Ratings'!K903),'Transfer_Ratings'!K903,"")</x:f>
      </x:c>
      <x:c r="E903" s="86"/>
      <x:c r="F903" s="86"/>
      <x:c r="G903" s="86"/>
      <x:c r="H903" s="86"/>
      <x:c r="I903" s="86"/>
      <x:c r="J903" s="82" t="str">
        <x:f>IF(C903="","Choose position",IF(COUNT(E903:I903)&lt;5,"",IF(OR(MIN(E903:I903)&lt;0.1,MAX(E903:I903)&gt;10),"Invalid score",IF(INDEX('Position_Rubric'!$H$6:$H$14,M903)&lt;&gt;1,"Check weights",ROUND(E903*INDEX('Position_Rubric'!$C$6:$C$14,M903)+F903*INDEX('Position_Rubric'!$D$6:$D$14,M903)+G903*INDEX('Position_Rubric'!$E$6:$E$14,M903)+H903*INDEX('Position_Rubric'!$F$6:$F$14,M903)+I903*INDEX('Position_Rubric'!$G$6:$G$14,M903),1)))))</x:f>
        <x:v>Choose position</x:v>
      </x:c>
      <x:c r="K903" s="82" t="str">
        <x:f>IF(AND(ISNUMBER(J903),ISNUMBER(D903)),J903-D903,"")</x:f>
      </x:c>
      <x:c r="L903" s="69" t="str">
        <x:f>IF(COUNT(E903:I903)&lt;5,"Needs component scores",IF(ISNUMBER(J903),"Calculated",J903))</x:f>
        <x:v>Needs component scores</x:v>
      </x:c>
      <x:c r="M903" s="69" t="str">
        <x:f>IF(C903="","",MATCH(C903,'Position_Rubric'!$A$6:$A$14,0))</x:f>
      </x:c>
      <x:c r="N903" s="69" t="str"/>
    </x:row>
    <x:row r="904" ht="25" customHeight="1">
      <x:c r="A904" s="69" t="str">
        <x:v>summer-S26-0213</x:v>
      </x:c>
      <x:c r="B904" s="69" t="str">
        <x:v>Samuel Wiafe</x:v>
      </x:c>
      <x:c r="C904" s="69"/>
      <x:c r="D904" s="82" t="str">
        <x:f>IF(ISNUMBER('Transfer_Ratings'!K904),'Transfer_Ratings'!K904,"")</x:f>
      </x:c>
      <x:c r="E904" s="86"/>
      <x:c r="F904" s="86"/>
      <x:c r="G904" s="86"/>
      <x:c r="H904" s="86"/>
      <x:c r="I904" s="86"/>
      <x:c r="J904" s="82" t="str">
        <x:f>IF(C904="","Choose position",IF(COUNT(E904:I904)&lt;5,"",IF(OR(MIN(E904:I904)&lt;0.1,MAX(E904:I904)&gt;10),"Invalid score",IF(INDEX('Position_Rubric'!$H$6:$H$14,M904)&lt;&gt;1,"Check weights",ROUND(E904*INDEX('Position_Rubric'!$C$6:$C$14,M904)+F904*INDEX('Position_Rubric'!$D$6:$D$14,M904)+G904*INDEX('Position_Rubric'!$E$6:$E$14,M904)+H904*INDEX('Position_Rubric'!$F$6:$F$14,M904)+I904*INDEX('Position_Rubric'!$G$6:$G$14,M904),1)))))</x:f>
        <x:v>Choose position</x:v>
      </x:c>
      <x:c r="K904" s="82" t="str">
        <x:f>IF(AND(ISNUMBER(J904),ISNUMBER(D904)),J904-D904,"")</x:f>
      </x:c>
      <x:c r="L904" s="69" t="str">
        <x:f>IF(COUNT(E904:I904)&lt;5,"Needs component scores",IF(ISNUMBER(J904),"Calculated",J904))</x:f>
        <x:v>Needs component scores</x:v>
      </x:c>
      <x:c r="M904" s="69" t="str">
        <x:f>IF(C904="","",MATCH(C904,'Position_Rubric'!$A$6:$A$14,0))</x:f>
      </x:c>
      <x:c r="N904" s="69" t="str"/>
    </x:row>
    <x:row r="905" ht="25" customHeight="1">
      <x:c r="A905" s="69" t="str">
        <x:v>summer-S26-0214</x:v>
      </x:c>
      <x:c r="B905" s="69" t="str">
        <x:v>David Puczka</x:v>
      </x:c>
      <x:c r="C905" s="69"/>
      <x:c r="D905" s="82" t="str">
        <x:f>IF(ISNUMBER('Transfer_Ratings'!K905),'Transfer_Ratings'!K905,"")</x:f>
      </x:c>
      <x:c r="E905" s="86"/>
      <x:c r="F905" s="86"/>
      <x:c r="G905" s="86"/>
      <x:c r="H905" s="86"/>
      <x:c r="I905" s="86"/>
      <x:c r="J905" s="82" t="str">
        <x:f>IF(C905="","Choose position",IF(COUNT(E905:I905)&lt;5,"",IF(OR(MIN(E905:I905)&lt;0.1,MAX(E905:I905)&gt;10),"Invalid score",IF(INDEX('Position_Rubric'!$H$6:$H$14,M905)&lt;&gt;1,"Check weights",ROUND(E905*INDEX('Position_Rubric'!$C$6:$C$14,M905)+F905*INDEX('Position_Rubric'!$D$6:$D$14,M905)+G905*INDEX('Position_Rubric'!$E$6:$E$14,M905)+H905*INDEX('Position_Rubric'!$F$6:$F$14,M905)+I905*INDEX('Position_Rubric'!$G$6:$G$14,M905),1)))))</x:f>
        <x:v>Choose position</x:v>
      </x:c>
      <x:c r="K905" s="82" t="str">
        <x:f>IF(AND(ISNUMBER(J905),ISNUMBER(D905)),J905-D905,"")</x:f>
      </x:c>
      <x:c r="L905" s="69" t="str">
        <x:f>IF(COUNT(E905:I905)&lt;5,"Needs component scores",IF(ISNUMBER(J905),"Calculated",J905))</x:f>
        <x:v>Needs component scores</x:v>
      </x:c>
      <x:c r="M905" s="69" t="str">
        <x:f>IF(C905="","",MATCH(C905,'Position_Rubric'!$A$6:$A$14,0))</x:f>
      </x:c>
      <x:c r="N905" s="69" t="str"/>
    </x:row>
    <x:row r="906" ht="25" customHeight="1">
      <x:c r="A906" s="69" t="str">
        <x:v>summer-S26-0215</x:v>
      </x:c>
      <x:c r="B906" s="69" t="str">
        <x:v>Leonardo Consiglio</x:v>
      </x:c>
      <x:c r="C906" s="69" t="str">
        <x:v>GK</x:v>
      </x:c>
      <x:c r="D906" s="82" t="str">
        <x:f>IF(ISNUMBER('Transfer_Ratings'!K906),'Transfer_Ratings'!K906,"")</x:f>
      </x:c>
      <x:c r="E906" s="86"/>
      <x:c r="F906" s="86"/>
      <x:c r="G906" s="86"/>
      <x:c r="H906" s="86"/>
      <x:c r="I906" s="86"/>
      <x:c r="J906" s="82" t="str">
        <x:f>IF(C906="","Choose position",IF(COUNT(E906:I906)&lt;5,"",IF(OR(MIN(E906:I906)&lt;0.1,MAX(E906:I906)&gt;10),"Invalid score",IF(INDEX('Position_Rubric'!$H$6:$H$14,M906)&lt;&gt;1,"Check weights",ROUND(E906*INDEX('Position_Rubric'!$C$6:$C$14,M906)+F906*INDEX('Position_Rubric'!$D$6:$D$14,M906)+G906*INDEX('Position_Rubric'!$E$6:$E$14,M906)+H906*INDEX('Position_Rubric'!$F$6:$F$14,M906)+I906*INDEX('Position_Rubric'!$G$6:$G$14,M906),1)))))</x:f>
      </x:c>
      <x:c r="K906" s="82" t="str">
        <x:f>IF(AND(ISNUMBER(J906),ISNUMBER(D906)),J906-D906,"")</x:f>
      </x:c>
      <x:c r="L906" s="69" t="str">
        <x:f>IF(COUNT(E906:I906)&lt;5,"Needs component scores",IF(ISNUMBER(J906),"Calculated",J906))</x:f>
        <x:v>Needs component scores</x:v>
      </x:c>
      <x:c r="M906" s="69" t="n">
        <x:f>IF(C906="","",MATCH(C906,'Position_Rubric'!$A$6:$A$14,0))</x:f>
        <x:v>9</x:v>
      </x:c>
      <x:c r="N906" s="69" t="str"/>
    </x:row>
    <x:row r="907" ht="25" customHeight="1">
      <x:c r="A907" s="69" t="str">
        <x:v>summer-S26-0216</x:v>
      </x:c>
      <x:c r="B907" s="69" t="str">
        <x:v>Martino Odero</x:v>
      </x:c>
      <x:c r="C907" s="69"/>
      <x:c r="D907" s="82" t="str">
        <x:f>IF(ISNUMBER('Transfer_Ratings'!K907),'Transfer_Ratings'!K907,"")</x:f>
      </x:c>
      <x:c r="E907" s="86"/>
      <x:c r="F907" s="86"/>
      <x:c r="G907" s="86"/>
      <x:c r="H907" s="86"/>
      <x:c r="I907" s="86"/>
      <x:c r="J907" s="82" t="str">
        <x:f>IF(C907="","Choose position",IF(COUNT(E907:I907)&lt;5,"",IF(OR(MIN(E907:I907)&lt;0.1,MAX(E907:I907)&gt;10),"Invalid score",IF(INDEX('Position_Rubric'!$H$6:$H$14,M907)&lt;&gt;1,"Check weights",ROUND(E907*INDEX('Position_Rubric'!$C$6:$C$14,M907)+F907*INDEX('Position_Rubric'!$D$6:$D$14,M907)+G907*INDEX('Position_Rubric'!$E$6:$E$14,M907)+H907*INDEX('Position_Rubric'!$F$6:$F$14,M907)+I907*INDEX('Position_Rubric'!$G$6:$G$14,M907),1)))))</x:f>
        <x:v>Choose position</x:v>
      </x:c>
      <x:c r="K907" s="82" t="str">
        <x:f>IF(AND(ISNUMBER(J907),ISNUMBER(D907)),J907-D907,"")</x:f>
      </x:c>
      <x:c r="L907" s="69" t="str">
        <x:f>IF(COUNT(E907:I907)&lt;5,"Needs component scores",IF(ISNUMBER(J907),"Calculated",J907))</x:f>
        <x:v>Needs component scores</x:v>
      </x:c>
      <x:c r="M907" s="69" t="str">
        <x:f>IF(C907="","",MATCH(C907,'Position_Rubric'!$A$6:$A$14,0))</x:f>
      </x:c>
      <x:c r="N907" s="69" t="str"/>
    </x:row>
    <x:row r="908" ht="25" customHeight="1">
      <x:c r="A908" s="69" t="str">
        <x:v>summer-S26-0217</x:v>
      </x:c>
      <x:c r="B908" s="69" t="str">
        <x:v>Brais Méndez</x:v>
      </x:c>
      <x:c r="C908" s="69"/>
      <x:c r="D908" s="82" t="str">
        <x:f>IF(ISNUMBER('Transfer_Ratings'!K908),'Transfer_Ratings'!K908,"")</x:f>
      </x:c>
      <x:c r="E908" s="86"/>
      <x:c r="F908" s="86"/>
      <x:c r="G908" s="86"/>
      <x:c r="H908" s="86"/>
      <x:c r="I908" s="86"/>
      <x:c r="J908" s="82" t="str">
        <x:f>IF(C908="","Choose position",IF(COUNT(E908:I908)&lt;5,"",IF(OR(MIN(E908:I908)&lt;0.1,MAX(E908:I908)&gt;10),"Invalid score",IF(INDEX('Position_Rubric'!$H$6:$H$14,M908)&lt;&gt;1,"Check weights",ROUND(E908*INDEX('Position_Rubric'!$C$6:$C$14,M908)+F908*INDEX('Position_Rubric'!$D$6:$D$14,M908)+G908*INDEX('Position_Rubric'!$E$6:$E$14,M908)+H908*INDEX('Position_Rubric'!$F$6:$F$14,M908)+I908*INDEX('Position_Rubric'!$G$6:$G$14,M908),1)))))</x:f>
        <x:v>Choose position</x:v>
      </x:c>
      <x:c r="K908" s="82" t="str">
        <x:f>IF(AND(ISNUMBER(J908),ISNUMBER(D908)),J908-D908,"")</x:f>
      </x:c>
      <x:c r="L908" s="69" t="str">
        <x:f>IF(COUNT(E908:I908)&lt;5,"Needs component scores",IF(ISNUMBER(J908),"Calculated",J908))</x:f>
        <x:v>Needs component scores</x:v>
      </x:c>
      <x:c r="M908" s="69" t="str">
        <x:f>IF(C908="","",MATCH(C908,'Position_Rubric'!$A$6:$A$14,0))</x:f>
      </x:c>
      <x:c r="N908" s="69" t="str"/>
    </x:row>
    <x:row r="909" ht="25" customHeight="1">
      <x:c r="A909" s="69" t="str">
        <x:v>summer-S26-0219</x:v>
      </x:c>
      <x:c r="B909" s="69" t="str">
        <x:v>Luka Lochoshvili</x:v>
      </x:c>
      <x:c r="C909" s="69"/>
      <x:c r="D909" s="82" t="str">
        <x:f>IF(ISNUMBER('Transfer_Ratings'!K909),'Transfer_Ratings'!K909,"")</x:f>
      </x:c>
      <x:c r="E909" s="86"/>
      <x:c r="F909" s="86"/>
      <x:c r="G909" s="86"/>
      <x:c r="H909" s="86"/>
      <x:c r="I909" s="86"/>
      <x:c r="J909" s="82" t="str">
        <x:f>IF(C909="","Choose position",IF(COUNT(E909:I909)&lt;5,"",IF(OR(MIN(E909:I909)&lt;0.1,MAX(E909:I909)&gt;10),"Invalid score",IF(INDEX('Position_Rubric'!$H$6:$H$14,M909)&lt;&gt;1,"Check weights",ROUND(E909*INDEX('Position_Rubric'!$C$6:$C$14,M909)+F909*INDEX('Position_Rubric'!$D$6:$D$14,M909)+G909*INDEX('Position_Rubric'!$E$6:$E$14,M909)+H909*INDEX('Position_Rubric'!$F$6:$F$14,M909)+I909*INDEX('Position_Rubric'!$G$6:$G$14,M909),1)))))</x:f>
        <x:v>Choose position</x:v>
      </x:c>
      <x:c r="K909" s="82" t="str">
        <x:f>IF(AND(ISNUMBER(J909),ISNUMBER(D909)),J909-D909,"")</x:f>
      </x:c>
      <x:c r="L909" s="69" t="str">
        <x:f>IF(COUNT(E909:I909)&lt;5,"Needs component scores",IF(ISNUMBER(J909),"Calculated",J909))</x:f>
        <x:v>Needs component scores</x:v>
      </x:c>
      <x:c r="M909" s="69" t="str">
        <x:f>IF(C909="","",MATCH(C909,'Position_Rubric'!$A$6:$A$14,0))</x:f>
      </x:c>
      <x:c r="N909" s="69" t="str"/>
    </x:row>
    <x:row r="910" ht="25" customHeight="1">
      <x:c r="A910" s="69" t="str">
        <x:v>summer-S26-0220</x:v>
      </x:c>
      <x:c r="B910" s="69" t="str">
        <x:v>Franco Carboni</x:v>
      </x:c>
      <x:c r="C910" s="69"/>
      <x:c r="D910" s="82" t="str">
        <x:f>IF(ISNUMBER('Transfer_Ratings'!K910),'Transfer_Ratings'!K910,"")</x:f>
      </x:c>
      <x:c r="E910" s="86"/>
      <x:c r="F910" s="86"/>
      <x:c r="G910" s="86"/>
      <x:c r="H910" s="86"/>
      <x:c r="I910" s="86"/>
      <x:c r="J910" s="82" t="str">
        <x:f>IF(C910="","Choose position",IF(COUNT(E910:I910)&lt;5,"",IF(OR(MIN(E910:I910)&lt;0.1,MAX(E910:I910)&gt;10),"Invalid score",IF(INDEX('Position_Rubric'!$H$6:$H$14,M910)&lt;&gt;1,"Check weights",ROUND(E910*INDEX('Position_Rubric'!$C$6:$C$14,M910)+F910*INDEX('Position_Rubric'!$D$6:$D$14,M910)+G910*INDEX('Position_Rubric'!$E$6:$E$14,M910)+H910*INDEX('Position_Rubric'!$F$6:$F$14,M910)+I910*INDEX('Position_Rubric'!$G$6:$G$14,M910),1)))))</x:f>
        <x:v>Choose position</x:v>
      </x:c>
      <x:c r="K910" s="82" t="str">
        <x:f>IF(AND(ISNUMBER(J910),ISNUMBER(D910)),J910-D910,"")</x:f>
      </x:c>
      <x:c r="L910" s="69" t="str">
        <x:f>IF(COUNT(E910:I910)&lt;5,"Needs component scores",IF(ISNUMBER(J910),"Calculated",J910))</x:f>
        <x:v>Needs component scores</x:v>
      </x:c>
      <x:c r="M910" s="69" t="str">
        <x:f>IF(C910="","",MATCH(C910,'Position_Rubric'!$A$6:$A$14,0))</x:f>
      </x:c>
      <x:c r="N910" s="69" t="str"/>
    </x:row>
    <x:row r="911" ht="25" customHeight="1">
      <x:c r="A911" s="69" t="str">
        <x:v>summer-S26-0221</x:v>
      </x:c>
      <x:c r="B911" s="69" t="str">
        <x:v>Kassoum Ouattara</x:v>
      </x:c>
      <x:c r="C911" s="69"/>
      <x:c r="D911" s="82" t="str">
        <x:f>IF(ISNUMBER('Transfer_Ratings'!K911),'Transfer_Ratings'!K911,"")</x:f>
      </x:c>
      <x:c r="E911" s="86"/>
      <x:c r="F911" s="86"/>
      <x:c r="G911" s="86"/>
      <x:c r="H911" s="86"/>
      <x:c r="I911" s="86"/>
      <x:c r="J911" s="82" t="str">
        <x:f>IF(C911="","Choose position",IF(COUNT(E911:I911)&lt;5,"",IF(OR(MIN(E911:I911)&lt;0.1,MAX(E911:I911)&gt;10),"Invalid score",IF(INDEX('Position_Rubric'!$H$6:$H$14,M911)&lt;&gt;1,"Check weights",ROUND(E911*INDEX('Position_Rubric'!$C$6:$C$14,M911)+F911*INDEX('Position_Rubric'!$D$6:$D$14,M911)+G911*INDEX('Position_Rubric'!$E$6:$E$14,M911)+H911*INDEX('Position_Rubric'!$F$6:$F$14,M911)+I911*INDEX('Position_Rubric'!$G$6:$G$14,M911),1)))))</x:f>
        <x:v>Choose position</x:v>
      </x:c>
      <x:c r="K911" s="82" t="str">
        <x:f>IF(AND(ISNUMBER(J911),ISNUMBER(D911)),J911-D911,"")</x:f>
      </x:c>
      <x:c r="L911" s="69" t="str">
        <x:f>IF(COUNT(E911:I911)&lt;5,"Needs component scores",IF(ISNUMBER(J911),"Calculated",J911))</x:f>
        <x:v>Needs component scores</x:v>
      </x:c>
      <x:c r="M911" s="69" t="str">
        <x:f>IF(C911="","",MATCH(C911,'Position_Rubric'!$A$6:$A$14,0))</x:f>
      </x:c>
      <x:c r="N911" s="69" t="str"/>
    </x:row>
    <x:row r="912" ht="25" customHeight="1">
      <x:c r="A912" s="69" t="str">
        <x:v>summer-S26-0222</x:v>
      </x:c>
      <x:c r="B912" s="69" t="str">
        <x:v>Luis Milla</x:v>
      </x:c>
      <x:c r="C912" s="69"/>
      <x:c r="D912" s="82" t="str">
        <x:f>IF(ISNUMBER('Transfer_Ratings'!K912),'Transfer_Ratings'!K912,"")</x:f>
      </x:c>
      <x:c r="E912" s="86"/>
      <x:c r="F912" s="86"/>
      <x:c r="G912" s="86"/>
      <x:c r="H912" s="86"/>
      <x:c r="I912" s="86"/>
      <x:c r="J912" s="82" t="str">
        <x:f>IF(C912="","Choose position",IF(COUNT(E912:I912)&lt;5,"",IF(OR(MIN(E912:I912)&lt;0.1,MAX(E912:I912)&gt;10),"Invalid score",IF(INDEX('Position_Rubric'!$H$6:$H$14,M912)&lt;&gt;1,"Check weights",ROUND(E912*INDEX('Position_Rubric'!$C$6:$C$14,M912)+F912*INDEX('Position_Rubric'!$D$6:$D$14,M912)+G912*INDEX('Position_Rubric'!$E$6:$E$14,M912)+H912*INDEX('Position_Rubric'!$F$6:$F$14,M912)+I912*INDEX('Position_Rubric'!$G$6:$G$14,M912),1)))))</x:f>
        <x:v>Choose position</x:v>
      </x:c>
      <x:c r="K912" s="82" t="str">
        <x:f>IF(AND(ISNUMBER(J912),ISNUMBER(D912)),J912-D912,"")</x:f>
      </x:c>
      <x:c r="L912" s="69" t="str">
        <x:f>IF(COUNT(E912:I912)&lt;5,"Needs component scores",IF(ISNUMBER(J912),"Calculated",J912))</x:f>
        <x:v>Needs component scores</x:v>
      </x:c>
      <x:c r="M912" s="69" t="str">
        <x:f>IF(C912="","",MATCH(C912,'Position_Rubric'!$A$6:$A$14,0))</x:f>
      </x:c>
      <x:c r="N912" s="69" t="str"/>
    </x:row>
    <x:row r="913" ht="25" customHeight="1">
      <x:c r="A913" s="69" t="str">
        <x:v>summer-S26-0224</x:v>
      </x:c>
      <x:c r="B913" s="69" t="str">
        <x:v>Rafael Fernandes</x:v>
      </x:c>
      <x:c r="C913" s="69"/>
      <x:c r="D913" s="82" t="str">
        <x:f>IF(ISNUMBER('Transfer_Ratings'!K913),'Transfer_Ratings'!K913,"")</x:f>
      </x:c>
      <x:c r="E913" s="86"/>
      <x:c r="F913" s="86"/>
      <x:c r="G913" s="86"/>
      <x:c r="H913" s="86"/>
      <x:c r="I913" s="86"/>
      <x:c r="J913" s="82" t="str">
        <x:f>IF(C913="","Choose position",IF(COUNT(E913:I913)&lt;5,"",IF(OR(MIN(E913:I913)&lt;0.1,MAX(E913:I913)&gt;10),"Invalid score",IF(INDEX('Position_Rubric'!$H$6:$H$14,M913)&lt;&gt;1,"Check weights",ROUND(E913*INDEX('Position_Rubric'!$C$6:$C$14,M913)+F913*INDEX('Position_Rubric'!$D$6:$D$14,M913)+G913*INDEX('Position_Rubric'!$E$6:$E$14,M913)+H913*INDEX('Position_Rubric'!$F$6:$F$14,M913)+I913*INDEX('Position_Rubric'!$G$6:$G$14,M913),1)))))</x:f>
        <x:v>Choose position</x:v>
      </x:c>
      <x:c r="K913" s="82" t="str">
        <x:f>IF(AND(ISNUMBER(J913),ISNUMBER(D913)),J913-D913,"")</x:f>
      </x:c>
      <x:c r="L913" s="69" t="str">
        <x:f>IF(COUNT(E913:I913)&lt;5,"Needs component scores",IF(ISNUMBER(J913),"Calculated",J913))</x:f>
        <x:v>Needs component scores</x:v>
      </x:c>
      <x:c r="M913" s="69" t="str">
        <x:f>IF(C913="","",MATCH(C913,'Position_Rubric'!$A$6:$A$14,0))</x:f>
      </x:c>
      <x:c r="N913" s="69" t="str"/>
    </x:row>
    <x:row r="914" ht="25" customHeight="1">
      <x:c r="A914" s="69" t="str">
        <x:v>summer-S26-0225</x:v>
      </x:c>
      <x:c r="B914" s="69" t="str">
        <x:v>Alfonso Espino</x:v>
      </x:c>
      <x:c r="C914" s="69"/>
      <x:c r="D914" s="82" t="str">
        <x:f>IF(ISNUMBER('Transfer_Ratings'!K914),'Transfer_Ratings'!K914,"")</x:f>
      </x:c>
      <x:c r="E914" s="86"/>
      <x:c r="F914" s="86"/>
      <x:c r="G914" s="86"/>
      <x:c r="H914" s="86"/>
      <x:c r="I914" s="86"/>
      <x:c r="J914" s="82" t="str">
        <x:f>IF(C914="","Choose position",IF(COUNT(E914:I914)&lt;5,"",IF(OR(MIN(E914:I914)&lt;0.1,MAX(E914:I914)&gt;10),"Invalid score",IF(INDEX('Position_Rubric'!$H$6:$H$14,M914)&lt;&gt;1,"Check weights",ROUND(E914*INDEX('Position_Rubric'!$C$6:$C$14,M914)+F914*INDEX('Position_Rubric'!$D$6:$D$14,M914)+G914*INDEX('Position_Rubric'!$E$6:$E$14,M914)+H914*INDEX('Position_Rubric'!$F$6:$F$14,M914)+I914*INDEX('Position_Rubric'!$G$6:$G$14,M914),1)))))</x:f>
        <x:v>Choose position</x:v>
      </x:c>
      <x:c r="K914" s="82" t="str">
        <x:f>IF(AND(ISNUMBER(J914),ISNUMBER(D914)),J914-D914,"")</x:f>
      </x:c>
      <x:c r="L914" s="69" t="str">
        <x:f>IF(COUNT(E914:I914)&lt;5,"Needs component scores",IF(ISNUMBER(J914),"Calculated",J914))</x:f>
        <x:v>Needs component scores</x:v>
      </x:c>
      <x:c r="M914" s="69" t="str">
        <x:f>IF(C914="","",MATCH(C914,'Position_Rubric'!$A$6:$A$14,0))</x:f>
      </x:c>
      <x:c r="N914" s="69" t="str"/>
    </x:row>
    <x:row r="915" ht="25" customHeight="1">
      <x:c r="A915" s="69" t="str">
        <x:v>summer-S26-0226</x:v>
      </x:c>
      <x:c r="B915" s="69" t="str">
        <x:v>Ota Yamamoto</x:v>
      </x:c>
      <x:c r="C915" s="69"/>
      <x:c r="D915" s="82" t="str">
        <x:f>IF(ISNUMBER('Transfer_Ratings'!K915),'Transfer_Ratings'!K915,"")</x:f>
      </x:c>
      <x:c r="E915" s="86"/>
      <x:c r="F915" s="86"/>
      <x:c r="G915" s="86"/>
      <x:c r="H915" s="86"/>
      <x:c r="I915" s="86"/>
      <x:c r="J915" s="82" t="str">
        <x:f>IF(C915="","Choose position",IF(COUNT(E915:I915)&lt;5,"",IF(OR(MIN(E915:I915)&lt;0.1,MAX(E915:I915)&gt;10),"Invalid score",IF(INDEX('Position_Rubric'!$H$6:$H$14,M915)&lt;&gt;1,"Check weights",ROUND(E915*INDEX('Position_Rubric'!$C$6:$C$14,M915)+F915*INDEX('Position_Rubric'!$D$6:$D$14,M915)+G915*INDEX('Position_Rubric'!$E$6:$E$14,M915)+H915*INDEX('Position_Rubric'!$F$6:$F$14,M915)+I915*INDEX('Position_Rubric'!$G$6:$G$14,M915),1)))))</x:f>
        <x:v>Choose position</x:v>
      </x:c>
      <x:c r="K915" s="82" t="str">
        <x:f>IF(AND(ISNUMBER(J915),ISNUMBER(D915)),J915-D915,"")</x:f>
      </x:c>
      <x:c r="L915" s="69" t="str">
        <x:f>IF(COUNT(E915:I915)&lt;5,"Needs component scores",IF(ISNUMBER(J915),"Calculated",J915))</x:f>
        <x:v>Needs component scores</x:v>
      </x:c>
      <x:c r="M915" s="69" t="str">
        <x:f>IF(C915="","",MATCH(C915,'Position_Rubric'!$A$6:$A$14,0))</x:f>
      </x:c>
      <x:c r="N915" s="69" t="str"/>
    </x:row>
    <x:row r="916" ht="25" customHeight="1">
      <x:c r="A916" s="69" t="str">
        <x:v>summer-S26-0227</x:v>
      </x:c>
      <x:c r="B916" s="69" t="str">
        <x:v>Ota Yamamoto</x:v>
      </x:c>
      <x:c r="C916" s="69"/>
      <x:c r="D916" s="82" t="str">
        <x:f>IF(ISNUMBER('Transfer_Ratings'!K916),'Transfer_Ratings'!K916,"")</x:f>
      </x:c>
      <x:c r="E916" s="86"/>
      <x:c r="F916" s="86"/>
      <x:c r="G916" s="86"/>
      <x:c r="H916" s="86"/>
      <x:c r="I916" s="86"/>
      <x:c r="J916" s="82" t="str">
        <x:f>IF(C916="","Choose position",IF(COUNT(E916:I916)&lt;5,"",IF(OR(MIN(E916:I916)&lt;0.1,MAX(E916:I916)&gt;10),"Invalid score",IF(INDEX('Position_Rubric'!$H$6:$H$14,M916)&lt;&gt;1,"Check weights",ROUND(E916*INDEX('Position_Rubric'!$C$6:$C$14,M916)+F916*INDEX('Position_Rubric'!$D$6:$D$14,M916)+G916*INDEX('Position_Rubric'!$E$6:$E$14,M916)+H916*INDEX('Position_Rubric'!$F$6:$F$14,M916)+I916*INDEX('Position_Rubric'!$G$6:$G$14,M916),1)))))</x:f>
        <x:v>Choose position</x:v>
      </x:c>
      <x:c r="K916" s="82" t="str">
        <x:f>IF(AND(ISNUMBER(J916),ISNUMBER(D916)),J916-D916,"")</x:f>
      </x:c>
      <x:c r="L916" s="69" t="str">
        <x:f>IF(COUNT(E916:I916)&lt;5,"Needs component scores",IF(ISNUMBER(J916),"Calculated",J916))</x:f>
        <x:v>Needs component scores</x:v>
      </x:c>
      <x:c r="M916" s="69" t="str">
        <x:f>IF(C916="","",MATCH(C916,'Position_Rubric'!$A$6:$A$14,0))</x:f>
      </x:c>
      <x:c r="N916" s="69" t="str"/>
    </x:row>
    <x:row r="917" ht="25" customHeight="1">
      <x:c r="A917" s="69" t="str">
        <x:v>summer-S26-0230</x:v>
      </x:c>
      <x:c r="B917" s="69" t="str">
        <x:v>Dani Pérez</x:v>
      </x:c>
      <x:c r="C917" s="69"/>
      <x:c r="D917" s="82" t="str">
        <x:f>IF(ISNUMBER('Transfer_Ratings'!K917),'Transfer_Ratings'!K917,"")</x:f>
      </x:c>
      <x:c r="E917" s="86"/>
      <x:c r="F917" s="86"/>
      <x:c r="G917" s="86"/>
      <x:c r="H917" s="86"/>
      <x:c r="I917" s="86"/>
      <x:c r="J917" s="82" t="str">
        <x:f>IF(C917="","Choose position",IF(COUNT(E917:I917)&lt;5,"",IF(OR(MIN(E917:I917)&lt;0.1,MAX(E917:I917)&gt;10),"Invalid score",IF(INDEX('Position_Rubric'!$H$6:$H$14,M917)&lt;&gt;1,"Check weights",ROUND(E917*INDEX('Position_Rubric'!$C$6:$C$14,M917)+F917*INDEX('Position_Rubric'!$D$6:$D$14,M917)+G917*INDEX('Position_Rubric'!$E$6:$E$14,M917)+H917*INDEX('Position_Rubric'!$F$6:$F$14,M917)+I917*INDEX('Position_Rubric'!$G$6:$G$14,M917),1)))))</x:f>
        <x:v>Choose position</x:v>
      </x:c>
      <x:c r="K917" s="82" t="str">
        <x:f>IF(AND(ISNUMBER(J917),ISNUMBER(D917)),J917-D917,"")</x:f>
      </x:c>
      <x:c r="L917" s="69" t="str">
        <x:f>IF(COUNT(E917:I917)&lt;5,"Needs component scores",IF(ISNUMBER(J917),"Calculated",J917))</x:f>
        <x:v>Needs component scores</x:v>
      </x:c>
      <x:c r="M917" s="69" t="str">
        <x:f>IF(C917="","",MATCH(C917,'Position_Rubric'!$A$6:$A$14,0))</x:f>
      </x:c>
      <x:c r="N917" s="69" t="str"/>
    </x:row>
    <x:row r="918" ht="25" customHeight="1">
      <x:c r="A918" s="69" t="str">
        <x:v>summer-S26-0231</x:v>
      </x:c>
      <x:c r="B918" s="69" t="str">
        <x:v>James Debayo</x:v>
      </x:c>
      <x:c r="C918" s="69"/>
      <x:c r="D918" s="82" t="str">
        <x:f>IF(ISNUMBER('Transfer_Ratings'!K918),'Transfer_Ratings'!K918,"")</x:f>
      </x:c>
      <x:c r="E918" s="86"/>
      <x:c r="F918" s="86"/>
      <x:c r="G918" s="86"/>
      <x:c r="H918" s="86"/>
      <x:c r="I918" s="86"/>
      <x:c r="J918" s="82" t="str">
        <x:f>IF(C918="","Choose position",IF(COUNT(E918:I918)&lt;5,"",IF(OR(MIN(E918:I918)&lt;0.1,MAX(E918:I918)&gt;10),"Invalid score",IF(INDEX('Position_Rubric'!$H$6:$H$14,M918)&lt;&gt;1,"Check weights",ROUND(E918*INDEX('Position_Rubric'!$C$6:$C$14,M918)+F918*INDEX('Position_Rubric'!$D$6:$D$14,M918)+G918*INDEX('Position_Rubric'!$E$6:$E$14,M918)+H918*INDEX('Position_Rubric'!$F$6:$F$14,M918)+I918*INDEX('Position_Rubric'!$G$6:$G$14,M918),1)))))</x:f>
        <x:v>Choose position</x:v>
      </x:c>
      <x:c r="K918" s="82" t="str">
        <x:f>IF(AND(ISNUMBER(J918),ISNUMBER(D918)),J918-D918,"")</x:f>
      </x:c>
      <x:c r="L918" s="69" t="str">
        <x:f>IF(COUNT(E918:I918)&lt;5,"Needs component scores",IF(ISNUMBER(J918),"Calculated",J918))</x:f>
        <x:v>Needs component scores</x:v>
      </x:c>
      <x:c r="M918" s="69" t="str">
        <x:f>IF(C918="","",MATCH(C918,'Position_Rubric'!$A$6:$A$14,0))</x:f>
      </x:c>
      <x:c r="N918" s="69" t="str"/>
    </x:row>
    <x:row r="919" ht="25" customHeight="1">
      <x:c r="A919" s="69" t="str">
        <x:v>summer-S26-0232</x:v>
      </x:c>
      <x:c r="B919" s="69" t="str">
        <x:v>Nathaniel Brown</x:v>
      </x:c>
      <x:c r="C919" s="69"/>
      <x:c r="D919" s="82" t="str">
        <x:f>IF(ISNUMBER('Transfer_Ratings'!K919),'Transfer_Ratings'!K919,"")</x:f>
      </x:c>
      <x:c r="E919" s="86"/>
      <x:c r="F919" s="86"/>
      <x:c r="G919" s="86"/>
      <x:c r="H919" s="86"/>
      <x:c r="I919" s="86"/>
      <x:c r="J919" s="82" t="str">
        <x:f>IF(C919="","Choose position",IF(COUNT(E919:I919)&lt;5,"",IF(OR(MIN(E919:I919)&lt;0.1,MAX(E919:I919)&gt;10),"Invalid score",IF(INDEX('Position_Rubric'!$H$6:$H$14,M919)&lt;&gt;1,"Check weights",ROUND(E919*INDEX('Position_Rubric'!$C$6:$C$14,M919)+F919*INDEX('Position_Rubric'!$D$6:$D$14,M919)+G919*INDEX('Position_Rubric'!$E$6:$E$14,M919)+H919*INDEX('Position_Rubric'!$F$6:$F$14,M919)+I919*INDEX('Position_Rubric'!$G$6:$G$14,M919),1)))))</x:f>
        <x:v>Choose position</x:v>
      </x:c>
      <x:c r="K919" s="82" t="str">
        <x:f>IF(AND(ISNUMBER(J919),ISNUMBER(D919)),J919-D919,"")</x:f>
      </x:c>
      <x:c r="L919" s="69" t="str">
        <x:f>IF(COUNT(E919:I919)&lt;5,"Needs component scores",IF(ISNUMBER(J919),"Calculated",J919))</x:f>
        <x:v>Needs component scores</x:v>
      </x:c>
      <x:c r="M919" s="69" t="str">
        <x:f>IF(C919="","",MATCH(C919,'Position_Rubric'!$A$6:$A$14,0))</x:f>
      </x:c>
      <x:c r="N919" s="69" t="str"/>
    </x:row>
    <x:row r="920" ht="25" customHeight="1">
      <x:c r="A920" s="69" t="str">
        <x:v>summer-S26-0233</x:v>
      </x:c>
      <x:c r="B920" s="69" t="str">
        <x:v>Alfonso Pedraza</x:v>
      </x:c>
      <x:c r="C920" s="69"/>
      <x:c r="D920" s="82" t="str">
        <x:f>IF(ISNUMBER('Transfer_Ratings'!K920),'Transfer_Ratings'!K920,"")</x:f>
      </x:c>
      <x:c r="E920" s="86"/>
      <x:c r="F920" s="86"/>
      <x:c r="G920" s="86"/>
      <x:c r="H920" s="86"/>
      <x:c r="I920" s="86"/>
      <x:c r="J920" s="82" t="str">
        <x:f>IF(C920="","Choose position",IF(COUNT(E920:I920)&lt;5,"",IF(OR(MIN(E920:I920)&lt;0.1,MAX(E920:I920)&gt;10),"Invalid score",IF(INDEX('Position_Rubric'!$H$6:$H$14,M920)&lt;&gt;1,"Check weights",ROUND(E920*INDEX('Position_Rubric'!$C$6:$C$14,M920)+F920*INDEX('Position_Rubric'!$D$6:$D$14,M920)+G920*INDEX('Position_Rubric'!$E$6:$E$14,M920)+H920*INDEX('Position_Rubric'!$F$6:$F$14,M920)+I920*INDEX('Position_Rubric'!$G$6:$G$14,M920),1)))))</x:f>
        <x:v>Choose position</x:v>
      </x:c>
      <x:c r="K920" s="82" t="str">
        <x:f>IF(AND(ISNUMBER(J920),ISNUMBER(D920)),J920-D920,"")</x:f>
      </x:c>
      <x:c r="L920" s="69" t="str">
        <x:f>IF(COUNT(E920:I920)&lt;5,"Needs component scores",IF(ISNUMBER(J920),"Calculated",J920))</x:f>
        <x:v>Needs component scores</x:v>
      </x:c>
      <x:c r="M920" s="69" t="str">
        <x:f>IF(C920="","",MATCH(C920,'Position_Rubric'!$A$6:$A$14,0))</x:f>
      </x:c>
      <x:c r="N920" s="69" t="str"/>
    </x:row>
    <x:row r="921" ht="25" customHeight="1">
      <x:c r="A921" s="69" t="str">
        <x:v>summer-S26-0234</x:v>
      </x:c>
      <x:c r="B921" s="69" t="str">
        <x:v>Cédric Zesiger</x:v>
      </x:c>
      <x:c r="C921" s="69"/>
      <x:c r="D921" s="82" t="str">
        <x:f>IF(ISNUMBER('Transfer_Ratings'!K921),'Transfer_Ratings'!K921,"")</x:f>
      </x:c>
      <x:c r="E921" s="86"/>
      <x:c r="F921" s="86"/>
      <x:c r="G921" s="86"/>
      <x:c r="H921" s="86"/>
      <x:c r="I921" s="86"/>
      <x:c r="J921" s="82" t="str">
        <x:f>IF(C921="","Choose position",IF(COUNT(E921:I921)&lt;5,"",IF(OR(MIN(E921:I921)&lt;0.1,MAX(E921:I921)&gt;10),"Invalid score",IF(INDEX('Position_Rubric'!$H$6:$H$14,M921)&lt;&gt;1,"Check weights",ROUND(E921*INDEX('Position_Rubric'!$C$6:$C$14,M921)+F921*INDEX('Position_Rubric'!$D$6:$D$14,M921)+G921*INDEX('Position_Rubric'!$E$6:$E$14,M921)+H921*INDEX('Position_Rubric'!$F$6:$F$14,M921)+I921*INDEX('Position_Rubric'!$G$6:$G$14,M921),1)))))</x:f>
        <x:v>Choose position</x:v>
      </x:c>
      <x:c r="K921" s="82" t="str">
        <x:f>IF(AND(ISNUMBER(J921),ISNUMBER(D921)),J921-D921,"")</x:f>
      </x:c>
      <x:c r="L921" s="69" t="str">
        <x:f>IF(COUNT(E921:I921)&lt;5,"Needs component scores",IF(ISNUMBER(J921),"Calculated",J921))</x:f>
        <x:v>Needs component scores</x:v>
      </x:c>
      <x:c r="M921" s="69" t="str">
        <x:f>IF(C921="","",MATCH(C921,'Position_Rubric'!$A$6:$A$14,0))</x:f>
      </x:c>
      <x:c r="N921" s="69" t="str"/>
    </x:row>
    <x:row r="922" ht="25" customHeight="1">
      <x:c r="A922" s="69" t="str">
        <x:v>summer-S26-0236</x:v>
      </x:c>
      <x:c r="B922" s="69" t="str">
        <x:v>David Colina</x:v>
      </x:c>
      <x:c r="C922" s="69"/>
      <x:c r="D922" s="82" t="str">
        <x:f>IF(ISNUMBER('Transfer_Ratings'!K922),'Transfer_Ratings'!K922,"")</x:f>
      </x:c>
      <x:c r="E922" s="86"/>
      <x:c r="F922" s="86"/>
      <x:c r="G922" s="86"/>
      <x:c r="H922" s="86"/>
      <x:c r="I922" s="86"/>
      <x:c r="J922" s="82" t="str">
        <x:f>IF(C922="","Choose position",IF(COUNT(E922:I922)&lt;5,"",IF(OR(MIN(E922:I922)&lt;0.1,MAX(E922:I922)&gt;10),"Invalid score",IF(INDEX('Position_Rubric'!$H$6:$H$14,M922)&lt;&gt;1,"Check weights",ROUND(E922*INDEX('Position_Rubric'!$C$6:$C$14,M922)+F922*INDEX('Position_Rubric'!$D$6:$D$14,M922)+G922*INDEX('Position_Rubric'!$E$6:$E$14,M922)+H922*INDEX('Position_Rubric'!$F$6:$F$14,M922)+I922*INDEX('Position_Rubric'!$G$6:$G$14,M922),1)))))</x:f>
        <x:v>Choose position</x:v>
      </x:c>
      <x:c r="K922" s="82" t="str">
        <x:f>IF(AND(ISNUMBER(J922),ISNUMBER(D922)),J922-D922,"")</x:f>
      </x:c>
      <x:c r="L922" s="69" t="str">
        <x:f>IF(COUNT(E922:I922)&lt;5,"Needs component scores",IF(ISNUMBER(J922),"Calculated",J922))</x:f>
        <x:v>Needs component scores</x:v>
      </x:c>
      <x:c r="M922" s="69" t="str">
        <x:f>IF(C922="","",MATCH(C922,'Position_Rubric'!$A$6:$A$14,0))</x:f>
      </x:c>
      <x:c r="N922" s="69" t="str"/>
    </x:row>
    <x:row r="923" ht="25" customHeight="1">
      <x:c r="A923" s="69" t="str">
        <x:v>summer-S26-0238</x:v>
      </x:c>
      <x:c r="B923" s="69" t="str">
        <x:v>Bennit Bröger</x:v>
      </x:c>
      <x:c r="C923" s="69"/>
      <x:c r="D923" s="82" t="str">
        <x:f>IF(ISNUMBER('Transfer_Ratings'!K923),'Transfer_Ratings'!K923,"")</x:f>
      </x:c>
      <x:c r="E923" s="86"/>
      <x:c r="F923" s="86"/>
      <x:c r="G923" s="86"/>
      <x:c r="H923" s="86"/>
      <x:c r="I923" s="86"/>
      <x:c r="J923" s="82" t="str">
        <x:f>IF(C923="","Choose position",IF(COUNT(E923:I923)&lt;5,"",IF(OR(MIN(E923:I923)&lt;0.1,MAX(E923:I923)&gt;10),"Invalid score",IF(INDEX('Position_Rubric'!$H$6:$H$14,M923)&lt;&gt;1,"Check weights",ROUND(E923*INDEX('Position_Rubric'!$C$6:$C$14,M923)+F923*INDEX('Position_Rubric'!$D$6:$D$14,M923)+G923*INDEX('Position_Rubric'!$E$6:$E$14,M923)+H923*INDEX('Position_Rubric'!$F$6:$F$14,M923)+I923*INDEX('Position_Rubric'!$G$6:$G$14,M923),1)))))</x:f>
        <x:v>Choose position</x:v>
      </x:c>
      <x:c r="K923" s="82" t="str">
        <x:f>IF(AND(ISNUMBER(J923),ISNUMBER(D923)),J923-D923,"")</x:f>
      </x:c>
      <x:c r="L923" s="69" t="str">
        <x:f>IF(COUNT(E923:I923)&lt;5,"Needs component scores",IF(ISNUMBER(J923),"Calculated",J923))</x:f>
        <x:v>Needs component scores</x:v>
      </x:c>
      <x:c r="M923" s="69" t="str">
        <x:f>IF(C923="","",MATCH(C923,'Position_Rubric'!$A$6:$A$14,0))</x:f>
      </x:c>
      <x:c r="N923" s="69" t="str"/>
    </x:row>
    <x:row r="924" ht="25" customHeight="1">
      <x:c r="A924" s="69" t="str">
        <x:v>summer-S26-0239</x:v>
      </x:c>
      <x:c r="B924" s="69" t="str">
        <x:v>Jacopo Mirra</x:v>
      </x:c>
      <x:c r="C924" s="69"/>
      <x:c r="D924" s="82" t="str">
        <x:f>IF(ISNUMBER('Transfer_Ratings'!K924),'Transfer_Ratings'!K924,"")</x:f>
      </x:c>
      <x:c r="E924" s="86"/>
      <x:c r="F924" s="86"/>
      <x:c r="G924" s="86"/>
      <x:c r="H924" s="86"/>
      <x:c r="I924" s="86"/>
      <x:c r="J924" s="82" t="str">
        <x:f>IF(C924="","Choose position",IF(COUNT(E924:I924)&lt;5,"",IF(OR(MIN(E924:I924)&lt;0.1,MAX(E924:I924)&gt;10),"Invalid score",IF(INDEX('Position_Rubric'!$H$6:$H$14,M924)&lt;&gt;1,"Check weights",ROUND(E924*INDEX('Position_Rubric'!$C$6:$C$14,M924)+F924*INDEX('Position_Rubric'!$D$6:$D$14,M924)+G924*INDEX('Position_Rubric'!$E$6:$E$14,M924)+H924*INDEX('Position_Rubric'!$F$6:$F$14,M924)+I924*INDEX('Position_Rubric'!$G$6:$G$14,M924),1)))))</x:f>
        <x:v>Choose position</x:v>
      </x:c>
      <x:c r="K924" s="82" t="str">
        <x:f>IF(AND(ISNUMBER(J924),ISNUMBER(D924)),J924-D924,"")</x:f>
      </x:c>
      <x:c r="L924" s="69" t="str">
        <x:f>IF(COUNT(E924:I924)&lt;5,"Needs component scores",IF(ISNUMBER(J924),"Calculated",J924))</x:f>
        <x:v>Needs component scores</x:v>
      </x:c>
      <x:c r="M924" s="69" t="str">
        <x:f>IF(C924="","",MATCH(C924,'Position_Rubric'!$A$6:$A$14,0))</x:f>
      </x:c>
      <x:c r="N924" s="69" t="str"/>
    </x:row>
    <x:row r="925" ht="25" customHeight="1">
      <x:c r="A925" s="69" t="str">
        <x:v>summer-S26-0240</x:v>
      </x:c>
      <x:c r="B925" s="69" t="str">
        <x:v>Mohamed Ouédraogo</x:v>
      </x:c>
      <x:c r="C925" s="69"/>
      <x:c r="D925" s="82" t="str">
        <x:f>IF(ISNUMBER('Transfer_Ratings'!K925),'Transfer_Ratings'!K925,"")</x:f>
      </x:c>
      <x:c r="E925" s="86"/>
      <x:c r="F925" s="86"/>
      <x:c r="G925" s="86"/>
      <x:c r="H925" s="86"/>
      <x:c r="I925" s="86"/>
      <x:c r="J925" s="82" t="str">
        <x:f>IF(C925="","Choose position",IF(COUNT(E925:I925)&lt;5,"",IF(OR(MIN(E925:I925)&lt;0.1,MAX(E925:I925)&gt;10),"Invalid score",IF(INDEX('Position_Rubric'!$H$6:$H$14,M925)&lt;&gt;1,"Check weights",ROUND(E925*INDEX('Position_Rubric'!$C$6:$C$14,M925)+F925*INDEX('Position_Rubric'!$D$6:$D$14,M925)+G925*INDEX('Position_Rubric'!$E$6:$E$14,M925)+H925*INDEX('Position_Rubric'!$F$6:$F$14,M925)+I925*INDEX('Position_Rubric'!$G$6:$G$14,M925),1)))))</x:f>
        <x:v>Choose position</x:v>
      </x:c>
      <x:c r="K925" s="82" t="str">
        <x:f>IF(AND(ISNUMBER(J925),ISNUMBER(D925)),J925-D925,"")</x:f>
      </x:c>
      <x:c r="L925" s="69" t="str">
        <x:f>IF(COUNT(E925:I925)&lt;5,"Needs component scores",IF(ISNUMBER(J925),"Calculated",J925))</x:f>
        <x:v>Needs component scores</x:v>
      </x:c>
      <x:c r="M925" s="69" t="str">
        <x:f>IF(C925="","",MATCH(C925,'Position_Rubric'!$A$6:$A$14,0))</x:f>
      </x:c>
      <x:c r="N925" s="69" t="str"/>
    </x:row>
    <x:row r="926" ht="25" customHeight="1">
      <x:c r="A926" s="69" t="str">
        <x:v>summer-S26-0241</x:v>
      </x:c>
      <x:c r="B926" s="69" t="str">
        <x:v>Diego Kochen</x:v>
      </x:c>
      <x:c r="C926" s="69" t="str">
        <x:v>GK</x:v>
      </x:c>
      <x:c r="D926" s="82" t="str">
        <x:f>IF(ISNUMBER('Transfer_Ratings'!K926),'Transfer_Ratings'!K926,"")</x:f>
      </x:c>
      <x:c r="E926" s="86"/>
      <x:c r="F926" s="86"/>
      <x:c r="G926" s="86"/>
      <x:c r="H926" s="86"/>
      <x:c r="I926" s="86"/>
      <x:c r="J926" s="82" t="str">
        <x:f>IF(C926="","Choose position",IF(COUNT(E926:I926)&lt;5,"",IF(OR(MIN(E926:I926)&lt;0.1,MAX(E926:I926)&gt;10),"Invalid score",IF(INDEX('Position_Rubric'!$H$6:$H$14,M926)&lt;&gt;1,"Check weights",ROUND(E926*INDEX('Position_Rubric'!$C$6:$C$14,M926)+F926*INDEX('Position_Rubric'!$D$6:$D$14,M926)+G926*INDEX('Position_Rubric'!$E$6:$E$14,M926)+H926*INDEX('Position_Rubric'!$F$6:$F$14,M926)+I926*INDEX('Position_Rubric'!$G$6:$G$14,M926),1)))))</x:f>
      </x:c>
      <x:c r="K926" s="82" t="str">
        <x:f>IF(AND(ISNUMBER(J926),ISNUMBER(D926)),J926-D926,"")</x:f>
      </x:c>
      <x:c r="L926" s="69" t="str">
        <x:f>IF(COUNT(E926:I926)&lt;5,"Needs component scores",IF(ISNUMBER(J926),"Calculated",J926))</x:f>
        <x:v>Needs component scores</x:v>
      </x:c>
      <x:c r="M926" s="69" t="n">
        <x:f>IF(C926="","",MATCH(C926,'Position_Rubric'!$A$6:$A$14,0))</x:f>
        <x:v>9</x:v>
      </x:c>
      <x:c r="N926" s="69" t="str"/>
    </x:row>
    <x:row r="927" ht="25" customHeight="1">
      <x:c r="A927" s="69" t="str">
        <x:v>summer-S26-0242</x:v>
      </x:c>
      <x:c r="B927" s="69" t="str">
        <x:v>Leo Román</x:v>
      </x:c>
      <x:c r="C927" s="69" t="str">
        <x:v>GK</x:v>
      </x:c>
      <x:c r="D927" s="82" t="str">
        <x:f>IF(ISNUMBER('Transfer_Ratings'!K927),'Transfer_Ratings'!K927,"")</x:f>
      </x:c>
      <x:c r="E927" s="86"/>
      <x:c r="F927" s="86"/>
      <x:c r="G927" s="86"/>
      <x:c r="H927" s="86"/>
      <x:c r="I927" s="86"/>
      <x:c r="J927" s="82" t="str">
        <x:f>IF(C927="","Choose position",IF(COUNT(E927:I927)&lt;5,"",IF(OR(MIN(E927:I927)&lt;0.1,MAX(E927:I927)&gt;10),"Invalid score",IF(INDEX('Position_Rubric'!$H$6:$H$14,M927)&lt;&gt;1,"Check weights",ROUND(E927*INDEX('Position_Rubric'!$C$6:$C$14,M927)+F927*INDEX('Position_Rubric'!$D$6:$D$14,M927)+G927*INDEX('Position_Rubric'!$E$6:$E$14,M927)+H927*INDEX('Position_Rubric'!$F$6:$F$14,M927)+I927*INDEX('Position_Rubric'!$G$6:$G$14,M927),1)))))</x:f>
      </x:c>
      <x:c r="K927" s="82" t="str">
        <x:f>IF(AND(ISNUMBER(J927),ISNUMBER(D927)),J927-D927,"")</x:f>
      </x:c>
      <x:c r="L927" s="69" t="str">
        <x:f>IF(COUNT(E927:I927)&lt;5,"Needs component scores",IF(ISNUMBER(J927),"Calculated",J927))</x:f>
        <x:v>Needs component scores</x:v>
      </x:c>
      <x:c r="M927" s="69" t="n">
        <x:f>IF(C927="","",MATCH(C927,'Position_Rubric'!$A$6:$A$14,0))</x:f>
        <x:v>9</x:v>
      </x:c>
      <x:c r="N927" s="69" t="str"/>
    </x:row>
    <x:row r="928" ht="25" customHeight="1">
      <x:c r="A928" s="69" t="str">
        <x:v>summer-S26-0243</x:v>
      </x:c>
      <x:c r="B928" s="69" t="str">
        <x:v>Nathan Aké</x:v>
      </x:c>
      <x:c r="C928" s="69"/>
      <x:c r="D928" s="82" t="str">
        <x:f>IF(ISNUMBER('Transfer_Ratings'!K928),'Transfer_Ratings'!K928,"")</x:f>
      </x:c>
      <x:c r="E928" s="86"/>
      <x:c r="F928" s="86"/>
      <x:c r="G928" s="86"/>
      <x:c r="H928" s="86"/>
      <x:c r="I928" s="86"/>
      <x:c r="J928" s="82" t="str">
        <x:f>IF(C928="","Choose position",IF(COUNT(E928:I928)&lt;5,"",IF(OR(MIN(E928:I928)&lt;0.1,MAX(E928:I928)&gt;10),"Invalid score",IF(INDEX('Position_Rubric'!$H$6:$H$14,M928)&lt;&gt;1,"Check weights",ROUND(E928*INDEX('Position_Rubric'!$C$6:$C$14,M928)+F928*INDEX('Position_Rubric'!$D$6:$D$14,M928)+G928*INDEX('Position_Rubric'!$E$6:$E$14,M928)+H928*INDEX('Position_Rubric'!$F$6:$F$14,M928)+I928*INDEX('Position_Rubric'!$G$6:$G$14,M928),1)))))</x:f>
        <x:v>Choose position</x:v>
      </x:c>
      <x:c r="K928" s="82" t="str">
        <x:f>IF(AND(ISNUMBER(J928),ISNUMBER(D928)),J928-D928,"")</x:f>
      </x:c>
      <x:c r="L928" s="69" t="str">
        <x:f>IF(COUNT(E928:I928)&lt;5,"Needs component scores",IF(ISNUMBER(J928),"Calculated",J928))</x:f>
        <x:v>Needs component scores</x:v>
      </x:c>
      <x:c r="M928" s="69" t="str">
        <x:f>IF(C928="","",MATCH(C928,'Position_Rubric'!$A$6:$A$14,0))</x:f>
      </x:c>
      <x:c r="N928" s="69" t="str"/>
    </x:row>
    <x:row r="929" ht="25" customHeight="1">
      <x:c r="A929" s="69" t="str">
        <x:v>summer-S26-0244</x:v>
      </x:c>
      <x:c r="B929" s="69" t="str">
        <x:v>Benjamin Brantlind</x:v>
      </x:c>
      <x:c r="C929" s="69"/>
      <x:c r="D929" s="82" t="str">
        <x:f>IF(ISNUMBER('Transfer_Ratings'!K929),'Transfer_Ratings'!K929,"")</x:f>
      </x:c>
      <x:c r="E929" s="86"/>
      <x:c r="F929" s="86"/>
      <x:c r="G929" s="86"/>
      <x:c r="H929" s="86"/>
      <x:c r="I929" s="86"/>
      <x:c r="J929" s="82" t="str">
        <x:f>IF(C929="","Choose position",IF(COUNT(E929:I929)&lt;5,"",IF(OR(MIN(E929:I929)&lt;0.1,MAX(E929:I929)&gt;10),"Invalid score",IF(INDEX('Position_Rubric'!$H$6:$H$14,M929)&lt;&gt;1,"Check weights",ROUND(E929*INDEX('Position_Rubric'!$C$6:$C$14,M929)+F929*INDEX('Position_Rubric'!$D$6:$D$14,M929)+G929*INDEX('Position_Rubric'!$E$6:$E$14,M929)+H929*INDEX('Position_Rubric'!$F$6:$F$14,M929)+I929*INDEX('Position_Rubric'!$G$6:$G$14,M929),1)))))</x:f>
        <x:v>Choose position</x:v>
      </x:c>
      <x:c r="K929" s="82" t="str">
        <x:f>IF(AND(ISNUMBER(J929),ISNUMBER(D929)),J929-D929,"")</x:f>
      </x:c>
      <x:c r="L929" s="69" t="str">
        <x:f>IF(COUNT(E929:I929)&lt;5,"Needs component scores",IF(ISNUMBER(J929),"Calculated",J929))</x:f>
        <x:v>Needs component scores</x:v>
      </x:c>
      <x:c r="M929" s="69" t="str">
        <x:f>IF(C929="","",MATCH(C929,'Position_Rubric'!$A$6:$A$14,0))</x:f>
      </x:c>
      <x:c r="N929" s="69" t="str"/>
    </x:row>
    <x:row r="930" ht="25" customHeight="1">
      <x:c r="A930" s="69" t="str">
        <x:v>summer-S26-0245</x:v>
      </x:c>
      <x:c r="B930" s="69" t="str">
        <x:v>Kasey Palmer</x:v>
      </x:c>
      <x:c r="C930" s="69"/>
      <x:c r="D930" s="82" t="str">
        <x:f>IF(ISNUMBER('Transfer_Ratings'!K930),'Transfer_Ratings'!K930,"")</x:f>
      </x:c>
      <x:c r="E930" s="86"/>
      <x:c r="F930" s="86"/>
      <x:c r="G930" s="86"/>
      <x:c r="H930" s="86"/>
      <x:c r="I930" s="86"/>
      <x:c r="J930" s="82" t="str">
        <x:f>IF(C930="","Choose position",IF(COUNT(E930:I930)&lt;5,"",IF(OR(MIN(E930:I930)&lt;0.1,MAX(E930:I930)&gt;10),"Invalid score",IF(INDEX('Position_Rubric'!$H$6:$H$14,M930)&lt;&gt;1,"Check weights",ROUND(E930*INDEX('Position_Rubric'!$C$6:$C$14,M930)+F930*INDEX('Position_Rubric'!$D$6:$D$14,M930)+G930*INDEX('Position_Rubric'!$E$6:$E$14,M930)+H930*INDEX('Position_Rubric'!$F$6:$F$14,M930)+I930*INDEX('Position_Rubric'!$G$6:$G$14,M930),1)))))</x:f>
        <x:v>Choose position</x:v>
      </x:c>
      <x:c r="K930" s="82" t="str">
        <x:f>IF(AND(ISNUMBER(J930),ISNUMBER(D930)),J930-D930,"")</x:f>
      </x:c>
      <x:c r="L930" s="69" t="str">
        <x:f>IF(COUNT(E930:I930)&lt;5,"Needs component scores",IF(ISNUMBER(J930),"Calculated",J930))</x:f>
        <x:v>Needs component scores</x:v>
      </x:c>
      <x:c r="M930" s="69" t="str">
        <x:f>IF(C930="","",MATCH(C930,'Position_Rubric'!$A$6:$A$14,0))</x:f>
      </x:c>
      <x:c r="N930" s="69" t="str"/>
    </x:row>
    <x:row r="931" ht="25" customHeight="1">
      <x:c r="A931" s="69" t="str">
        <x:v>summer-S26-0247</x:v>
      </x:c>
      <x:c r="B931" s="69" t="str">
        <x:v>Tommaso Cassandro</x:v>
      </x:c>
      <x:c r="C931" s="69"/>
      <x:c r="D931" s="82" t="str">
        <x:f>IF(ISNUMBER('Transfer_Ratings'!K931),'Transfer_Ratings'!K931,"")</x:f>
      </x:c>
      <x:c r="E931" s="86"/>
      <x:c r="F931" s="86"/>
      <x:c r="G931" s="86"/>
      <x:c r="H931" s="86"/>
      <x:c r="I931" s="86"/>
      <x:c r="J931" s="82" t="str">
        <x:f>IF(C931="","Choose position",IF(COUNT(E931:I931)&lt;5,"",IF(OR(MIN(E931:I931)&lt;0.1,MAX(E931:I931)&gt;10),"Invalid score",IF(INDEX('Position_Rubric'!$H$6:$H$14,M931)&lt;&gt;1,"Check weights",ROUND(E931*INDEX('Position_Rubric'!$C$6:$C$14,M931)+F931*INDEX('Position_Rubric'!$D$6:$D$14,M931)+G931*INDEX('Position_Rubric'!$E$6:$E$14,M931)+H931*INDEX('Position_Rubric'!$F$6:$F$14,M931)+I931*INDEX('Position_Rubric'!$G$6:$G$14,M931),1)))))</x:f>
        <x:v>Choose position</x:v>
      </x:c>
      <x:c r="K931" s="82" t="str">
        <x:f>IF(AND(ISNUMBER(J931),ISNUMBER(D931)),J931-D931,"")</x:f>
      </x:c>
      <x:c r="L931" s="69" t="str">
        <x:f>IF(COUNT(E931:I931)&lt;5,"Needs component scores",IF(ISNUMBER(J931),"Calculated",J931))</x:f>
        <x:v>Needs component scores</x:v>
      </x:c>
      <x:c r="M931" s="69" t="str">
        <x:f>IF(C931="","",MATCH(C931,'Position_Rubric'!$A$6:$A$14,0))</x:f>
      </x:c>
      <x:c r="N931" s="69" t="str"/>
    </x:row>
    <x:row r="932" ht="25" customHeight="1">
      <x:c r="A932" s="69" t="str">
        <x:v>summer-S26-0249</x:v>
      </x:c>
      <x:c r="B932" s="69" t="str">
        <x:v>Leonardo Baroncelli</x:v>
      </x:c>
      <x:c r="C932" s="69"/>
      <x:c r="D932" s="82" t="str">
        <x:f>IF(ISNUMBER('Transfer_Ratings'!K932),'Transfer_Ratings'!K932,"")</x:f>
      </x:c>
      <x:c r="E932" s="86"/>
      <x:c r="F932" s="86"/>
      <x:c r="G932" s="86"/>
      <x:c r="H932" s="86"/>
      <x:c r="I932" s="86"/>
      <x:c r="J932" s="82" t="str">
        <x:f>IF(C932="","Choose position",IF(COUNT(E932:I932)&lt;5,"",IF(OR(MIN(E932:I932)&lt;0.1,MAX(E932:I932)&gt;10),"Invalid score",IF(INDEX('Position_Rubric'!$H$6:$H$14,M932)&lt;&gt;1,"Check weights",ROUND(E932*INDEX('Position_Rubric'!$C$6:$C$14,M932)+F932*INDEX('Position_Rubric'!$D$6:$D$14,M932)+G932*INDEX('Position_Rubric'!$E$6:$E$14,M932)+H932*INDEX('Position_Rubric'!$F$6:$F$14,M932)+I932*INDEX('Position_Rubric'!$G$6:$G$14,M932),1)))))</x:f>
        <x:v>Choose position</x:v>
      </x:c>
      <x:c r="K932" s="82" t="str">
        <x:f>IF(AND(ISNUMBER(J932),ISNUMBER(D932)),J932-D932,"")</x:f>
      </x:c>
      <x:c r="L932" s="69" t="str">
        <x:f>IF(COUNT(E932:I932)&lt;5,"Needs component scores",IF(ISNUMBER(J932),"Calculated",J932))</x:f>
        <x:v>Needs component scores</x:v>
      </x:c>
      <x:c r="M932" s="69" t="str">
        <x:f>IF(C932="","",MATCH(C932,'Position_Rubric'!$A$6:$A$14,0))</x:f>
      </x:c>
      <x:c r="N932" s="69" t="str"/>
    </x:row>
    <x:row r="933" ht="25" customHeight="1">
      <x:c r="A933" s="69" t="str">
        <x:v>summer-S26-0250</x:v>
      </x:c>
      <x:c r="B933" s="69" t="str">
        <x:v>Denzel Dumfries</x:v>
      </x:c>
      <x:c r="C933" s="69"/>
      <x:c r="D933" s="82" t="str">
        <x:f>IF(ISNUMBER('Transfer_Ratings'!K933),'Transfer_Ratings'!K933,"")</x:f>
      </x:c>
      <x:c r="E933" s="86"/>
      <x:c r="F933" s="86"/>
      <x:c r="G933" s="86"/>
      <x:c r="H933" s="86"/>
      <x:c r="I933" s="86"/>
      <x:c r="J933" s="82" t="str">
        <x:f>IF(C933="","Choose position",IF(COUNT(E933:I933)&lt;5,"",IF(OR(MIN(E933:I933)&lt;0.1,MAX(E933:I933)&gt;10),"Invalid score",IF(INDEX('Position_Rubric'!$H$6:$H$14,M933)&lt;&gt;1,"Check weights",ROUND(E933*INDEX('Position_Rubric'!$C$6:$C$14,M933)+F933*INDEX('Position_Rubric'!$D$6:$D$14,M933)+G933*INDEX('Position_Rubric'!$E$6:$E$14,M933)+H933*INDEX('Position_Rubric'!$F$6:$F$14,M933)+I933*INDEX('Position_Rubric'!$G$6:$G$14,M933),1)))))</x:f>
        <x:v>Choose position</x:v>
      </x:c>
      <x:c r="K933" s="82" t="str">
        <x:f>IF(AND(ISNUMBER(J933),ISNUMBER(D933)),J933-D933,"")</x:f>
      </x:c>
      <x:c r="L933" s="69" t="str">
        <x:f>IF(COUNT(E933:I933)&lt;5,"Needs component scores",IF(ISNUMBER(J933),"Calculated",J933))</x:f>
        <x:v>Needs component scores</x:v>
      </x:c>
      <x:c r="M933" s="69" t="str">
        <x:f>IF(C933="","",MATCH(C933,'Position_Rubric'!$A$6:$A$14,0))</x:f>
      </x:c>
      <x:c r="N933" s="69" t="str"/>
    </x:row>
    <x:row r="934" ht="25" customHeight="1">
      <x:c r="A934" s="69" t="str">
        <x:v>summer-S26-0254</x:v>
      </x:c>
      <x:c r="B934" s="69" t="str">
        <x:v>Lasse Riess</x:v>
      </x:c>
      <x:c r="C934" s="69" t="str">
        <x:v>GK</x:v>
      </x:c>
      <x:c r="D934" s="82" t="str">
        <x:f>IF(ISNUMBER('Transfer_Ratings'!K934),'Transfer_Ratings'!K934,"")</x:f>
      </x:c>
      <x:c r="E934" s="86"/>
      <x:c r="F934" s="86"/>
      <x:c r="G934" s="86"/>
      <x:c r="H934" s="86"/>
      <x:c r="I934" s="86"/>
      <x:c r="J934" s="82" t="str">
        <x:f>IF(C934="","Choose position",IF(COUNT(E934:I934)&lt;5,"",IF(OR(MIN(E934:I934)&lt;0.1,MAX(E934:I934)&gt;10),"Invalid score",IF(INDEX('Position_Rubric'!$H$6:$H$14,M934)&lt;&gt;1,"Check weights",ROUND(E934*INDEX('Position_Rubric'!$C$6:$C$14,M934)+F934*INDEX('Position_Rubric'!$D$6:$D$14,M934)+G934*INDEX('Position_Rubric'!$E$6:$E$14,M934)+H934*INDEX('Position_Rubric'!$F$6:$F$14,M934)+I934*INDEX('Position_Rubric'!$G$6:$G$14,M934),1)))))</x:f>
      </x:c>
      <x:c r="K934" s="82" t="str">
        <x:f>IF(AND(ISNUMBER(J934),ISNUMBER(D934)),J934-D934,"")</x:f>
      </x:c>
      <x:c r="L934" s="69" t="str">
        <x:f>IF(COUNT(E934:I934)&lt;5,"Needs component scores",IF(ISNUMBER(J934),"Calculated",J934))</x:f>
        <x:v>Needs component scores</x:v>
      </x:c>
      <x:c r="M934" s="69" t="n">
        <x:f>IF(C934="","",MATCH(C934,'Position_Rubric'!$A$6:$A$14,0))</x:f>
        <x:v>9</x:v>
      </x:c>
      <x:c r="N934" s="69" t="str"/>
    </x:row>
    <x:row r="935" ht="25" customHeight="1">
      <x:c r="A935" s="69" t="str">
        <x:v>summer-S26-0255</x:v>
      </x:c>
      <x:c r="B935" s="69" t="str">
        <x:v>Oliver Sorg</x:v>
      </x:c>
      <x:c r="C935" s="69"/>
      <x:c r="D935" s="82" t="str">
        <x:f>IF(ISNUMBER('Transfer_Ratings'!K935),'Transfer_Ratings'!K935,"")</x:f>
      </x:c>
      <x:c r="E935" s="86"/>
      <x:c r="F935" s="86"/>
      <x:c r="G935" s="86"/>
      <x:c r="H935" s="86"/>
      <x:c r="I935" s="86"/>
      <x:c r="J935" s="82" t="str">
        <x:f>IF(C935="","Choose position",IF(COUNT(E935:I935)&lt;5,"",IF(OR(MIN(E935:I935)&lt;0.1,MAX(E935:I935)&gt;10),"Invalid score",IF(INDEX('Position_Rubric'!$H$6:$H$14,M935)&lt;&gt;1,"Check weights",ROUND(E935*INDEX('Position_Rubric'!$C$6:$C$14,M935)+F935*INDEX('Position_Rubric'!$D$6:$D$14,M935)+G935*INDEX('Position_Rubric'!$E$6:$E$14,M935)+H935*INDEX('Position_Rubric'!$F$6:$F$14,M935)+I935*INDEX('Position_Rubric'!$G$6:$G$14,M935),1)))))</x:f>
        <x:v>Choose position</x:v>
      </x:c>
      <x:c r="K935" s="82" t="str">
        <x:f>IF(AND(ISNUMBER(J935),ISNUMBER(D935)),J935-D935,"")</x:f>
      </x:c>
      <x:c r="L935" s="69" t="str">
        <x:f>IF(COUNT(E935:I935)&lt;5,"Needs component scores",IF(ISNUMBER(J935),"Calculated",J935))</x:f>
        <x:v>Needs component scores</x:v>
      </x:c>
      <x:c r="M935" s="69" t="str">
        <x:f>IF(C935="","",MATCH(C935,'Position_Rubric'!$A$6:$A$14,0))</x:f>
      </x:c>
      <x:c r="N935" s="69" t="str"/>
    </x:row>
    <x:row r="936" ht="25" customHeight="1">
      <x:c r="A936" s="69" t="str">
        <x:v>summer-S26-0257</x:v>
      </x:c>
      <x:c r="B936" s="69" t="str">
        <x:v>Giorgi Chakvetadze</x:v>
      </x:c>
      <x:c r="C936" s="69"/>
      <x:c r="D936" s="82" t="str">
        <x:f>IF(ISNUMBER('Transfer_Ratings'!K936),'Transfer_Ratings'!K936,"")</x:f>
      </x:c>
      <x:c r="E936" s="86"/>
      <x:c r="F936" s="86"/>
      <x:c r="G936" s="86"/>
      <x:c r="H936" s="86"/>
      <x:c r="I936" s="86"/>
      <x:c r="J936" s="82" t="str">
        <x:f>IF(C936="","Choose position",IF(COUNT(E936:I936)&lt;5,"",IF(OR(MIN(E936:I936)&lt;0.1,MAX(E936:I936)&gt;10),"Invalid score",IF(INDEX('Position_Rubric'!$H$6:$H$14,M936)&lt;&gt;1,"Check weights",ROUND(E936*INDEX('Position_Rubric'!$C$6:$C$14,M936)+F936*INDEX('Position_Rubric'!$D$6:$D$14,M936)+G936*INDEX('Position_Rubric'!$E$6:$E$14,M936)+H936*INDEX('Position_Rubric'!$F$6:$F$14,M936)+I936*INDEX('Position_Rubric'!$G$6:$G$14,M936),1)))))</x:f>
        <x:v>Choose position</x:v>
      </x:c>
      <x:c r="K936" s="82" t="str">
        <x:f>IF(AND(ISNUMBER(J936),ISNUMBER(D936)),J936-D936,"")</x:f>
      </x:c>
      <x:c r="L936" s="69" t="str">
        <x:f>IF(COUNT(E936:I936)&lt;5,"Needs component scores",IF(ISNUMBER(J936),"Calculated",J936))</x:f>
        <x:v>Needs component scores</x:v>
      </x:c>
      <x:c r="M936" s="69" t="str">
        <x:f>IF(C936="","",MATCH(C936,'Position_Rubric'!$A$6:$A$14,0))</x:f>
      </x:c>
      <x:c r="N936" s="69" t="str"/>
    </x:row>
    <x:row r="937" ht="25" customHeight="1">
      <x:c r="A937" s="69" t="str">
        <x:v>summer-S26-0258</x:v>
      </x:c>
      <x:c r="B937" s="69" t="str">
        <x:v>Zaid Romero</x:v>
      </x:c>
      <x:c r="C937" s="69"/>
      <x:c r="D937" s="82" t="str">
        <x:f>IF(ISNUMBER('Transfer_Ratings'!K937),'Transfer_Ratings'!K937,"")</x:f>
      </x:c>
      <x:c r="E937" s="86"/>
      <x:c r="F937" s="86"/>
      <x:c r="G937" s="86"/>
      <x:c r="H937" s="86"/>
      <x:c r="I937" s="86"/>
      <x:c r="J937" s="82" t="str">
        <x:f>IF(C937="","Choose position",IF(COUNT(E937:I937)&lt;5,"",IF(OR(MIN(E937:I937)&lt;0.1,MAX(E937:I937)&gt;10),"Invalid score",IF(INDEX('Position_Rubric'!$H$6:$H$14,M937)&lt;&gt;1,"Check weights",ROUND(E937*INDEX('Position_Rubric'!$C$6:$C$14,M937)+F937*INDEX('Position_Rubric'!$D$6:$D$14,M937)+G937*INDEX('Position_Rubric'!$E$6:$E$14,M937)+H937*INDEX('Position_Rubric'!$F$6:$F$14,M937)+I937*INDEX('Position_Rubric'!$G$6:$G$14,M937),1)))))</x:f>
        <x:v>Choose position</x:v>
      </x:c>
      <x:c r="K937" s="82" t="str">
        <x:f>IF(AND(ISNUMBER(J937),ISNUMBER(D937)),J937-D937,"")</x:f>
      </x:c>
      <x:c r="L937" s="69" t="str">
        <x:f>IF(COUNT(E937:I937)&lt;5,"Needs component scores",IF(ISNUMBER(J937),"Calculated",J937))</x:f>
        <x:v>Needs component scores</x:v>
      </x:c>
      <x:c r="M937" s="69" t="str">
        <x:f>IF(C937="","",MATCH(C937,'Position_Rubric'!$A$6:$A$14,0))</x:f>
      </x:c>
      <x:c r="N937" s="69" t="str"/>
    </x:row>
    <x:row r="938" ht="25" customHeight="1">
      <x:c r="A938" s="69" t="str">
        <x:v>summer-S26-0259</x:v>
      </x:c>
      <x:c r="B938" s="69" t="str">
        <x:v>Alessandro Longoni</x:v>
      </x:c>
      <x:c r="C938" s="69" t="str">
        <x:v>GK</x:v>
      </x:c>
      <x:c r="D938" s="82" t="str">
        <x:f>IF(ISNUMBER('Transfer_Ratings'!K938),'Transfer_Ratings'!K938,"")</x:f>
      </x:c>
      <x:c r="E938" s="86"/>
      <x:c r="F938" s="86"/>
      <x:c r="G938" s="86"/>
      <x:c r="H938" s="86"/>
      <x:c r="I938" s="86"/>
      <x:c r="J938" s="82" t="str">
        <x:f>IF(C938="","Choose position",IF(COUNT(E938:I938)&lt;5,"",IF(OR(MIN(E938:I938)&lt;0.1,MAX(E938:I938)&gt;10),"Invalid score",IF(INDEX('Position_Rubric'!$H$6:$H$14,M938)&lt;&gt;1,"Check weights",ROUND(E938*INDEX('Position_Rubric'!$C$6:$C$14,M938)+F938*INDEX('Position_Rubric'!$D$6:$D$14,M938)+G938*INDEX('Position_Rubric'!$E$6:$E$14,M938)+H938*INDEX('Position_Rubric'!$F$6:$F$14,M938)+I938*INDEX('Position_Rubric'!$G$6:$G$14,M938),1)))))</x:f>
      </x:c>
      <x:c r="K938" s="82" t="str">
        <x:f>IF(AND(ISNUMBER(J938),ISNUMBER(D938)),J938-D938,"")</x:f>
      </x:c>
      <x:c r="L938" s="69" t="str">
        <x:f>IF(COUNT(E938:I938)&lt;5,"Needs component scores",IF(ISNUMBER(J938),"Calculated",J938))</x:f>
        <x:v>Needs component scores</x:v>
      </x:c>
      <x:c r="M938" s="69" t="n">
        <x:f>IF(C938="","",MATCH(C938,'Position_Rubric'!$A$6:$A$14,0))</x:f>
        <x:v>9</x:v>
      </x:c>
      <x:c r="N938" s="69" t="str"/>
    </x:row>
    <x:row r="939" ht="25" customHeight="1">
      <x:c r="A939" s="69" t="str">
        <x:v>summer-S26-0260</x:v>
      </x:c>
      <x:c r="B939" s="69" t="str">
        <x:v>Milosz Piekutowski</x:v>
      </x:c>
      <x:c r="C939" s="69" t="str">
        <x:v>GK</x:v>
      </x:c>
      <x:c r="D939" s="82" t="str">
        <x:f>IF(ISNUMBER('Transfer_Ratings'!K939),'Transfer_Ratings'!K939,"")</x:f>
      </x:c>
      <x:c r="E939" s="86"/>
      <x:c r="F939" s="86"/>
      <x:c r="G939" s="86"/>
      <x:c r="H939" s="86"/>
      <x:c r="I939" s="86"/>
      <x:c r="J939" s="82" t="str">
        <x:f>IF(C939="","Choose position",IF(COUNT(E939:I939)&lt;5,"",IF(OR(MIN(E939:I939)&lt;0.1,MAX(E939:I939)&gt;10),"Invalid score",IF(INDEX('Position_Rubric'!$H$6:$H$14,M939)&lt;&gt;1,"Check weights",ROUND(E939*INDEX('Position_Rubric'!$C$6:$C$14,M939)+F939*INDEX('Position_Rubric'!$D$6:$D$14,M939)+G939*INDEX('Position_Rubric'!$E$6:$E$14,M939)+H939*INDEX('Position_Rubric'!$F$6:$F$14,M939)+I939*INDEX('Position_Rubric'!$G$6:$G$14,M939),1)))))</x:f>
      </x:c>
      <x:c r="K939" s="82" t="str">
        <x:f>IF(AND(ISNUMBER(J939),ISNUMBER(D939)),J939-D939,"")</x:f>
      </x:c>
      <x:c r="L939" s="69" t="str">
        <x:f>IF(COUNT(E939:I939)&lt;5,"Needs component scores",IF(ISNUMBER(J939),"Calculated",J939))</x:f>
        <x:v>Needs component scores</x:v>
      </x:c>
      <x:c r="M939" s="69" t="n">
        <x:f>IF(C939="","",MATCH(C939,'Position_Rubric'!$A$6:$A$14,0))</x:f>
        <x:v>9</x:v>
      </x:c>
      <x:c r="N939" s="69" t="str"/>
    </x:row>
    <x:row r="940" ht="25" customHeight="1">
      <x:c r="A940" s="69" t="str">
        <x:v>summer-S26-0262</x:v>
      </x:c>
      <x:c r="B940" s="69" t="str">
        <x:v>Felipe Sánchez</x:v>
      </x:c>
      <x:c r="C940" s="69"/>
      <x:c r="D940" s="82" t="str">
        <x:f>IF(ISNUMBER('Transfer_Ratings'!K940),'Transfer_Ratings'!K940,"")</x:f>
      </x:c>
      <x:c r="E940" s="86"/>
      <x:c r="F940" s="86"/>
      <x:c r="G940" s="86"/>
      <x:c r="H940" s="86"/>
      <x:c r="I940" s="86"/>
      <x:c r="J940" s="82" t="str">
        <x:f>IF(C940="","Choose position",IF(COUNT(E940:I940)&lt;5,"",IF(OR(MIN(E940:I940)&lt;0.1,MAX(E940:I940)&gt;10),"Invalid score",IF(INDEX('Position_Rubric'!$H$6:$H$14,M940)&lt;&gt;1,"Check weights",ROUND(E940*INDEX('Position_Rubric'!$C$6:$C$14,M940)+F940*INDEX('Position_Rubric'!$D$6:$D$14,M940)+G940*INDEX('Position_Rubric'!$E$6:$E$14,M940)+H940*INDEX('Position_Rubric'!$F$6:$F$14,M940)+I940*INDEX('Position_Rubric'!$G$6:$G$14,M940),1)))))</x:f>
        <x:v>Choose position</x:v>
      </x:c>
      <x:c r="K940" s="82" t="str">
        <x:f>IF(AND(ISNUMBER(J940),ISNUMBER(D940)),J940-D940,"")</x:f>
      </x:c>
      <x:c r="L940" s="69" t="str">
        <x:f>IF(COUNT(E940:I940)&lt;5,"Needs component scores",IF(ISNUMBER(J940),"Calculated",J940))</x:f>
        <x:v>Needs component scores</x:v>
      </x:c>
      <x:c r="M940" s="69" t="str">
        <x:f>IF(C940="","",MATCH(C940,'Position_Rubric'!$A$6:$A$14,0))</x:f>
      </x:c>
      <x:c r="N940" s="69" t="str"/>
    </x:row>
    <x:row r="941" ht="25" customHeight="1">
      <x:c r="A941" s="69" t="str">
        <x:v>summer-S26-0263</x:v>
      </x:c>
      <x:c r="B941" s="69" t="str">
        <x:v>Facundo Bernal</x:v>
      </x:c>
      <x:c r="C941" s="69"/>
      <x:c r="D941" s="82" t="str">
        <x:f>IF(ISNUMBER('Transfer_Ratings'!K941),'Transfer_Ratings'!K941,"")</x:f>
      </x:c>
      <x:c r="E941" s="86"/>
      <x:c r="F941" s="86"/>
      <x:c r="G941" s="86"/>
      <x:c r="H941" s="86"/>
      <x:c r="I941" s="86"/>
      <x:c r="J941" s="82" t="str">
        <x:f>IF(C941="","Choose position",IF(COUNT(E941:I941)&lt;5,"",IF(OR(MIN(E941:I941)&lt;0.1,MAX(E941:I941)&gt;10),"Invalid score",IF(INDEX('Position_Rubric'!$H$6:$H$14,M941)&lt;&gt;1,"Check weights",ROUND(E941*INDEX('Position_Rubric'!$C$6:$C$14,M941)+F941*INDEX('Position_Rubric'!$D$6:$D$14,M941)+G941*INDEX('Position_Rubric'!$E$6:$E$14,M941)+H941*INDEX('Position_Rubric'!$F$6:$F$14,M941)+I941*INDEX('Position_Rubric'!$G$6:$G$14,M941),1)))))</x:f>
        <x:v>Choose position</x:v>
      </x:c>
      <x:c r="K941" s="82" t="str">
        <x:f>IF(AND(ISNUMBER(J941),ISNUMBER(D941)),J941-D941,"")</x:f>
      </x:c>
      <x:c r="L941" s="69" t="str">
        <x:f>IF(COUNT(E941:I941)&lt;5,"Needs component scores",IF(ISNUMBER(J941),"Calculated",J941))</x:f>
        <x:v>Needs component scores</x:v>
      </x:c>
      <x:c r="M941" s="69" t="str">
        <x:f>IF(C941="","",MATCH(C941,'Position_Rubric'!$A$6:$A$14,0))</x:f>
      </x:c>
      <x:c r="N941" s="69" t="str"/>
    </x:row>
    <x:row r="942" ht="25" customHeight="1">
      <x:c r="A942" s="69" t="str">
        <x:v>summer-S26-0265</x:v>
      </x:c>
      <x:c r="B942" s="69" t="str">
        <x:v>Mamadou Diop</x:v>
      </x:c>
      <x:c r="C942" s="69" t="str">
        <x:v>GK</x:v>
      </x:c>
      <x:c r="D942" s="82" t="str">
        <x:f>IF(ISNUMBER('Transfer_Ratings'!K942),'Transfer_Ratings'!K942,"")</x:f>
      </x:c>
      <x:c r="E942" s="86"/>
      <x:c r="F942" s="86"/>
      <x:c r="G942" s="86"/>
      <x:c r="H942" s="86"/>
      <x:c r="I942" s="86"/>
      <x:c r="J942" s="82" t="str">
        <x:f>IF(C942="","Choose position",IF(COUNT(E942:I942)&lt;5,"",IF(OR(MIN(E942:I942)&lt;0.1,MAX(E942:I942)&gt;10),"Invalid score",IF(INDEX('Position_Rubric'!$H$6:$H$14,M942)&lt;&gt;1,"Check weights",ROUND(E942*INDEX('Position_Rubric'!$C$6:$C$14,M942)+F942*INDEX('Position_Rubric'!$D$6:$D$14,M942)+G942*INDEX('Position_Rubric'!$E$6:$E$14,M942)+H942*INDEX('Position_Rubric'!$F$6:$F$14,M942)+I942*INDEX('Position_Rubric'!$G$6:$G$14,M942),1)))))</x:f>
      </x:c>
      <x:c r="K942" s="82" t="str">
        <x:f>IF(AND(ISNUMBER(J942),ISNUMBER(D942)),J942-D942,"")</x:f>
      </x:c>
      <x:c r="L942" s="69" t="str">
        <x:f>IF(COUNT(E942:I942)&lt;5,"Needs component scores",IF(ISNUMBER(J942),"Calculated",J942))</x:f>
        <x:v>Needs component scores</x:v>
      </x:c>
      <x:c r="M942" s="69" t="n">
        <x:f>IF(C942="","",MATCH(C942,'Position_Rubric'!$A$6:$A$14,0))</x:f>
        <x:v>9</x:v>
      </x:c>
      <x:c r="N942" s="69" t="str"/>
    </x:row>
    <x:row r="943" ht="25" customHeight="1">
      <x:c r="A943" s="69" t="str">
        <x:v>summer-S26-0267</x:v>
      </x:c>
      <x:c r="B943" s="69" t="str">
        <x:v>Quilindschy Hartman</x:v>
      </x:c>
      <x:c r="C943" s="69"/>
      <x:c r="D943" s="82" t="str">
        <x:f>IF(ISNUMBER('Transfer_Ratings'!K943),'Transfer_Ratings'!K943,"")</x:f>
      </x:c>
      <x:c r="E943" s="86"/>
      <x:c r="F943" s="86"/>
      <x:c r="G943" s="86"/>
      <x:c r="H943" s="86"/>
      <x:c r="I943" s="86"/>
      <x:c r="J943" s="82" t="str">
        <x:f>IF(C943="","Choose position",IF(COUNT(E943:I943)&lt;5,"",IF(OR(MIN(E943:I943)&lt;0.1,MAX(E943:I943)&gt;10),"Invalid score",IF(INDEX('Position_Rubric'!$H$6:$H$14,M943)&lt;&gt;1,"Check weights",ROUND(E943*INDEX('Position_Rubric'!$C$6:$C$14,M943)+F943*INDEX('Position_Rubric'!$D$6:$D$14,M943)+G943*INDEX('Position_Rubric'!$E$6:$E$14,M943)+H943*INDEX('Position_Rubric'!$F$6:$F$14,M943)+I943*INDEX('Position_Rubric'!$G$6:$G$14,M943),1)))))</x:f>
        <x:v>Choose position</x:v>
      </x:c>
      <x:c r="K943" s="82" t="str">
        <x:f>IF(AND(ISNUMBER(J943),ISNUMBER(D943)),J943-D943,"")</x:f>
      </x:c>
      <x:c r="L943" s="69" t="str">
        <x:f>IF(COUNT(E943:I943)&lt;5,"Needs component scores",IF(ISNUMBER(J943),"Calculated",J943))</x:f>
        <x:v>Needs component scores</x:v>
      </x:c>
      <x:c r="M943" s="69" t="str">
        <x:f>IF(C943="","",MATCH(C943,'Position_Rubric'!$A$6:$A$14,0))</x:f>
      </x:c>
      <x:c r="N943" s="69" t="str"/>
    </x:row>
    <x:row r="944" ht="25" customHeight="1">
      <x:c r="A944" s="69" t="str">
        <x:v>summer-S26-0271</x:v>
      </x:c>
      <x:c r="B944" s="69" t="str">
        <x:v>Ryunosuke Sato</x:v>
      </x:c>
      <x:c r="C944" s="69"/>
      <x:c r="D944" s="82" t="str">
        <x:f>IF(ISNUMBER('Transfer_Ratings'!K944),'Transfer_Ratings'!K944,"")</x:f>
      </x:c>
      <x:c r="E944" s="86"/>
      <x:c r="F944" s="86"/>
      <x:c r="G944" s="86"/>
      <x:c r="H944" s="86"/>
      <x:c r="I944" s="86"/>
      <x:c r="J944" s="82" t="str">
        <x:f>IF(C944="","Choose position",IF(COUNT(E944:I944)&lt;5,"",IF(OR(MIN(E944:I944)&lt;0.1,MAX(E944:I944)&gt;10),"Invalid score",IF(INDEX('Position_Rubric'!$H$6:$H$14,M944)&lt;&gt;1,"Check weights",ROUND(E944*INDEX('Position_Rubric'!$C$6:$C$14,M944)+F944*INDEX('Position_Rubric'!$D$6:$D$14,M944)+G944*INDEX('Position_Rubric'!$E$6:$E$14,M944)+H944*INDEX('Position_Rubric'!$F$6:$F$14,M944)+I944*INDEX('Position_Rubric'!$G$6:$G$14,M944),1)))))</x:f>
        <x:v>Choose position</x:v>
      </x:c>
      <x:c r="K944" s="82" t="str">
        <x:f>IF(AND(ISNUMBER(J944),ISNUMBER(D944)),J944-D944,"")</x:f>
      </x:c>
      <x:c r="L944" s="69" t="str">
        <x:f>IF(COUNT(E944:I944)&lt;5,"Needs component scores",IF(ISNUMBER(J944),"Calculated",J944))</x:f>
        <x:v>Needs component scores</x:v>
      </x:c>
      <x:c r="M944" s="69" t="str">
        <x:f>IF(C944="","",MATCH(C944,'Position_Rubric'!$A$6:$A$14,0))</x:f>
      </x:c>
      <x:c r="N944" s="69" t="str"/>
    </x:row>
    <x:row r="945" ht="25" customHeight="1">
      <x:c r="A945" s="69" t="str">
        <x:v>summer-S26-0272</x:v>
      </x:c>
      <x:c r="B945" s="69" t="str">
        <x:v>Kaito Mizuta</x:v>
      </x:c>
      <x:c r="C945" s="69"/>
      <x:c r="D945" s="82" t="str">
        <x:f>IF(ISNUMBER('Transfer_Ratings'!K945),'Transfer_Ratings'!K945,"")</x:f>
      </x:c>
      <x:c r="E945" s="86"/>
      <x:c r="F945" s="86"/>
      <x:c r="G945" s="86"/>
      <x:c r="H945" s="86"/>
      <x:c r="I945" s="86"/>
      <x:c r="J945" s="82" t="str">
        <x:f>IF(C945="","Choose position",IF(COUNT(E945:I945)&lt;5,"",IF(OR(MIN(E945:I945)&lt;0.1,MAX(E945:I945)&gt;10),"Invalid score",IF(INDEX('Position_Rubric'!$H$6:$H$14,M945)&lt;&gt;1,"Check weights",ROUND(E945*INDEX('Position_Rubric'!$C$6:$C$14,M945)+F945*INDEX('Position_Rubric'!$D$6:$D$14,M945)+G945*INDEX('Position_Rubric'!$E$6:$E$14,M945)+H945*INDEX('Position_Rubric'!$F$6:$F$14,M945)+I945*INDEX('Position_Rubric'!$G$6:$G$14,M945),1)))))</x:f>
        <x:v>Choose position</x:v>
      </x:c>
      <x:c r="K945" s="82" t="str">
        <x:f>IF(AND(ISNUMBER(J945),ISNUMBER(D945)),J945-D945,"")</x:f>
      </x:c>
      <x:c r="L945" s="69" t="str">
        <x:f>IF(COUNT(E945:I945)&lt;5,"Needs component scores",IF(ISNUMBER(J945),"Calculated",J945))</x:f>
        <x:v>Needs component scores</x:v>
      </x:c>
      <x:c r="M945" s="69" t="str">
        <x:f>IF(C945="","",MATCH(C945,'Position_Rubric'!$A$6:$A$14,0))</x:f>
      </x:c>
      <x:c r="N945" s="69" t="str"/>
    </x:row>
    <x:row r="946" ht="25" customHeight="1">
      <x:c r="A946" s="69" t="str">
        <x:v>summer-S26-0273</x:v>
      </x:c>
      <x:c r="B946" s="69" t="str">
        <x:v>Leon Goretzka</x:v>
      </x:c>
      <x:c r="C946" s="69"/>
      <x:c r="D946" s="82" t="str">
        <x:f>IF(ISNUMBER('Transfer_Ratings'!K946),'Transfer_Ratings'!K946,"")</x:f>
      </x:c>
      <x:c r="E946" s="86"/>
      <x:c r="F946" s="86"/>
      <x:c r="G946" s="86"/>
      <x:c r="H946" s="86"/>
      <x:c r="I946" s="86"/>
      <x:c r="J946" s="82" t="str">
        <x:f>IF(C946="","Choose position",IF(COUNT(E946:I946)&lt;5,"",IF(OR(MIN(E946:I946)&lt;0.1,MAX(E946:I946)&gt;10),"Invalid score",IF(INDEX('Position_Rubric'!$H$6:$H$14,M946)&lt;&gt;1,"Check weights",ROUND(E946*INDEX('Position_Rubric'!$C$6:$C$14,M946)+F946*INDEX('Position_Rubric'!$D$6:$D$14,M946)+G946*INDEX('Position_Rubric'!$E$6:$E$14,M946)+H946*INDEX('Position_Rubric'!$F$6:$F$14,M946)+I946*INDEX('Position_Rubric'!$G$6:$G$14,M946),1)))))</x:f>
        <x:v>Choose position</x:v>
      </x:c>
      <x:c r="K946" s="82" t="str">
        <x:f>IF(AND(ISNUMBER(J946),ISNUMBER(D946)),J946-D946,"")</x:f>
      </x:c>
      <x:c r="L946" s="69" t="str">
        <x:f>IF(COUNT(E946:I946)&lt;5,"Needs component scores",IF(ISNUMBER(J946),"Calculated",J946))</x:f>
        <x:v>Needs component scores</x:v>
      </x:c>
      <x:c r="M946" s="69" t="str">
        <x:f>IF(C946="","",MATCH(C946,'Position_Rubric'!$A$6:$A$14,0))</x:f>
      </x:c>
      <x:c r="N946" s="69" t="str"/>
    </x:row>
    <x:row r="947" ht="25" customHeight="1">
      <x:c r="A947" s="69" t="str">
        <x:v>summer-S26-0274</x:v>
      </x:c>
      <x:c r="B947" s="69" t="str">
        <x:v>Bright Ede</x:v>
      </x:c>
      <x:c r="C947" s="69"/>
      <x:c r="D947" s="82" t="str">
        <x:f>IF(ISNUMBER('Transfer_Ratings'!K947),'Transfer_Ratings'!K947,"")</x:f>
      </x:c>
      <x:c r="E947" s="86"/>
      <x:c r="F947" s="86"/>
      <x:c r="G947" s="86"/>
      <x:c r="H947" s="86"/>
      <x:c r="I947" s="86"/>
      <x:c r="J947" s="82" t="str">
        <x:f>IF(C947="","Choose position",IF(COUNT(E947:I947)&lt;5,"",IF(OR(MIN(E947:I947)&lt;0.1,MAX(E947:I947)&gt;10),"Invalid score",IF(INDEX('Position_Rubric'!$H$6:$H$14,M947)&lt;&gt;1,"Check weights",ROUND(E947*INDEX('Position_Rubric'!$C$6:$C$14,M947)+F947*INDEX('Position_Rubric'!$D$6:$D$14,M947)+G947*INDEX('Position_Rubric'!$E$6:$E$14,M947)+H947*INDEX('Position_Rubric'!$F$6:$F$14,M947)+I947*INDEX('Position_Rubric'!$G$6:$G$14,M947),1)))))</x:f>
        <x:v>Choose position</x:v>
      </x:c>
      <x:c r="K947" s="82" t="str">
        <x:f>IF(AND(ISNUMBER(J947),ISNUMBER(D947)),J947-D947,"")</x:f>
      </x:c>
      <x:c r="L947" s="69" t="str">
        <x:f>IF(COUNT(E947:I947)&lt;5,"Needs component scores",IF(ISNUMBER(J947),"Calculated",J947))</x:f>
        <x:v>Needs component scores</x:v>
      </x:c>
      <x:c r="M947" s="69" t="str">
        <x:f>IF(C947="","",MATCH(C947,'Position_Rubric'!$A$6:$A$14,0))</x:f>
      </x:c>
      <x:c r="N947" s="69" t="str"/>
    </x:row>
    <x:row r="948" ht="25" customHeight="1">
      <x:c r="A948" s="69" t="str">
        <x:v>summer-S26-0277</x:v>
      </x:c>
      <x:c r="B948" s="69" t="str">
        <x:v>Radu Dragusin</x:v>
      </x:c>
      <x:c r="C948" s="69"/>
      <x:c r="D948" s="82" t="str">
        <x:f>IF(ISNUMBER('Transfer_Ratings'!K948),'Transfer_Ratings'!K948,"")</x:f>
      </x:c>
      <x:c r="E948" s="86"/>
      <x:c r="F948" s="86"/>
      <x:c r="G948" s="86"/>
      <x:c r="H948" s="86"/>
      <x:c r="I948" s="86"/>
      <x:c r="J948" s="82" t="str">
        <x:f>IF(C948="","Choose position",IF(COUNT(E948:I948)&lt;5,"",IF(OR(MIN(E948:I948)&lt;0.1,MAX(E948:I948)&gt;10),"Invalid score",IF(INDEX('Position_Rubric'!$H$6:$H$14,M948)&lt;&gt;1,"Check weights",ROUND(E948*INDEX('Position_Rubric'!$C$6:$C$14,M948)+F948*INDEX('Position_Rubric'!$D$6:$D$14,M948)+G948*INDEX('Position_Rubric'!$E$6:$E$14,M948)+H948*INDEX('Position_Rubric'!$F$6:$F$14,M948)+I948*INDEX('Position_Rubric'!$G$6:$G$14,M948),1)))))</x:f>
        <x:v>Choose position</x:v>
      </x:c>
      <x:c r="K948" s="82" t="str">
        <x:f>IF(AND(ISNUMBER(J948),ISNUMBER(D948)),J948-D948,"")</x:f>
      </x:c>
      <x:c r="L948" s="69" t="str">
        <x:f>IF(COUNT(E948:I948)&lt;5,"Needs component scores",IF(ISNUMBER(J948),"Calculated",J948))</x:f>
        <x:v>Needs component scores</x:v>
      </x:c>
      <x:c r="M948" s="69" t="str">
        <x:f>IF(C948="","",MATCH(C948,'Position_Rubric'!$A$6:$A$14,0))</x:f>
      </x:c>
      <x:c r="N948" s="69" t="str"/>
    </x:row>
    <x:row r="949" ht="25" customHeight="1">
      <x:c r="A949" s="69" t="str">
        <x:v>summer-S26-0280</x:v>
      </x:c>
      <x:c r="B949" s="69" t="str">
        <x:v>Fran García</x:v>
      </x:c>
      <x:c r="C949" s="69"/>
      <x:c r="D949" s="82" t="str">
        <x:f>IF(ISNUMBER('Transfer_Ratings'!K949),'Transfer_Ratings'!K949,"")</x:f>
      </x:c>
      <x:c r="E949" s="86"/>
      <x:c r="F949" s="86"/>
      <x:c r="G949" s="86"/>
      <x:c r="H949" s="86"/>
      <x:c r="I949" s="86"/>
      <x:c r="J949" s="82" t="str">
        <x:f>IF(C949="","Choose position",IF(COUNT(E949:I949)&lt;5,"",IF(OR(MIN(E949:I949)&lt;0.1,MAX(E949:I949)&gt;10),"Invalid score",IF(INDEX('Position_Rubric'!$H$6:$H$14,M949)&lt;&gt;1,"Check weights",ROUND(E949*INDEX('Position_Rubric'!$C$6:$C$14,M949)+F949*INDEX('Position_Rubric'!$D$6:$D$14,M949)+G949*INDEX('Position_Rubric'!$E$6:$E$14,M949)+H949*INDEX('Position_Rubric'!$F$6:$F$14,M949)+I949*INDEX('Position_Rubric'!$G$6:$G$14,M949),1)))))</x:f>
        <x:v>Choose position</x:v>
      </x:c>
      <x:c r="K949" s="82" t="str">
        <x:f>IF(AND(ISNUMBER(J949),ISNUMBER(D949)),J949-D949,"")</x:f>
      </x:c>
      <x:c r="L949" s="69" t="str">
        <x:f>IF(COUNT(E949:I949)&lt;5,"Needs component scores",IF(ISNUMBER(J949),"Calculated",J949))</x:f>
        <x:v>Needs component scores</x:v>
      </x:c>
      <x:c r="M949" s="69" t="str">
        <x:f>IF(C949="","",MATCH(C949,'Position_Rubric'!$A$6:$A$14,0))</x:f>
      </x:c>
      <x:c r="N949" s="69" t="str"/>
    </x:row>
    <x:row r="950" ht="25" customHeight="1">
      <x:c r="A950" s="69" t="str">
        <x:v>summer-S26-0281</x:v>
      </x:c>
      <x:c r="B950" s="69" t="str">
        <x:v>Rasmus Carstensen</x:v>
      </x:c>
      <x:c r="C950" s="69"/>
      <x:c r="D950" s="82" t="str">
        <x:f>IF(ISNUMBER('Transfer_Ratings'!K950),'Transfer_Ratings'!K950,"")</x:f>
      </x:c>
      <x:c r="E950" s="86"/>
      <x:c r="F950" s="86"/>
      <x:c r="G950" s="86"/>
      <x:c r="H950" s="86"/>
      <x:c r="I950" s="86"/>
      <x:c r="J950" s="82" t="str">
        <x:f>IF(C950="","Choose position",IF(COUNT(E950:I950)&lt;5,"",IF(OR(MIN(E950:I950)&lt;0.1,MAX(E950:I950)&gt;10),"Invalid score",IF(INDEX('Position_Rubric'!$H$6:$H$14,M950)&lt;&gt;1,"Check weights",ROUND(E950*INDEX('Position_Rubric'!$C$6:$C$14,M950)+F950*INDEX('Position_Rubric'!$D$6:$D$14,M950)+G950*INDEX('Position_Rubric'!$E$6:$E$14,M950)+H950*INDEX('Position_Rubric'!$F$6:$F$14,M950)+I950*INDEX('Position_Rubric'!$G$6:$G$14,M950),1)))))</x:f>
        <x:v>Choose position</x:v>
      </x:c>
      <x:c r="K950" s="82" t="str">
        <x:f>IF(AND(ISNUMBER(J950),ISNUMBER(D950)),J950-D950,"")</x:f>
      </x:c>
      <x:c r="L950" s="69" t="str">
        <x:f>IF(COUNT(E950:I950)&lt;5,"Needs component scores",IF(ISNUMBER(J950),"Calculated",J950))</x:f>
        <x:v>Needs component scores</x:v>
      </x:c>
      <x:c r="M950" s="69" t="str">
        <x:f>IF(C950="","",MATCH(C950,'Position_Rubric'!$A$6:$A$14,0))</x:f>
      </x:c>
      <x:c r="N950" s="69" t="str"/>
    </x:row>
    <x:row r="951" ht="25" customHeight="1">
      <x:c r="A951" s="69" t="str">
        <x:v>summer-S26-0282</x:v>
      </x:c>
      <x:c r="B951" s="69" t="str">
        <x:v>Alexander Nübel</x:v>
      </x:c>
      <x:c r="C951" s="69" t="str">
        <x:v>GK</x:v>
      </x:c>
      <x:c r="D951" s="82" t="str">
        <x:f>IF(ISNUMBER('Transfer_Ratings'!K951),'Transfer_Ratings'!K951,"")</x:f>
      </x:c>
      <x:c r="E951" s="86"/>
      <x:c r="F951" s="86"/>
      <x:c r="G951" s="86"/>
      <x:c r="H951" s="86"/>
      <x:c r="I951" s="86"/>
      <x:c r="J951" s="82" t="str">
        <x:f>IF(C951="","Choose position",IF(COUNT(E951:I951)&lt;5,"",IF(OR(MIN(E951:I951)&lt;0.1,MAX(E951:I951)&gt;10),"Invalid score",IF(INDEX('Position_Rubric'!$H$6:$H$14,M951)&lt;&gt;1,"Check weights",ROUND(E951*INDEX('Position_Rubric'!$C$6:$C$14,M951)+F951*INDEX('Position_Rubric'!$D$6:$D$14,M951)+G951*INDEX('Position_Rubric'!$E$6:$E$14,M951)+H951*INDEX('Position_Rubric'!$F$6:$F$14,M951)+I951*INDEX('Position_Rubric'!$G$6:$G$14,M951),1)))))</x:f>
      </x:c>
      <x:c r="K951" s="82" t="str">
        <x:f>IF(AND(ISNUMBER(J951),ISNUMBER(D951)),J951-D951,"")</x:f>
      </x:c>
      <x:c r="L951" s="69" t="str">
        <x:f>IF(COUNT(E951:I951)&lt;5,"Needs component scores",IF(ISNUMBER(J951),"Calculated",J951))</x:f>
        <x:v>Needs component scores</x:v>
      </x:c>
      <x:c r="M951" s="69" t="n">
        <x:f>IF(C951="","",MATCH(C951,'Position_Rubric'!$A$6:$A$14,0))</x:f>
        <x:v>9</x:v>
      </x:c>
      <x:c r="N951" s="69" t="str"/>
    </x:row>
    <x:row r="952" ht="25" customHeight="1">
      <x:c r="A952" s="69" t="str">
        <x:v>summer-S26-0283</x:v>
      </x:c>
      <x:c r="B952" s="69" t="str">
        <x:v>Eddy Kouadio</x:v>
      </x:c>
      <x:c r="C952" s="69"/>
      <x:c r="D952" s="82" t="str">
        <x:f>IF(ISNUMBER('Transfer_Ratings'!K952),'Transfer_Ratings'!K952,"")</x:f>
      </x:c>
      <x:c r="E952" s="86"/>
      <x:c r="F952" s="86"/>
      <x:c r="G952" s="86"/>
      <x:c r="H952" s="86"/>
      <x:c r="I952" s="86"/>
      <x:c r="J952" s="82" t="str">
        <x:f>IF(C952="","Choose position",IF(COUNT(E952:I952)&lt;5,"",IF(OR(MIN(E952:I952)&lt;0.1,MAX(E952:I952)&gt;10),"Invalid score",IF(INDEX('Position_Rubric'!$H$6:$H$14,M952)&lt;&gt;1,"Check weights",ROUND(E952*INDEX('Position_Rubric'!$C$6:$C$14,M952)+F952*INDEX('Position_Rubric'!$D$6:$D$14,M952)+G952*INDEX('Position_Rubric'!$E$6:$E$14,M952)+H952*INDEX('Position_Rubric'!$F$6:$F$14,M952)+I952*INDEX('Position_Rubric'!$G$6:$G$14,M952),1)))))</x:f>
        <x:v>Choose position</x:v>
      </x:c>
      <x:c r="K952" s="82" t="str">
        <x:f>IF(AND(ISNUMBER(J952),ISNUMBER(D952)),J952-D952,"")</x:f>
      </x:c>
      <x:c r="L952" s="69" t="str">
        <x:f>IF(COUNT(E952:I952)&lt;5,"Needs component scores",IF(ISNUMBER(J952),"Calculated",J952))</x:f>
        <x:v>Needs component scores</x:v>
      </x:c>
      <x:c r="M952" s="69" t="str">
        <x:f>IF(C952="","",MATCH(C952,'Position_Rubric'!$A$6:$A$14,0))</x:f>
      </x:c>
      <x:c r="N952" s="69" t="str"/>
    </x:row>
    <x:row r="953" ht="25" customHeight="1">
      <x:c r="A953" s="69" t="str">
        <x:v>summer-S26-0284</x:v>
      </x:c>
      <x:c r="B953" s="69" t="str">
        <x:v>Justin Smith</x:v>
      </x:c>
      <x:c r="C953" s="69"/>
      <x:c r="D953" s="82" t="str">
        <x:f>IF(ISNUMBER('Transfer_Ratings'!K953),'Transfer_Ratings'!K953,"")</x:f>
      </x:c>
      <x:c r="E953" s="86"/>
      <x:c r="F953" s="86"/>
      <x:c r="G953" s="86"/>
      <x:c r="H953" s="86"/>
      <x:c r="I953" s="86"/>
      <x:c r="J953" s="82" t="str">
        <x:f>IF(C953="","Choose position",IF(COUNT(E953:I953)&lt;5,"",IF(OR(MIN(E953:I953)&lt;0.1,MAX(E953:I953)&gt;10),"Invalid score",IF(INDEX('Position_Rubric'!$H$6:$H$14,M953)&lt;&gt;1,"Check weights",ROUND(E953*INDEX('Position_Rubric'!$C$6:$C$14,M953)+F953*INDEX('Position_Rubric'!$D$6:$D$14,M953)+G953*INDEX('Position_Rubric'!$E$6:$E$14,M953)+H953*INDEX('Position_Rubric'!$F$6:$F$14,M953)+I953*INDEX('Position_Rubric'!$G$6:$G$14,M953),1)))))</x:f>
        <x:v>Choose position</x:v>
      </x:c>
      <x:c r="K953" s="82" t="str">
        <x:f>IF(AND(ISNUMBER(J953),ISNUMBER(D953)),J953-D953,"")</x:f>
      </x:c>
      <x:c r="L953" s="69" t="str">
        <x:f>IF(COUNT(E953:I953)&lt;5,"Needs component scores",IF(ISNUMBER(J953),"Calculated",J953))</x:f>
        <x:v>Needs component scores</x:v>
      </x:c>
      <x:c r="M953" s="69" t="str">
        <x:f>IF(C953="","",MATCH(C953,'Position_Rubric'!$A$6:$A$14,0))</x:f>
      </x:c>
      <x:c r="N953" s="69" t="str"/>
    </x:row>
    <x:row r="954" ht="25" customHeight="1">
      <x:c r="A954" s="69" t="str">
        <x:v>summer-S26-0288</x:v>
      </x:c>
      <x:c r="B954" s="69" t="str">
        <x:v>Kevin Müller</x:v>
      </x:c>
      <x:c r="C954" s="69" t="str">
        <x:v>GK</x:v>
      </x:c>
      <x:c r="D954" s="82" t="str">
        <x:f>IF(ISNUMBER('Transfer_Ratings'!K954),'Transfer_Ratings'!K954,"")</x:f>
      </x:c>
      <x:c r="E954" s="86"/>
      <x:c r="F954" s="86"/>
      <x:c r="G954" s="86"/>
      <x:c r="H954" s="86"/>
      <x:c r="I954" s="86"/>
      <x:c r="J954" s="82" t="str">
        <x:f>IF(C954="","Choose position",IF(COUNT(E954:I954)&lt;5,"",IF(OR(MIN(E954:I954)&lt;0.1,MAX(E954:I954)&gt;10),"Invalid score",IF(INDEX('Position_Rubric'!$H$6:$H$14,M954)&lt;&gt;1,"Check weights",ROUND(E954*INDEX('Position_Rubric'!$C$6:$C$14,M954)+F954*INDEX('Position_Rubric'!$D$6:$D$14,M954)+G954*INDEX('Position_Rubric'!$E$6:$E$14,M954)+H954*INDEX('Position_Rubric'!$F$6:$F$14,M954)+I954*INDEX('Position_Rubric'!$G$6:$G$14,M954),1)))))</x:f>
      </x:c>
      <x:c r="K954" s="82" t="str">
        <x:f>IF(AND(ISNUMBER(J954),ISNUMBER(D954)),J954-D954,"")</x:f>
      </x:c>
      <x:c r="L954" s="69" t="str">
        <x:f>IF(COUNT(E954:I954)&lt;5,"Needs component scores",IF(ISNUMBER(J954),"Calculated",J954))</x:f>
        <x:v>Needs component scores</x:v>
      </x:c>
      <x:c r="M954" s="69" t="n">
        <x:f>IF(C954="","",MATCH(C954,'Position_Rubric'!$A$6:$A$14,0))</x:f>
        <x:v>9</x:v>
      </x:c>
      <x:c r="N954" s="69" t="str"/>
    </x:row>
    <x:row r="955" ht="25" customHeight="1">
      <x:c r="A955" s="69" t="str">
        <x:v>summer-S26-0289</x:v>
      </x:c>
      <x:c r="B955" s="69" t="str">
        <x:v>Alfie Devine</x:v>
      </x:c>
      <x:c r="C955" s="69"/>
      <x:c r="D955" s="82" t="str">
        <x:f>IF(ISNUMBER('Transfer_Ratings'!K955),'Transfer_Ratings'!K955,"")</x:f>
      </x:c>
      <x:c r="E955" s="86"/>
      <x:c r="F955" s="86"/>
      <x:c r="G955" s="86"/>
      <x:c r="H955" s="86"/>
      <x:c r="I955" s="86"/>
      <x:c r="J955" s="82" t="str">
        <x:f>IF(C955="","Choose position",IF(COUNT(E955:I955)&lt;5,"",IF(OR(MIN(E955:I955)&lt;0.1,MAX(E955:I955)&gt;10),"Invalid score",IF(INDEX('Position_Rubric'!$H$6:$H$14,M955)&lt;&gt;1,"Check weights",ROUND(E955*INDEX('Position_Rubric'!$C$6:$C$14,M955)+F955*INDEX('Position_Rubric'!$D$6:$D$14,M955)+G955*INDEX('Position_Rubric'!$E$6:$E$14,M955)+H955*INDEX('Position_Rubric'!$F$6:$F$14,M955)+I955*INDEX('Position_Rubric'!$G$6:$G$14,M955),1)))))</x:f>
        <x:v>Choose position</x:v>
      </x:c>
      <x:c r="K955" s="82" t="str">
        <x:f>IF(AND(ISNUMBER(J955),ISNUMBER(D955)),J955-D955,"")</x:f>
      </x:c>
      <x:c r="L955" s="69" t="str">
        <x:f>IF(COUNT(E955:I955)&lt;5,"Needs component scores",IF(ISNUMBER(J955),"Calculated",J955))</x:f>
        <x:v>Needs component scores</x:v>
      </x:c>
      <x:c r="M955" s="69" t="str">
        <x:f>IF(C955="","",MATCH(C955,'Position_Rubric'!$A$6:$A$14,0))</x:f>
      </x:c>
      <x:c r="N955" s="69" t="str"/>
    </x:row>
    <x:row r="956" ht="25" customHeight="1">
      <x:c r="A956" s="69" t="str">
        <x:v>summer-S26-0291</x:v>
      </x:c>
      <x:c r="B956" s="69" t="str">
        <x:v>Óscar Mingueza</x:v>
      </x:c>
      <x:c r="C956" s="69"/>
      <x:c r="D956" s="82" t="str">
        <x:f>IF(ISNUMBER('Transfer_Ratings'!K956),'Transfer_Ratings'!K956,"")</x:f>
      </x:c>
      <x:c r="E956" s="86"/>
      <x:c r="F956" s="86"/>
      <x:c r="G956" s="86"/>
      <x:c r="H956" s="86"/>
      <x:c r="I956" s="86"/>
      <x:c r="J956" s="82" t="str">
        <x:f>IF(C956="","Choose position",IF(COUNT(E956:I956)&lt;5,"",IF(OR(MIN(E956:I956)&lt;0.1,MAX(E956:I956)&gt;10),"Invalid score",IF(INDEX('Position_Rubric'!$H$6:$H$14,M956)&lt;&gt;1,"Check weights",ROUND(E956*INDEX('Position_Rubric'!$C$6:$C$14,M956)+F956*INDEX('Position_Rubric'!$D$6:$D$14,M956)+G956*INDEX('Position_Rubric'!$E$6:$E$14,M956)+H956*INDEX('Position_Rubric'!$F$6:$F$14,M956)+I956*INDEX('Position_Rubric'!$G$6:$G$14,M956),1)))))</x:f>
        <x:v>Choose position</x:v>
      </x:c>
      <x:c r="K956" s="82" t="str">
        <x:f>IF(AND(ISNUMBER(J956),ISNUMBER(D956)),J956-D956,"")</x:f>
      </x:c>
      <x:c r="L956" s="69" t="str">
        <x:f>IF(COUNT(E956:I956)&lt;5,"Needs component scores",IF(ISNUMBER(J956),"Calculated",J956))</x:f>
        <x:v>Needs component scores</x:v>
      </x:c>
      <x:c r="M956" s="69" t="str">
        <x:f>IF(C956="","",MATCH(C956,'Position_Rubric'!$A$6:$A$14,0))</x:f>
      </x:c>
      <x:c r="N956" s="69" t="str"/>
    </x:row>
    <x:row r="957" ht="25" customHeight="1">
      <x:c r="A957" s="69" t="str">
        <x:v>summer-S26-0293</x:v>
      </x:c>
      <x:c r="B957" s="69" t="str">
        <x:v>Gabin Bernardeau</x:v>
      </x:c>
      <x:c r="C957" s="69"/>
      <x:c r="D957" s="82" t="str">
        <x:f>IF(ISNUMBER('Transfer_Ratings'!K957),'Transfer_Ratings'!K957,"")</x:f>
      </x:c>
      <x:c r="E957" s="86"/>
      <x:c r="F957" s="86"/>
      <x:c r="G957" s="86"/>
      <x:c r="H957" s="86"/>
      <x:c r="I957" s="86"/>
      <x:c r="J957" s="82" t="str">
        <x:f>IF(C957="","Choose position",IF(COUNT(E957:I957)&lt;5,"",IF(OR(MIN(E957:I957)&lt;0.1,MAX(E957:I957)&gt;10),"Invalid score",IF(INDEX('Position_Rubric'!$H$6:$H$14,M957)&lt;&gt;1,"Check weights",ROUND(E957*INDEX('Position_Rubric'!$C$6:$C$14,M957)+F957*INDEX('Position_Rubric'!$D$6:$D$14,M957)+G957*INDEX('Position_Rubric'!$E$6:$E$14,M957)+H957*INDEX('Position_Rubric'!$F$6:$F$14,M957)+I957*INDEX('Position_Rubric'!$G$6:$G$14,M957),1)))))</x:f>
        <x:v>Choose position</x:v>
      </x:c>
      <x:c r="K957" s="82" t="str">
        <x:f>IF(AND(ISNUMBER(J957),ISNUMBER(D957)),J957-D957,"")</x:f>
      </x:c>
      <x:c r="L957" s="69" t="str">
        <x:f>IF(COUNT(E957:I957)&lt;5,"Needs component scores",IF(ISNUMBER(J957),"Calculated",J957))</x:f>
        <x:v>Needs component scores</x:v>
      </x:c>
      <x:c r="M957" s="69" t="str">
        <x:f>IF(C957="","",MATCH(C957,'Position_Rubric'!$A$6:$A$14,0))</x:f>
      </x:c>
      <x:c r="N957" s="69" t="str"/>
    </x:row>
    <x:row r="958" ht="25" customHeight="1">
      <x:c r="A958" s="69" t="str">
        <x:v>summer-S26-0296</x:v>
      </x:c>
      <x:c r="B958" s="69" t="str">
        <x:v>Harrison Ashby</x:v>
      </x:c>
      <x:c r="C958" s="69"/>
      <x:c r="D958" s="82" t="str">
        <x:f>IF(ISNUMBER('Transfer_Ratings'!K958),'Transfer_Ratings'!K958,"")</x:f>
      </x:c>
      <x:c r="E958" s="86"/>
      <x:c r="F958" s="86"/>
      <x:c r="G958" s="86"/>
      <x:c r="H958" s="86"/>
      <x:c r="I958" s="86"/>
      <x:c r="J958" s="82" t="str">
        <x:f>IF(C958="","Choose position",IF(COUNT(E958:I958)&lt;5,"",IF(OR(MIN(E958:I958)&lt;0.1,MAX(E958:I958)&gt;10),"Invalid score",IF(INDEX('Position_Rubric'!$H$6:$H$14,M958)&lt;&gt;1,"Check weights",ROUND(E958*INDEX('Position_Rubric'!$C$6:$C$14,M958)+F958*INDEX('Position_Rubric'!$D$6:$D$14,M958)+G958*INDEX('Position_Rubric'!$E$6:$E$14,M958)+H958*INDEX('Position_Rubric'!$F$6:$F$14,M958)+I958*INDEX('Position_Rubric'!$G$6:$G$14,M958),1)))))</x:f>
        <x:v>Choose position</x:v>
      </x:c>
      <x:c r="K958" s="82" t="str">
        <x:f>IF(AND(ISNUMBER(J958),ISNUMBER(D958)),J958-D958,"")</x:f>
      </x:c>
      <x:c r="L958" s="69" t="str">
        <x:f>IF(COUNT(E958:I958)&lt;5,"Needs component scores",IF(ISNUMBER(J958),"Calculated",J958))</x:f>
        <x:v>Needs component scores</x:v>
      </x:c>
      <x:c r="M958" s="69" t="str">
        <x:f>IF(C958="","",MATCH(C958,'Position_Rubric'!$A$6:$A$14,0))</x:f>
      </x:c>
      <x:c r="N958" s="69" t="str"/>
    </x:row>
    <x:row r="959" ht="25" customHeight="1">
      <x:c r="A959" s="69" t="str">
        <x:v>summer-S26-0297</x:v>
      </x:c>
      <x:c r="B959" s="69" t="str">
        <x:v>Sean Steur</x:v>
      </x:c>
      <x:c r="C959" s="69"/>
      <x:c r="D959" s="82" t="str">
        <x:f>IF(ISNUMBER('Transfer_Ratings'!K959),'Transfer_Ratings'!K959,"")</x:f>
      </x:c>
      <x:c r="E959" s="86"/>
      <x:c r="F959" s="86"/>
      <x:c r="G959" s="86"/>
      <x:c r="H959" s="86"/>
      <x:c r="I959" s="86"/>
      <x:c r="J959" s="82" t="str">
        <x:f>IF(C959="","Choose position",IF(COUNT(E959:I959)&lt;5,"",IF(OR(MIN(E959:I959)&lt;0.1,MAX(E959:I959)&gt;10),"Invalid score",IF(INDEX('Position_Rubric'!$H$6:$H$14,M959)&lt;&gt;1,"Check weights",ROUND(E959*INDEX('Position_Rubric'!$C$6:$C$14,M959)+F959*INDEX('Position_Rubric'!$D$6:$D$14,M959)+G959*INDEX('Position_Rubric'!$E$6:$E$14,M959)+H959*INDEX('Position_Rubric'!$F$6:$F$14,M959)+I959*INDEX('Position_Rubric'!$G$6:$G$14,M959),1)))))</x:f>
        <x:v>Choose position</x:v>
      </x:c>
      <x:c r="K959" s="82" t="str">
        <x:f>IF(AND(ISNUMBER(J959),ISNUMBER(D959)),J959-D959,"")</x:f>
      </x:c>
      <x:c r="L959" s="69" t="str">
        <x:f>IF(COUNT(E959:I959)&lt;5,"Needs component scores",IF(ISNUMBER(J959),"Calculated",J959))</x:f>
        <x:v>Needs component scores</x:v>
      </x:c>
      <x:c r="M959" s="69" t="str">
        <x:f>IF(C959="","",MATCH(C959,'Position_Rubric'!$A$6:$A$14,0))</x:f>
      </x:c>
      <x:c r="N959" s="69" t="str"/>
    </x:row>
    <x:row r="960" ht="25" customHeight="1">
      <x:c r="A960" s="69" t="str">
        <x:v>summer-S26-0298</x:v>
      </x:c>
      <x:c r="B960" s="69" t="str">
        <x:v>Pierce Charles</x:v>
      </x:c>
      <x:c r="C960" s="69" t="str">
        <x:v>GK</x:v>
      </x:c>
      <x:c r="D960" s="82" t="str">
        <x:f>IF(ISNUMBER('Transfer_Ratings'!K960),'Transfer_Ratings'!K960,"")</x:f>
      </x:c>
      <x:c r="E960" s="86"/>
      <x:c r="F960" s="86"/>
      <x:c r="G960" s="86"/>
      <x:c r="H960" s="86"/>
      <x:c r="I960" s="86"/>
      <x:c r="J960" s="82" t="str">
        <x:f>IF(C960="","Choose position",IF(COUNT(E960:I960)&lt;5,"",IF(OR(MIN(E960:I960)&lt;0.1,MAX(E960:I960)&gt;10),"Invalid score",IF(INDEX('Position_Rubric'!$H$6:$H$14,M960)&lt;&gt;1,"Check weights",ROUND(E960*INDEX('Position_Rubric'!$C$6:$C$14,M960)+F960*INDEX('Position_Rubric'!$D$6:$D$14,M960)+G960*INDEX('Position_Rubric'!$E$6:$E$14,M960)+H960*INDEX('Position_Rubric'!$F$6:$F$14,M960)+I960*INDEX('Position_Rubric'!$G$6:$G$14,M960),1)))))</x:f>
      </x:c>
      <x:c r="K960" s="82" t="str">
        <x:f>IF(AND(ISNUMBER(J960),ISNUMBER(D960)),J960-D960,"")</x:f>
      </x:c>
      <x:c r="L960" s="69" t="str">
        <x:f>IF(COUNT(E960:I960)&lt;5,"Needs component scores",IF(ISNUMBER(J960),"Calculated",J960))</x:f>
        <x:v>Needs component scores</x:v>
      </x:c>
      <x:c r="M960" s="69" t="n">
        <x:f>IF(C960="","",MATCH(C960,'Position_Rubric'!$A$6:$A$14,0))</x:f>
        <x:v>9</x:v>
      </x:c>
      <x:c r="N960" s="69" t="str"/>
    </x:row>
    <x:row r="961" ht="25" customHeight="1">
      <x:c r="A961" s="69" t="str">
        <x:v>summer-S26-0299</x:v>
      </x:c>
      <x:c r="B961" s="69" t="str">
        <x:v>Aboubaka Soumahoro</x:v>
      </x:c>
      <x:c r="C961" s="69"/>
      <x:c r="D961" s="82" t="str">
        <x:f>IF(ISNUMBER('Transfer_Ratings'!K961),'Transfer_Ratings'!K961,"")</x:f>
      </x:c>
      <x:c r="E961" s="86"/>
      <x:c r="F961" s="86"/>
      <x:c r="G961" s="86"/>
      <x:c r="H961" s="86"/>
      <x:c r="I961" s="86"/>
      <x:c r="J961" s="82" t="str">
        <x:f>IF(C961="","Choose position",IF(COUNT(E961:I961)&lt;5,"",IF(OR(MIN(E961:I961)&lt;0.1,MAX(E961:I961)&gt;10),"Invalid score",IF(INDEX('Position_Rubric'!$H$6:$H$14,M961)&lt;&gt;1,"Check weights",ROUND(E961*INDEX('Position_Rubric'!$C$6:$C$14,M961)+F961*INDEX('Position_Rubric'!$D$6:$D$14,M961)+G961*INDEX('Position_Rubric'!$E$6:$E$14,M961)+H961*INDEX('Position_Rubric'!$F$6:$F$14,M961)+I961*INDEX('Position_Rubric'!$G$6:$G$14,M961),1)))))</x:f>
        <x:v>Choose position</x:v>
      </x:c>
      <x:c r="K961" s="82" t="str">
        <x:f>IF(AND(ISNUMBER(J961),ISNUMBER(D961)),J961-D961,"")</x:f>
      </x:c>
      <x:c r="L961" s="69" t="str">
        <x:f>IF(COUNT(E961:I961)&lt;5,"Needs component scores",IF(ISNUMBER(J961),"Calculated",J961))</x:f>
        <x:v>Needs component scores</x:v>
      </x:c>
      <x:c r="M961" s="69" t="str">
        <x:f>IF(C961="","",MATCH(C961,'Position_Rubric'!$A$6:$A$14,0))</x:f>
      </x:c>
      <x:c r="N961" s="69" t="str"/>
    </x:row>
    <x:row r="962" ht="25" customHeight="1">
      <x:c r="A962" s="69" t="str">
        <x:v>summer-S26-0300</x:v>
      </x:c>
      <x:c r="B962" s="69" t="str">
        <x:v>Gianluca Gaetano</x:v>
      </x:c>
      <x:c r="C962" s="69"/>
      <x:c r="D962" s="82" t="str">
        <x:f>IF(ISNUMBER('Transfer_Ratings'!K962),'Transfer_Ratings'!K962,"")</x:f>
      </x:c>
      <x:c r="E962" s="86"/>
      <x:c r="F962" s="86"/>
      <x:c r="G962" s="86"/>
      <x:c r="H962" s="86"/>
      <x:c r="I962" s="86"/>
      <x:c r="J962" s="82" t="str">
        <x:f>IF(C962="","Choose position",IF(COUNT(E962:I962)&lt;5,"",IF(OR(MIN(E962:I962)&lt;0.1,MAX(E962:I962)&gt;10),"Invalid score",IF(INDEX('Position_Rubric'!$H$6:$H$14,M962)&lt;&gt;1,"Check weights",ROUND(E962*INDEX('Position_Rubric'!$C$6:$C$14,M962)+F962*INDEX('Position_Rubric'!$D$6:$D$14,M962)+G962*INDEX('Position_Rubric'!$E$6:$E$14,M962)+H962*INDEX('Position_Rubric'!$F$6:$F$14,M962)+I962*INDEX('Position_Rubric'!$G$6:$G$14,M962),1)))))</x:f>
        <x:v>Choose position</x:v>
      </x:c>
      <x:c r="K962" s="82" t="str">
        <x:f>IF(AND(ISNUMBER(J962),ISNUMBER(D962)),J962-D962,"")</x:f>
      </x:c>
      <x:c r="L962" s="69" t="str">
        <x:f>IF(COUNT(E962:I962)&lt;5,"Needs component scores",IF(ISNUMBER(J962),"Calculated",J962))</x:f>
        <x:v>Needs component scores</x:v>
      </x:c>
      <x:c r="M962" s="69" t="str">
        <x:f>IF(C962="","",MATCH(C962,'Position_Rubric'!$A$6:$A$14,0))</x:f>
      </x:c>
      <x:c r="N962" s="69" t="str"/>
    </x:row>
    <x:row r="963" ht="25" customHeight="1">
      <x:c r="A963" s="69" t="str">
        <x:v>summer-S26-0301</x:v>
      </x:c>
      <x:c r="B963" s="69" t="str">
        <x:v>Alejandro Gomes Furtado</x:v>
      </x:c>
      <x:c r="C963" s="69"/>
      <x:c r="D963" s="82" t="str">
        <x:f>IF(ISNUMBER('Transfer_Ratings'!K963),'Transfer_Ratings'!K963,"")</x:f>
      </x:c>
      <x:c r="E963" s="86"/>
      <x:c r="F963" s="86"/>
      <x:c r="G963" s="86"/>
      <x:c r="H963" s="86"/>
      <x:c r="I963" s="86"/>
      <x:c r="J963" s="82" t="str">
        <x:f>IF(C963="","Choose position",IF(COUNT(E963:I963)&lt;5,"",IF(OR(MIN(E963:I963)&lt;0.1,MAX(E963:I963)&gt;10),"Invalid score",IF(INDEX('Position_Rubric'!$H$6:$H$14,M963)&lt;&gt;1,"Check weights",ROUND(E963*INDEX('Position_Rubric'!$C$6:$C$14,M963)+F963*INDEX('Position_Rubric'!$D$6:$D$14,M963)+G963*INDEX('Position_Rubric'!$E$6:$E$14,M963)+H963*INDEX('Position_Rubric'!$F$6:$F$14,M963)+I963*INDEX('Position_Rubric'!$G$6:$G$14,M963),1)))))</x:f>
        <x:v>Choose position</x:v>
      </x:c>
      <x:c r="K963" s="82" t="str">
        <x:f>IF(AND(ISNUMBER(J963),ISNUMBER(D963)),J963-D963,"")</x:f>
      </x:c>
      <x:c r="L963" s="69" t="str">
        <x:f>IF(COUNT(E963:I963)&lt;5,"Needs component scores",IF(ISNUMBER(J963),"Calculated",J963))</x:f>
        <x:v>Needs component scores</x:v>
      </x:c>
      <x:c r="M963" s="69" t="str">
        <x:f>IF(C963="","",MATCH(C963,'Position_Rubric'!$A$6:$A$14,0))</x:f>
      </x:c>
      <x:c r="N963" s="69" t="str"/>
    </x:row>
    <x:row r="964" ht="25" customHeight="1">
      <x:c r="A964" s="69" t="str">
        <x:v>summer-S26-0302</x:v>
      </x:c>
      <x:c r="B964" s="69" t="str">
        <x:v>Attila Szalai</x:v>
      </x:c>
      <x:c r="C964" s="69"/>
      <x:c r="D964" s="82" t="str">
        <x:f>IF(ISNUMBER('Transfer_Ratings'!K964),'Transfer_Ratings'!K964,"")</x:f>
      </x:c>
      <x:c r="E964" s="86"/>
      <x:c r="F964" s="86"/>
      <x:c r="G964" s="86"/>
      <x:c r="H964" s="86"/>
      <x:c r="I964" s="86"/>
      <x:c r="J964" s="82" t="str">
        <x:f>IF(C964="","Choose position",IF(COUNT(E964:I964)&lt;5,"",IF(OR(MIN(E964:I964)&lt;0.1,MAX(E964:I964)&gt;10),"Invalid score",IF(INDEX('Position_Rubric'!$H$6:$H$14,M964)&lt;&gt;1,"Check weights",ROUND(E964*INDEX('Position_Rubric'!$C$6:$C$14,M964)+F964*INDEX('Position_Rubric'!$D$6:$D$14,M964)+G964*INDEX('Position_Rubric'!$E$6:$E$14,M964)+H964*INDEX('Position_Rubric'!$F$6:$F$14,M964)+I964*INDEX('Position_Rubric'!$G$6:$G$14,M964),1)))))</x:f>
        <x:v>Choose position</x:v>
      </x:c>
      <x:c r="K964" s="82" t="str">
        <x:f>IF(AND(ISNUMBER(J964),ISNUMBER(D964)),J964-D964,"")</x:f>
      </x:c>
      <x:c r="L964" s="69" t="str">
        <x:f>IF(COUNT(E964:I964)&lt;5,"Needs component scores",IF(ISNUMBER(J964),"Calculated",J964))</x:f>
        <x:v>Needs component scores</x:v>
      </x:c>
      <x:c r="M964" s="69" t="str">
        <x:f>IF(C964="","",MATCH(C964,'Position_Rubric'!$A$6:$A$14,0))</x:f>
      </x:c>
      <x:c r="N964" s="69" t="str"/>
    </x:row>
    <x:row r="965" ht="25" customHeight="1">
      <x:c r="A965" s="69" t="str">
        <x:v>summer-S26-0304</x:v>
      </x:c>
      <x:c r="B965" s="69" t="str">
        <x:v>Bryan Reynolds</x:v>
      </x:c>
      <x:c r="C965" s="69"/>
      <x:c r="D965" s="82" t="str">
        <x:f>IF(ISNUMBER('Transfer_Ratings'!K965),'Transfer_Ratings'!K965,"")</x:f>
      </x:c>
      <x:c r="E965" s="86"/>
      <x:c r="F965" s="86"/>
      <x:c r="G965" s="86"/>
      <x:c r="H965" s="86"/>
      <x:c r="I965" s="86"/>
      <x:c r="J965" s="82" t="str">
        <x:f>IF(C965="","Choose position",IF(COUNT(E965:I965)&lt;5,"",IF(OR(MIN(E965:I965)&lt;0.1,MAX(E965:I965)&gt;10),"Invalid score",IF(INDEX('Position_Rubric'!$H$6:$H$14,M965)&lt;&gt;1,"Check weights",ROUND(E965*INDEX('Position_Rubric'!$C$6:$C$14,M965)+F965*INDEX('Position_Rubric'!$D$6:$D$14,M965)+G965*INDEX('Position_Rubric'!$E$6:$E$14,M965)+H965*INDEX('Position_Rubric'!$F$6:$F$14,M965)+I965*INDEX('Position_Rubric'!$G$6:$G$14,M965),1)))))</x:f>
        <x:v>Choose position</x:v>
      </x:c>
      <x:c r="K965" s="82" t="str">
        <x:f>IF(AND(ISNUMBER(J965),ISNUMBER(D965)),J965-D965,"")</x:f>
      </x:c>
      <x:c r="L965" s="69" t="str">
        <x:f>IF(COUNT(E965:I965)&lt;5,"Needs component scores",IF(ISNUMBER(J965),"Calculated",J965))</x:f>
        <x:v>Needs component scores</x:v>
      </x:c>
      <x:c r="M965" s="69" t="str">
        <x:f>IF(C965="","",MATCH(C965,'Position_Rubric'!$A$6:$A$14,0))</x:f>
      </x:c>
      <x:c r="N965" s="69" t="str"/>
    </x:row>
    <x:row r="966" ht="25" customHeight="1">
      <x:c r="A966" s="69" t="str">
        <x:v>summer-S26-0305</x:v>
      </x:c>
      <x:c r="B966" s="69" t="str">
        <x:v>Oskar Wojcik</x:v>
      </x:c>
      <x:c r="C966" s="69"/>
      <x:c r="D966" s="82" t="str">
        <x:f>IF(ISNUMBER('Transfer_Ratings'!K966),'Transfer_Ratings'!K966,"")</x:f>
      </x:c>
      <x:c r="E966" s="86"/>
      <x:c r="F966" s="86"/>
      <x:c r="G966" s="86"/>
      <x:c r="H966" s="86"/>
      <x:c r="I966" s="86"/>
      <x:c r="J966" s="82" t="str">
        <x:f>IF(C966="","Choose position",IF(COUNT(E966:I966)&lt;5,"",IF(OR(MIN(E966:I966)&lt;0.1,MAX(E966:I966)&gt;10),"Invalid score",IF(INDEX('Position_Rubric'!$H$6:$H$14,M966)&lt;&gt;1,"Check weights",ROUND(E966*INDEX('Position_Rubric'!$C$6:$C$14,M966)+F966*INDEX('Position_Rubric'!$D$6:$D$14,M966)+G966*INDEX('Position_Rubric'!$E$6:$E$14,M966)+H966*INDEX('Position_Rubric'!$F$6:$F$14,M966)+I966*INDEX('Position_Rubric'!$G$6:$G$14,M966),1)))))</x:f>
        <x:v>Choose position</x:v>
      </x:c>
      <x:c r="K966" s="82" t="str">
        <x:f>IF(AND(ISNUMBER(J966),ISNUMBER(D966)),J966-D966,"")</x:f>
      </x:c>
      <x:c r="L966" s="69" t="str">
        <x:f>IF(COUNT(E966:I966)&lt;5,"Needs component scores",IF(ISNUMBER(J966),"Calculated",J966))</x:f>
        <x:v>Needs component scores</x:v>
      </x:c>
      <x:c r="M966" s="69" t="str">
        <x:f>IF(C966="","",MATCH(C966,'Position_Rubric'!$A$6:$A$14,0))</x:f>
      </x:c>
      <x:c r="N966" s="69" t="str"/>
    </x:row>
    <x:row r="967" ht="25" customHeight="1">
      <x:c r="A967" s="69" t="str">
        <x:v>summer-S26-0309</x:v>
      </x:c>
      <x:c r="B967" s="69" t="str">
        <x:v>Unai Gómez</x:v>
      </x:c>
      <x:c r="C967" s="69"/>
      <x:c r="D967" s="82" t="str">
        <x:f>IF(ISNUMBER('Transfer_Ratings'!K967),'Transfer_Ratings'!K967,"")</x:f>
      </x:c>
      <x:c r="E967" s="86"/>
      <x:c r="F967" s="86"/>
      <x:c r="G967" s="86"/>
      <x:c r="H967" s="86"/>
      <x:c r="I967" s="86"/>
      <x:c r="J967" s="82" t="str">
        <x:f>IF(C967="","Choose position",IF(COUNT(E967:I967)&lt;5,"",IF(OR(MIN(E967:I967)&lt;0.1,MAX(E967:I967)&gt;10),"Invalid score",IF(INDEX('Position_Rubric'!$H$6:$H$14,M967)&lt;&gt;1,"Check weights",ROUND(E967*INDEX('Position_Rubric'!$C$6:$C$14,M967)+F967*INDEX('Position_Rubric'!$D$6:$D$14,M967)+G967*INDEX('Position_Rubric'!$E$6:$E$14,M967)+H967*INDEX('Position_Rubric'!$F$6:$F$14,M967)+I967*INDEX('Position_Rubric'!$G$6:$G$14,M967),1)))))</x:f>
        <x:v>Choose position</x:v>
      </x:c>
      <x:c r="K967" s="82" t="str">
        <x:f>IF(AND(ISNUMBER(J967),ISNUMBER(D967)),J967-D967,"")</x:f>
      </x:c>
      <x:c r="L967" s="69" t="str">
        <x:f>IF(COUNT(E967:I967)&lt;5,"Needs component scores",IF(ISNUMBER(J967),"Calculated",J967))</x:f>
        <x:v>Needs component scores</x:v>
      </x:c>
      <x:c r="M967" s="69" t="str">
        <x:f>IF(C967="","",MATCH(C967,'Position_Rubric'!$A$6:$A$14,0))</x:f>
      </x:c>
      <x:c r="N967" s="69" t="str"/>
    </x:row>
    <x:row r="968" ht="25" customHeight="1">
      <x:c r="A968" s="69" t="str">
        <x:v>summer-S26-0310</x:v>
      </x:c>
      <x:c r="B968" s="69" t="str">
        <x:v>Ramon Terrats</x:v>
      </x:c>
      <x:c r="C968" s="69"/>
      <x:c r="D968" s="82" t="str">
        <x:f>IF(ISNUMBER('Transfer_Ratings'!K968),'Transfer_Ratings'!K968,"")</x:f>
      </x:c>
      <x:c r="E968" s="86"/>
      <x:c r="F968" s="86"/>
      <x:c r="G968" s="86"/>
      <x:c r="H968" s="86"/>
      <x:c r="I968" s="86"/>
      <x:c r="J968" s="82" t="str">
        <x:f>IF(C968="","Choose position",IF(COUNT(E968:I968)&lt;5,"",IF(OR(MIN(E968:I968)&lt;0.1,MAX(E968:I968)&gt;10),"Invalid score",IF(INDEX('Position_Rubric'!$H$6:$H$14,M968)&lt;&gt;1,"Check weights",ROUND(E968*INDEX('Position_Rubric'!$C$6:$C$14,M968)+F968*INDEX('Position_Rubric'!$D$6:$D$14,M968)+G968*INDEX('Position_Rubric'!$E$6:$E$14,M968)+H968*INDEX('Position_Rubric'!$F$6:$F$14,M968)+I968*INDEX('Position_Rubric'!$G$6:$G$14,M968),1)))))</x:f>
        <x:v>Choose position</x:v>
      </x:c>
      <x:c r="K968" s="82" t="str">
        <x:f>IF(AND(ISNUMBER(J968),ISNUMBER(D968)),J968-D968,"")</x:f>
      </x:c>
      <x:c r="L968" s="69" t="str">
        <x:f>IF(COUNT(E968:I968)&lt;5,"Needs component scores",IF(ISNUMBER(J968),"Calculated",J968))</x:f>
        <x:v>Needs component scores</x:v>
      </x:c>
      <x:c r="M968" s="69" t="str">
        <x:f>IF(C968="","",MATCH(C968,'Position_Rubric'!$A$6:$A$14,0))</x:f>
      </x:c>
      <x:c r="N968" s="69" t="str"/>
    </x:row>
    <x:row r="969" ht="25" customHeight="1">
      <x:c r="A969" s="69" t="str">
        <x:v>summer-S26-0311</x:v>
      </x:c>
      <x:c r="B969" s="69" t="str">
        <x:v>Aritz Aldasoro</x:v>
      </x:c>
      <x:c r="C969" s="69"/>
      <x:c r="D969" s="82" t="str">
        <x:f>IF(ISNUMBER('Transfer_Ratings'!K969),'Transfer_Ratings'!K969,"")</x:f>
      </x:c>
      <x:c r="E969" s="86"/>
      <x:c r="F969" s="86"/>
      <x:c r="G969" s="86"/>
      <x:c r="H969" s="86"/>
      <x:c r="I969" s="86"/>
      <x:c r="J969" s="82" t="str">
        <x:f>IF(C969="","Choose position",IF(COUNT(E969:I969)&lt;5,"",IF(OR(MIN(E969:I969)&lt;0.1,MAX(E969:I969)&gt;10),"Invalid score",IF(INDEX('Position_Rubric'!$H$6:$H$14,M969)&lt;&gt;1,"Check weights",ROUND(E969*INDEX('Position_Rubric'!$C$6:$C$14,M969)+F969*INDEX('Position_Rubric'!$D$6:$D$14,M969)+G969*INDEX('Position_Rubric'!$E$6:$E$14,M969)+H969*INDEX('Position_Rubric'!$F$6:$F$14,M969)+I969*INDEX('Position_Rubric'!$G$6:$G$14,M969),1)))))</x:f>
        <x:v>Choose position</x:v>
      </x:c>
      <x:c r="K969" s="82" t="str">
        <x:f>IF(AND(ISNUMBER(J969),ISNUMBER(D969)),J969-D969,"")</x:f>
      </x:c>
      <x:c r="L969" s="69" t="str">
        <x:f>IF(COUNT(E969:I969)&lt;5,"Needs component scores",IF(ISNUMBER(J969),"Calculated",J969))</x:f>
        <x:v>Needs component scores</x:v>
      </x:c>
      <x:c r="M969" s="69" t="str">
        <x:f>IF(C969="","",MATCH(C969,'Position_Rubric'!$A$6:$A$14,0))</x:f>
      </x:c>
      <x:c r="N969" s="69" t="str"/>
    </x:row>
    <x:row r="970" ht="25" customHeight="1">
      <x:c r="A970" s="69" t="str">
        <x:v>summer-S26-0312</x:v>
      </x:c>
      <x:c r="B970" s="69" t="str">
        <x:v>Nathan De Cat</x:v>
      </x:c>
      <x:c r="C970" s="69"/>
      <x:c r="D970" s="82" t="str">
        <x:f>IF(ISNUMBER('Transfer_Ratings'!K970),'Transfer_Ratings'!K970,"")</x:f>
      </x:c>
      <x:c r="E970" s="86"/>
      <x:c r="F970" s="86"/>
      <x:c r="G970" s="86"/>
      <x:c r="H970" s="86"/>
      <x:c r="I970" s="86"/>
      <x:c r="J970" s="82" t="str">
        <x:f>IF(C970="","Choose position",IF(COUNT(E970:I970)&lt;5,"",IF(OR(MIN(E970:I970)&lt;0.1,MAX(E970:I970)&gt;10),"Invalid score",IF(INDEX('Position_Rubric'!$H$6:$H$14,M970)&lt;&gt;1,"Check weights",ROUND(E970*INDEX('Position_Rubric'!$C$6:$C$14,M970)+F970*INDEX('Position_Rubric'!$D$6:$D$14,M970)+G970*INDEX('Position_Rubric'!$E$6:$E$14,M970)+H970*INDEX('Position_Rubric'!$F$6:$F$14,M970)+I970*INDEX('Position_Rubric'!$G$6:$G$14,M970),1)))))</x:f>
        <x:v>Choose position</x:v>
      </x:c>
      <x:c r="K970" s="82" t="str">
        <x:f>IF(AND(ISNUMBER(J970),ISNUMBER(D970)),J970-D970,"")</x:f>
      </x:c>
      <x:c r="L970" s="69" t="str">
        <x:f>IF(COUNT(E970:I970)&lt;5,"Needs component scores",IF(ISNUMBER(J970),"Calculated",J970))</x:f>
        <x:v>Needs component scores</x:v>
      </x:c>
      <x:c r="M970" s="69" t="str">
        <x:f>IF(C970="","",MATCH(C970,'Position_Rubric'!$A$6:$A$14,0))</x:f>
      </x:c>
      <x:c r="N970" s="69" t="str"/>
    </x:row>
    <x:row r="971" ht="25" customHeight="1">
      <x:c r="A971" s="69" t="str">
        <x:v>summer-S26-0313</x:v>
      </x:c>
      <x:c r="B971" s="69" t="str">
        <x:v>Mario Gila</x:v>
      </x:c>
      <x:c r="C971" s="69"/>
      <x:c r="D971" s="82" t="str">
        <x:f>IF(ISNUMBER('Transfer_Ratings'!K971),'Transfer_Ratings'!K971,"")</x:f>
      </x:c>
      <x:c r="E971" s="86"/>
      <x:c r="F971" s="86"/>
      <x:c r="G971" s="86"/>
      <x:c r="H971" s="86"/>
      <x:c r="I971" s="86"/>
      <x:c r="J971" s="82" t="str">
        <x:f>IF(C971="","Choose position",IF(COUNT(E971:I971)&lt;5,"",IF(OR(MIN(E971:I971)&lt;0.1,MAX(E971:I971)&gt;10),"Invalid score",IF(INDEX('Position_Rubric'!$H$6:$H$14,M971)&lt;&gt;1,"Check weights",ROUND(E971*INDEX('Position_Rubric'!$C$6:$C$14,M971)+F971*INDEX('Position_Rubric'!$D$6:$D$14,M971)+G971*INDEX('Position_Rubric'!$E$6:$E$14,M971)+H971*INDEX('Position_Rubric'!$F$6:$F$14,M971)+I971*INDEX('Position_Rubric'!$G$6:$G$14,M971),1)))))</x:f>
        <x:v>Choose position</x:v>
      </x:c>
      <x:c r="K971" s="82" t="str">
        <x:f>IF(AND(ISNUMBER(J971),ISNUMBER(D971)),J971-D971,"")</x:f>
      </x:c>
      <x:c r="L971" s="69" t="str">
        <x:f>IF(COUNT(E971:I971)&lt;5,"Needs component scores",IF(ISNUMBER(J971),"Calculated",J971))</x:f>
        <x:v>Needs component scores</x:v>
      </x:c>
      <x:c r="M971" s="69" t="str">
        <x:f>IF(C971="","",MATCH(C971,'Position_Rubric'!$A$6:$A$14,0))</x:f>
      </x:c>
      <x:c r="N971" s="69" t="str"/>
    </x:row>
    <x:row r="972" ht="25" customHeight="1">
      <x:c r="A972" s="69" t="str">
        <x:v>summer-S26-0314</x:v>
      </x:c>
      <x:c r="B972" s="69" t="str">
        <x:v>Sima Suso</x:v>
      </x:c>
      <x:c r="C972" s="69"/>
      <x:c r="D972" s="82" t="str">
        <x:f>IF(ISNUMBER('Transfer_Ratings'!K972),'Transfer_Ratings'!K972,"")</x:f>
      </x:c>
      <x:c r="E972" s="86"/>
      <x:c r="F972" s="86"/>
      <x:c r="G972" s="86"/>
      <x:c r="H972" s="86"/>
      <x:c r="I972" s="86"/>
      <x:c r="J972" s="82" t="str">
        <x:f>IF(C972="","Choose position",IF(COUNT(E972:I972)&lt;5,"",IF(OR(MIN(E972:I972)&lt;0.1,MAX(E972:I972)&gt;10),"Invalid score",IF(INDEX('Position_Rubric'!$H$6:$H$14,M972)&lt;&gt;1,"Check weights",ROUND(E972*INDEX('Position_Rubric'!$C$6:$C$14,M972)+F972*INDEX('Position_Rubric'!$D$6:$D$14,M972)+G972*INDEX('Position_Rubric'!$E$6:$E$14,M972)+H972*INDEX('Position_Rubric'!$F$6:$F$14,M972)+I972*INDEX('Position_Rubric'!$G$6:$G$14,M972),1)))))</x:f>
        <x:v>Choose position</x:v>
      </x:c>
      <x:c r="K972" s="82" t="str">
        <x:f>IF(AND(ISNUMBER(J972),ISNUMBER(D972)),J972-D972,"")</x:f>
      </x:c>
      <x:c r="L972" s="69" t="str">
        <x:f>IF(COUNT(E972:I972)&lt;5,"Needs component scores",IF(ISNUMBER(J972),"Calculated",J972))</x:f>
        <x:v>Needs component scores</x:v>
      </x:c>
      <x:c r="M972" s="69" t="str">
        <x:f>IF(C972="","",MATCH(C972,'Position_Rubric'!$A$6:$A$14,0))</x:f>
      </x:c>
      <x:c r="N972" s="69" t="str"/>
    </x:row>
    <x:row r="973" ht="25" customHeight="1">
      <x:c r="A973" s="69" t="str">
        <x:v>summer-S26-0315</x:v>
      </x:c>
      <x:c r="B973" s="69" t="str">
        <x:v>Felix Meiser</x:v>
      </x:c>
      <x:c r="C973" s="69"/>
      <x:c r="D973" s="82" t="str">
        <x:f>IF(ISNUMBER('Transfer_Ratings'!K973),'Transfer_Ratings'!K973,"")</x:f>
      </x:c>
      <x:c r="E973" s="86"/>
      <x:c r="F973" s="86"/>
      <x:c r="G973" s="86"/>
      <x:c r="H973" s="86"/>
      <x:c r="I973" s="86"/>
      <x:c r="J973" s="82" t="str">
        <x:f>IF(C973="","Choose position",IF(COUNT(E973:I973)&lt;5,"",IF(OR(MIN(E973:I973)&lt;0.1,MAX(E973:I973)&gt;10),"Invalid score",IF(INDEX('Position_Rubric'!$H$6:$H$14,M973)&lt;&gt;1,"Check weights",ROUND(E973*INDEX('Position_Rubric'!$C$6:$C$14,M973)+F973*INDEX('Position_Rubric'!$D$6:$D$14,M973)+G973*INDEX('Position_Rubric'!$E$6:$E$14,M973)+H973*INDEX('Position_Rubric'!$F$6:$F$14,M973)+I973*INDEX('Position_Rubric'!$G$6:$G$14,M973),1)))))</x:f>
        <x:v>Choose position</x:v>
      </x:c>
      <x:c r="K973" s="82" t="str">
        <x:f>IF(AND(ISNUMBER(J973),ISNUMBER(D973)),J973-D973,"")</x:f>
      </x:c>
      <x:c r="L973" s="69" t="str">
        <x:f>IF(COUNT(E973:I973)&lt;5,"Needs component scores",IF(ISNUMBER(J973),"Calculated",J973))</x:f>
        <x:v>Needs component scores</x:v>
      </x:c>
      <x:c r="M973" s="69" t="str">
        <x:f>IF(C973="","",MATCH(C973,'Position_Rubric'!$A$6:$A$14,0))</x:f>
      </x:c>
      <x:c r="N973" s="69" t="str"/>
    </x:row>
    <x:row r="974" ht="25" customHeight="1">
      <x:c r="A974" s="69" t="str">
        <x:v>summer-S26-0316</x:v>
      </x:c>
      <x:c r="B974" s="69" t="str">
        <x:v>Alexander Schlager</x:v>
      </x:c>
      <x:c r="C974" s="69" t="str">
        <x:v>GK</x:v>
      </x:c>
      <x:c r="D974" s="82" t="str">
        <x:f>IF(ISNUMBER('Transfer_Ratings'!K974),'Transfer_Ratings'!K974,"")</x:f>
      </x:c>
      <x:c r="E974" s="86"/>
      <x:c r="F974" s="86"/>
      <x:c r="G974" s="86"/>
      <x:c r="H974" s="86"/>
      <x:c r="I974" s="86"/>
      <x:c r="J974" s="82" t="str">
        <x:f>IF(C974="","Choose position",IF(COUNT(E974:I974)&lt;5,"",IF(OR(MIN(E974:I974)&lt;0.1,MAX(E974:I974)&gt;10),"Invalid score",IF(INDEX('Position_Rubric'!$H$6:$H$14,M974)&lt;&gt;1,"Check weights",ROUND(E974*INDEX('Position_Rubric'!$C$6:$C$14,M974)+F974*INDEX('Position_Rubric'!$D$6:$D$14,M974)+G974*INDEX('Position_Rubric'!$E$6:$E$14,M974)+H974*INDEX('Position_Rubric'!$F$6:$F$14,M974)+I974*INDEX('Position_Rubric'!$G$6:$G$14,M974),1)))))</x:f>
      </x:c>
      <x:c r="K974" s="82" t="str">
        <x:f>IF(AND(ISNUMBER(J974),ISNUMBER(D974)),J974-D974,"")</x:f>
      </x:c>
      <x:c r="L974" s="69" t="str">
        <x:f>IF(COUNT(E974:I974)&lt;5,"Needs component scores",IF(ISNUMBER(J974),"Calculated",J974))</x:f>
        <x:v>Needs component scores</x:v>
      </x:c>
      <x:c r="M974" s="69" t="n">
        <x:f>IF(C974="","",MATCH(C974,'Position_Rubric'!$A$6:$A$14,0))</x:f>
        <x:v>9</x:v>
      </x:c>
      <x:c r="N974" s="69" t="str"/>
    </x:row>
    <x:row r="975" ht="25" customHeight="1">
      <x:c r="A975" s="69" t="str">
        <x:v>summer-S26-0318</x:v>
      </x:c>
      <x:c r="B975" s="69" t="str">
        <x:v>Thiago Ojeda</x:v>
      </x:c>
      <x:c r="C975" s="69"/>
      <x:c r="D975" s="82" t="str">
        <x:f>IF(ISNUMBER('Transfer_Ratings'!K975),'Transfer_Ratings'!K975,"")</x:f>
      </x:c>
      <x:c r="E975" s="86"/>
      <x:c r="F975" s="86"/>
      <x:c r="G975" s="86"/>
      <x:c r="H975" s="86"/>
      <x:c r="I975" s="86"/>
      <x:c r="J975" s="82" t="str">
        <x:f>IF(C975="","Choose position",IF(COUNT(E975:I975)&lt;5,"",IF(OR(MIN(E975:I975)&lt;0.1,MAX(E975:I975)&gt;10),"Invalid score",IF(INDEX('Position_Rubric'!$H$6:$H$14,M975)&lt;&gt;1,"Check weights",ROUND(E975*INDEX('Position_Rubric'!$C$6:$C$14,M975)+F975*INDEX('Position_Rubric'!$D$6:$D$14,M975)+G975*INDEX('Position_Rubric'!$E$6:$E$14,M975)+H975*INDEX('Position_Rubric'!$F$6:$F$14,M975)+I975*INDEX('Position_Rubric'!$G$6:$G$14,M975),1)))))</x:f>
        <x:v>Choose position</x:v>
      </x:c>
      <x:c r="K975" s="82" t="str">
        <x:f>IF(AND(ISNUMBER(J975),ISNUMBER(D975)),J975-D975,"")</x:f>
      </x:c>
      <x:c r="L975" s="69" t="str">
        <x:f>IF(COUNT(E975:I975)&lt;5,"Needs component scores",IF(ISNUMBER(J975),"Calculated",J975))</x:f>
        <x:v>Needs component scores</x:v>
      </x:c>
      <x:c r="M975" s="69" t="str">
        <x:f>IF(C975="","",MATCH(C975,'Position_Rubric'!$A$6:$A$14,0))</x:f>
      </x:c>
      <x:c r="N975" s="69" t="str"/>
    </x:row>
    <x:row r="976" ht="25" customHeight="1">
      <x:c r="A976" s="69" t="str">
        <x:v>summer-S26-0319</x:v>
      </x:c>
      <x:c r="B976" s="69" t="str">
        <x:v>Álex Petxarroman</x:v>
      </x:c>
      <x:c r="C976" s="69"/>
      <x:c r="D976" s="82" t="str">
        <x:f>IF(ISNUMBER('Transfer_Ratings'!K976),'Transfer_Ratings'!K976,"")</x:f>
      </x:c>
      <x:c r="E976" s="86"/>
      <x:c r="F976" s="86"/>
      <x:c r="G976" s="86"/>
      <x:c r="H976" s="86"/>
      <x:c r="I976" s="86"/>
      <x:c r="J976" s="82" t="str">
        <x:f>IF(C976="","Choose position",IF(COUNT(E976:I976)&lt;5,"",IF(OR(MIN(E976:I976)&lt;0.1,MAX(E976:I976)&gt;10),"Invalid score",IF(INDEX('Position_Rubric'!$H$6:$H$14,M976)&lt;&gt;1,"Check weights",ROUND(E976*INDEX('Position_Rubric'!$C$6:$C$14,M976)+F976*INDEX('Position_Rubric'!$D$6:$D$14,M976)+G976*INDEX('Position_Rubric'!$E$6:$E$14,M976)+H976*INDEX('Position_Rubric'!$F$6:$F$14,M976)+I976*INDEX('Position_Rubric'!$G$6:$G$14,M976),1)))))</x:f>
        <x:v>Choose position</x:v>
      </x:c>
      <x:c r="K976" s="82" t="str">
        <x:f>IF(AND(ISNUMBER(J976),ISNUMBER(D976)),J976-D976,"")</x:f>
      </x:c>
      <x:c r="L976" s="69" t="str">
        <x:f>IF(COUNT(E976:I976)&lt;5,"Needs component scores",IF(ISNUMBER(J976),"Calculated",J976))</x:f>
        <x:v>Needs component scores</x:v>
      </x:c>
      <x:c r="M976" s="69" t="str">
        <x:f>IF(C976="","",MATCH(C976,'Position_Rubric'!$A$6:$A$14,0))</x:f>
      </x:c>
      <x:c r="N976" s="69" t="str"/>
    </x:row>
    <x:row r="977" ht="25" customHeight="1">
      <x:c r="A977" s="69" t="str">
        <x:v>summer-S26-0320</x:v>
      </x:c>
      <x:c r="B977" s="69" t="str">
        <x:v>Mario García</x:v>
      </x:c>
      <x:c r="C977" s="69"/>
      <x:c r="D977" s="82" t="str">
        <x:f>IF(ISNUMBER('Transfer_Ratings'!K977),'Transfer_Ratings'!K977,"")</x:f>
      </x:c>
      <x:c r="E977" s="86"/>
      <x:c r="F977" s="86"/>
      <x:c r="G977" s="86"/>
      <x:c r="H977" s="86"/>
      <x:c r="I977" s="86"/>
      <x:c r="J977" s="82" t="str">
        <x:f>IF(C977="","Choose position",IF(COUNT(E977:I977)&lt;5,"",IF(OR(MIN(E977:I977)&lt;0.1,MAX(E977:I977)&gt;10),"Invalid score",IF(INDEX('Position_Rubric'!$H$6:$H$14,M977)&lt;&gt;1,"Check weights",ROUND(E977*INDEX('Position_Rubric'!$C$6:$C$14,M977)+F977*INDEX('Position_Rubric'!$D$6:$D$14,M977)+G977*INDEX('Position_Rubric'!$E$6:$E$14,M977)+H977*INDEX('Position_Rubric'!$F$6:$F$14,M977)+I977*INDEX('Position_Rubric'!$G$6:$G$14,M977),1)))))</x:f>
        <x:v>Choose position</x:v>
      </x:c>
      <x:c r="K977" s="82" t="str">
        <x:f>IF(AND(ISNUMBER(J977),ISNUMBER(D977)),J977-D977,"")</x:f>
      </x:c>
      <x:c r="L977" s="69" t="str">
        <x:f>IF(COUNT(E977:I977)&lt;5,"Needs component scores",IF(ISNUMBER(J977),"Calculated",J977))</x:f>
        <x:v>Needs component scores</x:v>
      </x:c>
      <x:c r="M977" s="69" t="str">
        <x:f>IF(C977="","",MATCH(C977,'Position_Rubric'!$A$6:$A$14,0))</x:f>
      </x:c>
      <x:c r="N977" s="69" t="str"/>
    </x:row>
    <x:row r="978" ht="25" customHeight="1">
      <x:c r="A978" s="69" t="str">
        <x:v>summer-S26-0321</x:v>
      </x:c>
      <x:c r="B978" s="69" t="str">
        <x:v>Harrison Murray-Campbell</x:v>
      </x:c>
      <x:c r="C978" s="69"/>
      <x:c r="D978" s="82" t="str">
        <x:f>IF(ISNUMBER('Transfer_Ratings'!K978),'Transfer_Ratings'!K978,"")</x:f>
      </x:c>
      <x:c r="E978" s="86"/>
      <x:c r="F978" s="86"/>
      <x:c r="G978" s="86"/>
      <x:c r="H978" s="86"/>
      <x:c r="I978" s="86"/>
      <x:c r="J978" s="82" t="str">
        <x:f>IF(C978="","Choose position",IF(COUNT(E978:I978)&lt;5,"",IF(OR(MIN(E978:I978)&lt;0.1,MAX(E978:I978)&gt;10),"Invalid score",IF(INDEX('Position_Rubric'!$H$6:$H$14,M978)&lt;&gt;1,"Check weights",ROUND(E978*INDEX('Position_Rubric'!$C$6:$C$14,M978)+F978*INDEX('Position_Rubric'!$D$6:$D$14,M978)+G978*INDEX('Position_Rubric'!$E$6:$E$14,M978)+H978*INDEX('Position_Rubric'!$F$6:$F$14,M978)+I978*INDEX('Position_Rubric'!$G$6:$G$14,M978),1)))))</x:f>
        <x:v>Choose position</x:v>
      </x:c>
      <x:c r="K978" s="82" t="str">
        <x:f>IF(AND(ISNUMBER(J978),ISNUMBER(D978)),J978-D978,"")</x:f>
      </x:c>
      <x:c r="L978" s="69" t="str">
        <x:f>IF(COUNT(E978:I978)&lt;5,"Needs component scores",IF(ISNUMBER(J978),"Calculated",J978))</x:f>
        <x:v>Needs component scores</x:v>
      </x:c>
      <x:c r="M978" s="69" t="str">
        <x:f>IF(C978="","",MATCH(C978,'Position_Rubric'!$A$6:$A$14,0))</x:f>
      </x:c>
      <x:c r="N978" s="69" t="str"/>
    </x:row>
    <x:row r="979" ht="25" customHeight="1">
      <x:c r="A979" s="69" t="str">
        <x:v>summer-S26-0323</x:v>
      </x:c>
      <x:c r="B979" s="69" t="str">
        <x:v>Pietro Pinelli</x:v>
      </x:c>
      <x:c r="C979" s="69"/>
      <x:c r="D979" s="82" t="str">
        <x:f>IF(ISNUMBER('Transfer_Ratings'!K979),'Transfer_Ratings'!K979,"")</x:f>
      </x:c>
      <x:c r="E979" s="86"/>
      <x:c r="F979" s="86"/>
      <x:c r="G979" s="86"/>
      <x:c r="H979" s="86"/>
      <x:c r="I979" s="86"/>
      <x:c r="J979" s="82" t="str">
        <x:f>IF(C979="","Choose position",IF(COUNT(E979:I979)&lt;5,"",IF(OR(MIN(E979:I979)&lt;0.1,MAX(E979:I979)&gt;10),"Invalid score",IF(INDEX('Position_Rubric'!$H$6:$H$14,M979)&lt;&gt;1,"Check weights",ROUND(E979*INDEX('Position_Rubric'!$C$6:$C$14,M979)+F979*INDEX('Position_Rubric'!$D$6:$D$14,M979)+G979*INDEX('Position_Rubric'!$E$6:$E$14,M979)+H979*INDEX('Position_Rubric'!$F$6:$F$14,M979)+I979*INDEX('Position_Rubric'!$G$6:$G$14,M979),1)))))</x:f>
        <x:v>Choose position</x:v>
      </x:c>
      <x:c r="K979" s="82" t="str">
        <x:f>IF(AND(ISNUMBER(J979),ISNUMBER(D979)),J979-D979,"")</x:f>
      </x:c>
      <x:c r="L979" s="69" t="str">
        <x:f>IF(COUNT(E979:I979)&lt;5,"Needs component scores",IF(ISNUMBER(J979),"Calculated",J979))</x:f>
        <x:v>Needs component scores</x:v>
      </x:c>
      <x:c r="M979" s="69" t="str">
        <x:f>IF(C979="","",MATCH(C979,'Position_Rubric'!$A$6:$A$14,0))</x:f>
      </x:c>
      <x:c r="N979" s="69" t="str"/>
    </x:row>
    <x:row r="980" ht="25" customHeight="1">
      <x:c r="A980" s="69" t="str">
        <x:v>summer-S26-0324</x:v>
      </x:c>
      <x:c r="B980" s="69" t="str">
        <x:v>Lorenzo Romani</x:v>
      </x:c>
      <x:c r="C980" s="69"/>
      <x:c r="D980" s="82" t="str">
        <x:f>IF(ISNUMBER('Transfer_Ratings'!K980),'Transfer_Ratings'!K980,"")</x:f>
      </x:c>
      <x:c r="E980" s="86"/>
      <x:c r="F980" s="86"/>
      <x:c r="G980" s="86"/>
      <x:c r="H980" s="86"/>
      <x:c r="I980" s="86"/>
      <x:c r="J980" s="82" t="str">
        <x:f>IF(C980="","Choose position",IF(COUNT(E980:I980)&lt;5,"",IF(OR(MIN(E980:I980)&lt;0.1,MAX(E980:I980)&gt;10),"Invalid score",IF(INDEX('Position_Rubric'!$H$6:$H$14,M980)&lt;&gt;1,"Check weights",ROUND(E980*INDEX('Position_Rubric'!$C$6:$C$14,M980)+F980*INDEX('Position_Rubric'!$D$6:$D$14,M980)+G980*INDEX('Position_Rubric'!$E$6:$E$14,M980)+H980*INDEX('Position_Rubric'!$F$6:$F$14,M980)+I980*INDEX('Position_Rubric'!$G$6:$G$14,M980),1)))))</x:f>
        <x:v>Choose position</x:v>
      </x:c>
      <x:c r="K980" s="82" t="str">
        <x:f>IF(AND(ISNUMBER(J980),ISNUMBER(D980)),J980-D980,"")</x:f>
      </x:c>
      <x:c r="L980" s="69" t="str">
        <x:f>IF(COUNT(E980:I980)&lt;5,"Needs component scores",IF(ISNUMBER(J980),"Calculated",J980))</x:f>
        <x:v>Needs component scores</x:v>
      </x:c>
      <x:c r="M980" s="69" t="str">
        <x:f>IF(C980="","",MATCH(C980,'Position_Rubric'!$A$6:$A$14,0))</x:f>
      </x:c>
      <x:c r="N980" s="69" t="str"/>
    </x:row>
    <x:row r="981" ht="25" customHeight="1">
      <x:c r="A981" s="69" t="str">
        <x:v>summer-S26-0326</x:v>
      </x:c>
      <x:c r="B981" s="69" t="str">
        <x:v>Alessandro Plizzari</x:v>
      </x:c>
      <x:c r="C981" s="69" t="str">
        <x:v>GK</x:v>
      </x:c>
      <x:c r="D981" s="82" t="str">
        <x:f>IF(ISNUMBER('Transfer_Ratings'!K981),'Transfer_Ratings'!K981,"")</x:f>
      </x:c>
      <x:c r="E981" s="86"/>
      <x:c r="F981" s="86"/>
      <x:c r="G981" s="86"/>
      <x:c r="H981" s="86"/>
      <x:c r="I981" s="86"/>
      <x:c r="J981" s="82" t="str">
        <x:f>IF(C981="","Choose position",IF(COUNT(E981:I981)&lt;5,"",IF(OR(MIN(E981:I981)&lt;0.1,MAX(E981:I981)&gt;10),"Invalid score",IF(INDEX('Position_Rubric'!$H$6:$H$14,M981)&lt;&gt;1,"Check weights",ROUND(E981*INDEX('Position_Rubric'!$C$6:$C$14,M981)+F981*INDEX('Position_Rubric'!$D$6:$D$14,M981)+G981*INDEX('Position_Rubric'!$E$6:$E$14,M981)+H981*INDEX('Position_Rubric'!$F$6:$F$14,M981)+I981*INDEX('Position_Rubric'!$G$6:$G$14,M981),1)))))</x:f>
      </x:c>
      <x:c r="K981" s="82" t="str">
        <x:f>IF(AND(ISNUMBER(J981),ISNUMBER(D981)),J981-D981,"")</x:f>
      </x:c>
      <x:c r="L981" s="69" t="str">
        <x:f>IF(COUNT(E981:I981)&lt;5,"Needs component scores",IF(ISNUMBER(J981),"Calculated",J981))</x:f>
        <x:v>Needs component scores</x:v>
      </x:c>
      <x:c r="M981" s="69" t="n">
        <x:f>IF(C981="","",MATCH(C981,'Position_Rubric'!$A$6:$A$14,0))</x:f>
        <x:v>9</x:v>
      </x:c>
      <x:c r="N981" s="69" t="str"/>
    </x:row>
    <x:row r="982" ht="25" customHeight="1">
      <x:c r="A982" s="69" t="str">
        <x:v>summer-S26-0327</x:v>
      </x:c>
      <x:c r="B982" s="69" t="str">
        <x:v>Brando Moruzzi</x:v>
      </x:c>
      <x:c r="C982" s="69"/>
      <x:c r="D982" s="82" t="str">
        <x:f>IF(ISNUMBER('Transfer_Ratings'!K982),'Transfer_Ratings'!K982,"")</x:f>
      </x:c>
      <x:c r="E982" s="86"/>
      <x:c r="F982" s="86"/>
      <x:c r="G982" s="86"/>
      <x:c r="H982" s="86"/>
      <x:c r="I982" s="86"/>
      <x:c r="J982" s="82" t="str">
        <x:f>IF(C982="","Choose position",IF(COUNT(E982:I982)&lt;5,"",IF(OR(MIN(E982:I982)&lt;0.1,MAX(E982:I982)&gt;10),"Invalid score",IF(INDEX('Position_Rubric'!$H$6:$H$14,M982)&lt;&gt;1,"Check weights",ROUND(E982*INDEX('Position_Rubric'!$C$6:$C$14,M982)+F982*INDEX('Position_Rubric'!$D$6:$D$14,M982)+G982*INDEX('Position_Rubric'!$E$6:$E$14,M982)+H982*INDEX('Position_Rubric'!$F$6:$F$14,M982)+I982*INDEX('Position_Rubric'!$G$6:$G$14,M982),1)))))</x:f>
        <x:v>Choose position</x:v>
      </x:c>
      <x:c r="K982" s="82" t="str">
        <x:f>IF(AND(ISNUMBER(J982),ISNUMBER(D982)),J982-D982,"")</x:f>
      </x:c>
      <x:c r="L982" s="69" t="str">
        <x:f>IF(COUNT(E982:I982)&lt;5,"Needs component scores",IF(ISNUMBER(J982),"Calculated",J982))</x:f>
        <x:v>Needs component scores</x:v>
      </x:c>
      <x:c r="M982" s="69" t="str">
        <x:f>IF(C982="","",MATCH(C982,'Position_Rubric'!$A$6:$A$14,0))</x:f>
      </x:c>
      <x:c r="N982" s="69" t="str"/>
    </x:row>
    <x:row r="983" ht="25" customHeight="1">
      <x:c r="A983" s="69" t="str">
        <x:v>summer-S26-0329</x:v>
      </x:c>
      <x:c r="B983" s="69" t="str">
        <x:v>Tommaso Martinelli</x:v>
      </x:c>
      <x:c r="C983" s="69" t="str">
        <x:v>GK</x:v>
      </x:c>
      <x:c r="D983" s="82" t="str">
        <x:f>IF(ISNUMBER('Transfer_Ratings'!K983),'Transfer_Ratings'!K983,"")</x:f>
      </x:c>
      <x:c r="E983" s="86"/>
      <x:c r="F983" s="86"/>
      <x:c r="G983" s="86"/>
      <x:c r="H983" s="86"/>
      <x:c r="I983" s="86"/>
      <x:c r="J983" s="82" t="str">
        <x:f>IF(C983="","Choose position",IF(COUNT(E983:I983)&lt;5,"",IF(OR(MIN(E983:I983)&lt;0.1,MAX(E983:I983)&gt;10),"Invalid score",IF(INDEX('Position_Rubric'!$H$6:$H$14,M983)&lt;&gt;1,"Check weights",ROUND(E983*INDEX('Position_Rubric'!$C$6:$C$14,M983)+F983*INDEX('Position_Rubric'!$D$6:$D$14,M983)+G983*INDEX('Position_Rubric'!$E$6:$E$14,M983)+H983*INDEX('Position_Rubric'!$F$6:$F$14,M983)+I983*INDEX('Position_Rubric'!$G$6:$G$14,M983),1)))))</x:f>
      </x:c>
      <x:c r="K983" s="82" t="str">
        <x:f>IF(AND(ISNUMBER(J983),ISNUMBER(D983)),J983-D983,"")</x:f>
      </x:c>
      <x:c r="L983" s="69" t="str">
        <x:f>IF(COUNT(E983:I983)&lt;5,"Needs component scores",IF(ISNUMBER(J983),"Calculated",J983))</x:f>
        <x:v>Needs component scores</x:v>
      </x:c>
      <x:c r="M983" s="69" t="n">
        <x:f>IF(C983="","",MATCH(C983,'Position_Rubric'!$A$6:$A$14,0))</x:f>
        <x:v>9</x:v>
      </x:c>
      <x:c r="N983" s="69" t="str"/>
    </x:row>
    <x:row r="984" ht="25" customHeight="1">
      <x:c r="A984" s="69" t="str">
        <x:v>summer-S26-0332</x:v>
      </x:c>
      <x:c r="B984" s="69" t="str">
        <x:v>Sverre Nypan</x:v>
      </x:c>
      <x:c r="C984" s="69"/>
      <x:c r="D984" s="82" t="str">
        <x:f>IF(ISNUMBER('Transfer_Ratings'!K984),'Transfer_Ratings'!K984,"")</x:f>
      </x:c>
      <x:c r="E984" s="86"/>
      <x:c r="F984" s="86"/>
      <x:c r="G984" s="86"/>
      <x:c r="H984" s="86"/>
      <x:c r="I984" s="86"/>
      <x:c r="J984" s="82" t="str">
        <x:f>IF(C984="","Choose position",IF(COUNT(E984:I984)&lt;5,"",IF(OR(MIN(E984:I984)&lt;0.1,MAX(E984:I984)&gt;10),"Invalid score",IF(INDEX('Position_Rubric'!$H$6:$H$14,M984)&lt;&gt;1,"Check weights",ROUND(E984*INDEX('Position_Rubric'!$C$6:$C$14,M984)+F984*INDEX('Position_Rubric'!$D$6:$D$14,M984)+G984*INDEX('Position_Rubric'!$E$6:$E$14,M984)+H984*INDEX('Position_Rubric'!$F$6:$F$14,M984)+I984*INDEX('Position_Rubric'!$G$6:$G$14,M984),1)))))</x:f>
        <x:v>Choose position</x:v>
      </x:c>
      <x:c r="K984" s="82" t="str">
        <x:f>IF(AND(ISNUMBER(J984),ISNUMBER(D984)),J984-D984,"")</x:f>
      </x:c>
      <x:c r="L984" s="69" t="str">
        <x:f>IF(COUNT(E984:I984)&lt;5,"Needs component scores",IF(ISNUMBER(J984),"Calculated",J984))</x:f>
        <x:v>Needs component scores</x:v>
      </x:c>
      <x:c r="M984" s="69" t="str">
        <x:f>IF(C984="","",MATCH(C984,'Position_Rubric'!$A$6:$A$14,0))</x:f>
      </x:c>
      <x:c r="N984" s="69" t="str"/>
    </x:row>
    <x:row r="985" ht="25" customHeight="1">
      <x:c r="A985" s="69" t="str">
        <x:v>summer-S26-0333</x:v>
      </x:c>
      <x:c r="B985" s="69" t="str">
        <x:v>Gideon Mensah</x:v>
      </x:c>
      <x:c r="C985" s="69"/>
      <x:c r="D985" s="82" t="str">
        <x:f>IF(ISNUMBER('Transfer_Ratings'!K985),'Transfer_Ratings'!K985,"")</x:f>
      </x:c>
      <x:c r="E985" s="86"/>
      <x:c r="F985" s="86"/>
      <x:c r="G985" s="86"/>
      <x:c r="H985" s="86"/>
      <x:c r="I985" s="86"/>
      <x:c r="J985" s="82" t="str">
        <x:f>IF(C985="","Choose position",IF(COUNT(E985:I985)&lt;5,"",IF(OR(MIN(E985:I985)&lt;0.1,MAX(E985:I985)&gt;10),"Invalid score",IF(INDEX('Position_Rubric'!$H$6:$H$14,M985)&lt;&gt;1,"Check weights",ROUND(E985*INDEX('Position_Rubric'!$C$6:$C$14,M985)+F985*INDEX('Position_Rubric'!$D$6:$D$14,M985)+G985*INDEX('Position_Rubric'!$E$6:$E$14,M985)+H985*INDEX('Position_Rubric'!$F$6:$F$14,M985)+I985*INDEX('Position_Rubric'!$G$6:$G$14,M985),1)))))</x:f>
        <x:v>Choose position</x:v>
      </x:c>
      <x:c r="K985" s="82" t="str">
        <x:f>IF(AND(ISNUMBER(J985),ISNUMBER(D985)),J985-D985,"")</x:f>
      </x:c>
      <x:c r="L985" s="69" t="str">
        <x:f>IF(COUNT(E985:I985)&lt;5,"Needs component scores",IF(ISNUMBER(J985),"Calculated",J985))</x:f>
        <x:v>Needs component scores</x:v>
      </x:c>
      <x:c r="M985" s="69" t="str">
        <x:f>IF(C985="","",MATCH(C985,'Position_Rubric'!$A$6:$A$14,0))</x:f>
      </x:c>
      <x:c r="N985" s="69" t="str"/>
    </x:row>
    <x:row r="986" ht="25" customHeight="1">
      <x:c r="A986" s="69" t="str">
        <x:v>summer-S26-0336</x:v>
      </x:c>
      <x:c r="B986" s="69" t="str">
        <x:v>Seid Korac</x:v>
      </x:c>
      <x:c r="C986" s="69"/>
      <x:c r="D986" s="82" t="str">
        <x:f>IF(ISNUMBER('Transfer_Ratings'!K986),'Transfer_Ratings'!K986,"")</x:f>
      </x:c>
      <x:c r="E986" s="86"/>
      <x:c r="F986" s="86"/>
      <x:c r="G986" s="86"/>
      <x:c r="H986" s="86"/>
      <x:c r="I986" s="86"/>
      <x:c r="J986" s="82" t="str">
        <x:f>IF(C986="","Choose position",IF(COUNT(E986:I986)&lt;5,"",IF(OR(MIN(E986:I986)&lt;0.1,MAX(E986:I986)&gt;10),"Invalid score",IF(INDEX('Position_Rubric'!$H$6:$H$14,M986)&lt;&gt;1,"Check weights",ROUND(E986*INDEX('Position_Rubric'!$C$6:$C$14,M986)+F986*INDEX('Position_Rubric'!$D$6:$D$14,M986)+G986*INDEX('Position_Rubric'!$E$6:$E$14,M986)+H986*INDEX('Position_Rubric'!$F$6:$F$14,M986)+I986*INDEX('Position_Rubric'!$G$6:$G$14,M986),1)))))</x:f>
        <x:v>Choose position</x:v>
      </x:c>
      <x:c r="K986" s="82" t="str">
        <x:f>IF(AND(ISNUMBER(J986),ISNUMBER(D986)),J986-D986,"")</x:f>
      </x:c>
      <x:c r="L986" s="69" t="str">
        <x:f>IF(COUNT(E986:I986)&lt;5,"Needs component scores",IF(ISNUMBER(J986),"Calculated",J986))</x:f>
        <x:v>Needs component scores</x:v>
      </x:c>
      <x:c r="M986" s="69" t="str">
        <x:f>IF(C986="","",MATCH(C986,'Position_Rubric'!$A$6:$A$14,0))</x:f>
      </x:c>
      <x:c r="N986" s="69" t="str"/>
    </x:row>
    <x:row r="987" ht="25" customHeight="1">
      <x:c r="A987" s="69" t="str">
        <x:v>summer-S26-0338</x:v>
      </x:c>
      <x:c r="B987" s="69" t="str">
        <x:v>Brad Collins</x:v>
      </x:c>
      <x:c r="C987" s="69" t="str">
        <x:v>GK</x:v>
      </x:c>
      <x:c r="D987" s="82" t="str">
        <x:f>IF(ISNUMBER('Transfer_Ratings'!K987),'Transfer_Ratings'!K987,"")</x:f>
      </x:c>
      <x:c r="E987" s="86"/>
      <x:c r="F987" s="86"/>
      <x:c r="G987" s="86"/>
      <x:c r="H987" s="86"/>
      <x:c r="I987" s="86"/>
      <x:c r="J987" s="82" t="str">
        <x:f>IF(C987="","Choose position",IF(COUNT(E987:I987)&lt;5,"",IF(OR(MIN(E987:I987)&lt;0.1,MAX(E987:I987)&gt;10),"Invalid score",IF(INDEX('Position_Rubric'!$H$6:$H$14,M987)&lt;&gt;1,"Check weights",ROUND(E987*INDEX('Position_Rubric'!$C$6:$C$14,M987)+F987*INDEX('Position_Rubric'!$D$6:$D$14,M987)+G987*INDEX('Position_Rubric'!$E$6:$E$14,M987)+H987*INDEX('Position_Rubric'!$F$6:$F$14,M987)+I987*INDEX('Position_Rubric'!$G$6:$G$14,M987),1)))))</x:f>
      </x:c>
      <x:c r="K987" s="82" t="str">
        <x:f>IF(AND(ISNUMBER(J987),ISNUMBER(D987)),J987-D987,"")</x:f>
      </x:c>
      <x:c r="L987" s="69" t="str">
        <x:f>IF(COUNT(E987:I987)&lt;5,"Needs component scores",IF(ISNUMBER(J987),"Calculated",J987))</x:f>
        <x:v>Needs component scores</x:v>
      </x:c>
      <x:c r="M987" s="69" t="n">
        <x:f>IF(C987="","",MATCH(C987,'Position_Rubric'!$A$6:$A$14,0))</x:f>
        <x:v>9</x:v>
      </x:c>
      <x:c r="N987" s="69" t="str"/>
    </x:row>
    <x:row r="988" ht="25" customHeight="1">
      <x:c r="A988" s="69" t="str">
        <x:v>summer-S26-0340</x:v>
      </x:c>
      <x:c r="B988" s="69" t="str">
        <x:v>Arthur Atta</x:v>
      </x:c>
      <x:c r="C988" s="69"/>
      <x:c r="D988" s="82" t="str">
        <x:f>IF(ISNUMBER('Transfer_Ratings'!K988),'Transfer_Ratings'!K988,"")</x:f>
      </x:c>
      <x:c r="E988" s="86"/>
      <x:c r="F988" s="86"/>
      <x:c r="G988" s="86"/>
      <x:c r="H988" s="86"/>
      <x:c r="I988" s="86"/>
      <x:c r="J988" s="82" t="str">
        <x:f>IF(C988="","Choose position",IF(COUNT(E988:I988)&lt;5,"",IF(OR(MIN(E988:I988)&lt;0.1,MAX(E988:I988)&gt;10),"Invalid score",IF(INDEX('Position_Rubric'!$H$6:$H$14,M988)&lt;&gt;1,"Check weights",ROUND(E988*INDEX('Position_Rubric'!$C$6:$C$14,M988)+F988*INDEX('Position_Rubric'!$D$6:$D$14,M988)+G988*INDEX('Position_Rubric'!$E$6:$E$14,M988)+H988*INDEX('Position_Rubric'!$F$6:$F$14,M988)+I988*INDEX('Position_Rubric'!$G$6:$G$14,M988),1)))))</x:f>
        <x:v>Choose position</x:v>
      </x:c>
      <x:c r="K988" s="82" t="str">
        <x:f>IF(AND(ISNUMBER(J988),ISNUMBER(D988)),J988-D988,"")</x:f>
      </x:c>
      <x:c r="L988" s="69" t="str">
        <x:f>IF(COUNT(E988:I988)&lt;5,"Needs component scores",IF(ISNUMBER(J988),"Calculated",J988))</x:f>
        <x:v>Needs component scores</x:v>
      </x:c>
      <x:c r="M988" s="69" t="str">
        <x:f>IF(C988="","",MATCH(C988,'Position_Rubric'!$A$6:$A$14,0))</x:f>
      </x:c>
      <x:c r="N988" s="69" t="str"/>
    </x:row>
    <x:row r="989" ht="25" customHeight="1">
      <x:c r="A989" s="69" t="str">
        <x:v>summer-S26-0343</x:v>
      </x:c>
      <x:c r="B989" s="69" t="str">
        <x:v>Nicola Leali</x:v>
      </x:c>
      <x:c r="C989" s="69" t="str">
        <x:v>GK</x:v>
      </x:c>
      <x:c r="D989" s="82" t="str">
        <x:f>IF(ISNUMBER('Transfer_Ratings'!K989),'Transfer_Ratings'!K989,"")</x:f>
      </x:c>
      <x:c r="E989" s="86"/>
      <x:c r="F989" s="86"/>
      <x:c r="G989" s="86"/>
      <x:c r="H989" s="86"/>
      <x:c r="I989" s="86"/>
      <x:c r="J989" s="82" t="str">
        <x:f>IF(C989="","Choose position",IF(COUNT(E989:I989)&lt;5,"",IF(OR(MIN(E989:I989)&lt;0.1,MAX(E989:I989)&gt;10),"Invalid score",IF(INDEX('Position_Rubric'!$H$6:$H$14,M989)&lt;&gt;1,"Check weights",ROUND(E989*INDEX('Position_Rubric'!$C$6:$C$14,M989)+F989*INDEX('Position_Rubric'!$D$6:$D$14,M989)+G989*INDEX('Position_Rubric'!$E$6:$E$14,M989)+H989*INDEX('Position_Rubric'!$F$6:$F$14,M989)+I989*INDEX('Position_Rubric'!$G$6:$G$14,M989),1)))))</x:f>
      </x:c>
      <x:c r="K989" s="82" t="str">
        <x:f>IF(AND(ISNUMBER(J989),ISNUMBER(D989)),J989-D989,"")</x:f>
      </x:c>
      <x:c r="L989" s="69" t="str">
        <x:f>IF(COUNT(E989:I989)&lt;5,"Needs component scores",IF(ISNUMBER(J989),"Calculated",J989))</x:f>
        <x:v>Needs component scores</x:v>
      </x:c>
      <x:c r="M989" s="69" t="n">
        <x:f>IF(C989="","",MATCH(C989,'Position_Rubric'!$A$6:$A$14,0))</x:f>
        <x:v>9</x:v>
      </x:c>
      <x:c r="N989" s="69" t="str"/>
    </x:row>
    <x:row r="990" ht="25" customHeight="1">
      <x:c r="A990" s="69" t="str">
        <x:v>summer-S26-0346</x:v>
      </x:c>
      <x:c r="B990" s="69" t="str">
        <x:v>Yassine Kechta</x:v>
      </x:c>
      <x:c r="C990" s="69"/>
      <x:c r="D990" s="82" t="str">
        <x:f>IF(ISNUMBER('Transfer_Ratings'!K990),'Transfer_Ratings'!K990,"")</x:f>
      </x:c>
      <x:c r="E990" s="86"/>
      <x:c r="F990" s="86"/>
      <x:c r="G990" s="86"/>
      <x:c r="H990" s="86"/>
      <x:c r="I990" s="86"/>
      <x:c r="J990" s="82" t="str">
        <x:f>IF(C990="","Choose position",IF(COUNT(E990:I990)&lt;5,"",IF(OR(MIN(E990:I990)&lt;0.1,MAX(E990:I990)&gt;10),"Invalid score",IF(INDEX('Position_Rubric'!$H$6:$H$14,M990)&lt;&gt;1,"Check weights",ROUND(E990*INDEX('Position_Rubric'!$C$6:$C$14,M990)+F990*INDEX('Position_Rubric'!$D$6:$D$14,M990)+G990*INDEX('Position_Rubric'!$E$6:$E$14,M990)+H990*INDEX('Position_Rubric'!$F$6:$F$14,M990)+I990*INDEX('Position_Rubric'!$G$6:$G$14,M990),1)))))</x:f>
        <x:v>Choose position</x:v>
      </x:c>
      <x:c r="K990" s="82" t="str">
        <x:f>IF(AND(ISNUMBER(J990),ISNUMBER(D990)),J990-D990,"")</x:f>
      </x:c>
      <x:c r="L990" s="69" t="str">
        <x:f>IF(COUNT(E990:I990)&lt;5,"Needs component scores",IF(ISNUMBER(J990),"Calculated",J990))</x:f>
        <x:v>Needs component scores</x:v>
      </x:c>
      <x:c r="M990" s="69" t="str">
        <x:f>IF(C990="","",MATCH(C990,'Position_Rubric'!$A$6:$A$14,0))</x:f>
      </x:c>
      <x:c r="N990" s="69" t="str"/>
    </x:row>
    <x:row r="991" ht="25" customHeight="1">
      <x:c r="A991" s="69" t="str">
        <x:v>summer-S26-0347</x:v>
      </x:c>
      <x:c r="B991" s="69" t="str">
        <x:v>Angus Gunn</x:v>
      </x:c>
      <x:c r="C991" s="69" t="str">
        <x:v>GK</x:v>
      </x:c>
      <x:c r="D991" s="82" t="str">
        <x:f>IF(ISNUMBER('Transfer_Ratings'!K991),'Transfer_Ratings'!K991,"")</x:f>
      </x:c>
      <x:c r="E991" s="86"/>
      <x:c r="F991" s="86"/>
      <x:c r="G991" s="86"/>
      <x:c r="H991" s="86"/>
      <x:c r="I991" s="86"/>
      <x:c r="J991" s="82" t="str">
        <x:f>IF(C991="","Choose position",IF(COUNT(E991:I991)&lt;5,"",IF(OR(MIN(E991:I991)&lt;0.1,MAX(E991:I991)&gt;10),"Invalid score",IF(INDEX('Position_Rubric'!$H$6:$H$14,M991)&lt;&gt;1,"Check weights",ROUND(E991*INDEX('Position_Rubric'!$C$6:$C$14,M991)+F991*INDEX('Position_Rubric'!$D$6:$D$14,M991)+G991*INDEX('Position_Rubric'!$E$6:$E$14,M991)+H991*INDEX('Position_Rubric'!$F$6:$F$14,M991)+I991*INDEX('Position_Rubric'!$G$6:$G$14,M991),1)))))</x:f>
      </x:c>
      <x:c r="K991" s="82" t="str">
        <x:f>IF(AND(ISNUMBER(J991),ISNUMBER(D991)),J991-D991,"")</x:f>
      </x:c>
      <x:c r="L991" s="69" t="str">
        <x:f>IF(COUNT(E991:I991)&lt;5,"Needs component scores",IF(ISNUMBER(J991),"Calculated",J991))</x:f>
        <x:v>Needs component scores</x:v>
      </x:c>
      <x:c r="M991" s="69" t="n">
        <x:f>IF(C991="","",MATCH(C991,'Position_Rubric'!$A$6:$A$14,0))</x:f>
        <x:v>9</x:v>
      </x:c>
      <x:c r="N991" s="69" t="str"/>
    </x:row>
    <x:row r="992" ht="25" customHeight="1">
      <x:c r="A992" s="69" t="str">
        <x:v>summer-S26-0348</x:v>
      </x:c>
      <x:c r="B992" s="69" t="str">
        <x:v>Kjell Wätjen</x:v>
      </x:c>
      <x:c r="C992" s="69"/>
      <x:c r="D992" s="82" t="str">
        <x:f>IF(ISNUMBER('Transfer_Ratings'!K992),'Transfer_Ratings'!K992,"")</x:f>
      </x:c>
      <x:c r="E992" s="86"/>
      <x:c r="F992" s="86"/>
      <x:c r="G992" s="86"/>
      <x:c r="H992" s="86"/>
      <x:c r="I992" s="86"/>
      <x:c r="J992" s="82" t="str">
        <x:f>IF(C992="","Choose position",IF(COUNT(E992:I992)&lt;5,"",IF(OR(MIN(E992:I992)&lt;0.1,MAX(E992:I992)&gt;10),"Invalid score",IF(INDEX('Position_Rubric'!$H$6:$H$14,M992)&lt;&gt;1,"Check weights",ROUND(E992*INDEX('Position_Rubric'!$C$6:$C$14,M992)+F992*INDEX('Position_Rubric'!$D$6:$D$14,M992)+G992*INDEX('Position_Rubric'!$E$6:$E$14,M992)+H992*INDEX('Position_Rubric'!$F$6:$F$14,M992)+I992*INDEX('Position_Rubric'!$G$6:$G$14,M992),1)))))</x:f>
        <x:v>Choose position</x:v>
      </x:c>
      <x:c r="K992" s="82" t="str">
        <x:f>IF(AND(ISNUMBER(J992),ISNUMBER(D992)),J992-D992,"")</x:f>
      </x:c>
      <x:c r="L992" s="69" t="str">
        <x:f>IF(COUNT(E992:I992)&lt;5,"Needs component scores",IF(ISNUMBER(J992),"Calculated",J992))</x:f>
        <x:v>Needs component scores</x:v>
      </x:c>
      <x:c r="M992" s="69" t="str">
        <x:f>IF(C992="","",MATCH(C992,'Position_Rubric'!$A$6:$A$14,0))</x:f>
      </x:c>
      <x:c r="N992" s="69" t="str"/>
    </x:row>
    <x:row r="993" ht="25" customHeight="1">
      <x:c r="A993" s="69" t="str">
        <x:v>summer-S26-0350</x:v>
      </x:c>
      <x:c r="B993" s="69" t="str">
        <x:v>Hennes Behrens</x:v>
      </x:c>
      <x:c r="C993" s="69"/>
      <x:c r="D993" s="82" t="str">
        <x:f>IF(ISNUMBER('Transfer_Ratings'!K993),'Transfer_Ratings'!K993,"")</x:f>
      </x:c>
      <x:c r="E993" s="86"/>
      <x:c r="F993" s="86"/>
      <x:c r="G993" s="86"/>
      <x:c r="H993" s="86"/>
      <x:c r="I993" s="86"/>
      <x:c r="J993" s="82" t="str">
        <x:f>IF(C993="","Choose position",IF(COUNT(E993:I993)&lt;5,"",IF(OR(MIN(E993:I993)&lt;0.1,MAX(E993:I993)&gt;10),"Invalid score",IF(INDEX('Position_Rubric'!$H$6:$H$14,M993)&lt;&gt;1,"Check weights",ROUND(E993*INDEX('Position_Rubric'!$C$6:$C$14,M993)+F993*INDEX('Position_Rubric'!$D$6:$D$14,M993)+G993*INDEX('Position_Rubric'!$E$6:$E$14,M993)+H993*INDEX('Position_Rubric'!$F$6:$F$14,M993)+I993*INDEX('Position_Rubric'!$G$6:$G$14,M993),1)))))</x:f>
        <x:v>Choose position</x:v>
      </x:c>
      <x:c r="K993" s="82" t="str">
        <x:f>IF(AND(ISNUMBER(J993),ISNUMBER(D993)),J993-D993,"")</x:f>
      </x:c>
      <x:c r="L993" s="69" t="str">
        <x:f>IF(COUNT(E993:I993)&lt;5,"Needs component scores",IF(ISNUMBER(J993),"Calculated",J993))</x:f>
        <x:v>Needs component scores</x:v>
      </x:c>
      <x:c r="M993" s="69" t="str">
        <x:f>IF(C993="","",MATCH(C993,'Position_Rubric'!$A$6:$A$14,0))</x:f>
      </x:c>
      <x:c r="N993" s="69" t="str"/>
    </x:row>
    <x:row r="994" ht="25" customHeight="1">
      <x:c r="A994" s="69" t="str">
        <x:v>summer-S26-0351</x:v>
      </x:c>
      <x:c r="B994" s="69" t="str">
        <x:v>Faik Sakar</x:v>
      </x:c>
      <x:c r="C994" s="69"/>
      <x:c r="D994" s="82" t="str">
        <x:f>IF(ISNUMBER('Transfer_Ratings'!K994),'Transfer_Ratings'!K994,"")</x:f>
      </x:c>
      <x:c r="E994" s="86"/>
      <x:c r="F994" s="86"/>
      <x:c r="G994" s="86"/>
      <x:c r="H994" s="86"/>
      <x:c r="I994" s="86"/>
      <x:c r="J994" s="82" t="str">
        <x:f>IF(C994="","Choose position",IF(COUNT(E994:I994)&lt;5,"",IF(OR(MIN(E994:I994)&lt;0.1,MAX(E994:I994)&gt;10),"Invalid score",IF(INDEX('Position_Rubric'!$H$6:$H$14,M994)&lt;&gt;1,"Check weights",ROUND(E994*INDEX('Position_Rubric'!$C$6:$C$14,M994)+F994*INDEX('Position_Rubric'!$D$6:$D$14,M994)+G994*INDEX('Position_Rubric'!$E$6:$E$14,M994)+H994*INDEX('Position_Rubric'!$F$6:$F$14,M994)+I994*INDEX('Position_Rubric'!$G$6:$G$14,M994),1)))))</x:f>
        <x:v>Choose position</x:v>
      </x:c>
      <x:c r="K994" s="82" t="str">
        <x:f>IF(AND(ISNUMBER(J994),ISNUMBER(D994)),J994-D994,"")</x:f>
      </x:c>
      <x:c r="L994" s="69" t="str">
        <x:f>IF(COUNT(E994:I994)&lt;5,"Needs component scores",IF(ISNUMBER(J994),"Calculated",J994))</x:f>
        <x:v>Needs component scores</x:v>
      </x:c>
      <x:c r="M994" s="69" t="str">
        <x:f>IF(C994="","",MATCH(C994,'Position_Rubric'!$A$6:$A$14,0))</x:f>
      </x:c>
      <x:c r="N994" s="69" t="str"/>
    </x:row>
    <x:row r="995" ht="25" customHeight="1">
      <x:c r="A995" s="69" t="str">
        <x:v>summer-S26-0353</x:v>
      </x:c>
      <x:c r="B995" s="69" t="str">
        <x:v>Cieran Slicker</x:v>
      </x:c>
      <x:c r="C995" s="69" t="str">
        <x:v>GK</x:v>
      </x:c>
      <x:c r="D995" s="82" t="str">
        <x:f>IF(ISNUMBER('Transfer_Ratings'!K995),'Transfer_Ratings'!K995,"")</x:f>
      </x:c>
      <x:c r="E995" s="86"/>
      <x:c r="F995" s="86"/>
      <x:c r="G995" s="86"/>
      <x:c r="H995" s="86"/>
      <x:c r="I995" s="86"/>
      <x:c r="J995" s="82" t="str">
        <x:f>IF(C995="","Choose position",IF(COUNT(E995:I995)&lt;5,"",IF(OR(MIN(E995:I995)&lt;0.1,MAX(E995:I995)&gt;10),"Invalid score",IF(INDEX('Position_Rubric'!$H$6:$H$14,M995)&lt;&gt;1,"Check weights",ROUND(E995*INDEX('Position_Rubric'!$C$6:$C$14,M995)+F995*INDEX('Position_Rubric'!$D$6:$D$14,M995)+G995*INDEX('Position_Rubric'!$E$6:$E$14,M995)+H995*INDEX('Position_Rubric'!$F$6:$F$14,M995)+I995*INDEX('Position_Rubric'!$G$6:$G$14,M995),1)))))</x:f>
      </x:c>
      <x:c r="K995" s="82" t="str">
        <x:f>IF(AND(ISNUMBER(J995),ISNUMBER(D995)),J995-D995,"")</x:f>
      </x:c>
      <x:c r="L995" s="69" t="str">
        <x:f>IF(COUNT(E995:I995)&lt;5,"Needs component scores",IF(ISNUMBER(J995),"Calculated",J995))</x:f>
        <x:v>Needs component scores</x:v>
      </x:c>
      <x:c r="M995" s="69" t="n">
        <x:f>IF(C995="","",MATCH(C995,'Position_Rubric'!$A$6:$A$14,0))</x:f>
        <x:v>9</x:v>
      </x:c>
      <x:c r="N995" s="69" t="str"/>
    </x:row>
    <x:row r="996" ht="25" customHeight="1">
      <x:c r="A996" s="69" t="str">
        <x:v>summer-S26-0355</x:v>
      </x:c>
      <x:c r="B996" s="69" t="str">
        <x:v>Calvin Brackelmann</x:v>
      </x:c>
      <x:c r="C996" s="69"/>
      <x:c r="D996" s="82" t="str">
        <x:f>IF(ISNUMBER('Transfer_Ratings'!K996),'Transfer_Ratings'!K996,"")</x:f>
      </x:c>
      <x:c r="E996" s="86"/>
      <x:c r="F996" s="86"/>
      <x:c r="G996" s="86"/>
      <x:c r="H996" s="86"/>
      <x:c r="I996" s="86"/>
      <x:c r="J996" s="82" t="str">
        <x:f>IF(C996="","Choose position",IF(COUNT(E996:I996)&lt;5,"",IF(OR(MIN(E996:I996)&lt;0.1,MAX(E996:I996)&gt;10),"Invalid score",IF(INDEX('Position_Rubric'!$H$6:$H$14,M996)&lt;&gt;1,"Check weights",ROUND(E996*INDEX('Position_Rubric'!$C$6:$C$14,M996)+F996*INDEX('Position_Rubric'!$D$6:$D$14,M996)+G996*INDEX('Position_Rubric'!$E$6:$E$14,M996)+H996*INDEX('Position_Rubric'!$F$6:$F$14,M996)+I996*INDEX('Position_Rubric'!$G$6:$G$14,M996),1)))))</x:f>
        <x:v>Choose position</x:v>
      </x:c>
      <x:c r="K996" s="82" t="str">
        <x:f>IF(AND(ISNUMBER(J996),ISNUMBER(D996)),J996-D996,"")</x:f>
      </x:c>
      <x:c r="L996" s="69" t="str">
        <x:f>IF(COUNT(E996:I996)&lt;5,"Needs component scores",IF(ISNUMBER(J996),"Calculated",J996))</x:f>
        <x:v>Needs component scores</x:v>
      </x:c>
      <x:c r="M996" s="69" t="str">
        <x:f>IF(C996="","",MATCH(C996,'Position_Rubric'!$A$6:$A$14,0))</x:f>
      </x:c>
      <x:c r="N996" s="69" t="str"/>
    </x:row>
    <x:row r="997" ht="25" customHeight="1">
      <x:c r="A997" s="69" t="str">
        <x:v>summer-S26-0357</x:v>
      </x:c>
      <x:c r="B997" s="69" t="str">
        <x:v>Gaetano Oristanio</x:v>
      </x:c>
      <x:c r="C997" s="69"/>
      <x:c r="D997" s="82" t="str">
        <x:f>IF(ISNUMBER('Transfer_Ratings'!K997),'Transfer_Ratings'!K997,"")</x:f>
      </x:c>
      <x:c r="E997" s="86"/>
      <x:c r="F997" s="86"/>
      <x:c r="G997" s="86"/>
      <x:c r="H997" s="86"/>
      <x:c r="I997" s="86"/>
      <x:c r="J997" s="82" t="str">
        <x:f>IF(C997="","Choose position",IF(COUNT(E997:I997)&lt;5,"",IF(OR(MIN(E997:I997)&lt;0.1,MAX(E997:I997)&gt;10),"Invalid score",IF(INDEX('Position_Rubric'!$H$6:$H$14,M997)&lt;&gt;1,"Check weights",ROUND(E997*INDEX('Position_Rubric'!$C$6:$C$14,M997)+F997*INDEX('Position_Rubric'!$D$6:$D$14,M997)+G997*INDEX('Position_Rubric'!$E$6:$E$14,M997)+H997*INDEX('Position_Rubric'!$F$6:$F$14,M997)+I997*INDEX('Position_Rubric'!$G$6:$G$14,M997),1)))))</x:f>
        <x:v>Choose position</x:v>
      </x:c>
      <x:c r="K997" s="82" t="str">
        <x:f>IF(AND(ISNUMBER(J997),ISNUMBER(D997)),J997-D997,"")</x:f>
      </x:c>
      <x:c r="L997" s="69" t="str">
        <x:f>IF(COUNT(E997:I997)&lt;5,"Needs component scores",IF(ISNUMBER(J997),"Calculated",J997))</x:f>
        <x:v>Needs component scores</x:v>
      </x:c>
      <x:c r="M997" s="69" t="str">
        <x:f>IF(C997="","",MATCH(C997,'Position_Rubric'!$A$6:$A$14,0))</x:f>
      </x:c>
      <x:c r="N997" s="69" t="str"/>
    </x:row>
    <x:row r="998" ht="25" customHeight="1">
      <x:c r="A998" s="69" t="str">
        <x:v>summer-S26-0358</x:v>
      </x:c>
      <x:c r="B998" s="69" t="str">
        <x:v>Brajan Gruda</x:v>
      </x:c>
      <x:c r="C998" s="69"/>
      <x:c r="D998" s="82" t="str">
        <x:f>IF(ISNUMBER('Transfer_Ratings'!K998),'Transfer_Ratings'!K998,"")</x:f>
      </x:c>
      <x:c r="E998" s="86"/>
      <x:c r="F998" s="86"/>
      <x:c r="G998" s="86"/>
      <x:c r="H998" s="86"/>
      <x:c r="I998" s="86"/>
      <x:c r="J998" s="82" t="str">
        <x:f>IF(C998="","Choose position",IF(COUNT(E998:I998)&lt;5,"",IF(OR(MIN(E998:I998)&lt;0.1,MAX(E998:I998)&gt;10),"Invalid score",IF(INDEX('Position_Rubric'!$H$6:$H$14,M998)&lt;&gt;1,"Check weights",ROUND(E998*INDEX('Position_Rubric'!$C$6:$C$14,M998)+F998*INDEX('Position_Rubric'!$D$6:$D$14,M998)+G998*INDEX('Position_Rubric'!$E$6:$E$14,M998)+H998*INDEX('Position_Rubric'!$F$6:$F$14,M998)+I998*INDEX('Position_Rubric'!$G$6:$G$14,M998),1)))))</x:f>
        <x:v>Choose position</x:v>
      </x:c>
      <x:c r="K998" s="82" t="str">
        <x:f>IF(AND(ISNUMBER(J998),ISNUMBER(D998)),J998-D998,"")</x:f>
      </x:c>
      <x:c r="L998" s="69" t="str">
        <x:f>IF(COUNT(E998:I998)&lt;5,"Needs component scores",IF(ISNUMBER(J998),"Calculated",J998))</x:f>
        <x:v>Needs component scores</x:v>
      </x:c>
      <x:c r="M998" s="69" t="str">
        <x:f>IF(C998="","",MATCH(C998,'Position_Rubric'!$A$6:$A$14,0))</x:f>
      </x:c>
      <x:c r="N998" s="69" t="str"/>
    </x:row>
    <x:row r="999" ht="25" customHeight="1">
      <x:c r="A999" s="69" t="str">
        <x:v>summer-S26-0359</x:v>
      </x:c>
      <x:c r="B999" s="69" t="str">
        <x:v>Valentino Lazaro</x:v>
      </x:c>
      <x:c r="C999" s="69"/>
      <x:c r="D999" s="82" t="str">
        <x:f>IF(ISNUMBER('Transfer_Ratings'!K999),'Transfer_Ratings'!K999,"")</x:f>
      </x:c>
      <x:c r="E999" s="86"/>
      <x:c r="F999" s="86"/>
      <x:c r="G999" s="86"/>
      <x:c r="H999" s="86"/>
      <x:c r="I999" s="86"/>
      <x:c r="J999" s="82" t="str">
        <x:f>IF(C999="","Choose position",IF(COUNT(E999:I999)&lt;5,"",IF(OR(MIN(E999:I999)&lt;0.1,MAX(E999:I999)&gt;10),"Invalid score",IF(INDEX('Position_Rubric'!$H$6:$H$14,M999)&lt;&gt;1,"Check weights",ROUND(E999*INDEX('Position_Rubric'!$C$6:$C$14,M999)+F999*INDEX('Position_Rubric'!$D$6:$D$14,M999)+G999*INDEX('Position_Rubric'!$E$6:$E$14,M999)+H999*INDEX('Position_Rubric'!$F$6:$F$14,M999)+I999*INDEX('Position_Rubric'!$G$6:$G$14,M999),1)))))</x:f>
        <x:v>Choose position</x:v>
      </x:c>
      <x:c r="K999" s="82" t="str">
        <x:f>IF(AND(ISNUMBER(J999),ISNUMBER(D999)),J999-D999,"")</x:f>
      </x:c>
      <x:c r="L999" s="69" t="str">
        <x:f>IF(COUNT(E999:I999)&lt;5,"Needs component scores",IF(ISNUMBER(J999),"Calculated",J999))</x:f>
        <x:v>Needs component scores</x:v>
      </x:c>
      <x:c r="M999" s="69" t="str">
        <x:f>IF(C999="","",MATCH(C999,'Position_Rubric'!$A$6:$A$14,0))</x:f>
      </x:c>
      <x:c r="N999" s="69" t="str"/>
    </x:row>
    <x:row r="1000" ht="25" customHeight="1">
      <x:c r="A1000" s="69" t="str">
        <x:v>summer-S26-0360</x:v>
      </x:c>
      <x:c r="B1000" s="69" t="str">
        <x:v>Viery</x:v>
      </x:c>
      <x:c r="C1000" s="69"/>
      <x:c r="D1000" s="82" t="str">
        <x:f>IF(ISNUMBER('Transfer_Ratings'!K1000),'Transfer_Ratings'!K1000,"")</x:f>
      </x:c>
      <x:c r="E1000" s="86"/>
      <x:c r="F1000" s="86"/>
      <x:c r="G1000" s="86"/>
      <x:c r="H1000" s="86"/>
      <x:c r="I1000" s="86"/>
      <x:c r="J1000" s="82" t="str">
        <x:f>IF(C1000="","Choose position",IF(COUNT(E1000:I1000)&lt;5,"",IF(OR(MIN(E1000:I1000)&lt;0.1,MAX(E1000:I1000)&gt;10),"Invalid score",IF(INDEX('Position_Rubric'!$H$6:$H$14,M1000)&lt;&gt;1,"Check weights",ROUND(E1000*INDEX('Position_Rubric'!$C$6:$C$14,M1000)+F1000*INDEX('Position_Rubric'!$D$6:$D$14,M1000)+G1000*INDEX('Position_Rubric'!$E$6:$E$14,M1000)+H1000*INDEX('Position_Rubric'!$F$6:$F$14,M1000)+I1000*INDEX('Position_Rubric'!$G$6:$G$14,M1000),1)))))</x:f>
        <x:v>Choose position</x:v>
      </x:c>
      <x:c r="K1000" s="82" t="str">
        <x:f>IF(AND(ISNUMBER(J1000),ISNUMBER(D1000)),J1000-D1000,"")</x:f>
      </x:c>
      <x:c r="L1000" s="69" t="str">
        <x:f>IF(COUNT(E1000:I1000)&lt;5,"Needs component scores",IF(ISNUMBER(J1000),"Calculated",J1000))</x:f>
        <x:v>Needs component scores</x:v>
      </x:c>
      <x:c r="M1000" s="69" t="str">
        <x:f>IF(C1000="","",MATCH(C1000,'Position_Rubric'!$A$6:$A$14,0))</x:f>
      </x:c>
      <x:c r="N1000" s="69" t="str"/>
    </x:row>
    <x:row r="1001" ht="25" customHeight="1">
      <x:c r="A1001" s="69" t="str">
        <x:v>summer-S26-0362</x:v>
      </x:c>
      <x:c r="B1001" s="69" t="str">
        <x:v>Ben Krauhaus</x:v>
      </x:c>
      <x:c r="C1001" s="69"/>
      <x:c r="D1001" s="82" t="str">
        <x:f>IF(ISNUMBER('Transfer_Ratings'!K1001),'Transfer_Ratings'!K1001,"")</x:f>
      </x:c>
      <x:c r="E1001" s="86"/>
      <x:c r="F1001" s="86"/>
      <x:c r="G1001" s="86"/>
      <x:c r="H1001" s="86"/>
      <x:c r="I1001" s="86"/>
      <x:c r="J1001" s="82" t="str">
        <x:f>IF(C1001="","Choose position",IF(COUNT(E1001:I1001)&lt;5,"",IF(OR(MIN(E1001:I1001)&lt;0.1,MAX(E1001:I1001)&gt;10),"Invalid score",IF(INDEX('Position_Rubric'!$H$6:$H$14,M1001)&lt;&gt;1,"Check weights",ROUND(E1001*INDEX('Position_Rubric'!$C$6:$C$14,M1001)+F1001*INDEX('Position_Rubric'!$D$6:$D$14,M1001)+G1001*INDEX('Position_Rubric'!$E$6:$E$14,M1001)+H1001*INDEX('Position_Rubric'!$F$6:$F$14,M1001)+I1001*INDEX('Position_Rubric'!$G$6:$G$14,M1001),1)))))</x:f>
        <x:v>Choose position</x:v>
      </x:c>
      <x:c r="K1001" s="82" t="str">
        <x:f>IF(AND(ISNUMBER(J1001),ISNUMBER(D1001)),J1001-D1001,"")</x:f>
      </x:c>
      <x:c r="L1001" s="69" t="str">
        <x:f>IF(COUNT(E1001:I1001)&lt;5,"Needs component scores",IF(ISNUMBER(J1001),"Calculated",J1001))</x:f>
        <x:v>Needs component scores</x:v>
      </x:c>
      <x:c r="M1001" s="69" t="str">
        <x:f>IF(C1001="","",MATCH(C1001,'Position_Rubric'!$A$6:$A$14,0))</x:f>
      </x:c>
      <x:c r="N1001" s="69" t="str"/>
    </x:row>
    <x:row r="1002" ht="25" customHeight="1">
      <x:c r="A1002" s="69" t="str">
        <x:v>summer-S26-0363</x:v>
      </x:c>
      <x:c r="B1002" s="69" t="str">
        <x:v>Alex Paulsen</x:v>
      </x:c>
      <x:c r="C1002" s="69" t="str">
        <x:v>GK</x:v>
      </x:c>
      <x:c r="D1002" s="82" t="str">
        <x:f>IF(ISNUMBER('Transfer_Ratings'!K1002),'Transfer_Ratings'!K1002,"")</x:f>
      </x:c>
      <x:c r="E1002" s="86"/>
      <x:c r="F1002" s="86"/>
      <x:c r="G1002" s="86"/>
      <x:c r="H1002" s="86"/>
      <x:c r="I1002" s="86"/>
      <x:c r="J1002" s="82" t="str">
        <x:f>IF(C1002="","Choose position",IF(COUNT(E1002:I1002)&lt;5,"",IF(OR(MIN(E1002:I1002)&lt;0.1,MAX(E1002:I1002)&gt;10),"Invalid score",IF(INDEX('Position_Rubric'!$H$6:$H$14,M1002)&lt;&gt;1,"Check weights",ROUND(E1002*INDEX('Position_Rubric'!$C$6:$C$14,M1002)+F1002*INDEX('Position_Rubric'!$D$6:$D$14,M1002)+G1002*INDEX('Position_Rubric'!$E$6:$E$14,M1002)+H1002*INDEX('Position_Rubric'!$F$6:$F$14,M1002)+I1002*INDEX('Position_Rubric'!$G$6:$G$14,M1002),1)))))</x:f>
      </x:c>
      <x:c r="K1002" s="82" t="str">
        <x:f>IF(AND(ISNUMBER(J1002),ISNUMBER(D1002)),J1002-D1002,"")</x:f>
      </x:c>
      <x:c r="L1002" s="69" t="str">
        <x:f>IF(COUNT(E1002:I1002)&lt;5,"Needs component scores",IF(ISNUMBER(J1002),"Calculated",J1002))</x:f>
        <x:v>Needs component scores</x:v>
      </x:c>
      <x:c r="M1002" s="69" t="n">
        <x:f>IF(C1002="","",MATCH(C1002,'Position_Rubric'!$A$6:$A$14,0))</x:f>
        <x:v>9</x:v>
      </x:c>
      <x:c r="N1002" s="69" t="str"/>
    </x:row>
    <x:row r="1003" ht="25" customHeight="1">
      <x:c r="A1003" s="69" t="str">
        <x:v>summer-S26-0368</x:v>
      </x:c>
      <x:c r="B1003" s="69" t="str">
        <x:v>Jonathan Asp Jensen</x:v>
      </x:c>
      <x:c r="C1003" s="69"/>
      <x:c r="D1003" s="82" t="str">
        <x:f>IF(ISNUMBER('Transfer_Ratings'!K1003),'Transfer_Ratings'!K1003,"")</x:f>
      </x:c>
      <x:c r="E1003" s="86"/>
      <x:c r="F1003" s="86"/>
      <x:c r="G1003" s="86"/>
      <x:c r="H1003" s="86"/>
      <x:c r="I1003" s="86"/>
      <x:c r="J1003" s="82" t="str">
        <x:f>IF(C1003="","Choose position",IF(COUNT(E1003:I1003)&lt;5,"",IF(OR(MIN(E1003:I1003)&lt;0.1,MAX(E1003:I1003)&gt;10),"Invalid score",IF(INDEX('Position_Rubric'!$H$6:$H$14,M1003)&lt;&gt;1,"Check weights",ROUND(E1003*INDEX('Position_Rubric'!$C$6:$C$14,M1003)+F1003*INDEX('Position_Rubric'!$D$6:$D$14,M1003)+G1003*INDEX('Position_Rubric'!$E$6:$E$14,M1003)+H1003*INDEX('Position_Rubric'!$F$6:$F$14,M1003)+I1003*INDEX('Position_Rubric'!$G$6:$G$14,M1003),1)))))</x:f>
        <x:v>Choose position</x:v>
      </x:c>
      <x:c r="K1003" s="82" t="str">
        <x:f>IF(AND(ISNUMBER(J1003),ISNUMBER(D1003)),J1003-D1003,"")</x:f>
      </x:c>
      <x:c r="L1003" s="69" t="str">
        <x:f>IF(COUNT(E1003:I1003)&lt;5,"Needs component scores",IF(ISNUMBER(J1003),"Calculated",J1003))</x:f>
        <x:v>Needs component scores</x:v>
      </x:c>
      <x:c r="M1003" s="69" t="str">
        <x:f>IF(C1003="","",MATCH(C1003,'Position_Rubric'!$A$6:$A$14,0))</x:f>
      </x:c>
      <x:c r="N1003" s="69" t="str"/>
    </x:row>
    <x:row r="1004" ht="25" customHeight="1">
      <x:c r="A1004" s="69" t="str">
        <x:v>summer-S26-0369</x:v>
      </x:c>
      <x:c r="B1004" s="69" t="str">
        <x:v>Martin Adeline</x:v>
      </x:c>
      <x:c r="C1004" s="69"/>
      <x:c r="D1004" s="82" t="str">
        <x:f>IF(ISNUMBER('Transfer_Ratings'!K1004),'Transfer_Ratings'!K1004,"")</x:f>
      </x:c>
      <x:c r="E1004" s="86"/>
      <x:c r="F1004" s="86"/>
      <x:c r="G1004" s="86"/>
      <x:c r="H1004" s="86"/>
      <x:c r="I1004" s="86"/>
      <x:c r="J1004" s="82" t="str">
        <x:f>IF(C1004="","Choose position",IF(COUNT(E1004:I1004)&lt;5,"",IF(OR(MIN(E1004:I1004)&lt;0.1,MAX(E1004:I1004)&gt;10),"Invalid score",IF(INDEX('Position_Rubric'!$H$6:$H$14,M1004)&lt;&gt;1,"Check weights",ROUND(E1004*INDEX('Position_Rubric'!$C$6:$C$14,M1004)+F1004*INDEX('Position_Rubric'!$D$6:$D$14,M1004)+G1004*INDEX('Position_Rubric'!$E$6:$E$14,M1004)+H1004*INDEX('Position_Rubric'!$F$6:$F$14,M1004)+I1004*INDEX('Position_Rubric'!$G$6:$G$14,M1004),1)))))</x:f>
        <x:v>Choose position</x:v>
      </x:c>
      <x:c r="K1004" s="82" t="str">
        <x:f>IF(AND(ISNUMBER(J1004),ISNUMBER(D1004)),J1004-D1004,"")</x:f>
      </x:c>
      <x:c r="L1004" s="69" t="str">
        <x:f>IF(COUNT(E1004:I1004)&lt;5,"Needs component scores",IF(ISNUMBER(J1004),"Calculated",J1004))</x:f>
        <x:v>Needs component scores</x:v>
      </x:c>
      <x:c r="M1004" s="69" t="str">
        <x:f>IF(C1004="","",MATCH(C1004,'Position_Rubric'!$A$6:$A$14,0))</x:f>
      </x:c>
      <x:c r="N1004" s="69" t="str"/>
    </x:row>
    <x:row r="1005" ht="25" customHeight="1">
      <x:c r="A1005" s="69" t="str">
        <x:v>summer-S26-0370</x:v>
      </x:c>
      <x:c r="B1005" s="69" t="str">
        <x:v>Elia Plicco</x:v>
      </x:c>
      <x:c r="C1005" s="69"/>
      <x:c r="D1005" s="82" t="str">
        <x:f>IF(ISNUMBER('Transfer_Ratings'!K1005),'Transfer_Ratings'!K1005,"")</x:f>
      </x:c>
      <x:c r="E1005" s="86"/>
      <x:c r="F1005" s="86"/>
      <x:c r="G1005" s="86"/>
      <x:c r="H1005" s="86"/>
      <x:c r="I1005" s="86"/>
      <x:c r="J1005" s="82" t="str">
        <x:f>IF(C1005="","Choose position",IF(COUNT(E1005:I1005)&lt;5,"",IF(OR(MIN(E1005:I1005)&lt;0.1,MAX(E1005:I1005)&gt;10),"Invalid score",IF(INDEX('Position_Rubric'!$H$6:$H$14,M1005)&lt;&gt;1,"Check weights",ROUND(E1005*INDEX('Position_Rubric'!$C$6:$C$14,M1005)+F1005*INDEX('Position_Rubric'!$D$6:$D$14,M1005)+G1005*INDEX('Position_Rubric'!$E$6:$E$14,M1005)+H1005*INDEX('Position_Rubric'!$F$6:$F$14,M1005)+I1005*INDEX('Position_Rubric'!$G$6:$G$14,M1005),1)))))</x:f>
        <x:v>Choose position</x:v>
      </x:c>
      <x:c r="K1005" s="82" t="str">
        <x:f>IF(AND(ISNUMBER(J1005),ISNUMBER(D1005)),J1005-D1005,"")</x:f>
      </x:c>
      <x:c r="L1005" s="69" t="str">
        <x:f>IF(COUNT(E1005:I1005)&lt;5,"Needs component scores",IF(ISNUMBER(J1005),"Calculated",J1005))</x:f>
        <x:v>Needs component scores</x:v>
      </x:c>
      <x:c r="M1005" s="69" t="str">
        <x:f>IF(C1005="","",MATCH(C1005,'Position_Rubric'!$A$6:$A$14,0))</x:f>
      </x:c>
      <x:c r="N1005" s="69" t="str"/>
    </x:row>
    <x:row r="1006" ht="25" customHeight="1">
      <x:c r="A1006" s="69" t="str">
        <x:v>summer-S26-0374</x:v>
      </x:c>
      <x:c r="B1006" s="69" t="str">
        <x:v>Jacopo Fazzini</x:v>
      </x:c>
      <x:c r="C1006" s="69"/>
      <x:c r="D1006" s="82" t="str">
        <x:f>IF(ISNUMBER('Transfer_Ratings'!K1006),'Transfer_Ratings'!K1006,"")</x:f>
      </x:c>
      <x:c r="E1006" s="86"/>
      <x:c r="F1006" s="86"/>
      <x:c r="G1006" s="86"/>
      <x:c r="H1006" s="86"/>
      <x:c r="I1006" s="86"/>
      <x:c r="J1006" s="82" t="str">
        <x:f>IF(C1006="","Choose position",IF(COUNT(E1006:I1006)&lt;5,"",IF(OR(MIN(E1006:I1006)&lt;0.1,MAX(E1006:I1006)&gt;10),"Invalid score",IF(INDEX('Position_Rubric'!$H$6:$H$14,M1006)&lt;&gt;1,"Check weights",ROUND(E1006*INDEX('Position_Rubric'!$C$6:$C$14,M1006)+F1006*INDEX('Position_Rubric'!$D$6:$D$14,M1006)+G1006*INDEX('Position_Rubric'!$E$6:$E$14,M1006)+H1006*INDEX('Position_Rubric'!$F$6:$F$14,M1006)+I1006*INDEX('Position_Rubric'!$G$6:$G$14,M1006),1)))))</x:f>
        <x:v>Choose position</x:v>
      </x:c>
      <x:c r="K1006" s="82" t="str">
        <x:f>IF(AND(ISNUMBER(J1006),ISNUMBER(D1006)),J1006-D1006,"")</x:f>
      </x:c>
      <x:c r="L1006" s="69" t="str">
        <x:f>IF(COUNT(E1006:I1006)&lt;5,"Needs component scores",IF(ISNUMBER(J1006),"Calculated",J1006))</x:f>
        <x:v>Needs component scores</x:v>
      </x:c>
      <x:c r="M1006" s="69" t="str">
        <x:f>IF(C1006="","",MATCH(C1006,'Position_Rubric'!$A$6:$A$14,0))</x:f>
      </x:c>
      <x:c r="N1006" s="69" t="str"/>
    </x:row>
    <x:row r="1007" ht="25" customHeight="1">
      <x:c r="A1007" s="69" t="str">
        <x:v>summer-S26-0376</x:v>
      </x:c>
      <x:c r="B1007" s="69" t="str">
        <x:v>Yann Sommer</x:v>
      </x:c>
      <x:c r="C1007" s="69" t="str">
        <x:v>GK</x:v>
      </x:c>
      <x:c r="D1007" s="82" t="str">
        <x:f>IF(ISNUMBER('Transfer_Ratings'!K1007),'Transfer_Ratings'!K1007,"")</x:f>
      </x:c>
      <x:c r="E1007" s="86"/>
      <x:c r="F1007" s="86"/>
      <x:c r="G1007" s="86"/>
      <x:c r="H1007" s="86"/>
      <x:c r="I1007" s="86"/>
      <x:c r="J1007" s="82" t="str">
        <x:f>IF(C1007="","Choose position",IF(COUNT(E1007:I1007)&lt;5,"",IF(OR(MIN(E1007:I1007)&lt;0.1,MAX(E1007:I1007)&gt;10),"Invalid score",IF(INDEX('Position_Rubric'!$H$6:$H$14,M1007)&lt;&gt;1,"Check weights",ROUND(E1007*INDEX('Position_Rubric'!$C$6:$C$14,M1007)+F1007*INDEX('Position_Rubric'!$D$6:$D$14,M1007)+G1007*INDEX('Position_Rubric'!$E$6:$E$14,M1007)+H1007*INDEX('Position_Rubric'!$F$6:$F$14,M1007)+I1007*INDEX('Position_Rubric'!$G$6:$G$14,M1007),1)))))</x:f>
      </x:c>
      <x:c r="K1007" s="82" t="str">
        <x:f>IF(AND(ISNUMBER(J1007),ISNUMBER(D1007)),J1007-D1007,"")</x:f>
      </x:c>
      <x:c r="L1007" s="69" t="str">
        <x:f>IF(COUNT(E1007:I1007)&lt;5,"Needs component scores",IF(ISNUMBER(J1007),"Calculated",J1007))</x:f>
        <x:v>Needs component scores</x:v>
      </x:c>
      <x:c r="M1007" s="69" t="n">
        <x:f>IF(C1007="","",MATCH(C1007,'Position_Rubric'!$A$6:$A$14,0))</x:f>
        <x:v>9</x:v>
      </x:c>
      <x:c r="N1007" s="69" t="str"/>
    </x:row>
    <x:row r="1008" ht="25" customHeight="1">
      <x:c r="A1008" s="69" t="str">
        <x:v>summer-S26-0377</x:v>
      </x:c>
      <x:c r="B1008" s="69" t="str">
        <x:v>Luka Vuskovic</x:v>
      </x:c>
      <x:c r="C1008" s="69"/>
      <x:c r="D1008" s="82" t="str">
        <x:f>IF(ISNUMBER('Transfer_Ratings'!K1008),'Transfer_Ratings'!K1008,"")</x:f>
      </x:c>
      <x:c r="E1008" s="86"/>
      <x:c r="F1008" s="86"/>
      <x:c r="G1008" s="86"/>
      <x:c r="H1008" s="86"/>
      <x:c r="I1008" s="86"/>
      <x:c r="J1008" s="82" t="str">
        <x:f>IF(C1008="","Choose position",IF(COUNT(E1008:I1008)&lt;5,"",IF(OR(MIN(E1008:I1008)&lt;0.1,MAX(E1008:I1008)&gt;10),"Invalid score",IF(INDEX('Position_Rubric'!$H$6:$H$14,M1008)&lt;&gt;1,"Check weights",ROUND(E1008*INDEX('Position_Rubric'!$C$6:$C$14,M1008)+F1008*INDEX('Position_Rubric'!$D$6:$D$14,M1008)+G1008*INDEX('Position_Rubric'!$E$6:$E$14,M1008)+H1008*INDEX('Position_Rubric'!$F$6:$F$14,M1008)+I1008*INDEX('Position_Rubric'!$G$6:$G$14,M1008),1)))))</x:f>
        <x:v>Choose position</x:v>
      </x:c>
      <x:c r="K1008" s="82" t="str">
        <x:f>IF(AND(ISNUMBER(J1008),ISNUMBER(D1008)),J1008-D1008,"")</x:f>
      </x:c>
      <x:c r="L1008" s="69" t="str">
        <x:f>IF(COUNT(E1008:I1008)&lt;5,"Needs component scores",IF(ISNUMBER(J1008),"Calculated",J1008))</x:f>
        <x:v>Needs component scores</x:v>
      </x:c>
      <x:c r="M1008" s="69" t="str">
        <x:f>IF(C1008="","",MATCH(C1008,'Position_Rubric'!$A$6:$A$14,0))</x:f>
      </x:c>
      <x:c r="N1008" s="69" t="str"/>
    </x:row>
    <x:row r="1009" ht="25" customHeight="1">
      <x:c r="A1009" s="69" t="str">
        <x:v>summer-S26-0378</x:v>
      </x:c>
      <x:c r="B1009" s="69" t="str">
        <x:v>Yasser Larouci</x:v>
      </x:c>
      <x:c r="C1009" s="69"/>
      <x:c r="D1009" s="82" t="str">
        <x:f>IF(ISNUMBER('Transfer_Ratings'!K1009),'Transfer_Ratings'!K1009,"")</x:f>
      </x:c>
      <x:c r="E1009" s="86"/>
      <x:c r="F1009" s="86"/>
      <x:c r="G1009" s="86"/>
      <x:c r="H1009" s="86"/>
      <x:c r="I1009" s="86"/>
      <x:c r="J1009" s="82" t="str">
        <x:f>IF(C1009="","Choose position",IF(COUNT(E1009:I1009)&lt;5,"",IF(OR(MIN(E1009:I1009)&lt;0.1,MAX(E1009:I1009)&gt;10),"Invalid score",IF(INDEX('Position_Rubric'!$H$6:$H$14,M1009)&lt;&gt;1,"Check weights",ROUND(E1009*INDEX('Position_Rubric'!$C$6:$C$14,M1009)+F1009*INDEX('Position_Rubric'!$D$6:$D$14,M1009)+G1009*INDEX('Position_Rubric'!$E$6:$E$14,M1009)+H1009*INDEX('Position_Rubric'!$F$6:$F$14,M1009)+I1009*INDEX('Position_Rubric'!$G$6:$G$14,M1009),1)))))</x:f>
        <x:v>Choose position</x:v>
      </x:c>
      <x:c r="K1009" s="82" t="str">
        <x:f>IF(AND(ISNUMBER(J1009),ISNUMBER(D1009)),J1009-D1009,"")</x:f>
      </x:c>
      <x:c r="L1009" s="69" t="str">
        <x:f>IF(COUNT(E1009:I1009)&lt;5,"Needs component scores",IF(ISNUMBER(J1009),"Calculated",J1009))</x:f>
        <x:v>Needs component scores</x:v>
      </x:c>
      <x:c r="M1009" s="69" t="str">
        <x:f>IF(C1009="","",MATCH(C1009,'Position_Rubric'!$A$6:$A$14,0))</x:f>
      </x:c>
      <x:c r="N1009" s="69" t="str"/>
    </x:row>
    <x:row r="1010" ht="25" customHeight="1">
      <x:c r="A1010" s="69" t="str">
        <x:v>summer-S26-0379</x:v>
      </x:c>
      <x:c r="B1010" s="69" t="str">
        <x:v>Lohann Doucet</x:v>
      </x:c>
      <x:c r="C1010" s="69"/>
      <x:c r="D1010" s="82" t="str">
        <x:f>IF(ISNUMBER('Transfer_Ratings'!K1010),'Transfer_Ratings'!K1010,"")</x:f>
      </x:c>
      <x:c r="E1010" s="86"/>
      <x:c r="F1010" s="86"/>
      <x:c r="G1010" s="86"/>
      <x:c r="H1010" s="86"/>
      <x:c r="I1010" s="86"/>
      <x:c r="J1010" s="82" t="str">
        <x:f>IF(C1010="","Choose position",IF(COUNT(E1010:I1010)&lt;5,"",IF(OR(MIN(E1010:I1010)&lt;0.1,MAX(E1010:I1010)&gt;10),"Invalid score",IF(INDEX('Position_Rubric'!$H$6:$H$14,M1010)&lt;&gt;1,"Check weights",ROUND(E1010*INDEX('Position_Rubric'!$C$6:$C$14,M1010)+F1010*INDEX('Position_Rubric'!$D$6:$D$14,M1010)+G1010*INDEX('Position_Rubric'!$E$6:$E$14,M1010)+H1010*INDEX('Position_Rubric'!$F$6:$F$14,M1010)+I1010*INDEX('Position_Rubric'!$G$6:$G$14,M1010),1)))))</x:f>
        <x:v>Choose position</x:v>
      </x:c>
      <x:c r="K1010" s="82" t="str">
        <x:f>IF(AND(ISNUMBER(J1010),ISNUMBER(D1010)),J1010-D1010,"")</x:f>
      </x:c>
      <x:c r="L1010" s="69" t="str">
        <x:f>IF(COUNT(E1010:I1010)&lt;5,"Needs component scores",IF(ISNUMBER(J1010),"Calculated",J1010))</x:f>
        <x:v>Needs component scores</x:v>
      </x:c>
      <x:c r="M1010" s="69" t="str">
        <x:f>IF(C1010="","",MATCH(C1010,'Position_Rubric'!$A$6:$A$14,0))</x:f>
      </x:c>
      <x:c r="N1010" s="69" t="str"/>
    </x:row>
    <x:row r="1011" ht="25" customHeight="1">
      <x:c r="A1011" s="69" t="str">
        <x:v>summer-S26-0380</x:v>
      </x:c>
      <x:c r="B1011" s="69" t="str">
        <x:v>Víctor Parada</x:v>
      </x:c>
      <x:c r="C1011" s="69"/>
      <x:c r="D1011" s="82" t="str">
        <x:f>IF(ISNUMBER('Transfer_Ratings'!K1011),'Transfer_Ratings'!K1011,"")</x:f>
      </x:c>
      <x:c r="E1011" s="86"/>
      <x:c r="F1011" s="86"/>
      <x:c r="G1011" s="86"/>
      <x:c r="H1011" s="86"/>
      <x:c r="I1011" s="86"/>
      <x:c r="J1011" s="82" t="str">
        <x:f>IF(C1011="","Choose position",IF(COUNT(E1011:I1011)&lt;5,"",IF(OR(MIN(E1011:I1011)&lt;0.1,MAX(E1011:I1011)&gt;10),"Invalid score",IF(INDEX('Position_Rubric'!$H$6:$H$14,M1011)&lt;&gt;1,"Check weights",ROUND(E1011*INDEX('Position_Rubric'!$C$6:$C$14,M1011)+F1011*INDEX('Position_Rubric'!$D$6:$D$14,M1011)+G1011*INDEX('Position_Rubric'!$E$6:$E$14,M1011)+H1011*INDEX('Position_Rubric'!$F$6:$F$14,M1011)+I1011*INDEX('Position_Rubric'!$G$6:$G$14,M1011),1)))))</x:f>
        <x:v>Choose position</x:v>
      </x:c>
      <x:c r="K1011" s="82" t="str">
        <x:f>IF(AND(ISNUMBER(J1011),ISNUMBER(D1011)),J1011-D1011,"")</x:f>
      </x:c>
      <x:c r="L1011" s="69" t="str">
        <x:f>IF(COUNT(E1011:I1011)&lt;5,"Needs component scores",IF(ISNUMBER(J1011),"Calculated",J1011))</x:f>
        <x:v>Needs component scores</x:v>
      </x:c>
      <x:c r="M1011" s="69" t="str">
        <x:f>IF(C1011="","",MATCH(C1011,'Position_Rubric'!$A$6:$A$14,0))</x:f>
      </x:c>
      <x:c r="N1011" s="69" t="str"/>
    </x:row>
    <x:row r="1012" ht="25" customHeight="1">
      <x:c r="A1012" s="69" t="str">
        <x:v>summer-S26-0382</x:v>
      </x:c>
      <x:c r="B1012" s="69" t="str">
        <x:v>Danilho Doekhi</x:v>
      </x:c>
      <x:c r="C1012" s="69"/>
      <x:c r="D1012" s="82" t="str">
        <x:f>IF(ISNUMBER('Transfer_Ratings'!K1012),'Transfer_Ratings'!K1012,"")</x:f>
      </x:c>
      <x:c r="E1012" s="86"/>
      <x:c r="F1012" s="86"/>
      <x:c r="G1012" s="86"/>
      <x:c r="H1012" s="86"/>
      <x:c r="I1012" s="86"/>
      <x:c r="J1012" s="82" t="str">
        <x:f>IF(C1012="","Choose position",IF(COUNT(E1012:I1012)&lt;5,"",IF(OR(MIN(E1012:I1012)&lt;0.1,MAX(E1012:I1012)&gt;10),"Invalid score",IF(INDEX('Position_Rubric'!$H$6:$H$14,M1012)&lt;&gt;1,"Check weights",ROUND(E1012*INDEX('Position_Rubric'!$C$6:$C$14,M1012)+F1012*INDEX('Position_Rubric'!$D$6:$D$14,M1012)+G1012*INDEX('Position_Rubric'!$E$6:$E$14,M1012)+H1012*INDEX('Position_Rubric'!$F$6:$F$14,M1012)+I1012*INDEX('Position_Rubric'!$G$6:$G$14,M1012),1)))))</x:f>
        <x:v>Choose position</x:v>
      </x:c>
      <x:c r="K1012" s="82" t="str">
        <x:f>IF(AND(ISNUMBER(J1012),ISNUMBER(D1012)),J1012-D1012,"")</x:f>
      </x:c>
      <x:c r="L1012" s="69" t="str">
        <x:f>IF(COUNT(E1012:I1012)&lt;5,"Needs component scores",IF(ISNUMBER(J1012),"Calculated",J1012))</x:f>
        <x:v>Needs component scores</x:v>
      </x:c>
      <x:c r="M1012" s="69" t="str">
        <x:f>IF(C1012="","",MATCH(C1012,'Position_Rubric'!$A$6:$A$14,0))</x:f>
      </x:c>
      <x:c r="N1012" s="69" t="str"/>
    </x:row>
    <x:row r="1013" ht="25" customHeight="1">
      <x:c r="A1013" s="69" t="str">
        <x:v>summer-S26-0383</x:v>
      </x:c>
      <x:c r="B1013" s="69" t="str">
        <x:v>Fellipe Jack</x:v>
      </x:c>
      <x:c r="C1013" s="69"/>
      <x:c r="D1013" s="82" t="str">
        <x:f>IF(ISNUMBER('Transfer_Ratings'!K1013),'Transfer_Ratings'!K1013,"")</x:f>
      </x:c>
      <x:c r="E1013" s="86"/>
      <x:c r="F1013" s="86"/>
      <x:c r="G1013" s="86"/>
      <x:c r="H1013" s="86"/>
      <x:c r="I1013" s="86"/>
      <x:c r="J1013" s="82" t="str">
        <x:f>IF(C1013="","Choose position",IF(COUNT(E1013:I1013)&lt;5,"",IF(OR(MIN(E1013:I1013)&lt;0.1,MAX(E1013:I1013)&gt;10),"Invalid score",IF(INDEX('Position_Rubric'!$H$6:$H$14,M1013)&lt;&gt;1,"Check weights",ROUND(E1013*INDEX('Position_Rubric'!$C$6:$C$14,M1013)+F1013*INDEX('Position_Rubric'!$D$6:$D$14,M1013)+G1013*INDEX('Position_Rubric'!$E$6:$E$14,M1013)+H1013*INDEX('Position_Rubric'!$F$6:$F$14,M1013)+I1013*INDEX('Position_Rubric'!$G$6:$G$14,M1013),1)))))</x:f>
        <x:v>Choose position</x:v>
      </x:c>
      <x:c r="K1013" s="82" t="str">
        <x:f>IF(AND(ISNUMBER(J1013),ISNUMBER(D1013)),J1013-D1013,"")</x:f>
      </x:c>
      <x:c r="L1013" s="69" t="str">
        <x:f>IF(COUNT(E1013:I1013)&lt;5,"Needs component scores",IF(ISNUMBER(J1013),"Calculated",J1013))</x:f>
        <x:v>Needs component scores</x:v>
      </x:c>
      <x:c r="M1013" s="69" t="str">
        <x:f>IF(C1013="","",MATCH(C1013,'Position_Rubric'!$A$6:$A$14,0))</x:f>
      </x:c>
      <x:c r="N1013" s="69" t="str"/>
    </x:row>
    <x:row r="1014" ht="25" customHeight="1">
      <x:c r="A1014" s="69" t="str">
        <x:v>summer-S26-0384</x:v>
      </x:c>
      <x:c r="B1014" s="69" t="str">
        <x:v>Youri Tielemans</x:v>
      </x:c>
      <x:c r="C1014" s="69"/>
      <x:c r="D1014" s="82" t="str">
        <x:f>IF(ISNUMBER('Transfer_Ratings'!K1014),'Transfer_Ratings'!K1014,"")</x:f>
      </x:c>
      <x:c r="E1014" s="86"/>
      <x:c r="F1014" s="86"/>
      <x:c r="G1014" s="86"/>
      <x:c r="H1014" s="86"/>
      <x:c r="I1014" s="86"/>
      <x:c r="J1014" s="82" t="str">
        <x:f>IF(C1014="","Choose position",IF(COUNT(E1014:I1014)&lt;5,"",IF(OR(MIN(E1014:I1014)&lt;0.1,MAX(E1014:I1014)&gt;10),"Invalid score",IF(INDEX('Position_Rubric'!$H$6:$H$14,M1014)&lt;&gt;1,"Check weights",ROUND(E1014*INDEX('Position_Rubric'!$C$6:$C$14,M1014)+F1014*INDEX('Position_Rubric'!$D$6:$D$14,M1014)+G1014*INDEX('Position_Rubric'!$E$6:$E$14,M1014)+H1014*INDEX('Position_Rubric'!$F$6:$F$14,M1014)+I1014*INDEX('Position_Rubric'!$G$6:$G$14,M1014),1)))))</x:f>
        <x:v>Choose position</x:v>
      </x:c>
      <x:c r="K1014" s="82" t="str">
        <x:f>IF(AND(ISNUMBER(J1014),ISNUMBER(D1014)),J1014-D1014,"")</x:f>
      </x:c>
      <x:c r="L1014" s="69" t="str">
        <x:f>IF(COUNT(E1014:I1014)&lt;5,"Needs component scores",IF(ISNUMBER(J1014),"Calculated",J1014))</x:f>
        <x:v>Needs component scores</x:v>
      </x:c>
      <x:c r="M1014" s="69" t="str">
        <x:f>IF(C1014="","",MATCH(C1014,'Position_Rubric'!$A$6:$A$14,0))</x:f>
      </x:c>
      <x:c r="N1014" s="69" t="str"/>
    </x:row>
    <x:row r="1015" ht="25" customHeight="1">
      <x:c r="A1015" s="69" t="str">
        <x:v>summer-S26-0385</x:v>
      </x:c>
      <x:c r="B1015" s="69" t="str">
        <x:v>Thomas Meunier</x:v>
      </x:c>
      <x:c r="C1015" s="69"/>
      <x:c r="D1015" s="82" t="str">
        <x:f>IF(ISNUMBER('Transfer_Ratings'!K1015),'Transfer_Ratings'!K1015,"")</x:f>
      </x:c>
      <x:c r="E1015" s="86"/>
      <x:c r="F1015" s="86"/>
      <x:c r="G1015" s="86"/>
      <x:c r="H1015" s="86"/>
      <x:c r="I1015" s="86"/>
      <x:c r="J1015" s="82" t="str">
        <x:f>IF(C1015="","Choose position",IF(COUNT(E1015:I1015)&lt;5,"",IF(OR(MIN(E1015:I1015)&lt;0.1,MAX(E1015:I1015)&gt;10),"Invalid score",IF(INDEX('Position_Rubric'!$H$6:$H$14,M1015)&lt;&gt;1,"Check weights",ROUND(E1015*INDEX('Position_Rubric'!$C$6:$C$14,M1015)+F1015*INDEX('Position_Rubric'!$D$6:$D$14,M1015)+G1015*INDEX('Position_Rubric'!$E$6:$E$14,M1015)+H1015*INDEX('Position_Rubric'!$F$6:$F$14,M1015)+I1015*INDEX('Position_Rubric'!$G$6:$G$14,M1015),1)))))</x:f>
        <x:v>Choose position</x:v>
      </x:c>
      <x:c r="K1015" s="82" t="str">
        <x:f>IF(AND(ISNUMBER(J1015),ISNUMBER(D1015)),J1015-D1015,"")</x:f>
      </x:c>
      <x:c r="L1015" s="69" t="str">
        <x:f>IF(COUNT(E1015:I1015)&lt;5,"Needs component scores",IF(ISNUMBER(J1015),"Calculated",J1015))</x:f>
        <x:v>Needs component scores</x:v>
      </x:c>
      <x:c r="M1015" s="69" t="str">
        <x:f>IF(C1015="","",MATCH(C1015,'Position_Rubric'!$A$6:$A$14,0))</x:f>
      </x:c>
      <x:c r="N1015" s="69" t="str"/>
    </x:row>
    <x:row r="1016" ht="25" customHeight="1">
      <x:c r="A1016" s="69" t="str">
        <x:v>summer-S26-0386</x:v>
      </x:c>
      <x:c r="B1016" s="69" t="str">
        <x:v>Christ Makosso</x:v>
      </x:c>
      <x:c r="C1016" s="69"/>
      <x:c r="D1016" s="82" t="str">
        <x:f>IF(ISNUMBER('Transfer_Ratings'!K1016),'Transfer_Ratings'!K1016,"")</x:f>
      </x:c>
      <x:c r="E1016" s="86"/>
      <x:c r="F1016" s="86"/>
      <x:c r="G1016" s="86"/>
      <x:c r="H1016" s="86"/>
      <x:c r="I1016" s="86"/>
      <x:c r="J1016" s="82" t="str">
        <x:f>IF(C1016="","Choose position",IF(COUNT(E1016:I1016)&lt;5,"",IF(OR(MIN(E1016:I1016)&lt;0.1,MAX(E1016:I1016)&gt;10),"Invalid score",IF(INDEX('Position_Rubric'!$H$6:$H$14,M1016)&lt;&gt;1,"Check weights",ROUND(E1016*INDEX('Position_Rubric'!$C$6:$C$14,M1016)+F1016*INDEX('Position_Rubric'!$D$6:$D$14,M1016)+G1016*INDEX('Position_Rubric'!$E$6:$E$14,M1016)+H1016*INDEX('Position_Rubric'!$F$6:$F$14,M1016)+I1016*INDEX('Position_Rubric'!$G$6:$G$14,M1016),1)))))</x:f>
        <x:v>Choose position</x:v>
      </x:c>
      <x:c r="K1016" s="82" t="str">
        <x:f>IF(AND(ISNUMBER(J1016),ISNUMBER(D1016)),J1016-D1016,"")</x:f>
      </x:c>
      <x:c r="L1016" s="69" t="str">
        <x:f>IF(COUNT(E1016:I1016)&lt;5,"Needs component scores",IF(ISNUMBER(J1016),"Calculated",J1016))</x:f>
        <x:v>Needs component scores</x:v>
      </x:c>
      <x:c r="M1016" s="69" t="str">
        <x:f>IF(C1016="","",MATCH(C1016,'Position_Rubric'!$A$6:$A$14,0))</x:f>
      </x:c>
      <x:c r="N1016" s="69" t="str"/>
    </x:row>
    <x:row r="1017" ht="25" customHeight="1">
      <x:c r="A1017" s="69" t="str">
        <x:v>summer-S26-0387</x:v>
      </x:c>
      <x:c r="B1017" s="69" t="str">
        <x:v>Mattia Liberali</x:v>
      </x:c>
      <x:c r="C1017" s="69"/>
      <x:c r="D1017" s="82" t="str">
        <x:f>IF(ISNUMBER('Transfer_Ratings'!K1017),'Transfer_Ratings'!K1017,"")</x:f>
      </x:c>
      <x:c r="E1017" s="86"/>
      <x:c r="F1017" s="86"/>
      <x:c r="G1017" s="86"/>
      <x:c r="H1017" s="86"/>
      <x:c r="I1017" s="86"/>
      <x:c r="J1017" s="82" t="str">
        <x:f>IF(C1017="","Choose position",IF(COUNT(E1017:I1017)&lt;5,"",IF(OR(MIN(E1017:I1017)&lt;0.1,MAX(E1017:I1017)&gt;10),"Invalid score",IF(INDEX('Position_Rubric'!$H$6:$H$14,M1017)&lt;&gt;1,"Check weights",ROUND(E1017*INDEX('Position_Rubric'!$C$6:$C$14,M1017)+F1017*INDEX('Position_Rubric'!$D$6:$D$14,M1017)+G1017*INDEX('Position_Rubric'!$E$6:$E$14,M1017)+H1017*INDEX('Position_Rubric'!$F$6:$F$14,M1017)+I1017*INDEX('Position_Rubric'!$G$6:$G$14,M1017),1)))))</x:f>
        <x:v>Choose position</x:v>
      </x:c>
      <x:c r="K1017" s="82" t="str">
        <x:f>IF(AND(ISNUMBER(J1017),ISNUMBER(D1017)),J1017-D1017,"")</x:f>
      </x:c>
      <x:c r="L1017" s="69" t="str">
        <x:f>IF(COUNT(E1017:I1017)&lt;5,"Needs component scores",IF(ISNUMBER(J1017),"Calculated",J1017))</x:f>
        <x:v>Needs component scores</x:v>
      </x:c>
      <x:c r="M1017" s="69" t="str">
        <x:f>IF(C1017="","",MATCH(C1017,'Position_Rubric'!$A$6:$A$14,0))</x:f>
      </x:c>
      <x:c r="N1017" s="69" t="str"/>
    </x:row>
    <x:row r="1018" ht="25" customHeight="1">
      <x:c r="A1018" s="69" t="str">
        <x:v>summer-S26-0392</x:v>
      </x:c>
      <x:c r="B1018" s="69" t="str">
        <x:v>Adrián Pica</x:v>
      </x:c>
      <x:c r="C1018" s="69"/>
      <x:c r="D1018" s="82" t="str">
        <x:f>IF(ISNUMBER('Transfer_Ratings'!K1018),'Transfer_Ratings'!K1018,"")</x:f>
      </x:c>
      <x:c r="E1018" s="86"/>
      <x:c r="F1018" s="86"/>
      <x:c r="G1018" s="86"/>
      <x:c r="H1018" s="86"/>
      <x:c r="I1018" s="86"/>
      <x:c r="J1018" s="82" t="str">
        <x:f>IF(C1018="","Choose position",IF(COUNT(E1018:I1018)&lt;5,"",IF(OR(MIN(E1018:I1018)&lt;0.1,MAX(E1018:I1018)&gt;10),"Invalid score",IF(INDEX('Position_Rubric'!$H$6:$H$14,M1018)&lt;&gt;1,"Check weights",ROUND(E1018*INDEX('Position_Rubric'!$C$6:$C$14,M1018)+F1018*INDEX('Position_Rubric'!$D$6:$D$14,M1018)+G1018*INDEX('Position_Rubric'!$E$6:$E$14,M1018)+H1018*INDEX('Position_Rubric'!$F$6:$F$14,M1018)+I1018*INDEX('Position_Rubric'!$G$6:$G$14,M1018),1)))))</x:f>
        <x:v>Choose position</x:v>
      </x:c>
      <x:c r="K1018" s="82" t="str">
        <x:f>IF(AND(ISNUMBER(J1018),ISNUMBER(D1018)),J1018-D1018,"")</x:f>
      </x:c>
      <x:c r="L1018" s="69" t="str">
        <x:f>IF(COUNT(E1018:I1018)&lt;5,"Needs component scores",IF(ISNUMBER(J1018),"Calculated",J1018))</x:f>
        <x:v>Needs component scores</x:v>
      </x:c>
      <x:c r="M1018" s="69" t="str">
        <x:f>IF(C1018="","",MATCH(C1018,'Position_Rubric'!$A$6:$A$14,0))</x:f>
      </x:c>
      <x:c r="N1018" s="69" t="str"/>
    </x:row>
    <x:row r="1019" ht="25" customHeight="1">
      <x:c r="A1019" s="69" t="str">
        <x:v>summer-S26-0393</x:v>
      </x:c>
      <x:c r="B1019" s="69" t="str">
        <x:v>Horatiu Moldovan</x:v>
      </x:c>
      <x:c r="C1019" s="69" t="str">
        <x:v>GK</x:v>
      </x:c>
      <x:c r="D1019" s="82" t="str">
        <x:f>IF(ISNUMBER('Transfer_Ratings'!K1019),'Transfer_Ratings'!K1019,"")</x:f>
      </x:c>
      <x:c r="E1019" s="86"/>
      <x:c r="F1019" s="86"/>
      <x:c r="G1019" s="86"/>
      <x:c r="H1019" s="86"/>
      <x:c r="I1019" s="86"/>
      <x:c r="J1019" s="82" t="str">
        <x:f>IF(C1019="","Choose position",IF(COUNT(E1019:I1019)&lt;5,"",IF(OR(MIN(E1019:I1019)&lt;0.1,MAX(E1019:I1019)&gt;10),"Invalid score",IF(INDEX('Position_Rubric'!$H$6:$H$14,M1019)&lt;&gt;1,"Check weights",ROUND(E1019*INDEX('Position_Rubric'!$C$6:$C$14,M1019)+F1019*INDEX('Position_Rubric'!$D$6:$D$14,M1019)+G1019*INDEX('Position_Rubric'!$E$6:$E$14,M1019)+H1019*INDEX('Position_Rubric'!$F$6:$F$14,M1019)+I1019*INDEX('Position_Rubric'!$G$6:$G$14,M1019),1)))))</x:f>
      </x:c>
      <x:c r="K1019" s="82" t="str">
        <x:f>IF(AND(ISNUMBER(J1019),ISNUMBER(D1019)),J1019-D1019,"")</x:f>
      </x:c>
      <x:c r="L1019" s="69" t="str">
        <x:f>IF(COUNT(E1019:I1019)&lt;5,"Needs component scores",IF(ISNUMBER(J1019),"Calculated",J1019))</x:f>
        <x:v>Needs component scores</x:v>
      </x:c>
      <x:c r="M1019" s="69" t="n">
        <x:f>IF(C1019="","",MATCH(C1019,'Position_Rubric'!$A$6:$A$14,0))</x:f>
        <x:v>9</x:v>
      </x:c>
      <x:c r="N1019" s="69" t="str"/>
    </x:row>
    <x:row r="1020" ht="25" customHeight="1">
      <x:c r="A1020" s="69" t="str">
        <x:v>summer-S26-0395</x:v>
      </x:c>
      <x:c r="B1020" s="69" t="str">
        <x:v>Jonas Harder</x:v>
      </x:c>
      <x:c r="C1020" s="69"/>
      <x:c r="D1020" s="82" t="str">
        <x:f>IF(ISNUMBER('Transfer_Ratings'!K1020),'Transfer_Ratings'!K1020,"")</x:f>
      </x:c>
      <x:c r="E1020" s="86"/>
      <x:c r="F1020" s="86"/>
      <x:c r="G1020" s="86"/>
      <x:c r="H1020" s="86"/>
      <x:c r="I1020" s="86"/>
      <x:c r="J1020" s="82" t="str">
        <x:f>IF(C1020="","Choose position",IF(COUNT(E1020:I1020)&lt;5,"",IF(OR(MIN(E1020:I1020)&lt;0.1,MAX(E1020:I1020)&gt;10),"Invalid score",IF(INDEX('Position_Rubric'!$H$6:$H$14,M1020)&lt;&gt;1,"Check weights",ROUND(E1020*INDEX('Position_Rubric'!$C$6:$C$14,M1020)+F1020*INDEX('Position_Rubric'!$D$6:$D$14,M1020)+G1020*INDEX('Position_Rubric'!$E$6:$E$14,M1020)+H1020*INDEX('Position_Rubric'!$F$6:$F$14,M1020)+I1020*INDEX('Position_Rubric'!$G$6:$G$14,M1020),1)))))</x:f>
        <x:v>Choose position</x:v>
      </x:c>
      <x:c r="K1020" s="82" t="str">
        <x:f>IF(AND(ISNUMBER(J1020),ISNUMBER(D1020)),J1020-D1020,"")</x:f>
      </x:c>
      <x:c r="L1020" s="69" t="str">
        <x:f>IF(COUNT(E1020:I1020)&lt;5,"Needs component scores",IF(ISNUMBER(J1020),"Calculated",J1020))</x:f>
        <x:v>Needs component scores</x:v>
      </x:c>
      <x:c r="M1020" s="69" t="str">
        <x:f>IF(C1020="","",MATCH(C1020,'Position_Rubric'!$A$6:$A$14,0))</x:f>
      </x:c>
      <x:c r="N1020" s="69" t="str"/>
    </x:row>
    <x:row r="1021" ht="25" customHeight="1">
      <x:c r="A1021" s="69" t="str">
        <x:v>summer-S26-0397</x:v>
      </x:c>
      <x:c r="B1021" s="69" t="str">
        <x:v>Luca Di Maggio</x:v>
      </x:c>
      <x:c r="C1021" s="69"/>
      <x:c r="D1021" s="82" t="str">
        <x:f>IF(ISNUMBER('Transfer_Ratings'!K1021),'Transfer_Ratings'!K1021,"")</x:f>
      </x:c>
      <x:c r="E1021" s="86"/>
      <x:c r="F1021" s="86"/>
      <x:c r="G1021" s="86"/>
      <x:c r="H1021" s="86"/>
      <x:c r="I1021" s="86"/>
      <x:c r="J1021" s="82" t="str">
        <x:f>IF(C1021="","Choose position",IF(COUNT(E1021:I1021)&lt;5,"",IF(OR(MIN(E1021:I1021)&lt;0.1,MAX(E1021:I1021)&gt;10),"Invalid score",IF(INDEX('Position_Rubric'!$H$6:$H$14,M1021)&lt;&gt;1,"Check weights",ROUND(E1021*INDEX('Position_Rubric'!$C$6:$C$14,M1021)+F1021*INDEX('Position_Rubric'!$D$6:$D$14,M1021)+G1021*INDEX('Position_Rubric'!$E$6:$E$14,M1021)+H1021*INDEX('Position_Rubric'!$F$6:$F$14,M1021)+I1021*INDEX('Position_Rubric'!$G$6:$G$14,M1021),1)))))</x:f>
        <x:v>Choose position</x:v>
      </x:c>
      <x:c r="K1021" s="82" t="str">
        <x:f>IF(AND(ISNUMBER(J1021),ISNUMBER(D1021)),J1021-D1021,"")</x:f>
      </x:c>
      <x:c r="L1021" s="69" t="str">
        <x:f>IF(COUNT(E1021:I1021)&lt;5,"Needs component scores",IF(ISNUMBER(J1021),"Calculated",J1021))</x:f>
        <x:v>Needs component scores</x:v>
      </x:c>
      <x:c r="M1021" s="69" t="str">
        <x:f>IF(C1021="","",MATCH(C1021,'Position_Rubric'!$A$6:$A$14,0))</x:f>
      </x:c>
      <x:c r="N1021" s="69" t="str"/>
    </x:row>
    <x:row r="1022" ht="25" customHeight="1">
      <x:c r="A1022" s="69" t="str">
        <x:v>summer-S26-0399</x:v>
      </x:c>
      <x:c r="B1022" s="69" t="str">
        <x:v>Elkan Baggott</x:v>
      </x:c>
      <x:c r="C1022" s="69"/>
      <x:c r="D1022" s="82" t="str">
        <x:f>IF(ISNUMBER('Transfer_Ratings'!K1022),'Transfer_Ratings'!K1022,"")</x:f>
      </x:c>
      <x:c r="E1022" s="86"/>
      <x:c r="F1022" s="86"/>
      <x:c r="G1022" s="86"/>
      <x:c r="H1022" s="86"/>
      <x:c r="I1022" s="86"/>
      <x:c r="J1022" s="82" t="str">
        <x:f>IF(C1022="","Choose position",IF(COUNT(E1022:I1022)&lt;5,"",IF(OR(MIN(E1022:I1022)&lt;0.1,MAX(E1022:I1022)&gt;10),"Invalid score",IF(INDEX('Position_Rubric'!$H$6:$H$14,M1022)&lt;&gt;1,"Check weights",ROUND(E1022*INDEX('Position_Rubric'!$C$6:$C$14,M1022)+F1022*INDEX('Position_Rubric'!$D$6:$D$14,M1022)+G1022*INDEX('Position_Rubric'!$E$6:$E$14,M1022)+H1022*INDEX('Position_Rubric'!$F$6:$F$14,M1022)+I1022*INDEX('Position_Rubric'!$G$6:$G$14,M1022),1)))))</x:f>
        <x:v>Choose position</x:v>
      </x:c>
      <x:c r="K1022" s="82" t="str">
        <x:f>IF(AND(ISNUMBER(J1022),ISNUMBER(D1022)),J1022-D1022,"")</x:f>
      </x:c>
      <x:c r="L1022" s="69" t="str">
        <x:f>IF(COUNT(E1022:I1022)&lt;5,"Needs component scores",IF(ISNUMBER(J1022),"Calculated",J1022))</x:f>
        <x:v>Needs component scores</x:v>
      </x:c>
      <x:c r="M1022" s="69" t="str">
        <x:f>IF(C1022="","",MATCH(C1022,'Position_Rubric'!$A$6:$A$14,0))</x:f>
      </x:c>
      <x:c r="N1022" s="69" t="str"/>
    </x:row>
    <x:row r="1023" ht="25" customHeight="1">
      <x:c r="A1023" s="69" t="str">
        <x:v>summer-S26-0400</x:v>
      </x:c>
      <x:c r="B1023" s="69" t="str">
        <x:v>Oliwier Zych</x:v>
      </x:c>
      <x:c r="C1023" s="69" t="str">
        <x:v>GK</x:v>
      </x:c>
      <x:c r="D1023" s="82" t="str">
        <x:f>IF(ISNUMBER('Transfer_Ratings'!K1023),'Transfer_Ratings'!K1023,"")</x:f>
      </x:c>
      <x:c r="E1023" s="86"/>
      <x:c r="F1023" s="86"/>
      <x:c r="G1023" s="86"/>
      <x:c r="H1023" s="86"/>
      <x:c r="I1023" s="86"/>
      <x:c r="J1023" s="82" t="str">
        <x:f>IF(C1023="","Choose position",IF(COUNT(E1023:I1023)&lt;5,"",IF(OR(MIN(E1023:I1023)&lt;0.1,MAX(E1023:I1023)&gt;10),"Invalid score",IF(INDEX('Position_Rubric'!$H$6:$H$14,M1023)&lt;&gt;1,"Check weights",ROUND(E1023*INDEX('Position_Rubric'!$C$6:$C$14,M1023)+F1023*INDEX('Position_Rubric'!$D$6:$D$14,M1023)+G1023*INDEX('Position_Rubric'!$E$6:$E$14,M1023)+H1023*INDEX('Position_Rubric'!$F$6:$F$14,M1023)+I1023*INDEX('Position_Rubric'!$G$6:$G$14,M1023),1)))))</x:f>
      </x:c>
      <x:c r="K1023" s="82" t="str">
        <x:f>IF(AND(ISNUMBER(J1023),ISNUMBER(D1023)),J1023-D1023,"")</x:f>
      </x:c>
      <x:c r="L1023" s="69" t="str">
        <x:f>IF(COUNT(E1023:I1023)&lt;5,"Needs component scores",IF(ISNUMBER(J1023),"Calculated",J1023))</x:f>
        <x:v>Needs component scores</x:v>
      </x:c>
      <x:c r="M1023" s="69" t="n">
        <x:f>IF(C1023="","",MATCH(C1023,'Position_Rubric'!$A$6:$A$14,0))</x:f>
        <x:v>9</x:v>
      </x:c>
      <x:c r="N1023" s="69" t="str"/>
    </x:row>
    <x:row r="1024" ht="25" customHeight="1">
      <x:c r="A1024" s="69" t="str">
        <x:v>summer-S26-0401</x:v>
      </x:c>
      <x:c r="B1024" s="69" t="str">
        <x:v>Vincent Burlet</x:v>
      </x:c>
      <x:c r="C1024" s="69"/>
      <x:c r="D1024" s="82" t="str">
        <x:f>IF(ISNUMBER('Transfer_Ratings'!K1024),'Transfer_Ratings'!K1024,"")</x:f>
      </x:c>
      <x:c r="E1024" s="86"/>
      <x:c r="F1024" s="86"/>
      <x:c r="G1024" s="86"/>
      <x:c r="H1024" s="86"/>
      <x:c r="I1024" s="86"/>
      <x:c r="J1024" s="82" t="str">
        <x:f>IF(C1024="","Choose position",IF(COUNT(E1024:I1024)&lt;5,"",IF(OR(MIN(E1024:I1024)&lt;0.1,MAX(E1024:I1024)&gt;10),"Invalid score",IF(INDEX('Position_Rubric'!$H$6:$H$14,M1024)&lt;&gt;1,"Check weights",ROUND(E1024*INDEX('Position_Rubric'!$C$6:$C$14,M1024)+F1024*INDEX('Position_Rubric'!$D$6:$D$14,M1024)+G1024*INDEX('Position_Rubric'!$E$6:$E$14,M1024)+H1024*INDEX('Position_Rubric'!$F$6:$F$14,M1024)+I1024*INDEX('Position_Rubric'!$G$6:$G$14,M1024),1)))))</x:f>
        <x:v>Choose position</x:v>
      </x:c>
      <x:c r="K1024" s="82" t="str">
        <x:f>IF(AND(ISNUMBER(J1024),ISNUMBER(D1024)),J1024-D1024,"")</x:f>
      </x:c>
      <x:c r="L1024" s="69" t="str">
        <x:f>IF(COUNT(E1024:I1024)&lt;5,"Needs component scores",IF(ISNUMBER(J1024),"Calculated",J1024))</x:f>
        <x:v>Needs component scores</x:v>
      </x:c>
      <x:c r="M1024" s="69" t="str">
        <x:f>IF(C1024="","",MATCH(C1024,'Position_Rubric'!$A$6:$A$14,0))</x:f>
      </x:c>
      <x:c r="N1024" s="69" t="str"/>
    </x:row>
    <x:row r="1025" ht="25" customHeight="1">
      <x:c r="A1025" s="69" t="str">
        <x:v>summer-S26-0402</x:v>
      </x:c>
      <x:c r="B1025" s="69" t="str">
        <x:v>Aïssa Mandi</x:v>
      </x:c>
      <x:c r="C1025" s="69"/>
      <x:c r="D1025" s="82" t="str">
        <x:f>IF(ISNUMBER('Transfer_Ratings'!K1025),'Transfer_Ratings'!K1025,"")</x:f>
      </x:c>
      <x:c r="E1025" s="86"/>
      <x:c r="F1025" s="86"/>
      <x:c r="G1025" s="86"/>
      <x:c r="H1025" s="86"/>
      <x:c r="I1025" s="86"/>
      <x:c r="J1025" s="82" t="str">
        <x:f>IF(C1025="","Choose position",IF(COUNT(E1025:I1025)&lt;5,"",IF(OR(MIN(E1025:I1025)&lt;0.1,MAX(E1025:I1025)&gt;10),"Invalid score",IF(INDEX('Position_Rubric'!$H$6:$H$14,M1025)&lt;&gt;1,"Check weights",ROUND(E1025*INDEX('Position_Rubric'!$C$6:$C$14,M1025)+F1025*INDEX('Position_Rubric'!$D$6:$D$14,M1025)+G1025*INDEX('Position_Rubric'!$E$6:$E$14,M1025)+H1025*INDEX('Position_Rubric'!$F$6:$F$14,M1025)+I1025*INDEX('Position_Rubric'!$G$6:$G$14,M1025),1)))))</x:f>
        <x:v>Choose position</x:v>
      </x:c>
      <x:c r="K1025" s="82" t="str">
        <x:f>IF(AND(ISNUMBER(J1025),ISNUMBER(D1025)),J1025-D1025,"")</x:f>
      </x:c>
      <x:c r="L1025" s="69" t="str">
        <x:f>IF(COUNT(E1025:I1025)&lt;5,"Needs component scores",IF(ISNUMBER(J1025),"Calculated",J1025))</x:f>
        <x:v>Needs component scores</x:v>
      </x:c>
      <x:c r="M1025" s="69" t="str">
        <x:f>IF(C1025="","",MATCH(C1025,'Position_Rubric'!$A$6:$A$14,0))</x:f>
      </x:c>
      <x:c r="N1025" s="69" t="str"/>
    </x:row>
    <x:row r="1026" ht="25" customHeight="1">
      <x:c r="A1026" s="69" t="str">
        <x:v>summer-S26-0403</x:v>
      </x:c>
      <x:c r="B1026" s="69" t="str">
        <x:v>Isaac Schmidt</x:v>
      </x:c>
      <x:c r="C1026" s="69"/>
      <x:c r="D1026" s="82" t="str">
        <x:f>IF(ISNUMBER('Transfer_Ratings'!K1026),'Transfer_Ratings'!K1026,"")</x:f>
      </x:c>
      <x:c r="E1026" s="86"/>
      <x:c r="F1026" s="86"/>
      <x:c r="G1026" s="86"/>
      <x:c r="H1026" s="86"/>
      <x:c r="I1026" s="86"/>
      <x:c r="J1026" s="82" t="str">
        <x:f>IF(C1026="","Choose position",IF(COUNT(E1026:I1026)&lt;5,"",IF(OR(MIN(E1026:I1026)&lt;0.1,MAX(E1026:I1026)&gt;10),"Invalid score",IF(INDEX('Position_Rubric'!$H$6:$H$14,M1026)&lt;&gt;1,"Check weights",ROUND(E1026*INDEX('Position_Rubric'!$C$6:$C$14,M1026)+F1026*INDEX('Position_Rubric'!$D$6:$D$14,M1026)+G1026*INDEX('Position_Rubric'!$E$6:$E$14,M1026)+H1026*INDEX('Position_Rubric'!$F$6:$F$14,M1026)+I1026*INDEX('Position_Rubric'!$G$6:$G$14,M1026),1)))))</x:f>
        <x:v>Choose position</x:v>
      </x:c>
      <x:c r="K1026" s="82" t="str">
        <x:f>IF(AND(ISNUMBER(J1026),ISNUMBER(D1026)),J1026-D1026,"")</x:f>
      </x:c>
      <x:c r="L1026" s="69" t="str">
        <x:f>IF(COUNT(E1026:I1026)&lt;5,"Needs component scores",IF(ISNUMBER(J1026),"Calculated",J1026))</x:f>
        <x:v>Needs component scores</x:v>
      </x:c>
      <x:c r="M1026" s="69" t="str">
        <x:f>IF(C1026="","",MATCH(C1026,'Position_Rubric'!$A$6:$A$14,0))</x:f>
      </x:c>
      <x:c r="N1026" s="69" t="str"/>
    </x:row>
    <x:row r="1027" ht="25" customHeight="1">
      <x:c r="A1027" s="69" t="str">
        <x:v>summer-S26-0404</x:v>
      </x:c>
      <x:c r="B1027" s="69" t="str">
        <x:v>Diego Coppola</x:v>
      </x:c>
      <x:c r="C1027" s="69"/>
      <x:c r="D1027" s="82" t="str">
        <x:f>IF(ISNUMBER('Transfer_Ratings'!K1027),'Transfer_Ratings'!K1027,"")</x:f>
      </x:c>
      <x:c r="E1027" s="86"/>
      <x:c r="F1027" s="86"/>
      <x:c r="G1027" s="86"/>
      <x:c r="H1027" s="86"/>
      <x:c r="I1027" s="86"/>
      <x:c r="J1027" s="82" t="str">
        <x:f>IF(C1027="","Choose position",IF(COUNT(E1027:I1027)&lt;5,"",IF(OR(MIN(E1027:I1027)&lt;0.1,MAX(E1027:I1027)&gt;10),"Invalid score",IF(INDEX('Position_Rubric'!$H$6:$H$14,M1027)&lt;&gt;1,"Check weights",ROUND(E1027*INDEX('Position_Rubric'!$C$6:$C$14,M1027)+F1027*INDEX('Position_Rubric'!$D$6:$D$14,M1027)+G1027*INDEX('Position_Rubric'!$E$6:$E$14,M1027)+H1027*INDEX('Position_Rubric'!$F$6:$F$14,M1027)+I1027*INDEX('Position_Rubric'!$G$6:$G$14,M1027),1)))))</x:f>
        <x:v>Choose position</x:v>
      </x:c>
      <x:c r="K1027" s="82" t="str">
        <x:f>IF(AND(ISNUMBER(J1027),ISNUMBER(D1027)),J1027-D1027,"")</x:f>
      </x:c>
      <x:c r="L1027" s="69" t="str">
        <x:f>IF(COUNT(E1027:I1027)&lt;5,"Needs component scores",IF(ISNUMBER(J1027),"Calculated",J1027))</x:f>
        <x:v>Needs component scores</x:v>
      </x:c>
      <x:c r="M1027" s="69" t="str">
        <x:f>IF(C1027="","",MATCH(C1027,'Position_Rubric'!$A$6:$A$14,0))</x:f>
      </x:c>
      <x:c r="N1027" s="69" t="str"/>
    </x:row>
    <x:row r="1028" ht="25" customHeight="1">
      <x:c r="A1028" s="69" t="str">
        <x:v>summer-S26-0405</x:v>
      </x:c>
      <x:c r="B1028" s="69" t="str">
        <x:v>Andrés García</x:v>
      </x:c>
      <x:c r="C1028" s="69"/>
      <x:c r="D1028" s="82" t="str">
        <x:f>IF(ISNUMBER('Transfer_Ratings'!K1028),'Transfer_Ratings'!K1028,"")</x:f>
      </x:c>
      <x:c r="E1028" s="86"/>
      <x:c r="F1028" s="86"/>
      <x:c r="G1028" s="86"/>
      <x:c r="H1028" s="86"/>
      <x:c r="I1028" s="86"/>
      <x:c r="J1028" s="82" t="str">
        <x:f>IF(C1028="","Choose position",IF(COUNT(E1028:I1028)&lt;5,"",IF(OR(MIN(E1028:I1028)&lt;0.1,MAX(E1028:I1028)&gt;10),"Invalid score",IF(INDEX('Position_Rubric'!$H$6:$H$14,M1028)&lt;&gt;1,"Check weights",ROUND(E1028*INDEX('Position_Rubric'!$C$6:$C$14,M1028)+F1028*INDEX('Position_Rubric'!$D$6:$D$14,M1028)+G1028*INDEX('Position_Rubric'!$E$6:$E$14,M1028)+H1028*INDEX('Position_Rubric'!$F$6:$F$14,M1028)+I1028*INDEX('Position_Rubric'!$G$6:$G$14,M1028),1)))))</x:f>
        <x:v>Choose position</x:v>
      </x:c>
      <x:c r="K1028" s="82" t="str">
        <x:f>IF(AND(ISNUMBER(J1028),ISNUMBER(D1028)),J1028-D1028,"")</x:f>
      </x:c>
      <x:c r="L1028" s="69" t="str">
        <x:f>IF(COUNT(E1028:I1028)&lt;5,"Needs component scores",IF(ISNUMBER(J1028),"Calculated",J1028))</x:f>
        <x:v>Needs component scores</x:v>
      </x:c>
      <x:c r="M1028" s="69" t="str">
        <x:f>IF(C1028="","",MATCH(C1028,'Position_Rubric'!$A$6:$A$14,0))</x:f>
      </x:c>
      <x:c r="N1028" s="69" t="str"/>
    </x:row>
    <x:row r="1029" ht="25" customHeight="1">
      <x:c r="A1029" s="69" t="str">
        <x:v>summer-S26-0406</x:v>
      </x:c>
      <x:c r="B1029" s="69" t="str">
        <x:v>Timothée Pembélé</x:v>
      </x:c>
      <x:c r="C1029" s="69"/>
      <x:c r="D1029" s="82" t="str">
        <x:f>IF(ISNUMBER('Transfer_Ratings'!K1029),'Transfer_Ratings'!K1029,"")</x:f>
      </x:c>
      <x:c r="E1029" s="86"/>
      <x:c r="F1029" s="86"/>
      <x:c r="G1029" s="86"/>
      <x:c r="H1029" s="86"/>
      <x:c r="I1029" s="86"/>
      <x:c r="J1029" s="82" t="str">
        <x:f>IF(C1029="","Choose position",IF(COUNT(E1029:I1029)&lt;5,"",IF(OR(MIN(E1029:I1029)&lt;0.1,MAX(E1029:I1029)&gt;10),"Invalid score",IF(INDEX('Position_Rubric'!$H$6:$H$14,M1029)&lt;&gt;1,"Check weights",ROUND(E1029*INDEX('Position_Rubric'!$C$6:$C$14,M1029)+F1029*INDEX('Position_Rubric'!$D$6:$D$14,M1029)+G1029*INDEX('Position_Rubric'!$E$6:$E$14,M1029)+H1029*INDEX('Position_Rubric'!$F$6:$F$14,M1029)+I1029*INDEX('Position_Rubric'!$G$6:$G$14,M1029),1)))))</x:f>
        <x:v>Choose position</x:v>
      </x:c>
      <x:c r="K1029" s="82" t="str">
        <x:f>IF(AND(ISNUMBER(J1029),ISNUMBER(D1029)),J1029-D1029,"")</x:f>
      </x:c>
      <x:c r="L1029" s="69" t="str">
        <x:f>IF(COUNT(E1029:I1029)&lt;5,"Needs component scores",IF(ISNUMBER(J1029),"Calculated",J1029))</x:f>
        <x:v>Needs component scores</x:v>
      </x:c>
      <x:c r="M1029" s="69" t="str">
        <x:f>IF(C1029="","",MATCH(C1029,'Position_Rubric'!$A$6:$A$14,0))</x:f>
      </x:c>
      <x:c r="N1029" s="69" t="str"/>
    </x:row>
    <x:row r="1030" ht="25" customHeight="1">
      <x:c r="A1030" s="69" t="str">
        <x:v>summer-S26-0407</x:v>
      </x:c>
      <x:c r="B1030" s="69" t="str">
        <x:v>Lovro Zvonarek</x:v>
      </x:c>
      <x:c r="C1030" s="69"/>
      <x:c r="D1030" s="82" t="str">
        <x:f>IF(ISNUMBER('Transfer_Ratings'!K1030),'Transfer_Ratings'!K1030,"")</x:f>
      </x:c>
      <x:c r="E1030" s="86"/>
      <x:c r="F1030" s="86"/>
      <x:c r="G1030" s="86"/>
      <x:c r="H1030" s="86"/>
      <x:c r="I1030" s="86"/>
      <x:c r="J1030" s="82" t="str">
        <x:f>IF(C1030="","Choose position",IF(COUNT(E1030:I1030)&lt;5,"",IF(OR(MIN(E1030:I1030)&lt;0.1,MAX(E1030:I1030)&gt;10),"Invalid score",IF(INDEX('Position_Rubric'!$H$6:$H$14,M1030)&lt;&gt;1,"Check weights",ROUND(E1030*INDEX('Position_Rubric'!$C$6:$C$14,M1030)+F1030*INDEX('Position_Rubric'!$D$6:$D$14,M1030)+G1030*INDEX('Position_Rubric'!$E$6:$E$14,M1030)+H1030*INDEX('Position_Rubric'!$F$6:$F$14,M1030)+I1030*INDEX('Position_Rubric'!$G$6:$G$14,M1030),1)))))</x:f>
        <x:v>Choose position</x:v>
      </x:c>
      <x:c r="K1030" s="82" t="str">
        <x:f>IF(AND(ISNUMBER(J1030),ISNUMBER(D1030)),J1030-D1030,"")</x:f>
      </x:c>
      <x:c r="L1030" s="69" t="str">
        <x:f>IF(COUNT(E1030:I1030)&lt;5,"Needs component scores",IF(ISNUMBER(J1030),"Calculated",J1030))</x:f>
        <x:v>Needs component scores</x:v>
      </x:c>
      <x:c r="M1030" s="69" t="str">
        <x:f>IF(C1030="","",MATCH(C1030,'Position_Rubric'!$A$6:$A$14,0))</x:f>
      </x:c>
      <x:c r="N1030" s="69" t="str"/>
    </x:row>
    <x:row r="1031" ht="25" customHeight="1">
      <x:c r="A1031" s="69" t="str">
        <x:v>summer-S26-0409</x:v>
      </x:c>
      <x:c r="B1031" s="69" t="str">
        <x:v>Iron Gomis</x:v>
      </x:c>
      <x:c r="C1031" s="69"/>
      <x:c r="D1031" s="82" t="str">
        <x:f>IF(ISNUMBER('Transfer_Ratings'!K1031),'Transfer_Ratings'!K1031,"")</x:f>
      </x:c>
      <x:c r="E1031" s="86"/>
      <x:c r="F1031" s="86"/>
      <x:c r="G1031" s="86"/>
      <x:c r="H1031" s="86"/>
      <x:c r="I1031" s="86"/>
      <x:c r="J1031" s="82" t="str">
        <x:f>IF(C1031="","Choose position",IF(COUNT(E1031:I1031)&lt;5,"",IF(OR(MIN(E1031:I1031)&lt;0.1,MAX(E1031:I1031)&gt;10),"Invalid score",IF(INDEX('Position_Rubric'!$H$6:$H$14,M1031)&lt;&gt;1,"Check weights",ROUND(E1031*INDEX('Position_Rubric'!$C$6:$C$14,M1031)+F1031*INDEX('Position_Rubric'!$D$6:$D$14,M1031)+G1031*INDEX('Position_Rubric'!$E$6:$E$14,M1031)+H1031*INDEX('Position_Rubric'!$F$6:$F$14,M1031)+I1031*INDEX('Position_Rubric'!$G$6:$G$14,M1031),1)))))</x:f>
        <x:v>Choose position</x:v>
      </x:c>
      <x:c r="K1031" s="82" t="str">
        <x:f>IF(AND(ISNUMBER(J1031),ISNUMBER(D1031)),J1031-D1031,"")</x:f>
      </x:c>
      <x:c r="L1031" s="69" t="str">
        <x:f>IF(COUNT(E1031:I1031)&lt;5,"Needs component scores",IF(ISNUMBER(J1031),"Calculated",J1031))</x:f>
        <x:v>Needs component scores</x:v>
      </x:c>
      <x:c r="M1031" s="69" t="str">
        <x:f>IF(C1031="","",MATCH(C1031,'Position_Rubric'!$A$6:$A$14,0))</x:f>
      </x:c>
      <x:c r="N1031" s="69" t="str"/>
    </x:row>
    <x:row r="1032" ht="25" customHeight="1">
      <x:c r="A1032" s="69" t="str">
        <x:v>summer-S26-0412</x:v>
      </x:c>
      <x:c r="B1032" s="69" t="str">
        <x:v>Niklas Pyyhtiä</x:v>
      </x:c>
      <x:c r="C1032" s="69"/>
      <x:c r="D1032" s="82" t="str">
        <x:f>IF(ISNUMBER('Transfer_Ratings'!K1032),'Transfer_Ratings'!K1032,"")</x:f>
      </x:c>
      <x:c r="E1032" s="86"/>
      <x:c r="F1032" s="86"/>
      <x:c r="G1032" s="86"/>
      <x:c r="H1032" s="86"/>
      <x:c r="I1032" s="86"/>
      <x:c r="J1032" s="82" t="str">
        <x:f>IF(C1032="","Choose position",IF(COUNT(E1032:I1032)&lt;5,"",IF(OR(MIN(E1032:I1032)&lt;0.1,MAX(E1032:I1032)&gt;10),"Invalid score",IF(INDEX('Position_Rubric'!$H$6:$H$14,M1032)&lt;&gt;1,"Check weights",ROUND(E1032*INDEX('Position_Rubric'!$C$6:$C$14,M1032)+F1032*INDEX('Position_Rubric'!$D$6:$D$14,M1032)+G1032*INDEX('Position_Rubric'!$E$6:$E$14,M1032)+H1032*INDEX('Position_Rubric'!$F$6:$F$14,M1032)+I1032*INDEX('Position_Rubric'!$G$6:$G$14,M1032),1)))))</x:f>
        <x:v>Choose position</x:v>
      </x:c>
      <x:c r="K1032" s="82" t="str">
        <x:f>IF(AND(ISNUMBER(J1032),ISNUMBER(D1032)),J1032-D1032,"")</x:f>
      </x:c>
      <x:c r="L1032" s="69" t="str">
        <x:f>IF(COUNT(E1032:I1032)&lt;5,"Needs component scores",IF(ISNUMBER(J1032),"Calculated",J1032))</x:f>
        <x:v>Needs component scores</x:v>
      </x:c>
      <x:c r="M1032" s="69" t="str">
        <x:f>IF(C1032="","",MATCH(C1032,'Position_Rubric'!$A$6:$A$14,0))</x:f>
      </x:c>
      <x:c r="N1032" s="69" t="str"/>
    </x:row>
    <x:row r="1033" ht="25" customHeight="1">
      <x:c r="A1033" s="69" t="str">
        <x:v>summer-S26-0413</x:v>
      </x:c>
      <x:c r="B1033" s="69" t="str">
        <x:v>Joe White</x:v>
      </x:c>
      <x:c r="C1033" s="69"/>
      <x:c r="D1033" s="82" t="str">
        <x:f>IF(ISNUMBER('Transfer_Ratings'!K1033),'Transfer_Ratings'!K1033,"")</x:f>
      </x:c>
      <x:c r="E1033" s="86"/>
      <x:c r="F1033" s="86"/>
      <x:c r="G1033" s="86"/>
      <x:c r="H1033" s="86"/>
      <x:c r="I1033" s="86"/>
      <x:c r="J1033" s="82" t="str">
        <x:f>IF(C1033="","Choose position",IF(COUNT(E1033:I1033)&lt;5,"",IF(OR(MIN(E1033:I1033)&lt;0.1,MAX(E1033:I1033)&gt;10),"Invalid score",IF(INDEX('Position_Rubric'!$H$6:$H$14,M1033)&lt;&gt;1,"Check weights",ROUND(E1033*INDEX('Position_Rubric'!$C$6:$C$14,M1033)+F1033*INDEX('Position_Rubric'!$D$6:$D$14,M1033)+G1033*INDEX('Position_Rubric'!$E$6:$E$14,M1033)+H1033*INDEX('Position_Rubric'!$F$6:$F$14,M1033)+I1033*INDEX('Position_Rubric'!$G$6:$G$14,M1033),1)))))</x:f>
        <x:v>Choose position</x:v>
      </x:c>
      <x:c r="K1033" s="82" t="str">
        <x:f>IF(AND(ISNUMBER(J1033),ISNUMBER(D1033)),J1033-D1033,"")</x:f>
      </x:c>
      <x:c r="L1033" s="69" t="str">
        <x:f>IF(COUNT(E1033:I1033)&lt;5,"Needs component scores",IF(ISNUMBER(J1033),"Calculated",J1033))</x:f>
        <x:v>Needs component scores</x:v>
      </x:c>
      <x:c r="M1033" s="69" t="str">
        <x:f>IF(C1033="","",MATCH(C1033,'Position_Rubric'!$A$6:$A$14,0))</x:f>
      </x:c>
      <x:c r="N1033" s="69" t="str"/>
    </x:row>
    <x:row r="1034" ht="25" customHeight="1">
      <x:c r="A1034" s="69" t="str">
        <x:v>summer-S26-0415</x:v>
      </x:c>
      <x:c r="B1034" s="69" t="str">
        <x:v>Mikel Rodríguez</x:v>
      </x:c>
      <x:c r="C1034" s="69"/>
      <x:c r="D1034" s="82" t="str">
        <x:f>IF(ISNUMBER('Transfer_Ratings'!K1034),'Transfer_Ratings'!K1034,"")</x:f>
      </x:c>
      <x:c r="E1034" s="86"/>
      <x:c r="F1034" s="86"/>
      <x:c r="G1034" s="86"/>
      <x:c r="H1034" s="86"/>
      <x:c r="I1034" s="86"/>
      <x:c r="J1034" s="82" t="str">
        <x:f>IF(C1034="","Choose position",IF(COUNT(E1034:I1034)&lt;5,"",IF(OR(MIN(E1034:I1034)&lt;0.1,MAX(E1034:I1034)&gt;10),"Invalid score",IF(INDEX('Position_Rubric'!$H$6:$H$14,M1034)&lt;&gt;1,"Check weights",ROUND(E1034*INDEX('Position_Rubric'!$C$6:$C$14,M1034)+F1034*INDEX('Position_Rubric'!$D$6:$D$14,M1034)+G1034*INDEX('Position_Rubric'!$E$6:$E$14,M1034)+H1034*INDEX('Position_Rubric'!$F$6:$F$14,M1034)+I1034*INDEX('Position_Rubric'!$G$6:$G$14,M1034),1)))))</x:f>
        <x:v>Choose position</x:v>
      </x:c>
      <x:c r="K1034" s="82" t="str">
        <x:f>IF(AND(ISNUMBER(J1034),ISNUMBER(D1034)),J1034-D1034,"")</x:f>
      </x:c>
      <x:c r="L1034" s="69" t="str">
        <x:f>IF(COUNT(E1034:I1034)&lt;5,"Needs component scores",IF(ISNUMBER(J1034),"Calculated",J1034))</x:f>
        <x:v>Needs component scores</x:v>
      </x:c>
      <x:c r="M1034" s="69" t="str">
        <x:f>IF(C1034="","",MATCH(C1034,'Position_Rubric'!$A$6:$A$14,0))</x:f>
      </x:c>
      <x:c r="N1034" s="69" t="str"/>
    </x:row>
    <x:row r="1035" ht="25" customHeight="1">
      <x:c r="A1035" s="69" t="str">
        <x:v>summer-S26-0416</x:v>
      </x:c>
      <x:c r="B1035" s="69" t="str">
        <x:v>Mathias Ferrante</x:v>
      </x:c>
      <x:c r="C1035" s="69" t="str">
        <x:v>GK</x:v>
      </x:c>
      <x:c r="D1035" s="82" t="str">
        <x:f>IF(ISNUMBER('Transfer_Ratings'!K1035),'Transfer_Ratings'!K1035,"")</x:f>
      </x:c>
      <x:c r="E1035" s="86"/>
      <x:c r="F1035" s="86"/>
      <x:c r="G1035" s="86"/>
      <x:c r="H1035" s="86"/>
      <x:c r="I1035" s="86"/>
      <x:c r="J1035" s="82" t="str">
        <x:f>IF(C1035="","Choose position",IF(COUNT(E1035:I1035)&lt;5,"",IF(OR(MIN(E1035:I1035)&lt;0.1,MAX(E1035:I1035)&gt;10),"Invalid score",IF(INDEX('Position_Rubric'!$H$6:$H$14,M1035)&lt;&gt;1,"Check weights",ROUND(E1035*INDEX('Position_Rubric'!$C$6:$C$14,M1035)+F1035*INDEX('Position_Rubric'!$D$6:$D$14,M1035)+G1035*INDEX('Position_Rubric'!$E$6:$E$14,M1035)+H1035*INDEX('Position_Rubric'!$F$6:$F$14,M1035)+I1035*INDEX('Position_Rubric'!$G$6:$G$14,M1035),1)))))</x:f>
      </x:c>
      <x:c r="K1035" s="82" t="str">
        <x:f>IF(AND(ISNUMBER(J1035),ISNUMBER(D1035)),J1035-D1035,"")</x:f>
      </x:c>
      <x:c r="L1035" s="69" t="str">
        <x:f>IF(COUNT(E1035:I1035)&lt;5,"Needs component scores",IF(ISNUMBER(J1035),"Calculated",J1035))</x:f>
        <x:v>Needs component scores</x:v>
      </x:c>
      <x:c r="M1035" s="69" t="n">
        <x:f>IF(C1035="","",MATCH(C1035,'Position_Rubric'!$A$6:$A$14,0))</x:f>
        <x:v>9</x:v>
      </x:c>
      <x:c r="N1035" s="69" t="str"/>
    </x:row>
    <x:row r="1036" ht="25" customHeight="1">
      <x:c r="A1036" s="69" t="str">
        <x:v>summer-S26-0418</x:v>
      </x:c>
      <x:c r="B1036" s="69" t="str">
        <x:v>Aurèle Amenda</x:v>
      </x:c>
      <x:c r="C1036" s="69"/>
      <x:c r="D1036" s="82" t="str">
        <x:f>IF(ISNUMBER('Transfer_Ratings'!K1036),'Transfer_Ratings'!K1036,"")</x:f>
      </x:c>
      <x:c r="E1036" s="86"/>
      <x:c r="F1036" s="86"/>
      <x:c r="G1036" s="86"/>
      <x:c r="H1036" s="86"/>
      <x:c r="I1036" s="86"/>
      <x:c r="J1036" s="82" t="str">
        <x:f>IF(C1036="","Choose position",IF(COUNT(E1036:I1036)&lt;5,"",IF(OR(MIN(E1036:I1036)&lt;0.1,MAX(E1036:I1036)&gt;10),"Invalid score",IF(INDEX('Position_Rubric'!$H$6:$H$14,M1036)&lt;&gt;1,"Check weights",ROUND(E1036*INDEX('Position_Rubric'!$C$6:$C$14,M1036)+F1036*INDEX('Position_Rubric'!$D$6:$D$14,M1036)+G1036*INDEX('Position_Rubric'!$E$6:$E$14,M1036)+H1036*INDEX('Position_Rubric'!$F$6:$F$14,M1036)+I1036*INDEX('Position_Rubric'!$G$6:$G$14,M1036),1)))))</x:f>
        <x:v>Choose position</x:v>
      </x:c>
      <x:c r="K1036" s="82" t="str">
        <x:f>IF(AND(ISNUMBER(J1036),ISNUMBER(D1036)),J1036-D1036,"")</x:f>
      </x:c>
      <x:c r="L1036" s="69" t="str">
        <x:f>IF(COUNT(E1036:I1036)&lt;5,"Needs component scores",IF(ISNUMBER(J1036),"Calculated",J1036))</x:f>
        <x:v>Needs component scores</x:v>
      </x:c>
      <x:c r="M1036" s="69" t="str">
        <x:f>IF(C1036="","",MATCH(C1036,'Position_Rubric'!$A$6:$A$14,0))</x:f>
      </x:c>
      <x:c r="N1036" s="69" t="str"/>
    </x:row>
    <x:row r="1037" ht="25" customHeight="1">
      <x:c r="A1037" s="69" t="str">
        <x:v>summer-S26-0419</x:v>
      </x:c>
      <x:c r="B1037" s="69" t="str">
        <x:v>Karl Darlow</x:v>
      </x:c>
      <x:c r="C1037" s="69" t="str">
        <x:v>GK</x:v>
      </x:c>
      <x:c r="D1037" s="82" t="str">
        <x:f>IF(ISNUMBER('Transfer_Ratings'!K1037),'Transfer_Ratings'!K1037,"")</x:f>
      </x:c>
      <x:c r="E1037" s="86"/>
      <x:c r="F1037" s="86"/>
      <x:c r="G1037" s="86"/>
      <x:c r="H1037" s="86"/>
      <x:c r="I1037" s="86"/>
      <x:c r="J1037" s="82" t="str">
        <x:f>IF(C1037="","Choose position",IF(COUNT(E1037:I1037)&lt;5,"",IF(OR(MIN(E1037:I1037)&lt;0.1,MAX(E1037:I1037)&gt;10),"Invalid score",IF(INDEX('Position_Rubric'!$H$6:$H$14,M1037)&lt;&gt;1,"Check weights",ROUND(E1037*INDEX('Position_Rubric'!$C$6:$C$14,M1037)+F1037*INDEX('Position_Rubric'!$D$6:$D$14,M1037)+G1037*INDEX('Position_Rubric'!$E$6:$E$14,M1037)+H1037*INDEX('Position_Rubric'!$F$6:$F$14,M1037)+I1037*INDEX('Position_Rubric'!$G$6:$G$14,M1037),1)))))</x:f>
      </x:c>
      <x:c r="K1037" s="82" t="str">
        <x:f>IF(AND(ISNUMBER(J1037),ISNUMBER(D1037)),J1037-D1037,"")</x:f>
      </x:c>
      <x:c r="L1037" s="69" t="str">
        <x:f>IF(COUNT(E1037:I1037)&lt;5,"Needs component scores",IF(ISNUMBER(J1037),"Calculated",J1037))</x:f>
        <x:v>Needs component scores</x:v>
      </x:c>
      <x:c r="M1037" s="69" t="n">
        <x:f>IF(C1037="","",MATCH(C1037,'Position_Rubric'!$A$6:$A$14,0))</x:f>
        <x:v>9</x:v>
      </x:c>
      <x:c r="N1037" s="69" t="str"/>
    </x:row>
    <x:row r="1038" ht="25" customHeight="1">
      <x:c r="A1038" s="69" t="str">
        <x:v>summer-S26-0420</x:v>
      </x:c>
      <x:c r="B1038" s="69" t="str">
        <x:v>Omar Traoré</x:v>
      </x:c>
      <x:c r="C1038" s="69"/>
      <x:c r="D1038" s="82" t="str">
        <x:f>IF(ISNUMBER('Transfer_Ratings'!K1038),'Transfer_Ratings'!K1038,"")</x:f>
      </x:c>
      <x:c r="E1038" s="86"/>
      <x:c r="F1038" s="86"/>
      <x:c r="G1038" s="86"/>
      <x:c r="H1038" s="86"/>
      <x:c r="I1038" s="86"/>
      <x:c r="J1038" s="82" t="str">
        <x:f>IF(C1038="","Choose position",IF(COUNT(E1038:I1038)&lt;5,"",IF(OR(MIN(E1038:I1038)&lt;0.1,MAX(E1038:I1038)&gt;10),"Invalid score",IF(INDEX('Position_Rubric'!$H$6:$H$14,M1038)&lt;&gt;1,"Check weights",ROUND(E1038*INDEX('Position_Rubric'!$C$6:$C$14,M1038)+F1038*INDEX('Position_Rubric'!$D$6:$D$14,M1038)+G1038*INDEX('Position_Rubric'!$E$6:$E$14,M1038)+H1038*INDEX('Position_Rubric'!$F$6:$F$14,M1038)+I1038*INDEX('Position_Rubric'!$G$6:$G$14,M1038),1)))))</x:f>
        <x:v>Choose position</x:v>
      </x:c>
      <x:c r="K1038" s="82" t="str">
        <x:f>IF(AND(ISNUMBER(J1038),ISNUMBER(D1038)),J1038-D1038,"")</x:f>
      </x:c>
      <x:c r="L1038" s="69" t="str">
        <x:f>IF(COUNT(E1038:I1038)&lt;5,"Needs component scores",IF(ISNUMBER(J1038),"Calculated",J1038))</x:f>
        <x:v>Needs component scores</x:v>
      </x:c>
      <x:c r="M1038" s="69" t="str">
        <x:f>IF(C1038="","",MATCH(C1038,'Position_Rubric'!$A$6:$A$14,0))</x:f>
      </x:c>
      <x:c r="N1038" s="69" t="str"/>
    </x:row>
    <x:row r="1039" ht="25" customHeight="1">
      <x:c r="A1039" s="69" t="str">
        <x:v>summer-S26-0421</x:v>
      </x:c>
      <x:c r="B1039" s="69" t="str">
        <x:v>Diego Mascardi</x:v>
      </x:c>
      <x:c r="C1039" s="69" t="str">
        <x:v>GK</x:v>
      </x:c>
      <x:c r="D1039" s="82" t="str">
        <x:f>IF(ISNUMBER('Transfer_Ratings'!K1039),'Transfer_Ratings'!K1039,"")</x:f>
      </x:c>
      <x:c r="E1039" s="86"/>
      <x:c r="F1039" s="86"/>
      <x:c r="G1039" s="86"/>
      <x:c r="H1039" s="86"/>
      <x:c r="I1039" s="86"/>
      <x:c r="J1039" s="82" t="str">
        <x:f>IF(C1039="","Choose position",IF(COUNT(E1039:I1039)&lt;5,"",IF(OR(MIN(E1039:I1039)&lt;0.1,MAX(E1039:I1039)&gt;10),"Invalid score",IF(INDEX('Position_Rubric'!$H$6:$H$14,M1039)&lt;&gt;1,"Check weights",ROUND(E1039*INDEX('Position_Rubric'!$C$6:$C$14,M1039)+F1039*INDEX('Position_Rubric'!$D$6:$D$14,M1039)+G1039*INDEX('Position_Rubric'!$E$6:$E$14,M1039)+H1039*INDEX('Position_Rubric'!$F$6:$F$14,M1039)+I1039*INDEX('Position_Rubric'!$G$6:$G$14,M1039),1)))))</x:f>
      </x:c>
      <x:c r="K1039" s="82" t="str">
        <x:f>IF(AND(ISNUMBER(J1039),ISNUMBER(D1039)),J1039-D1039,"")</x:f>
      </x:c>
      <x:c r="L1039" s="69" t="str">
        <x:f>IF(COUNT(E1039:I1039)&lt;5,"Needs component scores",IF(ISNUMBER(J1039),"Calculated",J1039))</x:f>
        <x:v>Needs component scores</x:v>
      </x:c>
      <x:c r="M1039" s="69" t="n">
        <x:f>IF(C1039="","",MATCH(C1039,'Position_Rubric'!$A$6:$A$14,0))</x:f>
        <x:v>9</x:v>
      </x:c>
      <x:c r="N1039" s="69" t="str"/>
    </x:row>
    <x:row r="1040" ht="25" customHeight="1">
      <x:c r="A1040" s="69" t="str">
        <x:v>summer-S26-0422</x:v>
      </x:c>
      <x:c r="B1040" s="69" t="str">
        <x:v>Warren Kamanzi</x:v>
      </x:c>
      <x:c r="C1040" s="69"/>
      <x:c r="D1040" s="82" t="str">
        <x:f>IF(ISNUMBER('Transfer_Ratings'!K1040),'Transfer_Ratings'!K1040,"")</x:f>
      </x:c>
      <x:c r="E1040" s="86"/>
      <x:c r="F1040" s="86"/>
      <x:c r="G1040" s="86"/>
      <x:c r="H1040" s="86"/>
      <x:c r="I1040" s="86"/>
      <x:c r="J1040" s="82" t="str">
        <x:f>IF(C1040="","Choose position",IF(COUNT(E1040:I1040)&lt;5,"",IF(OR(MIN(E1040:I1040)&lt;0.1,MAX(E1040:I1040)&gt;10),"Invalid score",IF(INDEX('Position_Rubric'!$H$6:$H$14,M1040)&lt;&gt;1,"Check weights",ROUND(E1040*INDEX('Position_Rubric'!$C$6:$C$14,M1040)+F1040*INDEX('Position_Rubric'!$D$6:$D$14,M1040)+G1040*INDEX('Position_Rubric'!$E$6:$E$14,M1040)+H1040*INDEX('Position_Rubric'!$F$6:$F$14,M1040)+I1040*INDEX('Position_Rubric'!$G$6:$G$14,M1040),1)))))</x:f>
        <x:v>Choose position</x:v>
      </x:c>
      <x:c r="K1040" s="82" t="str">
        <x:f>IF(AND(ISNUMBER(J1040),ISNUMBER(D1040)),J1040-D1040,"")</x:f>
      </x:c>
      <x:c r="L1040" s="69" t="str">
        <x:f>IF(COUNT(E1040:I1040)&lt;5,"Needs component scores",IF(ISNUMBER(J1040),"Calculated",J1040))</x:f>
        <x:v>Needs component scores</x:v>
      </x:c>
      <x:c r="M1040" s="69" t="str">
        <x:f>IF(C1040="","",MATCH(C1040,'Position_Rubric'!$A$6:$A$14,0))</x:f>
      </x:c>
      <x:c r="N1040" s="69" t="str"/>
    </x:row>
    <x:row r="1041" ht="25" customHeight="1">
      <x:c r="A1041" s="69" t="str">
        <x:v>summer-S26-0423</x:v>
      </x:c>
      <x:c r="B1041" s="69" t="str">
        <x:v>Zeki Celik</x:v>
      </x:c>
      <x:c r="C1041" s="69"/>
      <x:c r="D1041" s="82" t="str">
        <x:f>IF(ISNUMBER('Transfer_Ratings'!K1041),'Transfer_Ratings'!K1041,"")</x:f>
      </x:c>
      <x:c r="E1041" s="86"/>
      <x:c r="F1041" s="86"/>
      <x:c r="G1041" s="86"/>
      <x:c r="H1041" s="86"/>
      <x:c r="I1041" s="86"/>
      <x:c r="J1041" s="82" t="str">
        <x:f>IF(C1041="","Choose position",IF(COUNT(E1041:I1041)&lt;5,"",IF(OR(MIN(E1041:I1041)&lt;0.1,MAX(E1041:I1041)&gt;10),"Invalid score",IF(INDEX('Position_Rubric'!$H$6:$H$14,M1041)&lt;&gt;1,"Check weights",ROUND(E1041*INDEX('Position_Rubric'!$C$6:$C$14,M1041)+F1041*INDEX('Position_Rubric'!$D$6:$D$14,M1041)+G1041*INDEX('Position_Rubric'!$E$6:$E$14,M1041)+H1041*INDEX('Position_Rubric'!$F$6:$F$14,M1041)+I1041*INDEX('Position_Rubric'!$G$6:$G$14,M1041),1)))))</x:f>
        <x:v>Choose position</x:v>
      </x:c>
      <x:c r="K1041" s="82" t="str">
        <x:f>IF(AND(ISNUMBER(J1041),ISNUMBER(D1041)),J1041-D1041,"")</x:f>
      </x:c>
      <x:c r="L1041" s="69" t="str">
        <x:f>IF(COUNT(E1041:I1041)&lt;5,"Needs component scores",IF(ISNUMBER(J1041),"Calculated",J1041))</x:f>
        <x:v>Needs component scores</x:v>
      </x:c>
      <x:c r="M1041" s="69" t="str">
        <x:f>IF(C1041="","",MATCH(C1041,'Position_Rubric'!$A$6:$A$14,0))</x:f>
      </x:c>
      <x:c r="N1041" s="69" t="str"/>
    </x:row>
    <x:row r="1042" ht="25" customHeight="1">
      <x:c r="A1042" s="69" t="str">
        <x:v>summer-S26-0424</x:v>
      </x:c>
      <x:c r="B1042" s="69" t="str">
        <x:v>Maxime Estève</x:v>
      </x:c>
      <x:c r="C1042" s="69"/>
      <x:c r="D1042" s="82" t="str">
        <x:f>IF(ISNUMBER('Transfer_Ratings'!K1042),'Transfer_Ratings'!K1042,"")</x:f>
      </x:c>
      <x:c r="E1042" s="86"/>
      <x:c r="F1042" s="86"/>
      <x:c r="G1042" s="86"/>
      <x:c r="H1042" s="86"/>
      <x:c r="I1042" s="86"/>
      <x:c r="J1042" s="82" t="str">
        <x:f>IF(C1042="","Choose position",IF(COUNT(E1042:I1042)&lt;5,"",IF(OR(MIN(E1042:I1042)&lt;0.1,MAX(E1042:I1042)&gt;10),"Invalid score",IF(INDEX('Position_Rubric'!$H$6:$H$14,M1042)&lt;&gt;1,"Check weights",ROUND(E1042*INDEX('Position_Rubric'!$C$6:$C$14,M1042)+F1042*INDEX('Position_Rubric'!$D$6:$D$14,M1042)+G1042*INDEX('Position_Rubric'!$E$6:$E$14,M1042)+H1042*INDEX('Position_Rubric'!$F$6:$F$14,M1042)+I1042*INDEX('Position_Rubric'!$G$6:$G$14,M1042),1)))))</x:f>
        <x:v>Choose position</x:v>
      </x:c>
      <x:c r="K1042" s="82" t="str">
        <x:f>IF(AND(ISNUMBER(J1042),ISNUMBER(D1042)),J1042-D1042,"")</x:f>
      </x:c>
      <x:c r="L1042" s="69" t="str">
        <x:f>IF(COUNT(E1042:I1042)&lt;5,"Needs component scores",IF(ISNUMBER(J1042),"Calculated",J1042))</x:f>
        <x:v>Needs component scores</x:v>
      </x:c>
      <x:c r="M1042" s="69" t="str">
        <x:f>IF(C1042="","",MATCH(C1042,'Position_Rubric'!$A$6:$A$14,0))</x:f>
      </x:c>
      <x:c r="N1042" s="69" t="str"/>
    </x:row>
    <x:row r="1043" ht="25" customHeight="1">
      <x:c r="A1043" s="69" t="str">
        <x:v>summer-S26-0425</x:v>
      </x:c>
      <x:c r="B1043" s="69" t="str">
        <x:v>Alexander Schwolow</x:v>
      </x:c>
      <x:c r="C1043" s="69" t="str">
        <x:v>GK</x:v>
      </x:c>
      <x:c r="D1043" s="82" t="str">
        <x:f>IF(ISNUMBER('Transfer_Ratings'!K1043),'Transfer_Ratings'!K1043,"")</x:f>
      </x:c>
      <x:c r="E1043" s="86"/>
      <x:c r="F1043" s="86"/>
      <x:c r="G1043" s="86"/>
      <x:c r="H1043" s="86"/>
      <x:c r="I1043" s="86"/>
      <x:c r="J1043" s="82" t="str">
        <x:f>IF(C1043="","Choose position",IF(COUNT(E1043:I1043)&lt;5,"",IF(OR(MIN(E1043:I1043)&lt;0.1,MAX(E1043:I1043)&gt;10),"Invalid score",IF(INDEX('Position_Rubric'!$H$6:$H$14,M1043)&lt;&gt;1,"Check weights",ROUND(E1043*INDEX('Position_Rubric'!$C$6:$C$14,M1043)+F1043*INDEX('Position_Rubric'!$D$6:$D$14,M1043)+G1043*INDEX('Position_Rubric'!$E$6:$E$14,M1043)+H1043*INDEX('Position_Rubric'!$F$6:$F$14,M1043)+I1043*INDEX('Position_Rubric'!$G$6:$G$14,M1043),1)))))</x:f>
      </x:c>
      <x:c r="K1043" s="82" t="str">
        <x:f>IF(AND(ISNUMBER(J1043),ISNUMBER(D1043)),J1043-D1043,"")</x:f>
      </x:c>
      <x:c r="L1043" s="69" t="str">
        <x:f>IF(COUNT(E1043:I1043)&lt;5,"Needs component scores",IF(ISNUMBER(J1043),"Calculated",J1043))</x:f>
        <x:v>Needs component scores</x:v>
      </x:c>
      <x:c r="M1043" s="69" t="n">
        <x:f>IF(C1043="","",MATCH(C1043,'Position_Rubric'!$A$6:$A$14,0))</x:f>
        <x:v>9</x:v>
      </x:c>
      <x:c r="N1043" s="69" t="str"/>
    </x:row>
    <x:row r="1044" ht="25" customHeight="1">
      <x:c r="A1044" s="69" t="str">
        <x:v>summer-S26-0426</x:v>
      </x:c>
      <x:c r="B1044" s="69" t="str">
        <x:v>Pau López</x:v>
      </x:c>
      <x:c r="C1044" s="69" t="str">
        <x:v>GK</x:v>
      </x:c>
      <x:c r="D1044" s="82" t="str">
        <x:f>IF(ISNUMBER('Transfer_Ratings'!K1044),'Transfer_Ratings'!K1044,"")</x:f>
      </x:c>
      <x:c r="E1044" s="86"/>
      <x:c r="F1044" s="86"/>
      <x:c r="G1044" s="86"/>
      <x:c r="H1044" s="86"/>
      <x:c r="I1044" s="86"/>
      <x:c r="J1044" s="82" t="str">
        <x:f>IF(C1044="","Choose position",IF(COUNT(E1044:I1044)&lt;5,"",IF(OR(MIN(E1044:I1044)&lt;0.1,MAX(E1044:I1044)&gt;10),"Invalid score",IF(INDEX('Position_Rubric'!$H$6:$H$14,M1044)&lt;&gt;1,"Check weights",ROUND(E1044*INDEX('Position_Rubric'!$C$6:$C$14,M1044)+F1044*INDEX('Position_Rubric'!$D$6:$D$14,M1044)+G1044*INDEX('Position_Rubric'!$E$6:$E$14,M1044)+H1044*INDEX('Position_Rubric'!$F$6:$F$14,M1044)+I1044*INDEX('Position_Rubric'!$G$6:$G$14,M1044),1)))))</x:f>
      </x:c>
      <x:c r="K1044" s="82" t="str">
        <x:f>IF(AND(ISNUMBER(J1044),ISNUMBER(D1044)),J1044-D1044,"")</x:f>
      </x:c>
      <x:c r="L1044" s="69" t="str">
        <x:f>IF(COUNT(E1044:I1044)&lt;5,"Needs component scores",IF(ISNUMBER(J1044),"Calculated",J1044))</x:f>
        <x:v>Needs component scores</x:v>
      </x:c>
      <x:c r="M1044" s="69" t="n">
        <x:f>IF(C1044="","",MATCH(C1044,'Position_Rubric'!$A$6:$A$14,0))</x:f>
        <x:v>9</x:v>
      </x:c>
      <x:c r="N1044" s="69" t="str"/>
    </x:row>
    <x:row r="1045" ht="25" customHeight="1">
      <x:c r="A1045" s="69" t="str">
        <x:v>summer-S26-0427</x:v>
      </x:c>
      <x:c r="B1045" s="69" t="str">
        <x:v>Tarik Muharemovic</x:v>
      </x:c>
      <x:c r="C1045" s="69"/>
      <x:c r="D1045" s="82" t="str">
        <x:f>IF(ISNUMBER('Transfer_Ratings'!K1045),'Transfer_Ratings'!K1045,"")</x:f>
      </x:c>
      <x:c r="E1045" s="86"/>
      <x:c r="F1045" s="86"/>
      <x:c r="G1045" s="86"/>
      <x:c r="H1045" s="86"/>
      <x:c r="I1045" s="86"/>
      <x:c r="J1045" s="82" t="str">
        <x:f>IF(C1045="","Choose position",IF(COUNT(E1045:I1045)&lt;5,"",IF(OR(MIN(E1045:I1045)&lt;0.1,MAX(E1045:I1045)&gt;10),"Invalid score",IF(INDEX('Position_Rubric'!$H$6:$H$14,M1045)&lt;&gt;1,"Check weights",ROUND(E1045*INDEX('Position_Rubric'!$C$6:$C$14,M1045)+F1045*INDEX('Position_Rubric'!$D$6:$D$14,M1045)+G1045*INDEX('Position_Rubric'!$E$6:$E$14,M1045)+H1045*INDEX('Position_Rubric'!$F$6:$F$14,M1045)+I1045*INDEX('Position_Rubric'!$G$6:$G$14,M1045),1)))))</x:f>
        <x:v>Choose position</x:v>
      </x:c>
      <x:c r="K1045" s="82" t="str">
        <x:f>IF(AND(ISNUMBER(J1045),ISNUMBER(D1045)),J1045-D1045,"")</x:f>
      </x:c>
      <x:c r="L1045" s="69" t="str">
        <x:f>IF(COUNT(E1045:I1045)&lt;5,"Needs component scores",IF(ISNUMBER(J1045),"Calculated",J1045))</x:f>
        <x:v>Needs component scores</x:v>
      </x:c>
      <x:c r="M1045" s="69" t="str">
        <x:f>IF(C1045="","",MATCH(C1045,'Position_Rubric'!$A$6:$A$14,0))</x:f>
      </x:c>
      <x:c r="N1045" s="69" t="str"/>
    </x:row>
    <x:row r="1046" ht="25" customHeight="1">
      <x:c r="A1046" s="69" t="str">
        <x:v>summer-S26-0428</x:v>
      </x:c>
      <x:c r="B1046" s="69" t="str">
        <x:v>Robin Gosens</x:v>
      </x:c>
      <x:c r="C1046" s="69"/>
      <x:c r="D1046" s="82" t="str">
        <x:f>IF(ISNUMBER('Transfer_Ratings'!K1046),'Transfer_Ratings'!K1046,"")</x:f>
      </x:c>
      <x:c r="E1046" s="86"/>
      <x:c r="F1046" s="86"/>
      <x:c r="G1046" s="86"/>
      <x:c r="H1046" s="86"/>
      <x:c r="I1046" s="86"/>
      <x:c r="J1046" s="82" t="str">
        <x:f>IF(C1046="","Choose position",IF(COUNT(E1046:I1046)&lt;5,"",IF(OR(MIN(E1046:I1046)&lt;0.1,MAX(E1046:I1046)&gt;10),"Invalid score",IF(INDEX('Position_Rubric'!$H$6:$H$14,M1046)&lt;&gt;1,"Check weights",ROUND(E1046*INDEX('Position_Rubric'!$C$6:$C$14,M1046)+F1046*INDEX('Position_Rubric'!$D$6:$D$14,M1046)+G1046*INDEX('Position_Rubric'!$E$6:$E$14,M1046)+H1046*INDEX('Position_Rubric'!$F$6:$F$14,M1046)+I1046*INDEX('Position_Rubric'!$G$6:$G$14,M1046),1)))))</x:f>
        <x:v>Choose position</x:v>
      </x:c>
      <x:c r="K1046" s="82" t="str">
        <x:f>IF(AND(ISNUMBER(J1046),ISNUMBER(D1046)),J1046-D1046,"")</x:f>
      </x:c>
      <x:c r="L1046" s="69" t="str">
        <x:f>IF(COUNT(E1046:I1046)&lt;5,"Needs component scores",IF(ISNUMBER(J1046),"Calculated",J1046))</x:f>
        <x:v>Needs component scores</x:v>
      </x:c>
      <x:c r="M1046" s="69" t="str">
        <x:f>IF(C1046="","",MATCH(C1046,'Position_Rubric'!$A$6:$A$14,0))</x:f>
      </x:c>
      <x:c r="N1046" s="69" t="str"/>
    </x:row>
    <x:row r="1047" ht="25" customHeight="1">
      <x:c r="A1047" s="69" t="str">
        <x:v>summer-S26-0430</x:v>
      </x:c>
      <x:c r="B1047" s="69" t="str">
        <x:v>Andrés Cuenca</x:v>
      </x:c>
      <x:c r="C1047" s="69"/>
      <x:c r="D1047" s="82" t="str">
        <x:f>IF(ISNUMBER('Transfer_Ratings'!K1047),'Transfer_Ratings'!K1047,"")</x:f>
      </x:c>
      <x:c r="E1047" s="86"/>
      <x:c r="F1047" s="86"/>
      <x:c r="G1047" s="86"/>
      <x:c r="H1047" s="86"/>
      <x:c r="I1047" s="86"/>
      <x:c r="J1047" s="82" t="str">
        <x:f>IF(C1047="","Choose position",IF(COUNT(E1047:I1047)&lt;5,"",IF(OR(MIN(E1047:I1047)&lt;0.1,MAX(E1047:I1047)&gt;10),"Invalid score",IF(INDEX('Position_Rubric'!$H$6:$H$14,M1047)&lt;&gt;1,"Check weights",ROUND(E1047*INDEX('Position_Rubric'!$C$6:$C$14,M1047)+F1047*INDEX('Position_Rubric'!$D$6:$D$14,M1047)+G1047*INDEX('Position_Rubric'!$E$6:$E$14,M1047)+H1047*INDEX('Position_Rubric'!$F$6:$F$14,M1047)+I1047*INDEX('Position_Rubric'!$G$6:$G$14,M1047),1)))))</x:f>
        <x:v>Choose position</x:v>
      </x:c>
      <x:c r="K1047" s="82" t="str">
        <x:f>IF(AND(ISNUMBER(J1047),ISNUMBER(D1047)),J1047-D1047,"")</x:f>
      </x:c>
      <x:c r="L1047" s="69" t="str">
        <x:f>IF(COUNT(E1047:I1047)&lt;5,"Needs component scores",IF(ISNUMBER(J1047),"Calculated",J1047))</x:f>
        <x:v>Needs component scores</x:v>
      </x:c>
      <x:c r="M1047" s="69" t="str">
        <x:f>IF(C1047="","",MATCH(C1047,'Position_Rubric'!$A$6:$A$14,0))</x:f>
      </x:c>
      <x:c r="N1047" s="69" t="str"/>
    </x:row>
    <x:row r="1048" ht="25" customHeight="1">
      <x:c r="A1048" s="69" t="str">
        <x:v>summer-S26-0431</x:v>
      </x:c>
      <x:c r="B1048" s="69" t="str">
        <x:v>Kaiden Wilson</x:v>
      </x:c>
      <x:c r="C1048" s="69"/>
      <x:c r="D1048" s="82" t="str">
        <x:f>IF(ISNUMBER('Transfer_Ratings'!K1048),'Transfer_Ratings'!K1048,"")</x:f>
      </x:c>
      <x:c r="E1048" s="86"/>
      <x:c r="F1048" s="86"/>
      <x:c r="G1048" s="86"/>
      <x:c r="H1048" s="86"/>
      <x:c r="I1048" s="86"/>
      <x:c r="J1048" s="82" t="str">
        <x:f>IF(C1048="","Choose position",IF(COUNT(E1048:I1048)&lt;5,"",IF(OR(MIN(E1048:I1048)&lt;0.1,MAX(E1048:I1048)&gt;10),"Invalid score",IF(INDEX('Position_Rubric'!$H$6:$H$14,M1048)&lt;&gt;1,"Check weights",ROUND(E1048*INDEX('Position_Rubric'!$C$6:$C$14,M1048)+F1048*INDEX('Position_Rubric'!$D$6:$D$14,M1048)+G1048*INDEX('Position_Rubric'!$E$6:$E$14,M1048)+H1048*INDEX('Position_Rubric'!$F$6:$F$14,M1048)+I1048*INDEX('Position_Rubric'!$G$6:$G$14,M1048),1)))))</x:f>
        <x:v>Choose position</x:v>
      </x:c>
      <x:c r="K1048" s="82" t="str">
        <x:f>IF(AND(ISNUMBER(J1048),ISNUMBER(D1048)),J1048-D1048,"")</x:f>
      </x:c>
      <x:c r="L1048" s="69" t="str">
        <x:f>IF(COUNT(E1048:I1048)&lt;5,"Needs component scores",IF(ISNUMBER(J1048),"Calculated",J1048))</x:f>
        <x:v>Needs component scores</x:v>
      </x:c>
      <x:c r="M1048" s="69" t="str">
        <x:f>IF(C1048="","",MATCH(C1048,'Position_Rubric'!$A$6:$A$14,0))</x:f>
      </x:c>
      <x:c r="N1048" s="69" t="str"/>
    </x:row>
    <x:row r="1049" ht="25" customHeight="1">
      <x:c r="A1049" s="69" t="str">
        <x:v>summer-S26-0436</x:v>
      </x:c>
      <x:c r="B1049" s="69" t="str">
        <x:v>Julien Yanda</x:v>
      </x:c>
      <x:c r="C1049" s="69"/>
      <x:c r="D1049" s="82" t="str">
        <x:f>IF(ISNUMBER('Transfer_Ratings'!K1049),'Transfer_Ratings'!K1049,"")</x:f>
      </x:c>
      <x:c r="E1049" s="86"/>
      <x:c r="F1049" s="86"/>
      <x:c r="G1049" s="86"/>
      <x:c r="H1049" s="86"/>
      <x:c r="I1049" s="86"/>
      <x:c r="J1049" s="82" t="str">
        <x:f>IF(C1049="","Choose position",IF(COUNT(E1049:I1049)&lt;5,"",IF(OR(MIN(E1049:I1049)&lt;0.1,MAX(E1049:I1049)&gt;10),"Invalid score",IF(INDEX('Position_Rubric'!$H$6:$H$14,M1049)&lt;&gt;1,"Check weights",ROUND(E1049*INDEX('Position_Rubric'!$C$6:$C$14,M1049)+F1049*INDEX('Position_Rubric'!$D$6:$D$14,M1049)+G1049*INDEX('Position_Rubric'!$E$6:$E$14,M1049)+H1049*INDEX('Position_Rubric'!$F$6:$F$14,M1049)+I1049*INDEX('Position_Rubric'!$G$6:$G$14,M1049),1)))))</x:f>
        <x:v>Choose position</x:v>
      </x:c>
      <x:c r="K1049" s="82" t="str">
        <x:f>IF(AND(ISNUMBER(J1049),ISNUMBER(D1049)),J1049-D1049,"")</x:f>
      </x:c>
      <x:c r="L1049" s="69" t="str">
        <x:f>IF(COUNT(E1049:I1049)&lt;5,"Needs component scores",IF(ISNUMBER(J1049),"Calculated",J1049))</x:f>
        <x:v>Needs component scores</x:v>
      </x:c>
      <x:c r="M1049" s="69" t="str">
        <x:f>IF(C1049="","",MATCH(C1049,'Position_Rubric'!$A$6:$A$14,0))</x:f>
      </x:c>
      <x:c r="N1049" s="69" t="str"/>
    </x:row>
    <x:row r="1050" ht="25" customHeight="1">
      <x:c r="A1050" s="69" t="str">
        <x:v>summer-S26-0438</x:v>
      </x:c>
      <x:c r="B1050" s="69" t="str">
        <x:v>Radoslaw Majecki</x:v>
      </x:c>
      <x:c r="C1050" s="69" t="str">
        <x:v>GK</x:v>
      </x:c>
      <x:c r="D1050" s="82" t="str">
        <x:f>IF(ISNUMBER('Transfer_Ratings'!K1050),'Transfer_Ratings'!K1050,"")</x:f>
      </x:c>
      <x:c r="E1050" s="86"/>
      <x:c r="F1050" s="86"/>
      <x:c r="G1050" s="86"/>
      <x:c r="H1050" s="86"/>
      <x:c r="I1050" s="86"/>
      <x:c r="J1050" s="82" t="str">
        <x:f>IF(C1050="","Choose position",IF(COUNT(E1050:I1050)&lt;5,"",IF(OR(MIN(E1050:I1050)&lt;0.1,MAX(E1050:I1050)&gt;10),"Invalid score",IF(INDEX('Position_Rubric'!$H$6:$H$14,M1050)&lt;&gt;1,"Check weights",ROUND(E1050*INDEX('Position_Rubric'!$C$6:$C$14,M1050)+F1050*INDEX('Position_Rubric'!$D$6:$D$14,M1050)+G1050*INDEX('Position_Rubric'!$E$6:$E$14,M1050)+H1050*INDEX('Position_Rubric'!$F$6:$F$14,M1050)+I1050*INDEX('Position_Rubric'!$G$6:$G$14,M1050),1)))))</x:f>
      </x:c>
      <x:c r="K1050" s="82" t="str">
        <x:f>IF(AND(ISNUMBER(J1050),ISNUMBER(D1050)),J1050-D1050,"")</x:f>
      </x:c>
      <x:c r="L1050" s="69" t="str">
        <x:f>IF(COUNT(E1050:I1050)&lt;5,"Needs component scores",IF(ISNUMBER(J1050),"Calculated",J1050))</x:f>
        <x:v>Needs component scores</x:v>
      </x:c>
      <x:c r="M1050" s="69" t="n">
        <x:f>IF(C1050="","",MATCH(C1050,'Position_Rubric'!$A$6:$A$14,0))</x:f>
        <x:v>9</x:v>
      </x:c>
      <x:c r="N1050" s="69" t="str"/>
    </x:row>
    <x:row r="1051" ht="25" customHeight="1">
      <x:c r="A1051" s="69" t="str">
        <x:v>summer-S26-0439</x:v>
      </x:c>
      <x:c r="B1051" s="69" t="str">
        <x:v>Johan Manzambi</x:v>
      </x:c>
      <x:c r="C1051" s="69"/>
      <x:c r="D1051" s="82" t="str">
        <x:f>IF(ISNUMBER('Transfer_Ratings'!K1051),'Transfer_Ratings'!K1051,"")</x:f>
      </x:c>
      <x:c r="E1051" s="86"/>
      <x:c r="F1051" s="86"/>
      <x:c r="G1051" s="86"/>
      <x:c r="H1051" s="86"/>
      <x:c r="I1051" s="86"/>
      <x:c r="J1051" s="82" t="str">
        <x:f>IF(C1051="","Choose position",IF(COUNT(E1051:I1051)&lt;5,"",IF(OR(MIN(E1051:I1051)&lt;0.1,MAX(E1051:I1051)&gt;10),"Invalid score",IF(INDEX('Position_Rubric'!$H$6:$H$14,M1051)&lt;&gt;1,"Check weights",ROUND(E1051*INDEX('Position_Rubric'!$C$6:$C$14,M1051)+F1051*INDEX('Position_Rubric'!$D$6:$D$14,M1051)+G1051*INDEX('Position_Rubric'!$E$6:$E$14,M1051)+H1051*INDEX('Position_Rubric'!$F$6:$F$14,M1051)+I1051*INDEX('Position_Rubric'!$G$6:$G$14,M1051),1)))))</x:f>
        <x:v>Choose position</x:v>
      </x:c>
      <x:c r="K1051" s="82" t="str">
        <x:f>IF(AND(ISNUMBER(J1051),ISNUMBER(D1051)),J1051-D1051,"")</x:f>
      </x:c>
      <x:c r="L1051" s="69" t="str">
        <x:f>IF(COUNT(E1051:I1051)&lt;5,"Needs component scores",IF(ISNUMBER(J1051),"Calculated",J1051))</x:f>
        <x:v>Needs component scores</x:v>
      </x:c>
      <x:c r="M1051" s="69" t="str">
        <x:f>IF(C1051="","",MATCH(C1051,'Position_Rubric'!$A$6:$A$14,0))</x:f>
      </x:c>
      <x:c r="N1051" s="69" t="str"/>
    </x:row>
    <x:row r="1052" ht="25" customHeight="1">
      <x:c r="A1052" s="69" t="str">
        <x:v>summer-S26-0441</x:v>
      </x:c>
      <x:c r="B1052" s="69" t="str">
        <x:v>Maik Nawrocki</x:v>
      </x:c>
      <x:c r="C1052" s="69"/>
      <x:c r="D1052" s="82" t="str">
        <x:f>IF(ISNUMBER('Transfer_Ratings'!K1052),'Transfer_Ratings'!K1052,"")</x:f>
      </x:c>
      <x:c r="E1052" s="86"/>
      <x:c r="F1052" s="86"/>
      <x:c r="G1052" s="86"/>
      <x:c r="H1052" s="86"/>
      <x:c r="I1052" s="86"/>
      <x:c r="J1052" s="82" t="str">
        <x:f>IF(C1052="","Choose position",IF(COUNT(E1052:I1052)&lt;5,"",IF(OR(MIN(E1052:I1052)&lt;0.1,MAX(E1052:I1052)&gt;10),"Invalid score",IF(INDEX('Position_Rubric'!$H$6:$H$14,M1052)&lt;&gt;1,"Check weights",ROUND(E1052*INDEX('Position_Rubric'!$C$6:$C$14,M1052)+F1052*INDEX('Position_Rubric'!$D$6:$D$14,M1052)+G1052*INDEX('Position_Rubric'!$E$6:$E$14,M1052)+H1052*INDEX('Position_Rubric'!$F$6:$F$14,M1052)+I1052*INDEX('Position_Rubric'!$G$6:$G$14,M1052),1)))))</x:f>
        <x:v>Choose position</x:v>
      </x:c>
      <x:c r="K1052" s="82" t="str">
        <x:f>IF(AND(ISNUMBER(J1052),ISNUMBER(D1052)),J1052-D1052,"")</x:f>
      </x:c>
      <x:c r="L1052" s="69" t="str">
        <x:f>IF(COUNT(E1052:I1052)&lt;5,"Needs component scores",IF(ISNUMBER(J1052),"Calculated",J1052))</x:f>
        <x:v>Needs component scores</x:v>
      </x:c>
      <x:c r="M1052" s="69" t="str">
        <x:f>IF(C1052="","",MATCH(C1052,'Position_Rubric'!$A$6:$A$14,0))</x:f>
      </x:c>
      <x:c r="N1052" s="69" t="str"/>
    </x:row>
    <x:row r="1053" ht="25" customHeight="1">
      <x:c r="A1053" s="69" t="str">
        <x:v>summer-S26-0442</x:v>
      </x:c>
      <x:c r="B1053" s="69" t="str">
        <x:v>James Beadle</x:v>
      </x:c>
      <x:c r="C1053" s="69" t="str">
        <x:v>GK</x:v>
      </x:c>
      <x:c r="D1053" s="82" t="str">
        <x:f>IF(ISNUMBER('Transfer_Ratings'!K1053),'Transfer_Ratings'!K1053,"")</x:f>
      </x:c>
      <x:c r="E1053" s="86"/>
      <x:c r="F1053" s="86"/>
      <x:c r="G1053" s="86"/>
      <x:c r="H1053" s="86"/>
      <x:c r="I1053" s="86"/>
      <x:c r="J1053" s="82" t="str">
        <x:f>IF(C1053="","Choose position",IF(COUNT(E1053:I1053)&lt;5,"",IF(OR(MIN(E1053:I1053)&lt;0.1,MAX(E1053:I1053)&gt;10),"Invalid score",IF(INDEX('Position_Rubric'!$H$6:$H$14,M1053)&lt;&gt;1,"Check weights",ROUND(E1053*INDEX('Position_Rubric'!$C$6:$C$14,M1053)+F1053*INDEX('Position_Rubric'!$D$6:$D$14,M1053)+G1053*INDEX('Position_Rubric'!$E$6:$E$14,M1053)+H1053*INDEX('Position_Rubric'!$F$6:$F$14,M1053)+I1053*INDEX('Position_Rubric'!$G$6:$G$14,M1053),1)))))</x:f>
      </x:c>
      <x:c r="K1053" s="82" t="str">
        <x:f>IF(AND(ISNUMBER(J1053),ISNUMBER(D1053)),J1053-D1053,"")</x:f>
      </x:c>
      <x:c r="L1053" s="69" t="str">
        <x:f>IF(COUNT(E1053:I1053)&lt;5,"Needs component scores",IF(ISNUMBER(J1053),"Calculated",J1053))</x:f>
        <x:v>Needs component scores</x:v>
      </x:c>
      <x:c r="M1053" s="69" t="n">
        <x:f>IF(C1053="","",MATCH(C1053,'Position_Rubric'!$A$6:$A$14,0))</x:f>
        <x:v>9</x:v>
      </x:c>
      <x:c r="N1053" s="69" t="str"/>
    </x:row>
    <x:row r="1054" ht="25" customHeight="1">
      <x:c r="A1054" s="69" t="str">
        <x:v>summer-S26-0445</x:v>
      </x:c>
      <x:c r="B1054" s="69" t="str">
        <x:v>Cenk Ozkacar</x:v>
      </x:c>
      <x:c r="C1054" s="69"/>
      <x:c r="D1054" s="82" t="str">
        <x:f>IF(ISNUMBER('Transfer_Ratings'!K1054),'Transfer_Ratings'!K1054,"")</x:f>
      </x:c>
      <x:c r="E1054" s="86"/>
      <x:c r="F1054" s="86"/>
      <x:c r="G1054" s="86"/>
      <x:c r="H1054" s="86"/>
      <x:c r="I1054" s="86"/>
      <x:c r="J1054" s="82" t="str">
        <x:f>IF(C1054="","Choose position",IF(COUNT(E1054:I1054)&lt;5,"",IF(OR(MIN(E1054:I1054)&lt;0.1,MAX(E1054:I1054)&gt;10),"Invalid score",IF(INDEX('Position_Rubric'!$H$6:$H$14,M1054)&lt;&gt;1,"Check weights",ROUND(E1054*INDEX('Position_Rubric'!$C$6:$C$14,M1054)+F1054*INDEX('Position_Rubric'!$D$6:$D$14,M1054)+G1054*INDEX('Position_Rubric'!$E$6:$E$14,M1054)+H1054*INDEX('Position_Rubric'!$F$6:$F$14,M1054)+I1054*INDEX('Position_Rubric'!$G$6:$G$14,M1054),1)))))</x:f>
        <x:v>Choose position</x:v>
      </x:c>
      <x:c r="K1054" s="82" t="str">
        <x:f>IF(AND(ISNUMBER(J1054),ISNUMBER(D1054)),J1054-D1054,"")</x:f>
      </x:c>
      <x:c r="L1054" s="69" t="str">
        <x:f>IF(COUNT(E1054:I1054)&lt;5,"Needs component scores",IF(ISNUMBER(J1054),"Calculated",J1054))</x:f>
        <x:v>Needs component scores</x:v>
      </x:c>
      <x:c r="M1054" s="69" t="str">
        <x:f>IF(C1054="","",MATCH(C1054,'Position_Rubric'!$A$6:$A$14,0))</x:f>
      </x:c>
      <x:c r="N1054" s="69" t="str"/>
    </x:row>
    <x:row r="1055" ht="25" customHeight="1">
      <x:c r="A1055" s="69" t="str">
        <x:v>summer-S26-0446</x:v>
      </x:c>
      <x:c r="B1055" s="69" t="str">
        <x:v>Luca Ravanelli</x:v>
      </x:c>
      <x:c r="C1055" s="69"/>
      <x:c r="D1055" s="82" t="str">
        <x:f>IF(ISNUMBER('Transfer_Ratings'!K1055),'Transfer_Ratings'!K1055,"")</x:f>
      </x:c>
      <x:c r="E1055" s="86"/>
      <x:c r="F1055" s="86"/>
      <x:c r="G1055" s="86"/>
      <x:c r="H1055" s="86"/>
      <x:c r="I1055" s="86"/>
      <x:c r="J1055" s="82" t="str">
        <x:f>IF(C1055="","Choose position",IF(COUNT(E1055:I1055)&lt;5,"",IF(OR(MIN(E1055:I1055)&lt;0.1,MAX(E1055:I1055)&gt;10),"Invalid score",IF(INDEX('Position_Rubric'!$H$6:$H$14,M1055)&lt;&gt;1,"Check weights",ROUND(E1055*INDEX('Position_Rubric'!$C$6:$C$14,M1055)+F1055*INDEX('Position_Rubric'!$D$6:$D$14,M1055)+G1055*INDEX('Position_Rubric'!$E$6:$E$14,M1055)+H1055*INDEX('Position_Rubric'!$F$6:$F$14,M1055)+I1055*INDEX('Position_Rubric'!$G$6:$G$14,M1055),1)))))</x:f>
        <x:v>Choose position</x:v>
      </x:c>
      <x:c r="K1055" s="82" t="str">
        <x:f>IF(AND(ISNUMBER(J1055),ISNUMBER(D1055)),J1055-D1055,"")</x:f>
      </x:c>
      <x:c r="L1055" s="69" t="str">
        <x:f>IF(COUNT(E1055:I1055)&lt;5,"Needs component scores",IF(ISNUMBER(J1055),"Calculated",J1055))</x:f>
        <x:v>Needs component scores</x:v>
      </x:c>
      <x:c r="M1055" s="69" t="str">
        <x:f>IF(C1055="","",MATCH(C1055,'Position_Rubric'!$A$6:$A$14,0))</x:f>
      </x:c>
      <x:c r="N1055" s="69" t="str"/>
    </x:row>
    <x:row r="1056" ht="25" customHeight="1">
      <x:c r="A1056" s="69" t="str">
        <x:v>summer-S26-0449</x:v>
      </x:c>
      <x:c r="B1056" s="69" t="str">
        <x:v>Elvis Rexhbecaj</x:v>
      </x:c>
      <x:c r="C1056" s="69"/>
      <x:c r="D1056" s="82" t="str">
        <x:f>IF(ISNUMBER('Transfer_Ratings'!K1056),'Transfer_Ratings'!K1056,"")</x:f>
      </x:c>
      <x:c r="E1056" s="86"/>
      <x:c r="F1056" s="86"/>
      <x:c r="G1056" s="86"/>
      <x:c r="H1056" s="86"/>
      <x:c r="I1056" s="86"/>
      <x:c r="J1056" s="82" t="str">
        <x:f>IF(C1056="","Choose position",IF(COUNT(E1056:I1056)&lt;5,"",IF(OR(MIN(E1056:I1056)&lt;0.1,MAX(E1056:I1056)&gt;10),"Invalid score",IF(INDEX('Position_Rubric'!$H$6:$H$14,M1056)&lt;&gt;1,"Check weights",ROUND(E1056*INDEX('Position_Rubric'!$C$6:$C$14,M1056)+F1056*INDEX('Position_Rubric'!$D$6:$D$14,M1056)+G1056*INDEX('Position_Rubric'!$E$6:$E$14,M1056)+H1056*INDEX('Position_Rubric'!$F$6:$F$14,M1056)+I1056*INDEX('Position_Rubric'!$G$6:$G$14,M1056),1)))))</x:f>
        <x:v>Choose position</x:v>
      </x:c>
      <x:c r="K1056" s="82" t="str">
        <x:f>IF(AND(ISNUMBER(J1056),ISNUMBER(D1056)),J1056-D1056,"")</x:f>
      </x:c>
      <x:c r="L1056" s="69" t="str">
        <x:f>IF(COUNT(E1056:I1056)&lt;5,"Needs component scores",IF(ISNUMBER(J1056),"Calculated",J1056))</x:f>
        <x:v>Needs component scores</x:v>
      </x:c>
      <x:c r="M1056" s="69" t="str">
        <x:f>IF(C1056="","",MATCH(C1056,'Position_Rubric'!$A$6:$A$14,0))</x:f>
      </x:c>
      <x:c r="N1056" s="69" t="str"/>
    </x:row>
    <x:row r="1057" ht="25" customHeight="1">
      <x:c r="A1057" s="69" t="str">
        <x:v>summer-S26-0451</x:v>
      </x:c>
      <x:c r="B1057" s="69" t="str">
        <x:v>Matej Kovar</x:v>
      </x:c>
      <x:c r="C1057" s="69" t="str">
        <x:v>GK</x:v>
      </x:c>
      <x:c r="D1057" s="82" t="str">
        <x:f>IF(ISNUMBER('Transfer_Ratings'!K1057),'Transfer_Ratings'!K1057,"")</x:f>
      </x:c>
      <x:c r="E1057" s="86"/>
      <x:c r="F1057" s="86"/>
      <x:c r="G1057" s="86"/>
      <x:c r="H1057" s="86"/>
      <x:c r="I1057" s="86"/>
      <x:c r="J1057" s="82" t="str">
        <x:f>IF(C1057="","Choose position",IF(COUNT(E1057:I1057)&lt;5,"",IF(OR(MIN(E1057:I1057)&lt;0.1,MAX(E1057:I1057)&gt;10),"Invalid score",IF(INDEX('Position_Rubric'!$H$6:$H$14,M1057)&lt;&gt;1,"Check weights",ROUND(E1057*INDEX('Position_Rubric'!$C$6:$C$14,M1057)+F1057*INDEX('Position_Rubric'!$D$6:$D$14,M1057)+G1057*INDEX('Position_Rubric'!$E$6:$E$14,M1057)+H1057*INDEX('Position_Rubric'!$F$6:$F$14,M1057)+I1057*INDEX('Position_Rubric'!$G$6:$G$14,M1057),1)))))</x:f>
      </x:c>
      <x:c r="K1057" s="82" t="str">
        <x:f>IF(AND(ISNUMBER(J1057),ISNUMBER(D1057)),J1057-D1057,"")</x:f>
      </x:c>
      <x:c r="L1057" s="69" t="str">
        <x:f>IF(COUNT(E1057:I1057)&lt;5,"Needs component scores",IF(ISNUMBER(J1057),"Calculated",J1057))</x:f>
        <x:v>Needs component scores</x:v>
      </x:c>
      <x:c r="M1057" s="69" t="n">
        <x:f>IF(C1057="","",MATCH(C1057,'Position_Rubric'!$A$6:$A$14,0))</x:f>
        <x:v>9</x:v>
      </x:c>
      <x:c r="N1057" s="69" t="str"/>
    </x:row>
    <x:row r="1058" ht="25" customHeight="1">
      <x:c r="A1058" s="69" t="str">
        <x:v>summer-S26-0452</x:v>
      </x:c>
      <x:c r="B1058" s="69" t="str">
        <x:v>Issa Traoré</x:v>
      </x:c>
      <x:c r="C1058" s="69"/>
      <x:c r="D1058" s="82" t="str">
        <x:f>IF(ISNUMBER('Transfer_Ratings'!K1058),'Transfer_Ratings'!K1058,"")</x:f>
      </x:c>
      <x:c r="E1058" s="86"/>
      <x:c r="F1058" s="86"/>
      <x:c r="G1058" s="86"/>
      <x:c r="H1058" s="86"/>
      <x:c r="I1058" s="86"/>
      <x:c r="J1058" s="82" t="str">
        <x:f>IF(C1058="","Choose position",IF(COUNT(E1058:I1058)&lt;5,"",IF(OR(MIN(E1058:I1058)&lt;0.1,MAX(E1058:I1058)&gt;10),"Invalid score",IF(INDEX('Position_Rubric'!$H$6:$H$14,M1058)&lt;&gt;1,"Check weights",ROUND(E1058*INDEX('Position_Rubric'!$C$6:$C$14,M1058)+F1058*INDEX('Position_Rubric'!$D$6:$D$14,M1058)+G1058*INDEX('Position_Rubric'!$E$6:$E$14,M1058)+H1058*INDEX('Position_Rubric'!$F$6:$F$14,M1058)+I1058*INDEX('Position_Rubric'!$G$6:$G$14,M1058),1)))))</x:f>
        <x:v>Choose position</x:v>
      </x:c>
      <x:c r="K1058" s="82" t="str">
        <x:f>IF(AND(ISNUMBER(J1058),ISNUMBER(D1058)),J1058-D1058,"")</x:f>
      </x:c>
      <x:c r="L1058" s="69" t="str">
        <x:f>IF(COUNT(E1058:I1058)&lt;5,"Needs component scores",IF(ISNUMBER(J1058),"Calculated",J1058))</x:f>
        <x:v>Needs component scores</x:v>
      </x:c>
      <x:c r="M1058" s="69" t="str">
        <x:f>IF(C1058="","",MATCH(C1058,'Position_Rubric'!$A$6:$A$14,0))</x:f>
      </x:c>
      <x:c r="N1058" s="69" t="str"/>
    </x:row>
    <x:row r="1059" ht="25" customHeight="1">
      <x:c r="A1059" s="69" t="str">
        <x:v>summer-S26-0453</x:v>
      </x:c>
      <x:c r="B1059" s="69" t="str">
        <x:v>Noël Aséko</x:v>
      </x:c>
      <x:c r="C1059" s="69"/>
      <x:c r="D1059" s="82" t="str">
        <x:f>IF(ISNUMBER('Transfer_Ratings'!K1059),'Transfer_Ratings'!K1059,"")</x:f>
      </x:c>
      <x:c r="E1059" s="86"/>
      <x:c r="F1059" s="86"/>
      <x:c r="G1059" s="86"/>
      <x:c r="H1059" s="86"/>
      <x:c r="I1059" s="86"/>
      <x:c r="J1059" s="82" t="str">
        <x:f>IF(C1059="","Choose position",IF(COUNT(E1059:I1059)&lt;5,"",IF(OR(MIN(E1059:I1059)&lt;0.1,MAX(E1059:I1059)&gt;10),"Invalid score",IF(INDEX('Position_Rubric'!$H$6:$H$14,M1059)&lt;&gt;1,"Check weights",ROUND(E1059*INDEX('Position_Rubric'!$C$6:$C$14,M1059)+F1059*INDEX('Position_Rubric'!$D$6:$D$14,M1059)+G1059*INDEX('Position_Rubric'!$E$6:$E$14,M1059)+H1059*INDEX('Position_Rubric'!$F$6:$F$14,M1059)+I1059*INDEX('Position_Rubric'!$G$6:$G$14,M1059),1)))))</x:f>
        <x:v>Choose position</x:v>
      </x:c>
      <x:c r="K1059" s="82" t="str">
        <x:f>IF(AND(ISNUMBER(J1059),ISNUMBER(D1059)),J1059-D1059,"")</x:f>
      </x:c>
      <x:c r="L1059" s="69" t="str">
        <x:f>IF(COUNT(E1059:I1059)&lt;5,"Needs component scores",IF(ISNUMBER(J1059),"Calculated",J1059))</x:f>
        <x:v>Needs component scores</x:v>
      </x:c>
      <x:c r="M1059" s="69" t="str">
        <x:f>IF(C1059="","",MATCH(C1059,'Position_Rubric'!$A$6:$A$14,0))</x:f>
      </x:c>
      <x:c r="N1059" s="69" t="str"/>
    </x:row>
    <x:row r="1060" ht="25" customHeight="1">
      <x:c r="A1060" s="69" t="str">
        <x:v>summer-S26-0454</x:v>
      </x:c>
      <x:c r="B1060" s="69" t="str">
        <x:v>Mergim Vojvoda</x:v>
      </x:c>
      <x:c r="C1060" s="69"/>
      <x:c r="D1060" s="82" t="str">
        <x:f>IF(ISNUMBER('Transfer_Ratings'!K1060),'Transfer_Ratings'!K1060,"")</x:f>
      </x:c>
      <x:c r="E1060" s="86"/>
      <x:c r="F1060" s="86"/>
      <x:c r="G1060" s="86"/>
      <x:c r="H1060" s="86"/>
      <x:c r="I1060" s="86"/>
      <x:c r="J1060" s="82" t="str">
        <x:f>IF(C1060="","Choose position",IF(COUNT(E1060:I1060)&lt;5,"",IF(OR(MIN(E1060:I1060)&lt;0.1,MAX(E1060:I1060)&gt;10),"Invalid score",IF(INDEX('Position_Rubric'!$H$6:$H$14,M1060)&lt;&gt;1,"Check weights",ROUND(E1060*INDEX('Position_Rubric'!$C$6:$C$14,M1060)+F1060*INDEX('Position_Rubric'!$D$6:$D$14,M1060)+G1060*INDEX('Position_Rubric'!$E$6:$E$14,M1060)+H1060*INDEX('Position_Rubric'!$F$6:$F$14,M1060)+I1060*INDEX('Position_Rubric'!$G$6:$G$14,M1060),1)))))</x:f>
        <x:v>Choose position</x:v>
      </x:c>
      <x:c r="K1060" s="82" t="str">
        <x:f>IF(AND(ISNUMBER(J1060),ISNUMBER(D1060)),J1060-D1060,"")</x:f>
      </x:c>
      <x:c r="L1060" s="69" t="str">
        <x:f>IF(COUNT(E1060:I1060)&lt;5,"Needs component scores",IF(ISNUMBER(J1060),"Calculated",J1060))</x:f>
        <x:v>Needs component scores</x:v>
      </x:c>
      <x:c r="M1060" s="69" t="str">
        <x:f>IF(C1060="","",MATCH(C1060,'Position_Rubric'!$A$6:$A$14,0))</x:f>
      </x:c>
      <x:c r="N1060" s="69" t="str"/>
    </x:row>
    <x:row r="1061" ht="25" customHeight="1">
      <x:c r="A1061" s="69" t="str">
        <x:v>summer-S26-0456</x:v>
      </x:c>
      <x:c r="B1061" s="69" t="str">
        <x:v>Amir Richardson</x:v>
      </x:c>
      <x:c r="C1061" s="69"/>
      <x:c r="D1061" s="82" t="str">
        <x:f>IF(ISNUMBER('Transfer_Ratings'!K1061),'Transfer_Ratings'!K1061,"")</x:f>
      </x:c>
      <x:c r="E1061" s="86"/>
      <x:c r="F1061" s="86"/>
      <x:c r="G1061" s="86"/>
      <x:c r="H1061" s="86"/>
      <x:c r="I1061" s="86"/>
      <x:c r="J1061" s="82" t="str">
        <x:f>IF(C1061="","Choose position",IF(COUNT(E1061:I1061)&lt;5,"",IF(OR(MIN(E1061:I1061)&lt;0.1,MAX(E1061:I1061)&gt;10),"Invalid score",IF(INDEX('Position_Rubric'!$H$6:$H$14,M1061)&lt;&gt;1,"Check weights",ROUND(E1061*INDEX('Position_Rubric'!$C$6:$C$14,M1061)+F1061*INDEX('Position_Rubric'!$D$6:$D$14,M1061)+G1061*INDEX('Position_Rubric'!$E$6:$E$14,M1061)+H1061*INDEX('Position_Rubric'!$F$6:$F$14,M1061)+I1061*INDEX('Position_Rubric'!$G$6:$G$14,M1061),1)))))</x:f>
        <x:v>Choose position</x:v>
      </x:c>
      <x:c r="K1061" s="82" t="str">
        <x:f>IF(AND(ISNUMBER(J1061),ISNUMBER(D1061)),J1061-D1061,"")</x:f>
      </x:c>
      <x:c r="L1061" s="69" t="str">
        <x:f>IF(COUNT(E1061:I1061)&lt;5,"Needs component scores",IF(ISNUMBER(J1061),"Calculated",J1061))</x:f>
        <x:v>Needs component scores</x:v>
      </x:c>
      <x:c r="M1061" s="69" t="str">
        <x:f>IF(C1061="","",MATCH(C1061,'Position_Rubric'!$A$6:$A$14,0))</x:f>
      </x:c>
      <x:c r="N1061" s="69" t="str"/>
    </x:row>
    <x:row r="1062" ht="25" customHeight="1">
      <x:c r="A1062" s="69" t="str">
        <x:v>summer-S26-0457</x:v>
      </x:c>
      <x:c r="B1062" s="69" t="str">
        <x:v>Mattia Fortin</x:v>
      </x:c>
      <x:c r="C1062" s="69" t="str">
        <x:v>GK</x:v>
      </x:c>
      <x:c r="D1062" s="82" t="str">
        <x:f>IF(ISNUMBER('Transfer_Ratings'!K1062),'Transfer_Ratings'!K1062,"")</x:f>
      </x:c>
      <x:c r="E1062" s="86"/>
      <x:c r="F1062" s="86"/>
      <x:c r="G1062" s="86"/>
      <x:c r="H1062" s="86"/>
      <x:c r="I1062" s="86"/>
      <x:c r="J1062" s="82" t="str">
        <x:f>IF(C1062="","Choose position",IF(COUNT(E1062:I1062)&lt;5,"",IF(OR(MIN(E1062:I1062)&lt;0.1,MAX(E1062:I1062)&gt;10),"Invalid score",IF(INDEX('Position_Rubric'!$H$6:$H$14,M1062)&lt;&gt;1,"Check weights",ROUND(E1062*INDEX('Position_Rubric'!$C$6:$C$14,M1062)+F1062*INDEX('Position_Rubric'!$D$6:$D$14,M1062)+G1062*INDEX('Position_Rubric'!$E$6:$E$14,M1062)+H1062*INDEX('Position_Rubric'!$F$6:$F$14,M1062)+I1062*INDEX('Position_Rubric'!$G$6:$G$14,M1062),1)))))</x:f>
      </x:c>
      <x:c r="K1062" s="82" t="str">
        <x:f>IF(AND(ISNUMBER(J1062),ISNUMBER(D1062)),J1062-D1062,"")</x:f>
      </x:c>
      <x:c r="L1062" s="69" t="str">
        <x:f>IF(COUNT(E1062:I1062)&lt;5,"Needs component scores",IF(ISNUMBER(J1062),"Calculated",J1062))</x:f>
        <x:v>Needs component scores</x:v>
      </x:c>
      <x:c r="M1062" s="69" t="n">
        <x:f>IF(C1062="","",MATCH(C1062,'Position_Rubric'!$A$6:$A$14,0))</x:f>
        <x:v>9</x:v>
      </x:c>
      <x:c r="N1062" s="69" t="str"/>
    </x:row>
    <x:row r="1063" ht="25" customHeight="1">
      <x:c r="A1063" s="69" t="str">
        <x:v>summer-S26-0458</x:v>
      </x:c>
      <x:c r="B1063" s="69" t="str">
        <x:v>Sebastiano Desplanches</x:v>
      </x:c>
      <x:c r="C1063" s="69" t="str">
        <x:v>GK</x:v>
      </x:c>
      <x:c r="D1063" s="82" t="str">
        <x:f>IF(ISNUMBER('Transfer_Ratings'!K1063),'Transfer_Ratings'!K1063,"")</x:f>
      </x:c>
      <x:c r="E1063" s="86"/>
      <x:c r="F1063" s="86"/>
      <x:c r="G1063" s="86"/>
      <x:c r="H1063" s="86"/>
      <x:c r="I1063" s="86"/>
      <x:c r="J1063" s="82" t="str">
        <x:f>IF(C1063="","Choose position",IF(COUNT(E1063:I1063)&lt;5,"",IF(OR(MIN(E1063:I1063)&lt;0.1,MAX(E1063:I1063)&gt;10),"Invalid score",IF(INDEX('Position_Rubric'!$H$6:$H$14,M1063)&lt;&gt;1,"Check weights",ROUND(E1063*INDEX('Position_Rubric'!$C$6:$C$14,M1063)+F1063*INDEX('Position_Rubric'!$D$6:$D$14,M1063)+G1063*INDEX('Position_Rubric'!$E$6:$E$14,M1063)+H1063*INDEX('Position_Rubric'!$F$6:$F$14,M1063)+I1063*INDEX('Position_Rubric'!$G$6:$G$14,M1063),1)))))</x:f>
      </x:c>
      <x:c r="K1063" s="82" t="str">
        <x:f>IF(AND(ISNUMBER(J1063),ISNUMBER(D1063)),J1063-D1063,"")</x:f>
      </x:c>
      <x:c r="L1063" s="69" t="str">
        <x:f>IF(COUNT(E1063:I1063)&lt;5,"Needs component scores",IF(ISNUMBER(J1063),"Calculated",J1063))</x:f>
        <x:v>Needs component scores</x:v>
      </x:c>
      <x:c r="M1063" s="69" t="n">
        <x:f>IF(C1063="","",MATCH(C1063,'Position_Rubric'!$A$6:$A$14,0))</x:f>
        <x:v>9</x:v>
      </x:c>
      <x:c r="N1063" s="69" t="str"/>
    </x:row>
    <x:row r="1064" ht="25" customHeight="1">
      <x:c r="A1064" s="69" t="str">
        <x:v>summer-S26-0459</x:v>
      </x:c>
      <x:c r="B1064" s="69" t="str">
        <x:v>Tanguy Nianzou</x:v>
      </x:c>
      <x:c r="C1064" s="69"/>
      <x:c r="D1064" s="82" t="str">
        <x:f>IF(ISNUMBER('Transfer_Ratings'!K1064),'Transfer_Ratings'!K1064,"")</x:f>
      </x:c>
      <x:c r="E1064" s="86"/>
      <x:c r="F1064" s="86"/>
      <x:c r="G1064" s="86"/>
      <x:c r="H1064" s="86"/>
      <x:c r="I1064" s="86"/>
      <x:c r="J1064" s="82" t="str">
        <x:f>IF(C1064="","Choose position",IF(COUNT(E1064:I1064)&lt;5,"",IF(OR(MIN(E1064:I1064)&lt;0.1,MAX(E1064:I1064)&gt;10),"Invalid score",IF(INDEX('Position_Rubric'!$H$6:$H$14,M1064)&lt;&gt;1,"Check weights",ROUND(E1064*INDEX('Position_Rubric'!$C$6:$C$14,M1064)+F1064*INDEX('Position_Rubric'!$D$6:$D$14,M1064)+G1064*INDEX('Position_Rubric'!$E$6:$E$14,M1064)+H1064*INDEX('Position_Rubric'!$F$6:$F$14,M1064)+I1064*INDEX('Position_Rubric'!$G$6:$G$14,M1064),1)))))</x:f>
        <x:v>Choose position</x:v>
      </x:c>
      <x:c r="K1064" s="82" t="str">
        <x:f>IF(AND(ISNUMBER(J1064),ISNUMBER(D1064)),J1064-D1064,"")</x:f>
      </x:c>
      <x:c r="L1064" s="69" t="str">
        <x:f>IF(COUNT(E1064:I1064)&lt;5,"Needs component scores",IF(ISNUMBER(J1064),"Calculated",J1064))</x:f>
        <x:v>Needs component scores</x:v>
      </x:c>
      <x:c r="M1064" s="69" t="str">
        <x:f>IF(C1064="","",MATCH(C1064,'Position_Rubric'!$A$6:$A$14,0))</x:f>
      </x:c>
      <x:c r="N1064" s="69" t="str"/>
    </x:row>
    <x:row r="1065" ht="25" customHeight="1">
      <x:c r="A1065" s="69" t="str">
        <x:v>summer-S26-0460</x:v>
      </x:c>
      <x:c r="B1065" s="69" t="str">
        <x:v>Patrick Beach</x:v>
      </x:c>
      <x:c r="C1065" s="69" t="str">
        <x:v>GK</x:v>
      </x:c>
      <x:c r="D1065" s="82" t="str">
        <x:f>IF(ISNUMBER('Transfer_Ratings'!K1065),'Transfer_Ratings'!K1065,"")</x:f>
      </x:c>
      <x:c r="E1065" s="86"/>
      <x:c r="F1065" s="86"/>
      <x:c r="G1065" s="86"/>
      <x:c r="H1065" s="86"/>
      <x:c r="I1065" s="86"/>
      <x:c r="J1065" s="82" t="str">
        <x:f>IF(C1065="","Choose position",IF(COUNT(E1065:I1065)&lt;5,"",IF(OR(MIN(E1065:I1065)&lt;0.1,MAX(E1065:I1065)&gt;10),"Invalid score",IF(INDEX('Position_Rubric'!$H$6:$H$14,M1065)&lt;&gt;1,"Check weights",ROUND(E1065*INDEX('Position_Rubric'!$C$6:$C$14,M1065)+F1065*INDEX('Position_Rubric'!$D$6:$D$14,M1065)+G1065*INDEX('Position_Rubric'!$E$6:$E$14,M1065)+H1065*INDEX('Position_Rubric'!$F$6:$F$14,M1065)+I1065*INDEX('Position_Rubric'!$G$6:$G$14,M1065),1)))))</x:f>
      </x:c>
      <x:c r="K1065" s="82" t="str">
        <x:f>IF(AND(ISNUMBER(J1065),ISNUMBER(D1065)),J1065-D1065,"")</x:f>
      </x:c>
      <x:c r="L1065" s="69" t="str">
        <x:f>IF(COUNT(E1065:I1065)&lt;5,"Needs component scores",IF(ISNUMBER(J1065),"Calculated",J1065))</x:f>
        <x:v>Needs component scores</x:v>
      </x:c>
      <x:c r="M1065" s="69" t="n">
        <x:f>IF(C1065="","",MATCH(C1065,'Position_Rubric'!$A$6:$A$14,0))</x:f>
        <x:v>9</x:v>
      </x:c>
      <x:c r="N1065" s="69" t="str"/>
    </x:row>
    <x:row r="1066" ht="25" customHeight="1">
      <x:c r="A1066" s="69" t="str">
        <x:v>summer-S26-0463</x:v>
      </x:c>
      <x:c r="B1066" s="69" t="str">
        <x:v>Christ Inao Oulaï</x:v>
      </x:c>
      <x:c r="C1066" s="69"/>
      <x:c r="D1066" s="82" t="str">
        <x:f>IF(ISNUMBER('Transfer_Ratings'!K1066),'Transfer_Ratings'!K1066,"")</x:f>
      </x:c>
      <x:c r="E1066" s="86"/>
      <x:c r="F1066" s="86"/>
      <x:c r="G1066" s="86"/>
      <x:c r="H1066" s="86"/>
      <x:c r="I1066" s="86"/>
      <x:c r="J1066" s="82" t="str">
        <x:f>IF(C1066="","Choose position",IF(COUNT(E1066:I1066)&lt;5,"",IF(OR(MIN(E1066:I1066)&lt;0.1,MAX(E1066:I1066)&gt;10),"Invalid score",IF(INDEX('Position_Rubric'!$H$6:$H$14,M1066)&lt;&gt;1,"Check weights",ROUND(E1066*INDEX('Position_Rubric'!$C$6:$C$14,M1066)+F1066*INDEX('Position_Rubric'!$D$6:$D$14,M1066)+G1066*INDEX('Position_Rubric'!$E$6:$E$14,M1066)+H1066*INDEX('Position_Rubric'!$F$6:$F$14,M1066)+I1066*INDEX('Position_Rubric'!$G$6:$G$14,M1066),1)))))</x:f>
        <x:v>Choose position</x:v>
      </x:c>
      <x:c r="K1066" s="82" t="str">
        <x:f>IF(AND(ISNUMBER(J1066),ISNUMBER(D1066)),J1066-D1066,"")</x:f>
      </x:c>
      <x:c r="L1066" s="69" t="str">
        <x:f>IF(COUNT(E1066:I1066)&lt;5,"Needs component scores",IF(ISNUMBER(J1066),"Calculated",J1066))</x:f>
        <x:v>Needs component scores</x:v>
      </x:c>
      <x:c r="M1066" s="69" t="str">
        <x:f>IF(C1066="","",MATCH(C1066,'Position_Rubric'!$A$6:$A$14,0))</x:f>
      </x:c>
      <x:c r="N1066" s="69" t="str"/>
    </x:row>
    <x:row r="1067" ht="25" customHeight="1">
      <x:c r="A1067" s="69" t="str">
        <x:v>summer-S26-0465</x:v>
      </x:c>
      <x:c r="B1067" s="69" t="str">
        <x:v>Deniz Ofli</x:v>
      </x:c>
      <x:c r="C1067" s="69"/>
      <x:c r="D1067" s="82" t="str">
        <x:f>IF(ISNUMBER('Transfer_Ratings'!K1067),'Transfer_Ratings'!K1067,"")</x:f>
      </x:c>
      <x:c r="E1067" s="86"/>
      <x:c r="F1067" s="86"/>
      <x:c r="G1067" s="86"/>
      <x:c r="H1067" s="86"/>
      <x:c r="I1067" s="86"/>
      <x:c r="J1067" s="82" t="str">
        <x:f>IF(C1067="","Choose position",IF(COUNT(E1067:I1067)&lt;5,"",IF(OR(MIN(E1067:I1067)&lt;0.1,MAX(E1067:I1067)&gt;10),"Invalid score",IF(INDEX('Position_Rubric'!$H$6:$H$14,M1067)&lt;&gt;1,"Check weights",ROUND(E1067*INDEX('Position_Rubric'!$C$6:$C$14,M1067)+F1067*INDEX('Position_Rubric'!$D$6:$D$14,M1067)+G1067*INDEX('Position_Rubric'!$E$6:$E$14,M1067)+H1067*INDEX('Position_Rubric'!$F$6:$F$14,M1067)+I1067*INDEX('Position_Rubric'!$G$6:$G$14,M1067),1)))))</x:f>
        <x:v>Choose position</x:v>
      </x:c>
      <x:c r="K1067" s="82" t="str">
        <x:f>IF(AND(ISNUMBER(J1067),ISNUMBER(D1067)),J1067-D1067,"")</x:f>
      </x:c>
      <x:c r="L1067" s="69" t="str">
        <x:f>IF(COUNT(E1067:I1067)&lt;5,"Needs component scores",IF(ISNUMBER(J1067),"Calculated",J1067))</x:f>
        <x:v>Needs component scores</x:v>
      </x:c>
      <x:c r="M1067" s="69" t="str">
        <x:f>IF(C1067="","",MATCH(C1067,'Position_Rubric'!$A$6:$A$14,0))</x:f>
      </x:c>
      <x:c r="N1067" s="69" t="str"/>
    </x:row>
    <x:row r="1068" ht="25" customHeight="1">
      <x:c r="A1068" s="69" t="str">
        <x:v>summer-S26-0467</x:v>
      </x:c>
      <x:c r="B1068" s="69" t="str">
        <x:v>Tariq Lamptey</x:v>
      </x:c>
      <x:c r="C1068" s="69"/>
      <x:c r="D1068" s="82" t="str">
        <x:f>IF(ISNUMBER('Transfer_Ratings'!K1068),'Transfer_Ratings'!K1068,"")</x:f>
      </x:c>
      <x:c r="E1068" s="86"/>
      <x:c r="F1068" s="86"/>
      <x:c r="G1068" s="86"/>
      <x:c r="H1068" s="86"/>
      <x:c r="I1068" s="86"/>
      <x:c r="J1068" s="82" t="str">
        <x:f>IF(C1068="","Choose position",IF(COUNT(E1068:I1068)&lt;5,"",IF(OR(MIN(E1068:I1068)&lt;0.1,MAX(E1068:I1068)&gt;10),"Invalid score",IF(INDEX('Position_Rubric'!$H$6:$H$14,M1068)&lt;&gt;1,"Check weights",ROUND(E1068*INDEX('Position_Rubric'!$C$6:$C$14,M1068)+F1068*INDEX('Position_Rubric'!$D$6:$D$14,M1068)+G1068*INDEX('Position_Rubric'!$E$6:$E$14,M1068)+H1068*INDEX('Position_Rubric'!$F$6:$F$14,M1068)+I1068*INDEX('Position_Rubric'!$G$6:$G$14,M1068),1)))))</x:f>
        <x:v>Choose position</x:v>
      </x:c>
      <x:c r="K1068" s="82" t="str">
        <x:f>IF(AND(ISNUMBER(J1068),ISNUMBER(D1068)),J1068-D1068,"")</x:f>
      </x:c>
      <x:c r="L1068" s="69" t="str">
        <x:f>IF(COUNT(E1068:I1068)&lt;5,"Needs component scores",IF(ISNUMBER(J1068),"Calculated",J1068))</x:f>
        <x:v>Needs component scores</x:v>
      </x:c>
      <x:c r="M1068" s="69" t="str">
        <x:f>IF(C1068="","",MATCH(C1068,'Position_Rubric'!$A$6:$A$14,0))</x:f>
      </x:c>
      <x:c r="N1068" s="69" t="str"/>
    </x:row>
    <x:row r="1069" ht="25" customHeight="1">
      <x:c r="A1069" s="69" t="str">
        <x:v>summer-S26-0472</x:v>
      </x:c>
      <x:c r="B1069" s="69" t="str">
        <x:v>Kayne van Oevelen</x:v>
      </x:c>
      <x:c r="C1069" s="69" t="str">
        <x:v>GK</x:v>
      </x:c>
      <x:c r="D1069" s="82" t="str">
        <x:f>IF(ISNUMBER('Transfer_Ratings'!K1069),'Transfer_Ratings'!K1069,"")</x:f>
      </x:c>
      <x:c r="E1069" s="86"/>
      <x:c r="F1069" s="86"/>
      <x:c r="G1069" s="86"/>
      <x:c r="H1069" s="86"/>
      <x:c r="I1069" s="86"/>
      <x:c r="J1069" s="82" t="str">
        <x:f>IF(C1069="","Choose position",IF(COUNT(E1069:I1069)&lt;5,"",IF(OR(MIN(E1069:I1069)&lt;0.1,MAX(E1069:I1069)&gt;10),"Invalid score",IF(INDEX('Position_Rubric'!$H$6:$H$14,M1069)&lt;&gt;1,"Check weights",ROUND(E1069*INDEX('Position_Rubric'!$C$6:$C$14,M1069)+F1069*INDEX('Position_Rubric'!$D$6:$D$14,M1069)+G1069*INDEX('Position_Rubric'!$E$6:$E$14,M1069)+H1069*INDEX('Position_Rubric'!$F$6:$F$14,M1069)+I1069*INDEX('Position_Rubric'!$G$6:$G$14,M1069),1)))))</x:f>
      </x:c>
      <x:c r="K1069" s="82" t="str">
        <x:f>IF(AND(ISNUMBER(J1069),ISNUMBER(D1069)),J1069-D1069,"")</x:f>
      </x:c>
      <x:c r="L1069" s="69" t="str">
        <x:f>IF(COUNT(E1069:I1069)&lt;5,"Needs component scores",IF(ISNUMBER(J1069),"Calculated",J1069))</x:f>
        <x:v>Needs component scores</x:v>
      </x:c>
      <x:c r="M1069" s="69" t="n">
        <x:f>IF(C1069="","",MATCH(C1069,'Position_Rubric'!$A$6:$A$14,0))</x:f>
        <x:v>9</x:v>
      </x:c>
      <x:c r="N1069" s="69" t="str"/>
    </x:row>
    <x:row r="1070" ht="25" customHeight="1">
      <x:c r="A1070" s="69" t="str">
        <x:v>summer-S26-0473</x:v>
      </x:c>
      <x:c r="B1070" s="69" t="str">
        <x:v>Mirko Elia</x:v>
      </x:c>
      <x:c r="C1070" s="69"/>
      <x:c r="D1070" s="82" t="str">
        <x:f>IF(ISNUMBER('Transfer_Ratings'!K1070),'Transfer_Ratings'!K1070,"")</x:f>
      </x:c>
      <x:c r="E1070" s="86"/>
      <x:c r="F1070" s="86"/>
      <x:c r="G1070" s="86"/>
      <x:c r="H1070" s="86"/>
      <x:c r="I1070" s="86"/>
      <x:c r="J1070" s="82" t="str">
        <x:f>IF(C1070="","Choose position",IF(COUNT(E1070:I1070)&lt;5,"",IF(OR(MIN(E1070:I1070)&lt;0.1,MAX(E1070:I1070)&gt;10),"Invalid score",IF(INDEX('Position_Rubric'!$H$6:$H$14,M1070)&lt;&gt;1,"Check weights",ROUND(E1070*INDEX('Position_Rubric'!$C$6:$C$14,M1070)+F1070*INDEX('Position_Rubric'!$D$6:$D$14,M1070)+G1070*INDEX('Position_Rubric'!$E$6:$E$14,M1070)+H1070*INDEX('Position_Rubric'!$F$6:$F$14,M1070)+I1070*INDEX('Position_Rubric'!$G$6:$G$14,M1070),1)))))</x:f>
        <x:v>Choose position</x:v>
      </x:c>
      <x:c r="K1070" s="82" t="str">
        <x:f>IF(AND(ISNUMBER(J1070),ISNUMBER(D1070)),J1070-D1070,"")</x:f>
      </x:c>
      <x:c r="L1070" s="69" t="str">
        <x:f>IF(COUNT(E1070:I1070)&lt;5,"Needs component scores",IF(ISNUMBER(J1070),"Calculated",J1070))</x:f>
        <x:v>Needs component scores</x:v>
      </x:c>
      <x:c r="M1070" s="69" t="str">
        <x:f>IF(C1070="","",MATCH(C1070,'Position_Rubric'!$A$6:$A$14,0))</x:f>
      </x:c>
      <x:c r="N1070" s="69" t="str"/>
    </x:row>
    <x:row r="1071" ht="25" customHeight="1">
      <x:c r="A1071" s="69" t="str">
        <x:v>summer-S26-0475</x:v>
      </x:c>
      <x:c r="B1071" s="69" t="str">
        <x:v>Diego Conde</x:v>
      </x:c>
      <x:c r="C1071" s="69" t="str">
        <x:v>GK</x:v>
      </x:c>
      <x:c r="D1071" s="82" t="str">
        <x:f>IF(ISNUMBER('Transfer_Ratings'!K1071),'Transfer_Ratings'!K1071,"")</x:f>
      </x:c>
      <x:c r="E1071" s="86"/>
      <x:c r="F1071" s="86"/>
      <x:c r="G1071" s="86"/>
      <x:c r="H1071" s="86"/>
      <x:c r="I1071" s="86"/>
      <x:c r="J1071" s="82" t="str">
        <x:f>IF(C1071="","Choose position",IF(COUNT(E1071:I1071)&lt;5,"",IF(OR(MIN(E1071:I1071)&lt;0.1,MAX(E1071:I1071)&gt;10),"Invalid score",IF(INDEX('Position_Rubric'!$H$6:$H$14,M1071)&lt;&gt;1,"Check weights",ROUND(E1071*INDEX('Position_Rubric'!$C$6:$C$14,M1071)+F1071*INDEX('Position_Rubric'!$D$6:$D$14,M1071)+G1071*INDEX('Position_Rubric'!$E$6:$E$14,M1071)+H1071*INDEX('Position_Rubric'!$F$6:$F$14,M1071)+I1071*INDEX('Position_Rubric'!$G$6:$G$14,M1071),1)))))</x:f>
      </x:c>
      <x:c r="K1071" s="82" t="str">
        <x:f>IF(AND(ISNUMBER(J1071),ISNUMBER(D1071)),J1071-D1071,"")</x:f>
      </x:c>
      <x:c r="L1071" s="69" t="str">
        <x:f>IF(COUNT(E1071:I1071)&lt;5,"Needs component scores",IF(ISNUMBER(J1071),"Calculated",J1071))</x:f>
        <x:v>Needs component scores</x:v>
      </x:c>
      <x:c r="M1071" s="69" t="n">
        <x:f>IF(C1071="","",MATCH(C1071,'Position_Rubric'!$A$6:$A$14,0))</x:f>
        <x:v>9</x:v>
      </x:c>
      <x:c r="N1071" s="69" t="str"/>
    </x:row>
    <x:row r="1072" ht="25" customHeight="1">
      <x:c r="A1072" s="69" t="str">
        <x:v>summer-S26-0476</x:v>
      </x:c>
      <x:c r="B1072" s="69" t="str">
        <x:v>Carlo Sickinger</x:v>
      </x:c>
      <x:c r="C1072" s="69"/>
      <x:c r="D1072" s="82" t="str">
        <x:f>IF(ISNUMBER('Transfer_Ratings'!K1072),'Transfer_Ratings'!K1072,"")</x:f>
      </x:c>
      <x:c r="E1072" s="86"/>
      <x:c r="F1072" s="86"/>
      <x:c r="G1072" s="86"/>
      <x:c r="H1072" s="86"/>
      <x:c r="I1072" s="86"/>
      <x:c r="J1072" s="82" t="str">
        <x:f>IF(C1072="","Choose position",IF(COUNT(E1072:I1072)&lt;5,"",IF(OR(MIN(E1072:I1072)&lt;0.1,MAX(E1072:I1072)&gt;10),"Invalid score",IF(INDEX('Position_Rubric'!$H$6:$H$14,M1072)&lt;&gt;1,"Check weights",ROUND(E1072*INDEX('Position_Rubric'!$C$6:$C$14,M1072)+F1072*INDEX('Position_Rubric'!$D$6:$D$14,M1072)+G1072*INDEX('Position_Rubric'!$E$6:$E$14,M1072)+H1072*INDEX('Position_Rubric'!$F$6:$F$14,M1072)+I1072*INDEX('Position_Rubric'!$G$6:$G$14,M1072),1)))))</x:f>
        <x:v>Choose position</x:v>
      </x:c>
      <x:c r="K1072" s="82" t="str">
        <x:f>IF(AND(ISNUMBER(J1072),ISNUMBER(D1072)),J1072-D1072,"")</x:f>
      </x:c>
      <x:c r="L1072" s="69" t="str">
        <x:f>IF(COUNT(E1072:I1072)&lt;5,"Needs component scores",IF(ISNUMBER(J1072),"Calculated",J1072))</x:f>
        <x:v>Needs component scores</x:v>
      </x:c>
      <x:c r="M1072" s="69" t="str">
        <x:f>IF(C1072="","",MATCH(C1072,'Position_Rubric'!$A$6:$A$14,0))</x:f>
      </x:c>
      <x:c r="N1072" s="69" t="str"/>
    </x:row>
    <x:row r="1073" ht="25" customHeight="1">
      <x:c r="A1073" s="69" t="str">
        <x:v>summer-S26-0477</x:v>
      </x:c>
      <x:c r="B1073" s="69" t="str">
        <x:v>Théo de Percin</x:v>
      </x:c>
      <x:c r="C1073" s="69" t="str">
        <x:v>GK</x:v>
      </x:c>
      <x:c r="D1073" s="82" t="str">
        <x:f>IF(ISNUMBER('Transfer_Ratings'!K1073),'Transfer_Ratings'!K1073,"")</x:f>
      </x:c>
      <x:c r="E1073" s="86"/>
      <x:c r="F1073" s="86"/>
      <x:c r="G1073" s="86"/>
      <x:c r="H1073" s="86"/>
      <x:c r="I1073" s="86"/>
      <x:c r="J1073" s="82" t="str">
        <x:f>IF(C1073="","Choose position",IF(COUNT(E1073:I1073)&lt;5,"",IF(OR(MIN(E1073:I1073)&lt;0.1,MAX(E1073:I1073)&gt;10),"Invalid score",IF(INDEX('Position_Rubric'!$H$6:$H$14,M1073)&lt;&gt;1,"Check weights",ROUND(E1073*INDEX('Position_Rubric'!$C$6:$C$14,M1073)+F1073*INDEX('Position_Rubric'!$D$6:$D$14,M1073)+G1073*INDEX('Position_Rubric'!$E$6:$E$14,M1073)+H1073*INDEX('Position_Rubric'!$F$6:$F$14,M1073)+I1073*INDEX('Position_Rubric'!$G$6:$G$14,M1073),1)))))</x:f>
      </x:c>
      <x:c r="K1073" s="82" t="str">
        <x:f>IF(AND(ISNUMBER(J1073),ISNUMBER(D1073)),J1073-D1073,"")</x:f>
      </x:c>
      <x:c r="L1073" s="69" t="str">
        <x:f>IF(COUNT(E1073:I1073)&lt;5,"Needs component scores",IF(ISNUMBER(J1073),"Calculated",J1073))</x:f>
        <x:v>Needs component scores</x:v>
      </x:c>
      <x:c r="M1073" s="69" t="n">
        <x:f>IF(C1073="","",MATCH(C1073,'Position_Rubric'!$A$6:$A$14,0))</x:f>
        <x:v>9</x:v>
      </x:c>
      <x:c r="N1073" s="69" t="str"/>
    </x:row>
    <x:row r="1074" ht="25" customHeight="1">
      <x:c r="A1074" s="69" t="str">
        <x:v>summer-S26-0478</x:v>
      </x:c>
      <x:c r="B1074" s="69" t="str">
        <x:v>Guilherme Fernandes</x:v>
      </x:c>
      <x:c r="C1074" s="69" t="str">
        <x:v>GK</x:v>
      </x:c>
      <x:c r="D1074" s="82" t="str">
        <x:f>IF(ISNUMBER('Transfer_Ratings'!K1074),'Transfer_Ratings'!K1074,"")</x:f>
      </x:c>
      <x:c r="E1074" s="86"/>
      <x:c r="F1074" s="86"/>
      <x:c r="G1074" s="86"/>
      <x:c r="H1074" s="86"/>
      <x:c r="I1074" s="86"/>
      <x:c r="J1074" s="82" t="str">
        <x:f>IF(C1074="","Choose position",IF(COUNT(E1074:I1074)&lt;5,"",IF(OR(MIN(E1074:I1074)&lt;0.1,MAX(E1074:I1074)&gt;10),"Invalid score",IF(INDEX('Position_Rubric'!$H$6:$H$14,M1074)&lt;&gt;1,"Check weights",ROUND(E1074*INDEX('Position_Rubric'!$C$6:$C$14,M1074)+F1074*INDEX('Position_Rubric'!$D$6:$D$14,M1074)+G1074*INDEX('Position_Rubric'!$E$6:$E$14,M1074)+H1074*INDEX('Position_Rubric'!$F$6:$F$14,M1074)+I1074*INDEX('Position_Rubric'!$G$6:$G$14,M1074),1)))))</x:f>
      </x:c>
      <x:c r="K1074" s="82" t="str">
        <x:f>IF(AND(ISNUMBER(J1074),ISNUMBER(D1074)),J1074-D1074,"")</x:f>
      </x:c>
      <x:c r="L1074" s="69" t="str">
        <x:f>IF(COUNT(E1074:I1074)&lt;5,"Needs component scores",IF(ISNUMBER(J1074),"Calculated",J1074))</x:f>
        <x:v>Needs component scores</x:v>
      </x:c>
      <x:c r="M1074" s="69" t="n">
        <x:f>IF(C1074="","",MATCH(C1074,'Position_Rubric'!$A$6:$A$14,0))</x:f>
        <x:v>9</x:v>
      </x:c>
      <x:c r="N1074" s="69" t="str"/>
    </x:row>
    <x:row r="1075" ht="25" customHeight="1">
      <x:c r="A1075" s="69" t="str">
        <x:v>summer-S26-0479</x:v>
      </x:c>
      <x:c r="B1075" s="69" t="str">
        <x:v>Luca Sirch</x:v>
      </x:c>
      <x:c r="C1075" s="69"/>
      <x:c r="D1075" s="82" t="str">
        <x:f>IF(ISNUMBER('Transfer_Ratings'!K1075),'Transfer_Ratings'!K1075,"")</x:f>
      </x:c>
      <x:c r="E1075" s="86"/>
      <x:c r="F1075" s="86"/>
      <x:c r="G1075" s="86"/>
      <x:c r="H1075" s="86"/>
      <x:c r="I1075" s="86"/>
      <x:c r="J1075" s="82" t="str">
        <x:f>IF(C1075="","Choose position",IF(COUNT(E1075:I1075)&lt;5,"",IF(OR(MIN(E1075:I1075)&lt;0.1,MAX(E1075:I1075)&gt;10),"Invalid score",IF(INDEX('Position_Rubric'!$H$6:$H$14,M1075)&lt;&gt;1,"Check weights",ROUND(E1075*INDEX('Position_Rubric'!$C$6:$C$14,M1075)+F1075*INDEX('Position_Rubric'!$D$6:$D$14,M1075)+G1075*INDEX('Position_Rubric'!$E$6:$E$14,M1075)+H1075*INDEX('Position_Rubric'!$F$6:$F$14,M1075)+I1075*INDEX('Position_Rubric'!$G$6:$G$14,M1075),1)))))</x:f>
        <x:v>Choose position</x:v>
      </x:c>
      <x:c r="K1075" s="82" t="str">
        <x:f>IF(AND(ISNUMBER(J1075),ISNUMBER(D1075)),J1075-D1075,"")</x:f>
      </x:c>
      <x:c r="L1075" s="69" t="str">
        <x:f>IF(COUNT(E1075:I1075)&lt;5,"Needs component scores",IF(ISNUMBER(J1075),"Calculated",J1075))</x:f>
        <x:v>Needs component scores</x:v>
      </x:c>
      <x:c r="M1075" s="69" t="str">
        <x:f>IF(C1075="","",MATCH(C1075,'Position_Rubric'!$A$6:$A$14,0))</x:f>
      </x:c>
      <x:c r="N1075" s="69" t="str"/>
    </x:row>
    <x:row r="1076" ht="25" customHeight="1">
      <x:c r="A1076" s="69" t="str">
        <x:v>summer-S26-0480</x:v>
      </x:c>
      <x:c r="B1076" s="69" t="str">
        <x:v>Simon Simoni</x:v>
      </x:c>
      <x:c r="C1076" s="69" t="str">
        <x:v>GK</x:v>
      </x:c>
      <x:c r="D1076" s="82" t="str">
        <x:f>IF(ISNUMBER('Transfer_Ratings'!K1076),'Transfer_Ratings'!K1076,"")</x:f>
      </x:c>
      <x:c r="E1076" s="86"/>
      <x:c r="F1076" s="86"/>
      <x:c r="G1076" s="86"/>
      <x:c r="H1076" s="86"/>
      <x:c r="I1076" s="86"/>
      <x:c r="J1076" s="82" t="str">
        <x:f>IF(C1076="","Choose position",IF(COUNT(E1076:I1076)&lt;5,"",IF(OR(MIN(E1076:I1076)&lt;0.1,MAX(E1076:I1076)&gt;10),"Invalid score",IF(INDEX('Position_Rubric'!$H$6:$H$14,M1076)&lt;&gt;1,"Check weights",ROUND(E1076*INDEX('Position_Rubric'!$C$6:$C$14,M1076)+F1076*INDEX('Position_Rubric'!$D$6:$D$14,M1076)+G1076*INDEX('Position_Rubric'!$E$6:$E$14,M1076)+H1076*INDEX('Position_Rubric'!$F$6:$F$14,M1076)+I1076*INDEX('Position_Rubric'!$G$6:$G$14,M1076),1)))))</x:f>
      </x:c>
      <x:c r="K1076" s="82" t="str">
        <x:f>IF(AND(ISNUMBER(J1076),ISNUMBER(D1076)),J1076-D1076,"")</x:f>
      </x:c>
      <x:c r="L1076" s="69" t="str">
        <x:f>IF(COUNT(E1076:I1076)&lt;5,"Needs component scores",IF(ISNUMBER(J1076),"Calculated",J1076))</x:f>
        <x:v>Needs component scores</x:v>
      </x:c>
      <x:c r="M1076" s="69" t="n">
        <x:f>IF(C1076="","",MATCH(C1076,'Position_Rubric'!$A$6:$A$14,0))</x:f>
        <x:v>9</x:v>
      </x:c>
      <x:c r="N1076" s="69" t="str"/>
    </x:row>
    <x:row r="1077" ht="25" customHeight="1">
      <x:c r="A1077" s="69" t="str">
        <x:v>summer-S26-0483</x:v>
      </x:c>
      <x:c r="B1077" s="69" t="str">
        <x:v>Rahim Alhassane</x:v>
      </x:c>
      <x:c r="C1077" s="69"/>
      <x:c r="D1077" s="82" t="str">
        <x:f>IF(ISNUMBER('Transfer_Ratings'!K1077),'Transfer_Ratings'!K1077,"")</x:f>
      </x:c>
      <x:c r="E1077" s="86"/>
      <x:c r="F1077" s="86"/>
      <x:c r="G1077" s="86"/>
      <x:c r="H1077" s="86"/>
      <x:c r="I1077" s="86"/>
      <x:c r="J1077" s="82" t="str">
        <x:f>IF(C1077="","Choose position",IF(COUNT(E1077:I1077)&lt;5,"",IF(OR(MIN(E1077:I1077)&lt;0.1,MAX(E1077:I1077)&gt;10),"Invalid score",IF(INDEX('Position_Rubric'!$H$6:$H$14,M1077)&lt;&gt;1,"Check weights",ROUND(E1077*INDEX('Position_Rubric'!$C$6:$C$14,M1077)+F1077*INDEX('Position_Rubric'!$D$6:$D$14,M1077)+G1077*INDEX('Position_Rubric'!$E$6:$E$14,M1077)+H1077*INDEX('Position_Rubric'!$F$6:$F$14,M1077)+I1077*INDEX('Position_Rubric'!$G$6:$G$14,M1077),1)))))</x:f>
        <x:v>Choose position</x:v>
      </x:c>
      <x:c r="K1077" s="82" t="str">
        <x:f>IF(AND(ISNUMBER(J1077),ISNUMBER(D1077)),J1077-D1077,"")</x:f>
      </x:c>
      <x:c r="L1077" s="69" t="str">
        <x:f>IF(COUNT(E1077:I1077)&lt;5,"Needs component scores",IF(ISNUMBER(J1077),"Calculated",J1077))</x:f>
        <x:v>Needs component scores</x:v>
      </x:c>
      <x:c r="M1077" s="69" t="str">
        <x:f>IF(C1077="","",MATCH(C1077,'Position_Rubric'!$A$6:$A$14,0))</x:f>
      </x:c>
      <x:c r="N1077" s="69" t="str"/>
    </x:row>
    <x:row r="1078" ht="25" customHeight="1">
      <x:c r="A1078" s="69" t="str">
        <x:v>summer-S26-0484</x:v>
      </x:c>
      <x:c r="B1078" s="69" t="str">
        <x:v>Alfie McNally</x:v>
      </x:c>
      <x:c r="C1078" s="69" t="str">
        <x:v>GK</x:v>
      </x:c>
      <x:c r="D1078" s="82" t="str">
        <x:f>IF(ISNUMBER('Transfer_Ratings'!K1078),'Transfer_Ratings'!K1078,"")</x:f>
      </x:c>
      <x:c r="E1078" s="86"/>
      <x:c r="F1078" s="86"/>
      <x:c r="G1078" s="86"/>
      <x:c r="H1078" s="86"/>
      <x:c r="I1078" s="86"/>
      <x:c r="J1078" s="82" t="str">
        <x:f>IF(C1078="","Choose position",IF(COUNT(E1078:I1078)&lt;5,"",IF(OR(MIN(E1078:I1078)&lt;0.1,MAX(E1078:I1078)&gt;10),"Invalid score",IF(INDEX('Position_Rubric'!$H$6:$H$14,M1078)&lt;&gt;1,"Check weights",ROUND(E1078*INDEX('Position_Rubric'!$C$6:$C$14,M1078)+F1078*INDEX('Position_Rubric'!$D$6:$D$14,M1078)+G1078*INDEX('Position_Rubric'!$E$6:$E$14,M1078)+H1078*INDEX('Position_Rubric'!$F$6:$F$14,M1078)+I1078*INDEX('Position_Rubric'!$G$6:$G$14,M1078),1)))))</x:f>
      </x:c>
      <x:c r="K1078" s="82" t="str">
        <x:f>IF(AND(ISNUMBER(J1078),ISNUMBER(D1078)),J1078-D1078,"")</x:f>
      </x:c>
      <x:c r="L1078" s="69" t="str">
        <x:f>IF(COUNT(E1078:I1078)&lt;5,"Needs component scores",IF(ISNUMBER(J1078),"Calculated",J1078))</x:f>
        <x:v>Needs component scores</x:v>
      </x:c>
      <x:c r="M1078" s="69" t="n">
        <x:f>IF(C1078="","",MATCH(C1078,'Position_Rubric'!$A$6:$A$14,0))</x:f>
        <x:v>9</x:v>
      </x:c>
      <x:c r="N1078" s="69" t="str"/>
    </x:row>
    <x:row r="1079" ht="25" customHeight="1">
      <x:c r="A1079" s="69" t="str">
        <x:v>summer-S26-0485</x:v>
      </x:c>
      <x:c r="B1079" s="69" t="str">
        <x:v>Hugo Sotelo</x:v>
      </x:c>
      <x:c r="C1079" s="69"/>
      <x:c r="D1079" s="82" t="str">
        <x:f>IF(ISNUMBER('Transfer_Ratings'!K1079),'Transfer_Ratings'!K1079,"")</x:f>
      </x:c>
      <x:c r="E1079" s="86"/>
      <x:c r="F1079" s="86"/>
      <x:c r="G1079" s="86"/>
      <x:c r="H1079" s="86"/>
      <x:c r="I1079" s="86"/>
      <x:c r="J1079" s="82" t="str">
        <x:f>IF(C1079="","Choose position",IF(COUNT(E1079:I1079)&lt;5,"",IF(OR(MIN(E1079:I1079)&lt;0.1,MAX(E1079:I1079)&gt;10),"Invalid score",IF(INDEX('Position_Rubric'!$H$6:$H$14,M1079)&lt;&gt;1,"Check weights",ROUND(E1079*INDEX('Position_Rubric'!$C$6:$C$14,M1079)+F1079*INDEX('Position_Rubric'!$D$6:$D$14,M1079)+G1079*INDEX('Position_Rubric'!$E$6:$E$14,M1079)+H1079*INDEX('Position_Rubric'!$F$6:$F$14,M1079)+I1079*INDEX('Position_Rubric'!$G$6:$G$14,M1079),1)))))</x:f>
        <x:v>Choose position</x:v>
      </x:c>
      <x:c r="K1079" s="82" t="str">
        <x:f>IF(AND(ISNUMBER(J1079),ISNUMBER(D1079)),J1079-D1079,"")</x:f>
      </x:c>
      <x:c r="L1079" s="69" t="str">
        <x:f>IF(COUNT(E1079:I1079)&lt;5,"Needs component scores",IF(ISNUMBER(J1079),"Calculated",J1079))</x:f>
        <x:v>Needs component scores</x:v>
      </x:c>
      <x:c r="M1079" s="69" t="str">
        <x:f>IF(C1079="","",MATCH(C1079,'Position_Rubric'!$A$6:$A$14,0))</x:f>
      </x:c>
      <x:c r="N1079" s="69" t="str"/>
    </x:row>
    <x:row r="1080" ht="25" customHeight="1">
      <x:c r="A1080" s="69" t="str">
        <x:v>summer-S26-0487</x:v>
      </x:c>
      <x:c r="B1080" s="69" t="str">
        <x:v>Alessandro Bianco</x:v>
      </x:c>
      <x:c r="C1080" s="69"/>
      <x:c r="D1080" s="82" t="str">
        <x:f>IF(ISNUMBER('Transfer_Ratings'!K1080),'Transfer_Ratings'!K1080,"")</x:f>
      </x:c>
      <x:c r="E1080" s="86"/>
      <x:c r="F1080" s="86"/>
      <x:c r="G1080" s="86"/>
      <x:c r="H1080" s="86"/>
      <x:c r="I1080" s="86"/>
      <x:c r="J1080" s="82" t="str">
        <x:f>IF(C1080="","Choose position",IF(COUNT(E1080:I1080)&lt;5,"",IF(OR(MIN(E1080:I1080)&lt;0.1,MAX(E1080:I1080)&gt;10),"Invalid score",IF(INDEX('Position_Rubric'!$H$6:$H$14,M1080)&lt;&gt;1,"Check weights",ROUND(E1080*INDEX('Position_Rubric'!$C$6:$C$14,M1080)+F1080*INDEX('Position_Rubric'!$D$6:$D$14,M1080)+G1080*INDEX('Position_Rubric'!$E$6:$E$14,M1080)+H1080*INDEX('Position_Rubric'!$F$6:$F$14,M1080)+I1080*INDEX('Position_Rubric'!$G$6:$G$14,M1080),1)))))</x:f>
        <x:v>Choose position</x:v>
      </x:c>
      <x:c r="K1080" s="82" t="str">
        <x:f>IF(AND(ISNUMBER(J1080),ISNUMBER(D1080)),J1080-D1080,"")</x:f>
      </x:c>
      <x:c r="L1080" s="69" t="str">
        <x:f>IF(COUNT(E1080:I1080)&lt;5,"Needs component scores",IF(ISNUMBER(J1080),"Calculated",J1080))</x:f>
        <x:v>Needs component scores</x:v>
      </x:c>
      <x:c r="M1080" s="69" t="str">
        <x:f>IF(C1080="","",MATCH(C1080,'Position_Rubric'!$A$6:$A$14,0))</x:f>
      </x:c>
      <x:c r="N1080" s="69" t="str"/>
    </x:row>
    <x:row r="1081" ht="25" customHeight="1">
      <x:c r="A1081" s="69" t="str">
        <x:v>summer-S26-0490</x:v>
      </x:c>
      <x:c r="B1081" s="69" t="str">
        <x:v>Spike Brits</x:v>
      </x:c>
      <x:c r="C1081" s="69" t="str">
        <x:v>GK</x:v>
      </x:c>
      <x:c r="D1081" s="82" t="str">
        <x:f>IF(ISNUMBER('Transfer_Ratings'!K1081),'Transfer_Ratings'!K1081,"")</x:f>
      </x:c>
      <x:c r="E1081" s="86"/>
      <x:c r="F1081" s="86"/>
      <x:c r="G1081" s="86"/>
      <x:c r="H1081" s="86"/>
      <x:c r="I1081" s="86"/>
      <x:c r="J1081" s="82" t="str">
        <x:f>IF(C1081="","Choose position",IF(COUNT(E1081:I1081)&lt;5,"",IF(OR(MIN(E1081:I1081)&lt;0.1,MAX(E1081:I1081)&gt;10),"Invalid score",IF(INDEX('Position_Rubric'!$H$6:$H$14,M1081)&lt;&gt;1,"Check weights",ROUND(E1081*INDEX('Position_Rubric'!$C$6:$C$14,M1081)+F1081*INDEX('Position_Rubric'!$D$6:$D$14,M1081)+G1081*INDEX('Position_Rubric'!$E$6:$E$14,M1081)+H1081*INDEX('Position_Rubric'!$F$6:$F$14,M1081)+I1081*INDEX('Position_Rubric'!$G$6:$G$14,M1081),1)))))</x:f>
      </x:c>
      <x:c r="K1081" s="82" t="str">
        <x:f>IF(AND(ISNUMBER(J1081),ISNUMBER(D1081)),J1081-D1081,"")</x:f>
      </x:c>
      <x:c r="L1081" s="69" t="str">
        <x:f>IF(COUNT(E1081:I1081)&lt;5,"Needs component scores",IF(ISNUMBER(J1081),"Calculated",J1081))</x:f>
        <x:v>Needs component scores</x:v>
      </x:c>
      <x:c r="M1081" s="69" t="n">
        <x:f>IF(C1081="","",MATCH(C1081,'Position_Rubric'!$A$6:$A$14,0))</x:f>
        <x:v>9</x:v>
      </x:c>
      <x:c r="N1081" s="69" t="str"/>
    </x:row>
    <x:row r="1082" ht="25" customHeight="1">
      <x:c r="A1082" s="69" t="str">
        <x:v>summer-S26-0491</x:v>
      </x:c>
      <x:c r="B1082" s="69" t="str">
        <x:v>Emmanuel Mbemba</x:v>
      </x:c>
      <x:c r="C1082" s="69"/>
      <x:c r="D1082" s="82" t="str">
        <x:f>IF(ISNUMBER('Transfer_Ratings'!K1082),'Transfer_Ratings'!K1082,"")</x:f>
      </x:c>
      <x:c r="E1082" s="86"/>
      <x:c r="F1082" s="86"/>
      <x:c r="G1082" s="86"/>
      <x:c r="H1082" s="86"/>
      <x:c r="I1082" s="86"/>
      <x:c r="J1082" s="82" t="str">
        <x:f>IF(C1082="","Choose position",IF(COUNT(E1082:I1082)&lt;5,"",IF(OR(MIN(E1082:I1082)&lt;0.1,MAX(E1082:I1082)&gt;10),"Invalid score",IF(INDEX('Position_Rubric'!$H$6:$H$14,M1082)&lt;&gt;1,"Check weights",ROUND(E1082*INDEX('Position_Rubric'!$C$6:$C$14,M1082)+F1082*INDEX('Position_Rubric'!$D$6:$D$14,M1082)+G1082*INDEX('Position_Rubric'!$E$6:$E$14,M1082)+H1082*INDEX('Position_Rubric'!$F$6:$F$14,M1082)+I1082*INDEX('Position_Rubric'!$G$6:$G$14,M1082),1)))))</x:f>
        <x:v>Choose position</x:v>
      </x:c>
      <x:c r="K1082" s="82" t="str">
        <x:f>IF(AND(ISNUMBER(J1082),ISNUMBER(D1082)),J1082-D1082,"")</x:f>
      </x:c>
      <x:c r="L1082" s="69" t="str">
        <x:f>IF(COUNT(E1082:I1082)&lt;5,"Needs component scores",IF(ISNUMBER(J1082),"Calculated",J1082))</x:f>
        <x:v>Needs component scores</x:v>
      </x:c>
      <x:c r="M1082" s="69" t="str">
        <x:f>IF(C1082="","",MATCH(C1082,'Position_Rubric'!$A$6:$A$14,0))</x:f>
      </x:c>
      <x:c r="N1082" s="69" t="str"/>
    </x:row>
    <x:row r="1083" ht="25" customHeight="1">
      <x:c r="A1083" s="69" t="str">
        <x:v>summer-S26-0493</x:v>
      </x:c>
      <x:c r="B1083" s="69" t="str">
        <x:v>Óscar Zambrano</x:v>
      </x:c>
      <x:c r="C1083" s="69"/>
      <x:c r="D1083" s="82" t="str">
        <x:f>IF(ISNUMBER('Transfer_Ratings'!K1083),'Transfer_Ratings'!K1083,"")</x:f>
      </x:c>
      <x:c r="E1083" s="86"/>
      <x:c r="F1083" s="86"/>
      <x:c r="G1083" s="86"/>
      <x:c r="H1083" s="86"/>
      <x:c r="I1083" s="86"/>
      <x:c r="J1083" s="82" t="str">
        <x:f>IF(C1083="","Choose position",IF(COUNT(E1083:I1083)&lt;5,"",IF(OR(MIN(E1083:I1083)&lt;0.1,MAX(E1083:I1083)&gt;10),"Invalid score",IF(INDEX('Position_Rubric'!$H$6:$H$14,M1083)&lt;&gt;1,"Check weights",ROUND(E1083*INDEX('Position_Rubric'!$C$6:$C$14,M1083)+F1083*INDEX('Position_Rubric'!$D$6:$D$14,M1083)+G1083*INDEX('Position_Rubric'!$E$6:$E$14,M1083)+H1083*INDEX('Position_Rubric'!$F$6:$F$14,M1083)+I1083*INDEX('Position_Rubric'!$G$6:$G$14,M1083),1)))))</x:f>
        <x:v>Choose position</x:v>
      </x:c>
      <x:c r="K1083" s="82" t="str">
        <x:f>IF(AND(ISNUMBER(J1083),ISNUMBER(D1083)),J1083-D1083,"")</x:f>
      </x:c>
      <x:c r="L1083" s="69" t="str">
        <x:f>IF(COUNT(E1083:I1083)&lt;5,"Needs component scores",IF(ISNUMBER(J1083),"Calculated",J1083))</x:f>
        <x:v>Needs component scores</x:v>
      </x:c>
      <x:c r="M1083" s="69" t="str">
        <x:f>IF(C1083="","",MATCH(C1083,'Position_Rubric'!$A$6:$A$14,0))</x:f>
      </x:c>
      <x:c r="N1083" s="69" t="str"/>
    </x:row>
    <x:row r="1084" ht="25" customHeight="1">
      <x:c r="A1084" s="69" t="str">
        <x:v>summer-S26-0495</x:v>
      </x:c>
      <x:c r="B1084" s="69" t="str">
        <x:v>Malang Sarr</x:v>
      </x:c>
      <x:c r="C1084" s="69"/>
      <x:c r="D1084" s="82" t="str">
        <x:f>IF(ISNUMBER('Transfer_Ratings'!K1084),'Transfer_Ratings'!K1084,"")</x:f>
      </x:c>
      <x:c r="E1084" s="86"/>
      <x:c r="F1084" s="86"/>
      <x:c r="G1084" s="86"/>
      <x:c r="H1084" s="86"/>
      <x:c r="I1084" s="86"/>
      <x:c r="J1084" s="82" t="str">
        <x:f>IF(C1084="","Choose position",IF(COUNT(E1084:I1084)&lt;5,"",IF(OR(MIN(E1084:I1084)&lt;0.1,MAX(E1084:I1084)&gt;10),"Invalid score",IF(INDEX('Position_Rubric'!$H$6:$H$14,M1084)&lt;&gt;1,"Check weights",ROUND(E1084*INDEX('Position_Rubric'!$C$6:$C$14,M1084)+F1084*INDEX('Position_Rubric'!$D$6:$D$14,M1084)+G1084*INDEX('Position_Rubric'!$E$6:$E$14,M1084)+H1084*INDEX('Position_Rubric'!$F$6:$F$14,M1084)+I1084*INDEX('Position_Rubric'!$G$6:$G$14,M1084),1)))))</x:f>
        <x:v>Choose position</x:v>
      </x:c>
      <x:c r="K1084" s="82" t="str">
        <x:f>IF(AND(ISNUMBER(J1084),ISNUMBER(D1084)),J1084-D1084,"")</x:f>
      </x:c>
      <x:c r="L1084" s="69" t="str">
        <x:f>IF(COUNT(E1084:I1084)&lt;5,"Needs component scores",IF(ISNUMBER(J1084),"Calculated",J1084))</x:f>
        <x:v>Needs component scores</x:v>
      </x:c>
      <x:c r="M1084" s="69" t="str">
        <x:f>IF(C1084="","",MATCH(C1084,'Position_Rubric'!$A$6:$A$14,0))</x:f>
      </x:c>
      <x:c r="N1084" s="69" t="str"/>
    </x:row>
    <x:row r="1085" ht="25" customHeight="1">
      <x:c r="A1085" s="69" t="str">
        <x:v>summer-S26-0497</x:v>
      </x:c>
      <x:c r="B1085" s="69" t="str">
        <x:v>Angelo Fulgini</x:v>
      </x:c>
      <x:c r="C1085" s="69"/>
      <x:c r="D1085" s="82" t="str">
        <x:f>IF(ISNUMBER('Transfer_Ratings'!K1085),'Transfer_Ratings'!K1085,"")</x:f>
      </x:c>
      <x:c r="E1085" s="86"/>
      <x:c r="F1085" s="86"/>
      <x:c r="G1085" s="86"/>
      <x:c r="H1085" s="86"/>
      <x:c r="I1085" s="86"/>
      <x:c r="J1085" s="82" t="str">
        <x:f>IF(C1085="","Choose position",IF(COUNT(E1085:I1085)&lt;5,"",IF(OR(MIN(E1085:I1085)&lt;0.1,MAX(E1085:I1085)&gt;10),"Invalid score",IF(INDEX('Position_Rubric'!$H$6:$H$14,M1085)&lt;&gt;1,"Check weights",ROUND(E1085*INDEX('Position_Rubric'!$C$6:$C$14,M1085)+F1085*INDEX('Position_Rubric'!$D$6:$D$14,M1085)+G1085*INDEX('Position_Rubric'!$E$6:$E$14,M1085)+H1085*INDEX('Position_Rubric'!$F$6:$F$14,M1085)+I1085*INDEX('Position_Rubric'!$G$6:$G$14,M1085),1)))))</x:f>
        <x:v>Choose position</x:v>
      </x:c>
      <x:c r="K1085" s="82" t="str">
        <x:f>IF(AND(ISNUMBER(J1085),ISNUMBER(D1085)),J1085-D1085,"")</x:f>
      </x:c>
      <x:c r="L1085" s="69" t="str">
        <x:f>IF(COUNT(E1085:I1085)&lt;5,"Needs component scores",IF(ISNUMBER(J1085),"Calculated",J1085))</x:f>
        <x:v>Needs component scores</x:v>
      </x:c>
      <x:c r="M1085" s="69" t="str">
        <x:f>IF(C1085="","",MATCH(C1085,'Position_Rubric'!$A$6:$A$14,0))</x:f>
      </x:c>
      <x:c r="N1085" s="69" t="str"/>
    </x:row>
    <x:row r="1086" ht="25" customHeight="1">
      <x:c r="A1086" s="69" t="str">
        <x:v>summer-S26-0498</x:v>
      </x:c>
      <x:c r="B1086" s="69" t="str">
        <x:v>Álex Sala</x:v>
      </x:c>
      <x:c r="C1086" s="69"/>
      <x:c r="D1086" s="82" t="str">
        <x:f>IF(ISNUMBER('Transfer_Ratings'!K1086),'Transfer_Ratings'!K1086,"")</x:f>
      </x:c>
      <x:c r="E1086" s="86"/>
      <x:c r="F1086" s="86"/>
      <x:c r="G1086" s="86"/>
      <x:c r="H1086" s="86"/>
      <x:c r="I1086" s="86"/>
      <x:c r="J1086" s="82" t="str">
        <x:f>IF(C1086="","Choose position",IF(COUNT(E1086:I1086)&lt;5,"",IF(OR(MIN(E1086:I1086)&lt;0.1,MAX(E1086:I1086)&gt;10),"Invalid score",IF(INDEX('Position_Rubric'!$H$6:$H$14,M1086)&lt;&gt;1,"Check weights",ROUND(E1086*INDEX('Position_Rubric'!$C$6:$C$14,M1086)+F1086*INDEX('Position_Rubric'!$D$6:$D$14,M1086)+G1086*INDEX('Position_Rubric'!$E$6:$E$14,M1086)+H1086*INDEX('Position_Rubric'!$F$6:$F$14,M1086)+I1086*INDEX('Position_Rubric'!$G$6:$G$14,M1086),1)))))</x:f>
        <x:v>Choose position</x:v>
      </x:c>
      <x:c r="K1086" s="82" t="str">
        <x:f>IF(AND(ISNUMBER(J1086),ISNUMBER(D1086)),J1086-D1086,"")</x:f>
      </x:c>
      <x:c r="L1086" s="69" t="str">
        <x:f>IF(COUNT(E1086:I1086)&lt;5,"Needs component scores",IF(ISNUMBER(J1086),"Calculated",J1086))</x:f>
        <x:v>Needs component scores</x:v>
      </x:c>
      <x:c r="M1086" s="69" t="str">
        <x:f>IF(C1086="","",MATCH(C1086,'Position_Rubric'!$A$6:$A$14,0))</x:f>
      </x:c>
      <x:c r="N1086" s="69" t="str"/>
    </x:row>
    <x:row r="1087" ht="25" customHeight="1">
      <x:c r="A1087" s="69" t="str">
        <x:v>summer-S26-0500</x:v>
      </x:c>
      <x:c r="B1087" s="69" t="str">
        <x:v>Issa Diop</x:v>
      </x:c>
      <x:c r="C1087" s="69"/>
      <x:c r="D1087" s="82" t="str">
        <x:f>IF(ISNUMBER('Transfer_Ratings'!K1087),'Transfer_Ratings'!K1087,"")</x:f>
      </x:c>
      <x:c r="E1087" s="86"/>
      <x:c r="F1087" s="86"/>
      <x:c r="G1087" s="86"/>
      <x:c r="H1087" s="86"/>
      <x:c r="I1087" s="86"/>
      <x:c r="J1087" s="82" t="str">
        <x:f>IF(C1087="","Choose position",IF(COUNT(E1087:I1087)&lt;5,"",IF(OR(MIN(E1087:I1087)&lt;0.1,MAX(E1087:I1087)&gt;10),"Invalid score",IF(INDEX('Position_Rubric'!$H$6:$H$14,M1087)&lt;&gt;1,"Check weights",ROUND(E1087*INDEX('Position_Rubric'!$C$6:$C$14,M1087)+F1087*INDEX('Position_Rubric'!$D$6:$D$14,M1087)+G1087*INDEX('Position_Rubric'!$E$6:$E$14,M1087)+H1087*INDEX('Position_Rubric'!$F$6:$F$14,M1087)+I1087*INDEX('Position_Rubric'!$G$6:$G$14,M1087),1)))))</x:f>
        <x:v>Choose position</x:v>
      </x:c>
      <x:c r="K1087" s="82" t="str">
        <x:f>IF(AND(ISNUMBER(J1087),ISNUMBER(D1087)),J1087-D1087,"")</x:f>
      </x:c>
      <x:c r="L1087" s="69" t="str">
        <x:f>IF(COUNT(E1087:I1087)&lt;5,"Needs component scores",IF(ISNUMBER(J1087),"Calculated",J1087))</x:f>
        <x:v>Needs component scores</x:v>
      </x:c>
      <x:c r="M1087" s="69" t="str">
        <x:f>IF(C1087="","",MATCH(C1087,'Position_Rubric'!$A$6:$A$14,0))</x:f>
      </x:c>
      <x:c r="N1087" s="69" t="str"/>
    </x:row>
    <x:row r="1088" ht="25" customHeight="1">
      <x:c r="A1088" s="69" t="str">
        <x:v>summer-S26-0501</x:v>
      </x:c>
      <x:c r="B1088" s="69" t="str">
        <x:v>Antonin Barak</x:v>
      </x:c>
      <x:c r="C1088" s="69"/>
      <x:c r="D1088" s="82" t="str">
        <x:f>IF(ISNUMBER('Transfer_Ratings'!K1088),'Transfer_Ratings'!K1088,"")</x:f>
      </x:c>
      <x:c r="E1088" s="86"/>
      <x:c r="F1088" s="86"/>
      <x:c r="G1088" s="86"/>
      <x:c r="H1088" s="86"/>
      <x:c r="I1088" s="86"/>
      <x:c r="J1088" s="82" t="str">
        <x:f>IF(C1088="","Choose position",IF(COUNT(E1088:I1088)&lt;5,"",IF(OR(MIN(E1088:I1088)&lt;0.1,MAX(E1088:I1088)&gt;10),"Invalid score",IF(INDEX('Position_Rubric'!$H$6:$H$14,M1088)&lt;&gt;1,"Check weights",ROUND(E1088*INDEX('Position_Rubric'!$C$6:$C$14,M1088)+F1088*INDEX('Position_Rubric'!$D$6:$D$14,M1088)+G1088*INDEX('Position_Rubric'!$E$6:$E$14,M1088)+H1088*INDEX('Position_Rubric'!$F$6:$F$14,M1088)+I1088*INDEX('Position_Rubric'!$G$6:$G$14,M1088),1)))))</x:f>
        <x:v>Choose position</x:v>
      </x:c>
      <x:c r="K1088" s="82" t="str">
        <x:f>IF(AND(ISNUMBER(J1088),ISNUMBER(D1088)),J1088-D1088,"")</x:f>
      </x:c>
      <x:c r="L1088" s="69" t="str">
        <x:f>IF(COUNT(E1088:I1088)&lt;5,"Needs component scores",IF(ISNUMBER(J1088),"Calculated",J1088))</x:f>
        <x:v>Needs component scores</x:v>
      </x:c>
      <x:c r="M1088" s="69" t="str">
        <x:f>IF(C1088="","",MATCH(C1088,'Position_Rubric'!$A$6:$A$14,0))</x:f>
      </x:c>
      <x:c r="N1088" s="69" t="str"/>
    </x:row>
    <x:row r="1089" ht="25" customHeight="1">
      <x:c r="A1089" s="69" t="str">
        <x:v>summer-S26-0502</x:v>
      </x:c>
      <x:c r="B1089" s="69" t="str">
        <x:v>Andrea Oliveri</x:v>
      </x:c>
      <x:c r="C1089" s="69"/>
      <x:c r="D1089" s="82" t="str">
        <x:f>IF(ISNUMBER('Transfer_Ratings'!K1089),'Transfer_Ratings'!K1089,"")</x:f>
      </x:c>
      <x:c r="E1089" s="86"/>
      <x:c r="F1089" s="86"/>
      <x:c r="G1089" s="86"/>
      <x:c r="H1089" s="86"/>
      <x:c r="I1089" s="86"/>
      <x:c r="J1089" s="82" t="str">
        <x:f>IF(C1089="","Choose position",IF(COUNT(E1089:I1089)&lt;5,"",IF(OR(MIN(E1089:I1089)&lt;0.1,MAX(E1089:I1089)&gt;10),"Invalid score",IF(INDEX('Position_Rubric'!$H$6:$H$14,M1089)&lt;&gt;1,"Check weights",ROUND(E1089*INDEX('Position_Rubric'!$C$6:$C$14,M1089)+F1089*INDEX('Position_Rubric'!$D$6:$D$14,M1089)+G1089*INDEX('Position_Rubric'!$E$6:$E$14,M1089)+H1089*INDEX('Position_Rubric'!$F$6:$F$14,M1089)+I1089*INDEX('Position_Rubric'!$G$6:$G$14,M1089),1)))))</x:f>
        <x:v>Choose position</x:v>
      </x:c>
      <x:c r="K1089" s="82" t="str">
        <x:f>IF(AND(ISNUMBER(J1089),ISNUMBER(D1089)),J1089-D1089,"")</x:f>
      </x:c>
      <x:c r="L1089" s="69" t="str">
        <x:f>IF(COUNT(E1089:I1089)&lt;5,"Needs component scores",IF(ISNUMBER(J1089),"Calculated",J1089))</x:f>
        <x:v>Needs component scores</x:v>
      </x:c>
      <x:c r="M1089" s="69" t="str">
        <x:f>IF(C1089="","",MATCH(C1089,'Position_Rubric'!$A$6:$A$14,0))</x:f>
      </x:c>
      <x:c r="N1089" s="69" t="str"/>
    </x:row>
    <x:row r="1090" ht="25" customHeight="1">
      <x:c r="A1090" s="69" t="str">
        <x:v>summer-S26-0505</x:v>
      </x:c>
      <x:c r="B1090" s="69" t="str">
        <x:v>Demi Akarakiri</x:v>
      </x:c>
      <x:c r="C1090" s="69"/>
      <x:c r="D1090" s="82" t="str">
        <x:f>IF(ISNUMBER('Transfer_Ratings'!K1090),'Transfer_Ratings'!K1090,"")</x:f>
      </x:c>
      <x:c r="E1090" s="86"/>
      <x:c r="F1090" s="86"/>
      <x:c r="G1090" s="86"/>
      <x:c r="H1090" s="86"/>
      <x:c r="I1090" s="86"/>
      <x:c r="J1090" s="82" t="str">
        <x:f>IF(C1090="","Choose position",IF(COUNT(E1090:I1090)&lt;5,"",IF(OR(MIN(E1090:I1090)&lt;0.1,MAX(E1090:I1090)&gt;10),"Invalid score",IF(INDEX('Position_Rubric'!$H$6:$H$14,M1090)&lt;&gt;1,"Check weights",ROUND(E1090*INDEX('Position_Rubric'!$C$6:$C$14,M1090)+F1090*INDEX('Position_Rubric'!$D$6:$D$14,M1090)+G1090*INDEX('Position_Rubric'!$E$6:$E$14,M1090)+H1090*INDEX('Position_Rubric'!$F$6:$F$14,M1090)+I1090*INDEX('Position_Rubric'!$G$6:$G$14,M1090),1)))))</x:f>
        <x:v>Choose position</x:v>
      </x:c>
      <x:c r="K1090" s="82" t="str">
        <x:f>IF(AND(ISNUMBER(J1090),ISNUMBER(D1090)),J1090-D1090,"")</x:f>
      </x:c>
      <x:c r="L1090" s="69" t="str">
        <x:f>IF(COUNT(E1090:I1090)&lt;5,"Needs component scores",IF(ISNUMBER(J1090),"Calculated",J1090))</x:f>
        <x:v>Needs component scores</x:v>
      </x:c>
      <x:c r="M1090" s="69" t="str">
        <x:f>IF(C1090="","",MATCH(C1090,'Position_Rubric'!$A$6:$A$14,0))</x:f>
      </x:c>
      <x:c r="N1090" s="69" t="str"/>
    </x:row>
    <x:row r="1091" ht="25" customHeight="1">
      <x:c r="A1091" s="69" t="str">
        <x:v>summer-S26-0506</x:v>
      </x:c>
      <x:c r="B1091" s="69" t="str">
        <x:v>Giuseppe Mazzaglia</x:v>
      </x:c>
      <x:c r="C1091" s="69"/>
      <x:c r="D1091" s="82" t="str">
        <x:f>IF(ISNUMBER('Transfer_Ratings'!K1091),'Transfer_Ratings'!K1091,"")</x:f>
      </x:c>
      <x:c r="E1091" s="86"/>
      <x:c r="F1091" s="86"/>
      <x:c r="G1091" s="86"/>
      <x:c r="H1091" s="86"/>
      <x:c r="I1091" s="86"/>
      <x:c r="J1091" s="82" t="str">
        <x:f>IF(C1091="","Choose position",IF(COUNT(E1091:I1091)&lt;5,"",IF(OR(MIN(E1091:I1091)&lt;0.1,MAX(E1091:I1091)&gt;10),"Invalid score",IF(INDEX('Position_Rubric'!$H$6:$H$14,M1091)&lt;&gt;1,"Check weights",ROUND(E1091*INDEX('Position_Rubric'!$C$6:$C$14,M1091)+F1091*INDEX('Position_Rubric'!$D$6:$D$14,M1091)+G1091*INDEX('Position_Rubric'!$E$6:$E$14,M1091)+H1091*INDEX('Position_Rubric'!$F$6:$F$14,M1091)+I1091*INDEX('Position_Rubric'!$G$6:$G$14,M1091),1)))))</x:f>
        <x:v>Choose position</x:v>
      </x:c>
      <x:c r="K1091" s="82" t="str">
        <x:f>IF(AND(ISNUMBER(J1091),ISNUMBER(D1091)),J1091-D1091,"")</x:f>
      </x:c>
      <x:c r="L1091" s="69" t="str">
        <x:f>IF(COUNT(E1091:I1091)&lt;5,"Needs component scores",IF(ISNUMBER(J1091),"Calculated",J1091))</x:f>
        <x:v>Needs component scores</x:v>
      </x:c>
      <x:c r="M1091" s="69" t="str">
        <x:f>IF(C1091="","",MATCH(C1091,'Position_Rubric'!$A$6:$A$14,0))</x:f>
      </x:c>
      <x:c r="N1091" s="69" t="str"/>
    </x:row>
    <x:row r="1092" ht="25" customHeight="1">
      <x:c r="A1092" s="69" t="str">
        <x:v>summer-S26-0507</x:v>
      </x:c>
      <x:c r="B1092" s="69" t="str">
        <x:v>Álex Jiménez</x:v>
      </x:c>
      <x:c r="C1092" s="69"/>
      <x:c r="D1092" s="82" t="str">
        <x:f>IF(ISNUMBER('Transfer_Ratings'!K1092),'Transfer_Ratings'!K1092,"")</x:f>
      </x:c>
      <x:c r="E1092" s="86"/>
      <x:c r="F1092" s="86"/>
      <x:c r="G1092" s="86"/>
      <x:c r="H1092" s="86"/>
      <x:c r="I1092" s="86"/>
      <x:c r="J1092" s="82" t="str">
        <x:f>IF(C1092="","Choose position",IF(COUNT(E1092:I1092)&lt;5,"",IF(OR(MIN(E1092:I1092)&lt;0.1,MAX(E1092:I1092)&gt;10),"Invalid score",IF(INDEX('Position_Rubric'!$H$6:$H$14,M1092)&lt;&gt;1,"Check weights",ROUND(E1092*INDEX('Position_Rubric'!$C$6:$C$14,M1092)+F1092*INDEX('Position_Rubric'!$D$6:$D$14,M1092)+G1092*INDEX('Position_Rubric'!$E$6:$E$14,M1092)+H1092*INDEX('Position_Rubric'!$F$6:$F$14,M1092)+I1092*INDEX('Position_Rubric'!$G$6:$G$14,M1092),1)))))</x:f>
        <x:v>Choose position</x:v>
      </x:c>
      <x:c r="K1092" s="82" t="str">
        <x:f>IF(AND(ISNUMBER(J1092),ISNUMBER(D1092)),J1092-D1092,"")</x:f>
      </x:c>
      <x:c r="L1092" s="69" t="str">
        <x:f>IF(COUNT(E1092:I1092)&lt;5,"Needs component scores",IF(ISNUMBER(J1092),"Calculated",J1092))</x:f>
        <x:v>Needs component scores</x:v>
      </x:c>
      <x:c r="M1092" s="69" t="str">
        <x:f>IF(C1092="","",MATCH(C1092,'Position_Rubric'!$A$6:$A$14,0))</x:f>
      </x:c>
      <x:c r="N1092" s="69" t="str"/>
    </x:row>
    <x:row r="1093" ht="25" customHeight="1">
      <x:c r="A1093" s="69" t="str">
        <x:v>summer-S26-0509</x:v>
      </x:c>
      <x:c r="B1093" s="69" t="str">
        <x:v>Wisdom Amey</x:v>
      </x:c>
      <x:c r="C1093" s="69"/>
      <x:c r="D1093" s="82" t="str">
        <x:f>IF(ISNUMBER('Transfer_Ratings'!K1093),'Transfer_Ratings'!K1093,"")</x:f>
      </x:c>
      <x:c r="E1093" s="86"/>
      <x:c r="F1093" s="86"/>
      <x:c r="G1093" s="86"/>
      <x:c r="H1093" s="86"/>
      <x:c r="I1093" s="86"/>
      <x:c r="J1093" s="82" t="str">
        <x:f>IF(C1093="","Choose position",IF(COUNT(E1093:I1093)&lt;5,"",IF(OR(MIN(E1093:I1093)&lt;0.1,MAX(E1093:I1093)&gt;10),"Invalid score",IF(INDEX('Position_Rubric'!$H$6:$H$14,M1093)&lt;&gt;1,"Check weights",ROUND(E1093*INDEX('Position_Rubric'!$C$6:$C$14,M1093)+F1093*INDEX('Position_Rubric'!$D$6:$D$14,M1093)+G1093*INDEX('Position_Rubric'!$E$6:$E$14,M1093)+H1093*INDEX('Position_Rubric'!$F$6:$F$14,M1093)+I1093*INDEX('Position_Rubric'!$G$6:$G$14,M1093),1)))))</x:f>
        <x:v>Choose position</x:v>
      </x:c>
      <x:c r="K1093" s="82" t="str">
        <x:f>IF(AND(ISNUMBER(J1093),ISNUMBER(D1093)),J1093-D1093,"")</x:f>
      </x:c>
      <x:c r="L1093" s="69" t="str">
        <x:f>IF(COUNT(E1093:I1093)&lt;5,"Needs component scores",IF(ISNUMBER(J1093),"Calculated",J1093))</x:f>
        <x:v>Needs component scores</x:v>
      </x:c>
      <x:c r="M1093" s="69" t="str">
        <x:f>IF(C1093="","",MATCH(C1093,'Position_Rubric'!$A$6:$A$14,0))</x:f>
      </x:c>
      <x:c r="N1093" s="69" t="str"/>
    </x:row>
    <x:row r="1094" ht="25" customHeight="1">
      <x:c r="A1094" s="69" t="str">
        <x:v>summer-S26-0510</x:v>
      </x:c>
      <x:c r="B1094" s="69" t="str">
        <x:v>Riccardo Marchizza</x:v>
      </x:c>
      <x:c r="C1094" s="69"/>
      <x:c r="D1094" s="82" t="str">
        <x:f>IF(ISNUMBER('Transfer_Ratings'!K1094),'Transfer_Ratings'!K1094,"")</x:f>
      </x:c>
      <x:c r="E1094" s="86"/>
      <x:c r="F1094" s="86"/>
      <x:c r="G1094" s="86"/>
      <x:c r="H1094" s="86"/>
      <x:c r="I1094" s="86"/>
      <x:c r="J1094" s="82" t="str">
        <x:f>IF(C1094="","Choose position",IF(COUNT(E1094:I1094)&lt;5,"",IF(OR(MIN(E1094:I1094)&lt;0.1,MAX(E1094:I1094)&gt;10),"Invalid score",IF(INDEX('Position_Rubric'!$H$6:$H$14,M1094)&lt;&gt;1,"Check weights",ROUND(E1094*INDEX('Position_Rubric'!$C$6:$C$14,M1094)+F1094*INDEX('Position_Rubric'!$D$6:$D$14,M1094)+G1094*INDEX('Position_Rubric'!$E$6:$E$14,M1094)+H1094*INDEX('Position_Rubric'!$F$6:$F$14,M1094)+I1094*INDEX('Position_Rubric'!$G$6:$G$14,M1094),1)))))</x:f>
        <x:v>Choose position</x:v>
      </x:c>
      <x:c r="K1094" s="82" t="str">
        <x:f>IF(AND(ISNUMBER(J1094),ISNUMBER(D1094)),J1094-D1094,"")</x:f>
      </x:c>
      <x:c r="L1094" s="69" t="str">
        <x:f>IF(COUNT(E1094:I1094)&lt;5,"Needs component scores",IF(ISNUMBER(J1094),"Calculated",J1094))</x:f>
        <x:v>Needs component scores</x:v>
      </x:c>
      <x:c r="M1094" s="69" t="str">
        <x:f>IF(C1094="","",MATCH(C1094,'Position_Rubric'!$A$6:$A$14,0))</x:f>
      </x:c>
      <x:c r="N1094" s="69" t="str"/>
    </x:row>
    <x:row r="1095" ht="25" customHeight="1">
      <x:c r="A1095" s="69" t="str">
        <x:v>summer-S26-0511</x:v>
      </x:c>
      <x:c r="B1095" s="69" t="str">
        <x:v>Abdoulie Ndow</x:v>
      </x:c>
      <x:c r="C1095" s="69"/>
      <x:c r="D1095" s="82" t="str">
        <x:f>IF(ISNUMBER('Transfer_Ratings'!K1095),'Transfer_Ratings'!K1095,"")</x:f>
      </x:c>
      <x:c r="E1095" s="86"/>
      <x:c r="F1095" s="86"/>
      <x:c r="G1095" s="86"/>
      <x:c r="H1095" s="86"/>
      <x:c r="I1095" s="86"/>
      <x:c r="J1095" s="82" t="str">
        <x:f>IF(C1095="","Choose position",IF(COUNT(E1095:I1095)&lt;5,"",IF(OR(MIN(E1095:I1095)&lt;0.1,MAX(E1095:I1095)&gt;10),"Invalid score",IF(INDEX('Position_Rubric'!$H$6:$H$14,M1095)&lt;&gt;1,"Check weights",ROUND(E1095*INDEX('Position_Rubric'!$C$6:$C$14,M1095)+F1095*INDEX('Position_Rubric'!$D$6:$D$14,M1095)+G1095*INDEX('Position_Rubric'!$E$6:$E$14,M1095)+H1095*INDEX('Position_Rubric'!$F$6:$F$14,M1095)+I1095*INDEX('Position_Rubric'!$G$6:$G$14,M1095),1)))))</x:f>
        <x:v>Choose position</x:v>
      </x:c>
      <x:c r="K1095" s="82" t="str">
        <x:f>IF(AND(ISNUMBER(J1095),ISNUMBER(D1095)),J1095-D1095,"")</x:f>
      </x:c>
      <x:c r="L1095" s="69" t="str">
        <x:f>IF(COUNT(E1095:I1095)&lt;5,"Needs component scores",IF(ISNUMBER(J1095),"Calculated",J1095))</x:f>
        <x:v>Needs component scores</x:v>
      </x:c>
      <x:c r="M1095" s="69" t="str">
        <x:f>IF(C1095="","",MATCH(C1095,'Position_Rubric'!$A$6:$A$14,0))</x:f>
      </x:c>
      <x:c r="N1095" s="69" t="str"/>
    </x:row>
    <x:row r="1096" ht="25" customHeight="1">
      <x:c r="A1096" s="69" t="str">
        <x:v>summer-S26-0513</x:v>
      </x:c>
      <x:c r="B1096" s="69" t="str">
        <x:v>Samuele Capolupo</x:v>
      </x:c>
      <x:c r="C1096" s="69"/>
      <x:c r="D1096" s="82" t="str">
        <x:f>IF(ISNUMBER('Transfer_Ratings'!K1096),'Transfer_Ratings'!K1096,"")</x:f>
      </x:c>
      <x:c r="E1096" s="86"/>
      <x:c r="F1096" s="86"/>
      <x:c r="G1096" s="86"/>
      <x:c r="H1096" s="86"/>
      <x:c r="I1096" s="86"/>
      <x:c r="J1096" s="82" t="str">
        <x:f>IF(C1096="","Choose position",IF(COUNT(E1096:I1096)&lt;5,"",IF(OR(MIN(E1096:I1096)&lt;0.1,MAX(E1096:I1096)&gt;10),"Invalid score",IF(INDEX('Position_Rubric'!$H$6:$H$14,M1096)&lt;&gt;1,"Check weights",ROUND(E1096*INDEX('Position_Rubric'!$C$6:$C$14,M1096)+F1096*INDEX('Position_Rubric'!$D$6:$D$14,M1096)+G1096*INDEX('Position_Rubric'!$E$6:$E$14,M1096)+H1096*INDEX('Position_Rubric'!$F$6:$F$14,M1096)+I1096*INDEX('Position_Rubric'!$G$6:$G$14,M1096),1)))))</x:f>
        <x:v>Choose position</x:v>
      </x:c>
      <x:c r="K1096" s="82" t="str">
        <x:f>IF(AND(ISNUMBER(J1096),ISNUMBER(D1096)),J1096-D1096,"")</x:f>
      </x:c>
      <x:c r="L1096" s="69" t="str">
        <x:f>IF(COUNT(E1096:I1096)&lt;5,"Needs component scores",IF(ISNUMBER(J1096),"Calculated",J1096))</x:f>
        <x:v>Needs component scores</x:v>
      </x:c>
      <x:c r="M1096" s="69" t="str">
        <x:f>IF(C1096="","",MATCH(C1096,'Position_Rubric'!$A$6:$A$14,0))</x:f>
      </x:c>
      <x:c r="N1096" s="69" t="str"/>
    </x:row>
    <x:row r="1097" ht="25" customHeight="1">
      <x:c r="A1097" s="69" t="str">
        <x:v>summer-S26-0514</x:v>
      </x:c>
      <x:c r="B1097" s="69" t="str">
        <x:v>Giovanni Di Renzo</x:v>
      </x:c>
      <x:c r="C1097" s="69"/>
      <x:c r="D1097" s="82" t="str">
        <x:f>IF(ISNUMBER('Transfer_Ratings'!K1097),'Transfer_Ratings'!K1097,"")</x:f>
      </x:c>
      <x:c r="E1097" s="86"/>
      <x:c r="F1097" s="86"/>
      <x:c r="G1097" s="86"/>
      <x:c r="H1097" s="86"/>
      <x:c r="I1097" s="86"/>
      <x:c r="J1097" s="82" t="str">
        <x:f>IF(C1097="","Choose position",IF(COUNT(E1097:I1097)&lt;5,"",IF(OR(MIN(E1097:I1097)&lt;0.1,MAX(E1097:I1097)&gt;10),"Invalid score",IF(INDEX('Position_Rubric'!$H$6:$H$14,M1097)&lt;&gt;1,"Check weights",ROUND(E1097*INDEX('Position_Rubric'!$C$6:$C$14,M1097)+F1097*INDEX('Position_Rubric'!$D$6:$D$14,M1097)+G1097*INDEX('Position_Rubric'!$E$6:$E$14,M1097)+H1097*INDEX('Position_Rubric'!$F$6:$F$14,M1097)+I1097*INDEX('Position_Rubric'!$G$6:$G$14,M1097),1)))))</x:f>
        <x:v>Choose position</x:v>
      </x:c>
      <x:c r="K1097" s="82" t="str">
        <x:f>IF(AND(ISNUMBER(J1097),ISNUMBER(D1097)),J1097-D1097,"")</x:f>
      </x:c>
      <x:c r="L1097" s="69" t="str">
        <x:f>IF(COUNT(E1097:I1097)&lt;5,"Needs component scores",IF(ISNUMBER(J1097),"Calculated",J1097))</x:f>
        <x:v>Needs component scores</x:v>
      </x:c>
      <x:c r="M1097" s="69" t="str">
        <x:f>IF(C1097="","",MATCH(C1097,'Position_Rubric'!$A$6:$A$14,0))</x:f>
      </x:c>
      <x:c r="N1097" s="69" t="str"/>
    </x:row>
    <x:row r="1098" ht="25" customHeight="1">
      <x:c r="A1098" s="69" t="str">
        <x:v>summer-S26-0519</x:v>
      </x:c>
      <x:c r="B1098" s="69" t="str">
        <x:v>Filip Bilbija</x:v>
      </x:c>
      <x:c r="C1098" s="69"/>
      <x:c r="D1098" s="82" t="str">
        <x:f>IF(ISNUMBER('Transfer_Ratings'!K1098),'Transfer_Ratings'!K1098,"")</x:f>
      </x:c>
      <x:c r="E1098" s="86"/>
      <x:c r="F1098" s="86"/>
      <x:c r="G1098" s="86"/>
      <x:c r="H1098" s="86"/>
      <x:c r="I1098" s="86"/>
      <x:c r="J1098" s="82" t="str">
        <x:f>IF(C1098="","Choose position",IF(COUNT(E1098:I1098)&lt;5,"",IF(OR(MIN(E1098:I1098)&lt;0.1,MAX(E1098:I1098)&gt;10),"Invalid score",IF(INDEX('Position_Rubric'!$H$6:$H$14,M1098)&lt;&gt;1,"Check weights",ROUND(E1098*INDEX('Position_Rubric'!$C$6:$C$14,M1098)+F1098*INDEX('Position_Rubric'!$D$6:$D$14,M1098)+G1098*INDEX('Position_Rubric'!$E$6:$E$14,M1098)+H1098*INDEX('Position_Rubric'!$F$6:$F$14,M1098)+I1098*INDEX('Position_Rubric'!$G$6:$G$14,M1098),1)))))</x:f>
        <x:v>Choose position</x:v>
      </x:c>
      <x:c r="K1098" s="82" t="str">
        <x:f>IF(AND(ISNUMBER(J1098),ISNUMBER(D1098)),J1098-D1098,"")</x:f>
      </x:c>
      <x:c r="L1098" s="69" t="str">
        <x:f>IF(COUNT(E1098:I1098)&lt;5,"Needs component scores",IF(ISNUMBER(J1098),"Calculated",J1098))</x:f>
        <x:v>Needs component scores</x:v>
      </x:c>
      <x:c r="M1098" s="69" t="str">
        <x:f>IF(C1098="","",MATCH(C1098,'Position_Rubric'!$A$6:$A$14,0))</x:f>
      </x:c>
      <x:c r="N1098" s="69" t="str"/>
    </x:row>
    <x:row r="1099" ht="25" customHeight="1">
      <x:c r="A1099" s="69" t="str">
        <x:v>summer-S26-0521</x:v>
      </x:c>
      <x:c r="B1099" s="69" t="str">
        <x:v>Bernardo Conde</x:v>
      </x:c>
      <x:c r="C1099" s="69"/>
      <x:c r="D1099" s="82" t="str">
        <x:f>IF(ISNUMBER('Transfer_Ratings'!K1099),'Transfer_Ratings'!K1099,"")</x:f>
      </x:c>
      <x:c r="E1099" s="86"/>
      <x:c r="F1099" s="86"/>
      <x:c r="G1099" s="86"/>
      <x:c r="H1099" s="86"/>
      <x:c r="I1099" s="86"/>
      <x:c r="J1099" s="82" t="str">
        <x:f>IF(C1099="","Choose position",IF(COUNT(E1099:I1099)&lt;5,"",IF(OR(MIN(E1099:I1099)&lt;0.1,MAX(E1099:I1099)&gt;10),"Invalid score",IF(INDEX('Position_Rubric'!$H$6:$H$14,M1099)&lt;&gt;1,"Check weights",ROUND(E1099*INDEX('Position_Rubric'!$C$6:$C$14,M1099)+F1099*INDEX('Position_Rubric'!$D$6:$D$14,M1099)+G1099*INDEX('Position_Rubric'!$E$6:$E$14,M1099)+H1099*INDEX('Position_Rubric'!$F$6:$F$14,M1099)+I1099*INDEX('Position_Rubric'!$G$6:$G$14,M1099),1)))))</x:f>
        <x:v>Choose position</x:v>
      </x:c>
      <x:c r="K1099" s="82" t="str">
        <x:f>IF(AND(ISNUMBER(J1099),ISNUMBER(D1099)),J1099-D1099,"")</x:f>
      </x:c>
      <x:c r="L1099" s="69" t="str">
        <x:f>IF(COUNT(E1099:I1099)&lt;5,"Needs component scores",IF(ISNUMBER(J1099),"Calculated",J1099))</x:f>
        <x:v>Needs component scores</x:v>
      </x:c>
      <x:c r="M1099" s="69" t="str">
        <x:f>IF(C1099="","",MATCH(C1099,'Position_Rubric'!$A$6:$A$14,0))</x:f>
      </x:c>
      <x:c r="N1099" s="69" t="str"/>
    </x:row>
    <x:row r="1100" ht="25" customHeight="1">
      <x:c r="A1100" s="69" t="str">
        <x:v>summer-S26-0522</x:v>
      </x:c>
      <x:c r="B1100" s="69" t="str">
        <x:v>Matteo Cocchi</x:v>
      </x:c>
      <x:c r="C1100" s="69"/>
      <x:c r="D1100" s="82" t="str">
        <x:f>IF(ISNUMBER('Transfer_Ratings'!K1100),'Transfer_Ratings'!K1100,"")</x:f>
      </x:c>
      <x:c r="E1100" s="86"/>
      <x:c r="F1100" s="86"/>
      <x:c r="G1100" s="86"/>
      <x:c r="H1100" s="86"/>
      <x:c r="I1100" s="86"/>
      <x:c r="J1100" s="82" t="str">
        <x:f>IF(C1100="","Choose position",IF(COUNT(E1100:I1100)&lt;5,"",IF(OR(MIN(E1100:I1100)&lt;0.1,MAX(E1100:I1100)&gt;10),"Invalid score",IF(INDEX('Position_Rubric'!$H$6:$H$14,M1100)&lt;&gt;1,"Check weights",ROUND(E1100*INDEX('Position_Rubric'!$C$6:$C$14,M1100)+F1100*INDEX('Position_Rubric'!$D$6:$D$14,M1100)+G1100*INDEX('Position_Rubric'!$E$6:$E$14,M1100)+H1100*INDEX('Position_Rubric'!$F$6:$F$14,M1100)+I1100*INDEX('Position_Rubric'!$G$6:$G$14,M1100),1)))))</x:f>
        <x:v>Choose position</x:v>
      </x:c>
      <x:c r="K1100" s="82" t="str">
        <x:f>IF(AND(ISNUMBER(J1100),ISNUMBER(D1100)),J1100-D1100,"")</x:f>
      </x:c>
      <x:c r="L1100" s="69" t="str">
        <x:f>IF(COUNT(E1100:I1100)&lt;5,"Needs component scores",IF(ISNUMBER(J1100),"Calculated",J1100))</x:f>
        <x:v>Needs component scores</x:v>
      </x:c>
      <x:c r="M1100" s="69" t="str">
        <x:f>IF(C1100="","",MATCH(C1100,'Position_Rubric'!$A$6:$A$14,0))</x:f>
      </x:c>
      <x:c r="N1100" s="69" t="str"/>
    </x:row>
    <x:row r="1101" ht="25" customHeight="1">
      <x:c r="A1101" s="69" t="str">
        <x:v>summer-S26-0524</x:v>
      </x:c>
      <x:c r="B1101" s="69" t="str">
        <x:v>Paul Nardi</x:v>
      </x:c>
      <x:c r="C1101" s="69" t="str">
        <x:v>GK</x:v>
      </x:c>
      <x:c r="D1101" s="82" t="str">
        <x:f>IF(ISNUMBER('Transfer_Ratings'!K1101),'Transfer_Ratings'!K1101,"")</x:f>
      </x:c>
      <x:c r="E1101" s="86"/>
      <x:c r="F1101" s="86"/>
      <x:c r="G1101" s="86"/>
      <x:c r="H1101" s="86"/>
      <x:c r="I1101" s="86"/>
      <x:c r="J1101" s="82" t="str">
        <x:f>IF(C1101="","Choose position",IF(COUNT(E1101:I1101)&lt;5,"",IF(OR(MIN(E1101:I1101)&lt;0.1,MAX(E1101:I1101)&gt;10),"Invalid score",IF(INDEX('Position_Rubric'!$H$6:$H$14,M1101)&lt;&gt;1,"Check weights",ROUND(E1101*INDEX('Position_Rubric'!$C$6:$C$14,M1101)+F1101*INDEX('Position_Rubric'!$D$6:$D$14,M1101)+G1101*INDEX('Position_Rubric'!$E$6:$E$14,M1101)+H1101*INDEX('Position_Rubric'!$F$6:$F$14,M1101)+I1101*INDEX('Position_Rubric'!$G$6:$G$14,M1101),1)))))</x:f>
      </x:c>
      <x:c r="K1101" s="82" t="str">
        <x:f>IF(AND(ISNUMBER(J1101),ISNUMBER(D1101)),J1101-D1101,"")</x:f>
      </x:c>
      <x:c r="L1101" s="69" t="str">
        <x:f>IF(COUNT(E1101:I1101)&lt;5,"Needs component scores",IF(ISNUMBER(J1101),"Calculated",J1101))</x:f>
        <x:v>Needs component scores</x:v>
      </x:c>
      <x:c r="M1101" s="69" t="n">
        <x:f>IF(C1101="","",MATCH(C1101,'Position_Rubric'!$A$6:$A$14,0))</x:f>
        <x:v>9</x:v>
      </x:c>
      <x:c r="N1101" s="69" t="str"/>
    </x:row>
    <x:row r="1102" ht="25" customHeight="1">
      <x:c r="A1102" s="69" t="str">
        <x:v>summer-S26-0525</x:v>
      </x:c>
      <x:c r="B1102" s="69" t="str">
        <x:v>Marcelo Vaz</x:v>
      </x:c>
      <x:c r="C1102" s="69"/>
      <x:c r="D1102" s="82" t="str">
        <x:f>IF(ISNUMBER('Transfer_Ratings'!K1102),'Transfer_Ratings'!K1102,"")</x:f>
      </x:c>
      <x:c r="E1102" s="86"/>
      <x:c r="F1102" s="86"/>
      <x:c r="G1102" s="86"/>
      <x:c r="H1102" s="86"/>
      <x:c r="I1102" s="86"/>
      <x:c r="J1102" s="82" t="str">
        <x:f>IF(C1102="","Choose position",IF(COUNT(E1102:I1102)&lt;5,"",IF(OR(MIN(E1102:I1102)&lt;0.1,MAX(E1102:I1102)&gt;10),"Invalid score",IF(INDEX('Position_Rubric'!$H$6:$H$14,M1102)&lt;&gt;1,"Check weights",ROUND(E1102*INDEX('Position_Rubric'!$C$6:$C$14,M1102)+F1102*INDEX('Position_Rubric'!$D$6:$D$14,M1102)+G1102*INDEX('Position_Rubric'!$E$6:$E$14,M1102)+H1102*INDEX('Position_Rubric'!$F$6:$F$14,M1102)+I1102*INDEX('Position_Rubric'!$G$6:$G$14,M1102),1)))))</x:f>
        <x:v>Choose position</x:v>
      </x:c>
      <x:c r="K1102" s="82" t="str">
        <x:f>IF(AND(ISNUMBER(J1102),ISNUMBER(D1102)),J1102-D1102,"")</x:f>
      </x:c>
      <x:c r="L1102" s="69" t="str">
        <x:f>IF(COUNT(E1102:I1102)&lt;5,"Needs component scores",IF(ISNUMBER(J1102),"Calculated",J1102))</x:f>
        <x:v>Needs component scores</x:v>
      </x:c>
      <x:c r="M1102" s="69" t="str">
        <x:f>IF(C1102="","",MATCH(C1102,'Position_Rubric'!$A$6:$A$14,0))</x:f>
      </x:c>
      <x:c r="N1102" s="69" t="str"/>
    </x:row>
    <x:row r="1103" ht="25" customHeight="1">
      <x:c r="A1103" s="69" t="str">
        <x:v>summer-S26-0526</x:v>
      </x:c>
      <x:c r="B1103" s="69" t="str">
        <x:v>Matt Targett</x:v>
      </x:c>
      <x:c r="C1103" s="69"/>
      <x:c r="D1103" s="82" t="str">
        <x:f>IF(ISNUMBER('Transfer_Ratings'!K1103),'Transfer_Ratings'!K1103,"")</x:f>
      </x:c>
      <x:c r="E1103" s="86"/>
      <x:c r="F1103" s="86"/>
      <x:c r="G1103" s="86"/>
      <x:c r="H1103" s="86"/>
      <x:c r="I1103" s="86"/>
      <x:c r="J1103" s="82" t="str">
        <x:f>IF(C1103="","Choose position",IF(COUNT(E1103:I1103)&lt;5,"",IF(OR(MIN(E1103:I1103)&lt;0.1,MAX(E1103:I1103)&gt;10),"Invalid score",IF(INDEX('Position_Rubric'!$H$6:$H$14,M1103)&lt;&gt;1,"Check weights",ROUND(E1103*INDEX('Position_Rubric'!$C$6:$C$14,M1103)+F1103*INDEX('Position_Rubric'!$D$6:$D$14,M1103)+G1103*INDEX('Position_Rubric'!$E$6:$E$14,M1103)+H1103*INDEX('Position_Rubric'!$F$6:$F$14,M1103)+I1103*INDEX('Position_Rubric'!$G$6:$G$14,M1103),1)))))</x:f>
        <x:v>Choose position</x:v>
      </x:c>
      <x:c r="K1103" s="82" t="str">
        <x:f>IF(AND(ISNUMBER(J1103),ISNUMBER(D1103)),J1103-D1103,"")</x:f>
      </x:c>
      <x:c r="L1103" s="69" t="str">
        <x:f>IF(COUNT(E1103:I1103)&lt;5,"Needs component scores",IF(ISNUMBER(J1103),"Calculated",J1103))</x:f>
        <x:v>Needs component scores</x:v>
      </x:c>
      <x:c r="M1103" s="69" t="str">
        <x:f>IF(C1103="","",MATCH(C1103,'Position_Rubric'!$A$6:$A$14,0))</x:f>
      </x:c>
      <x:c r="N1103" s="69" t="str"/>
    </x:row>
    <x:row r="1104" ht="25" customHeight="1">
      <x:c r="A1104" s="69" t="str">
        <x:v>summer-S26-0527</x:v>
      </x:c>
      <x:c r="B1104" s="69" t="str">
        <x:v>Mikayil Faye</x:v>
      </x:c>
      <x:c r="C1104" s="69"/>
      <x:c r="D1104" s="82" t="str">
        <x:f>IF(ISNUMBER('Transfer_Ratings'!K1104),'Transfer_Ratings'!K1104,"")</x:f>
      </x:c>
      <x:c r="E1104" s="86"/>
      <x:c r="F1104" s="86"/>
      <x:c r="G1104" s="86"/>
      <x:c r="H1104" s="86"/>
      <x:c r="I1104" s="86"/>
      <x:c r="J1104" s="82" t="str">
        <x:f>IF(C1104="","Choose position",IF(COUNT(E1104:I1104)&lt;5,"",IF(OR(MIN(E1104:I1104)&lt;0.1,MAX(E1104:I1104)&gt;10),"Invalid score",IF(INDEX('Position_Rubric'!$H$6:$H$14,M1104)&lt;&gt;1,"Check weights",ROUND(E1104*INDEX('Position_Rubric'!$C$6:$C$14,M1104)+F1104*INDEX('Position_Rubric'!$D$6:$D$14,M1104)+G1104*INDEX('Position_Rubric'!$E$6:$E$14,M1104)+H1104*INDEX('Position_Rubric'!$F$6:$F$14,M1104)+I1104*INDEX('Position_Rubric'!$G$6:$G$14,M1104),1)))))</x:f>
        <x:v>Choose position</x:v>
      </x:c>
      <x:c r="K1104" s="82" t="str">
        <x:f>IF(AND(ISNUMBER(J1104),ISNUMBER(D1104)),J1104-D1104,"")</x:f>
      </x:c>
      <x:c r="L1104" s="69" t="str">
        <x:f>IF(COUNT(E1104:I1104)&lt;5,"Needs component scores",IF(ISNUMBER(J1104),"Calculated",J1104))</x:f>
        <x:v>Needs component scores</x:v>
      </x:c>
      <x:c r="M1104" s="69" t="str">
        <x:f>IF(C1104="","",MATCH(C1104,'Position_Rubric'!$A$6:$A$14,0))</x:f>
      </x:c>
      <x:c r="N1104" s="69" t="str"/>
    </x:row>
    <x:row r="1105" ht="25" customHeight="1">
      <x:c r="A1105" s="69" t="str">
        <x:v>summer-S26-0530</x:v>
      </x:c>
      <x:c r="B1105" s="69" t="str">
        <x:v>Ander Astralaga</x:v>
      </x:c>
      <x:c r="C1105" s="69" t="str">
        <x:v>GK</x:v>
      </x:c>
      <x:c r="D1105" s="82" t="str">
        <x:f>IF(ISNUMBER('Transfer_Ratings'!K1105),'Transfer_Ratings'!K1105,"")</x:f>
      </x:c>
      <x:c r="E1105" s="86"/>
      <x:c r="F1105" s="86"/>
      <x:c r="G1105" s="86"/>
      <x:c r="H1105" s="86"/>
      <x:c r="I1105" s="86"/>
      <x:c r="J1105" s="82" t="str">
        <x:f>IF(C1105="","Choose position",IF(COUNT(E1105:I1105)&lt;5,"",IF(OR(MIN(E1105:I1105)&lt;0.1,MAX(E1105:I1105)&gt;10),"Invalid score",IF(INDEX('Position_Rubric'!$H$6:$H$14,M1105)&lt;&gt;1,"Check weights",ROUND(E1105*INDEX('Position_Rubric'!$C$6:$C$14,M1105)+F1105*INDEX('Position_Rubric'!$D$6:$D$14,M1105)+G1105*INDEX('Position_Rubric'!$E$6:$E$14,M1105)+H1105*INDEX('Position_Rubric'!$F$6:$F$14,M1105)+I1105*INDEX('Position_Rubric'!$G$6:$G$14,M1105),1)))))</x:f>
      </x:c>
      <x:c r="K1105" s="82" t="str">
        <x:f>IF(AND(ISNUMBER(J1105),ISNUMBER(D1105)),J1105-D1105,"")</x:f>
      </x:c>
      <x:c r="L1105" s="69" t="str">
        <x:f>IF(COUNT(E1105:I1105)&lt;5,"Needs component scores",IF(ISNUMBER(J1105),"Calculated",J1105))</x:f>
        <x:v>Needs component scores</x:v>
      </x:c>
      <x:c r="M1105" s="69" t="n">
        <x:f>IF(C1105="","",MATCH(C1105,'Position_Rubric'!$A$6:$A$14,0))</x:f>
        <x:v>9</x:v>
      </x:c>
      <x:c r="N1105" s="69" t="str"/>
    </x:row>
    <x:row r="1106" ht="25" customHeight="1">
      <x:c r="A1106" s="69" t="str">
        <x:v>summer-S26-0531</x:v>
      </x:c>
      <x:c r="B1106" s="69" t="str">
        <x:v>Armin Pecsi</x:v>
      </x:c>
      <x:c r="C1106" s="69" t="str">
        <x:v>GK</x:v>
      </x:c>
      <x:c r="D1106" s="82" t="str">
        <x:f>IF(ISNUMBER('Transfer_Ratings'!K1106),'Transfer_Ratings'!K1106,"")</x:f>
      </x:c>
      <x:c r="E1106" s="86"/>
      <x:c r="F1106" s="86"/>
      <x:c r="G1106" s="86"/>
      <x:c r="H1106" s="86"/>
      <x:c r="I1106" s="86"/>
      <x:c r="J1106" s="82" t="str">
        <x:f>IF(C1106="","Choose position",IF(COUNT(E1106:I1106)&lt;5,"",IF(OR(MIN(E1106:I1106)&lt;0.1,MAX(E1106:I1106)&gt;10),"Invalid score",IF(INDEX('Position_Rubric'!$H$6:$H$14,M1106)&lt;&gt;1,"Check weights",ROUND(E1106*INDEX('Position_Rubric'!$C$6:$C$14,M1106)+F1106*INDEX('Position_Rubric'!$D$6:$D$14,M1106)+G1106*INDEX('Position_Rubric'!$E$6:$E$14,M1106)+H1106*INDEX('Position_Rubric'!$F$6:$F$14,M1106)+I1106*INDEX('Position_Rubric'!$G$6:$G$14,M1106),1)))))</x:f>
      </x:c>
      <x:c r="K1106" s="82" t="str">
        <x:f>IF(AND(ISNUMBER(J1106),ISNUMBER(D1106)),J1106-D1106,"")</x:f>
      </x:c>
      <x:c r="L1106" s="69" t="str">
        <x:f>IF(COUNT(E1106:I1106)&lt;5,"Needs component scores",IF(ISNUMBER(J1106),"Calculated",J1106))</x:f>
        <x:v>Needs component scores</x:v>
      </x:c>
      <x:c r="M1106" s="69" t="n">
        <x:f>IF(C1106="","",MATCH(C1106,'Position_Rubric'!$A$6:$A$14,0))</x:f>
        <x:v>9</x:v>
      </x:c>
      <x:c r="N1106" s="69" t="str"/>
    </x:row>
    <x:row r="1107" ht="25" customHeight="1">
      <x:c r="A1107" s="69" t="str">
        <x:v>summer-S26-0532</x:v>
      </x:c>
      <x:c r="B1107" s="69" t="str">
        <x:v>Filippo Rinaldi</x:v>
      </x:c>
      <x:c r="C1107" s="69" t="str">
        <x:v>GK</x:v>
      </x:c>
      <x:c r="D1107" s="82" t="str">
        <x:f>IF(ISNUMBER('Transfer_Ratings'!K1107),'Transfer_Ratings'!K1107,"")</x:f>
      </x:c>
      <x:c r="E1107" s="86"/>
      <x:c r="F1107" s="86"/>
      <x:c r="G1107" s="86"/>
      <x:c r="H1107" s="86"/>
      <x:c r="I1107" s="86"/>
      <x:c r="J1107" s="82" t="str">
        <x:f>IF(C1107="","Choose position",IF(COUNT(E1107:I1107)&lt;5,"",IF(OR(MIN(E1107:I1107)&lt;0.1,MAX(E1107:I1107)&gt;10),"Invalid score",IF(INDEX('Position_Rubric'!$H$6:$H$14,M1107)&lt;&gt;1,"Check weights",ROUND(E1107*INDEX('Position_Rubric'!$C$6:$C$14,M1107)+F1107*INDEX('Position_Rubric'!$D$6:$D$14,M1107)+G1107*INDEX('Position_Rubric'!$E$6:$E$14,M1107)+H1107*INDEX('Position_Rubric'!$F$6:$F$14,M1107)+I1107*INDEX('Position_Rubric'!$G$6:$G$14,M1107),1)))))</x:f>
      </x:c>
      <x:c r="K1107" s="82" t="str">
        <x:f>IF(AND(ISNUMBER(J1107),ISNUMBER(D1107)),J1107-D1107,"")</x:f>
      </x:c>
      <x:c r="L1107" s="69" t="str">
        <x:f>IF(COUNT(E1107:I1107)&lt;5,"Needs component scores",IF(ISNUMBER(J1107),"Calculated",J1107))</x:f>
        <x:v>Needs component scores</x:v>
      </x:c>
      <x:c r="M1107" s="69" t="n">
        <x:f>IF(C1107="","",MATCH(C1107,'Position_Rubric'!$A$6:$A$14,0))</x:f>
        <x:v>9</x:v>
      </x:c>
      <x:c r="N1107" s="69" t="str"/>
    </x:row>
    <x:row r="1108" ht="25" customHeight="1">
      <x:c r="A1108" s="69" t="str">
        <x:v>summer-S26-0534</x:v>
      </x:c>
      <x:c r="B1108" s="69" t="str">
        <x:v>Xaver Schlager</x:v>
      </x:c>
      <x:c r="C1108" s="69"/>
      <x:c r="D1108" s="82" t="str">
        <x:f>IF(ISNUMBER('Transfer_Ratings'!K1108),'Transfer_Ratings'!K1108,"")</x:f>
      </x:c>
      <x:c r="E1108" s="86"/>
      <x:c r="F1108" s="86"/>
      <x:c r="G1108" s="86"/>
      <x:c r="H1108" s="86"/>
      <x:c r="I1108" s="86"/>
      <x:c r="J1108" s="82" t="str">
        <x:f>IF(C1108="","Choose position",IF(COUNT(E1108:I1108)&lt;5,"",IF(OR(MIN(E1108:I1108)&lt;0.1,MAX(E1108:I1108)&gt;10),"Invalid score",IF(INDEX('Position_Rubric'!$H$6:$H$14,M1108)&lt;&gt;1,"Check weights",ROUND(E1108*INDEX('Position_Rubric'!$C$6:$C$14,M1108)+F1108*INDEX('Position_Rubric'!$D$6:$D$14,M1108)+G1108*INDEX('Position_Rubric'!$E$6:$E$14,M1108)+H1108*INDEX('Position_Rubric'!$F$6:$F$14,M1108)+I1108*INDEX('Position_Rubric'!$G$6:$G$14,M1108),1)))))</x:f>
        <x:v>Choose position</x:v>
      </x:c>
      <x:c r="K1108" s="82" t="str">
        <x:f>IF(AND(ISNUMBER(J1108),ISNUMBER(D1108)),J1108-D1108,"")</x:f>
      </x:c>
      <x:c r="L1108" s="69" t="str">
        <x:f>IF(COUNT(E1108:I1108)&lt;5,"Needs component scores",IF(ISNUMBER(J1108),"Calculated",J1108))</x:f>
        <x:v>Needs component scores</x:v>
      </x:c>
      <x:c r="M1108" s="69" t="str">
        <x:f>IF(C1108="","",MATCH(C1108,'Position_Rubric'!$A$6:$A$14,0))</x:f>
      </x:c>
      <x:c r="N1108" s="69" t="str"/>
    </x:row>
    <x:row r="1109" ht="25" customHeight="1">
      <x:c r="A1109" s="69" t="str">
        <x:v>summer-S26-0536</x:v>
      </x:c>
      <x:c r="B1109" s="69" t="str">
        <x:v>Harrison Bettoni</x:v>
      </x:c>
      <x:c r="C1109" s="69"/>
      <x:c r="D1109" s="82" t="str">
        <x:f>IF(ISNUMBER('Transfer_Ratings'!K1109),'Transfer_Ratings'!K1109,"")</x:f>
      </x:c>
      <x:c r="E1109" s="86"/>
      <x:c r="F1109" s="86"/>
      <x:c r="G1109" s="86"/>
      <x:c r="H1109" s="86"/>
      <x:c r="I1109" s="86"/>
      <x:c r="J1109" s="82" t="str">
        <x:f>IF(C1109="","Choose position",IF(COUNT(E1109:I1109)&lt;5,"",IF(OR(MIN(E1109:I1109)&lt;0.1,MAX(E1109:I1109)&gt;10),"Invalid score",IF(INDEX('Position_Rubric'!$H$6:$H$14,M1109)&lt;&gt;1,"Check weights",ROUND(E1109*INDEX('Position_Rubric'!$C$6:$C$14,M1109)+F1109*INDEX('Position_Rubric'!$D$6:$D$14,M1109)+G1109*INDEX('Position_Rubric'!$E$6:$E$14,M1109)+H1109*INDEX('Position_Rubric'!$F$6:$F$14,M1109)+I1109*INDEX('Position_Rubric'!$G$6:$G$14,M1109),1)))))</x:f>
        <x:v>Choose position</x:v>
      </x:c>
      <x:c r="K1109" s="82" t="str">
        <x:f>IF(AND(ISNUMBER(J1109),ISNUMBER(D1109)),J1109-D1109,"")</x:f>
      </x:c>
      <x:c r="L1109" s="69" t="str">
        <x:f>IF(COUNT(E1109:I1109)&lt;5,"Needs component scores",IF(ISNUMBER(J1109),"Calculated",J1109))</x:f>
        <x:v>Needs component scores</x:v>
      </x:c>
      <x:c r="M1109" s="69" t="str">
        <x:f>IF(C1109="","",MATCH(C1109,'Position_Rubric'!$A$6:$A$14,0))</x:f>
      </x:c>
      <x:c r="N1109" s="69" t="str"/>
    </x:row>
    <x:row r="1110" ht="25" customHeight="1">
      <x:c r="A1110" s="69" t="str">
        <x:v>summer-S26-0537</x:v>
      </x:c>
      <x:c r="B1110" s="69" t="str">
        <x:v>Muhammed Damar</x:v>
      </x:c>
      <x:c r="C1110" s="69"/>
      <x:c r="D1110" s="82" t="str">
        <x:f>IF(ISNUMBER('Transfer_Ratings'!K1110),'Transfer_Ratings'!K1110,"")</x:f>
      </x:c>
      <x:c r="E1110" s="86"/>
      <x:c r="F1110" s="86"/>
      <x:c r="G1110" s="86"/>
      <x:c r="H1110" s="86"/>
      <x:c r="I1110" s="86"/>
      <x:c r="J1110" s="82" t="str">
        <x:f>IF(C1110="","Choose position",IF(COUNT(E1110:I1110)&lt;5,"",IF(OR(MIN(E1110:I1110)&lt;0.1,MAX(E1110:I1110)&gt;10),"Invalid score",IF(INDEX('Position_Rubric'!$H$6:$H$14,M1110)&lt;&gt;1,"Check weights",ROUND(E1110*INDEX('Position_Rubric'!$C$6:$C$14,M1110)+F1110*INDEX('Position_Rubric'!$D$6:$D$14,M1110)+G1110*INDEX('Position_Rubric'!$E$6:$E$14,M1110)+H1110*INDEX('Position_Rubric'!$F$6:$F$14,M1110)+I1110*INDEX('Position_Rubric'!$G$6:$G$14,M1110),1)))))</x:f>
        <x:v>Choose position</x:v>
      </x:c>
      <x:c r="K1110" s="82" t="str">
        <x:f>IF(AND(ISNUMBER(J1110),ISNUMBER(D1110)),J1110-D1110,"")</x:f>
      </x:c>
      <x:c r="L1110" s="69" t="str">
        <x:f>IF(COUNT(E1110:I1110)&lt;5,"Needs component scores",IF(ISNUMBER(J1110),"Calculated",J1110))</x:f>
        <x:v>Needs component scores</x:v>
      </x:c>
      <x:c r="M1110" s="69" t="str">
        <x:f>IF(C1110="","",MATCH(C1110,'Position_Rubric'!$A$6:$A$14,0))</x:f>
      </x:c>
      <x:c r="N1110" s="69" t="str"/>
    </x:row>
    <x:row r="1111" ht="25" customHeight="1">
      <x:c r="A1111" s="69" t="str">
        <x:v>summer-S26-0539</x:v>
      </x:c>
      <x:c r="B1111" s="69" t="str">
        <x:v>Elijah Upson</x:v>
      </x:c>
      <x:c r="C1111" s="69"/>
      <x:c r="D1111" s="82" t="str">
        <x:f>IF(ISNUMBER('Transfer_Ratings'!K1111),'Transfer_Ratings'!K1111,"")</x:f>
      </x:c>
      <x:c r="E1111" s="86"/>
      <x:c r="F1111" s="86"/>
      <x:c r="G1111" s="86"/>
      <x:c r="H1111" s="86"/>
      <x:c r="I1111" s="86"/>
      <x:c r="J1111" s="82" t="str">
        <x:f>IF(C1111="","Choose position",IF(COUNT(E1111:I1111)&lt;5,"",IF(OR(MIN(E1111:I1111)&lt;0.1,MAX(E1111:I1111)&gt;10),"Invalid score",IF(INDEX('Position_Rubric'!$H$6:$H$14,M1111)&lt;&gt;1,"Check weights",ROUND(E1111*INDEX('Position_Rubric'!$C$6:$C$14,M1111)+F1111*INDEX('Position_Rubric'!$D$6:$D$14,M1111)+G1111*INDEX('Position_Rubric'!$E$6:$E$14,M1111)+H1111*INDEX('Position_Rubric'!$F$6:$F$14,M1111)+I1111*INDEX('Position_Rubric'!$G$6:$G$14,M1111),1)))))</x:f>
        <x:v>Choose position</x:v>
      </x:c>
      <x:c r="K1111" s="82" t="str">
        <x:f>IF(AND(ISNUMBER(J1111),ISNUMBER(D1111)),J1111-D1111,"")</x:f>
      </x:c>
      <x:c r="L1111" s="69" t="str">
        <x:f>IF(COUNT(E1111:I1111)&lt;5,"Needs component scores",IF(ISNUMBER(J1111),"Calculated",J1111))</x:f>
        <x:v>Needs component scores</x:v>
      </x:c>
      <x:c r="M1111" s="69" t="str">
        <x:f>IF(C1111="","",MATCH(C1111,'Position_Rubric'!$A$6:$A$14,0))</x:f>
      </x:c>
      <x:c r="N1111" s="69" t="str"/>
    </x:row>
    <x:row r="1112" ht="25" customHeight="1">
      <x:c r="A1112" s="69" t="str">
        <x:v>summer-S26-0540</x:v>
      </x:c>
      <x:c r="B1112" s="69" t="str">
        <x:v>Yeimar Mosquera</x:v>
      </x:c>
      <x:c r="C1112" s="69"/>
      <x:c r="D1112" s="82" t="str">
        <x:f>IF(ISNUMBER('Transfer_Ratings'!K1112),'Transfer_Ratings'!K1112,"")</x:f>
      </x:c>
      <x:c r="E1112" s="86"/>
      <x:c r="F1112" s="86"/>
      <x:c r="G1112" s="86"/>
      <x:c r="H1112" s="86"/>
      <x:c r="I1112" s="86"/>
      <x:c r="J1112" s="82" t="str">
        <x:f>IF(C1112="","Choose position",IF(COUNT(E1112:I1112)&lt;5,"",IF(OR(MIN(E1112:I1112)&lt;0.1,MAX(E1112:I1112)&gt;10),"Invalid score",IF(INDEX('Position_Rubric'!$H$6:$H$14,M1112)&lt;&gt;1,"Check weights",ROUND(E1112*INDEX('Position_Rubric'!$C$6:$C$14,M1112)+F1112*INDEX('Position_Rubric'!$D$6:$D$14,M1112)+G1112*INDEX('Position_Rubric'!$E$6:$E$14,M1112)+H1112*INDEX('Position_Rubric'!$F$6:$F$14,M1112)+I1112*INDEX('Position_Rubric'!$G$6:$G$14,M1112),1)))))</x:f>
        <x:v>Choose position</x:v>
      </x:c>
      <x:c r="K1112" s="82" t="str">
        <x:f>IF(AND(ISNUMBER(J1112),ISNUMBER(D1112)),J1112-D1112,"")</x:f>
      </x:c>
      <x:c r="L1112" s="69" t="str">
        <x:f>IF(COUNT(E1112:I1112)&lt;5,"Needs component scores",IF(ISNUMBER(J1112),"Calculated",J1112))</x:f>
        <x:v>Needs component scores</x:v>
      </x:c>
      <x:c r="M1112" s="69" t="str">
        <x:f>IF(C1112="","",MATCH(C1112,'Position_Rubric'!$A$6:$A$14,0))</x:f>
      </x:c>
      <x:c r="N1112" s="69" t="str"/>
    </x:row>
    <x:row r="1113" ht="25" customHeight="1">
      <x:c r="A1113" s="69" t="str">
        <x:v>summer-S26-0543</x:v>
      </x:c>
      <x:c r="B1113" s="69" t="str">
        <x:v>Sam Proctor</x:v>
      </x:c>
      <x:c r="C1113" s="69" t="str">
        <x:v>GK</x:v>
      </x:c>
      <x:c r="D1113" s="82" t="str">
        <x:f>IF(ISNUMBER('Transfer_Ratings'!K1113),'Transfer_Ratings'!K1113,"")</x:f>
      </x:c>
      <x:c r="E1113" s="86"/>
      <x:c r="F1113" s="86"/>
      <x:c r="G1113" s="86"/>
      <x:c r="H1113" s="86"/>
      <x:c r="I1113" s="86"/>
      <x:c r="J1113" s="82" t="str">
        <x:f>IF(C1113="","Choose position",IF(COUNT(E1113:I1113)&lt;5,"",IF(OR(MIN(E1113:I1113)&lt;0.1,MAX(E1113:I1113)&gt;10),"Invalid score",IF(INDEX('Position_Rubric'!$H$6:$H$14,M1113)&lt;&gt;1,"Check weights",ROUND(E1113*INDEX('Position_Rubric'!$C$6:$C$14,M1113)+F1113*INDEX('Position_Rubric'!$D$6:$D$14,M1113)+G1113*INDEX('Position_Rubric'!$E$6:$E$14,M1113)+H1113*INDEX('Position_Rubric'!$F$6:$F$14,M1113)+I1113*INDEX('Position_Rubric'!$G$6:$G$14,M1113),1)))))</x:f>
      </x:c>
      <x:c r="K1113" s="82" t="str">
        <x:f>IF(AND(ISNUMBER(J1113),ISNUMBER(D1113)),J1113-D1113,"")</x:f>
      </x:c>
      <x:c r="L1113" s="69" t="str">
        <x:f>IF(COUNT(E1113:I1113)&lt;5,"Needs component scores",IF(ISNUMBER(J1113),"Calculated",J1113))</x:f>
        <x:v>Needs component scores</x:v>
      </x:c>
      <x:c r="M1113" s="69" t="n">
        <x:f>IF(C1113="","",MATCH(C1113,'Position_Rubric'!$A$6:$A$14,0))</x:f>
        <x:v>9</x:v>
      </x:c>
      <x:c r="N1113" s="69" t="str"/>
    </x:row>
    <x:row r="1114" ht="25" customHeight="1">
      <x:c r="A1114" s="69" t="str">
        <x:v>summer-S26-0546</x:v>
      </x:c>
      <x:c r="B1114" s="69" t="str">
        <x:v>Romain Faivre</x:v>
      </x:c>
      <x:c r="C1114" s="69"/>
      <x:c r="D1114" s="82" t="str">
        <x:f>IF(ISNUMBER('Transfer_Ratings'!K1114),'Transfer_Ratings'!K1114,"")</x:f>
      </x:c>
      <x:c r="E1114" s="86"/>
      <x:c r="F1114" s="86"/>
      <x:c r="G1114" s="86"/>
      <x:c r="H1114" s="86"/>
      <x:c r="I1114" s="86"/>
      <x:c r="J1114" s="82" t="str">
        <x:f>IF(C1114="","Choose position",IF(COUNT(E1114:I1114)&lt;5,"",IF(OR(MIN(E1114:I1114)&lt;0.1,MAX(E1114:I1114)&gt;10),"Invalid score",IF(INDEX('Position_Rubric'!$H$6:$H$14,M1114)&lt;&gt;1,"Check weights",ROUND(E1114*INDEX('Position_Rubric'!$C$6:$C$14,M1114)+F1114*INDEX('Position_Rubric'!$D$6:$D$14,M1114)+G1114*INDEX('Position_Rubric'!$E$6:$E$14,M1114)+H1114*INDEX('Position_Rubric'!$F$6:$F$14,M1114)+I1114*INDEX('Position_Rubric'!$G$6:$G$14,M1114),1)))))</x:f>
        <x:v>Choose position</x:v>
      </x:c>
      <x:c r="K1114" s="82" t="str">
        <x:f>IF(AND(ISNUMBER(J1114),ISNUMBER(D1114)),J1114-D1114,"")</x:f>
      </x:c>
      <x:c r="L1114" s="69" t="str">
        <x:f>IF(COUNT(E1114:I1114)&lt;5,"Needs component scores",IF(ISNUMBER(J1114),"Calculated",J1114))</x:f>
        <x:v>Needs component scores</x:v>
      </x:c>
      <x:c r="M1114" s="69" t="str">
        <x:f>IF(C1114="","",MATCH(C1114,'Position_Rubric'!$A$6:$A$14,0))</x:f>
      </x:c>
      <x:c r="N1114" s="69" t="str"/>
    </x:row>
    <x:row r="1115" ht="25" customHeight="1">
      <x:c r="A1115" s="69" t="str">
        <x:v>summer-S26-0547</x:v>
      </x:c>
      <x:c r="B1115" s="69" t="str">
        <x:v>Owen Bevan</x:v>
      </x:c>
      <x:c r="C1115" s="69"/>
      <x:c r="D1115" s="82" t="str">
        <x:f>IF(ISNUMBER('Transfer_Ratings'!K1115),'Transfer_Ratings'!K1115,"")</x:f>
      </x:c>
      <x:c r="E1115" s="86"/>
      <x:c r="F1115" s="86"/>
      <x:c r="G1115" s="86"/>
      <x:c r="H1115" s="86"/>
      <x:c r="I1115" s="86"/>
      <x:c r="J1115" s="82" t="str">
        <x:f>IF(C1115="","Choose position",IF(COUNT(E1115:I1115)&lt;5,"",IF(OR(MIN(E1115:I1115)&lt;0.1,MAX(E1115:I1115)&gt;10),"Invalid score",IF(INDEX('Position_Rubric'!$H$6:$H$14,M1115)&lt;&gt;1,"Check weights",ROUND(E1115*INDEX('Position_Rubric'!$C$6:$C$14,M1115)+F1115*INDEX('Position_Rubric'!$D$6:$D$14,M1115)+G1115*INDEX('Position_Rubric'!$E$6:$E$14,M1115)+H1115*INDEX('Position_Rubric'!$F$6:$F$14,M1115)+I1115*INDEX('Position_Rubric'!$G$6:$G$14,M1115),1)))))</x:f>
        <x:v>Choose position</x:v>
      </x:c>
      <x:c r="K1115" s="82" t="str">
        <x:f>IF(AND(ISNUMBER(J1115),ISNUMBER(D1115)),J1115-D1115,"")</x:f>
      </x:c>
      <x:c r="L1115" s="69" t="str">
        <x:f>IF(COUNT(E1115:I1115)&lt;5,"Needs component scores",IF(ISNUMBER(J1115),"Calculated",J1115))</x:f>
        <x:v>Needs component scores</x:v>
      </x:c>
      <x:c r="M1115" s="69" t="str">
        <x:f>IF(C1115="","",MATCH(C1115,'Position_Rubric'!$A$6:$A$14,0))</x:f>
      </x:c>
      <x:c r="N1115" s="69" t="str"/>
    </x:row>
    <x:row r="1116" ht="25" customHeight="1">
      <x:c r="A1116" s="69" t="str">
        <x:v>summer-S26-0550</x:v>
      </x:c>
      <x:c r="B1116" s="69" t="str">
        <x:v>Joël Veltman</x:v>
      </x:c>
      <x:c r="C1116" s="69"/>
      <x:c r="D1116" s="82" t="str">
        <x:f>IF(ISNUMBER('Transfer_Ratings'!K1116),'Transfer_Ratings'!K1116,"")</x:f>
      </x:c>
      <x:c r="E1116" s="86"/>
      <x:c r="F1116" s="86"/>
      <x:c r="G1116" s="86"/>
      <x:c r="H1116" s="86"/>
      <x:c r="I1116" s="86"/>
      <x:c r="J1116" s="82" t="str">
        <x:f>IF(C1116="","Choose position",IF(COUNT(E1116:I1116)&lt;5,"",IF(OR(MIN(E1116:I1116)&lt;0.1,MAX(E1116:I1116)&gt;10),"Invalid score",IF(INDEX('Position_Rubric'!$H$6:$H$14,M1116)&lt;&gt;1,"Check weights",ROUND(E1116*INDEX('Position_Rubric'!$C$6:$C$14,M1116)+F1116*INDEX('Position_Rubric'!$D$6:$D$14,M1116)+G1116*INDEX('Position_Rubric'!$E$6:$E$14,M1116)+H1116*INDEX('Position_Rubric'!$F$6:$F$14,M1116)+I1116*INDEX('Position_Rubric'!$G$6:$G$14,M1116),1)))))</x:f>
        <x:v>Choose position</x:v>
      </x:c>
      <x:c r="K1116" s="82" t="str">
        <x:f>IF(AND(ISNUMBER(J1116),ISNUMBER(D1116)),J1116-D1116,"")</x:f>
      </x:c>
      <x:c r="L1116" s="69" t="str">
        <x:f>IF(COUNT(E1116:I1116)&lt;5,"Needs component scores",IF(ISNUMBER(J1116),"Calculated",J1116))</x:f>
        <x:v>Needs component scores</x:v>
      </x:c>
      <x:c r="M1116" s="69" t="str">
        <x:f>IF(C1116="","",MATCH(C1116,'Position_Rubric'!$A$6:$A$14,0))</x:f>
      </x:c>
      <x:c r="N1116" s="69" t="str"/>
    </x:row>
    <x:row r="1117" ht="25" customHeight="1">
      <x:c r="A1117" s="69" t="str">
        <x:v>summer-S26-0552</x:v>
      </x:c>
      <x:c r="B1117" s="69" t="str">
        <x:v>Callum Perry</x:v>
      </x:c>
      <x:c r="C1117" s="69"/>
      <x:c r="D1117" s="82" t="str">
        <x:f>IF(ISNUMBER('Transfer_Ratings'!K1117),'Transfer_Ratings'!K1117,"")</x:f>
      </x:c>
      <x:c r="E1117" s="86"/>
      <x:c r="F1117" s="86"/>
      <x:c r="G1117" s="86"/>
      <x:c r="H1117" s="86"/>
      <x:c r="I1117" s="86"/>
      <x:c r="J1117" s="82" t="str">
        <x:f>IF(C1117="","Choose position",IF(COUNT(E1117:I1117)&lt;5,"",IF(OR(MIN(E1117:I1117)&lt;0.1,MAX(E1117:I1117)&gt;10),"Invalid score",IF(INDEX('Position_Rubric'!$H$6:$H$14,M1117)&lt;&gt;1,"Check weights",ROUND(E1117*INDEX('Position_Rubric'!$C$6:$C$14,M1117)+F1117*INDEX('Position_Rubric'!$D$6:$D$14,M1117)+G1117*INDEX('Position_Rubric'!$E$6:$E$14,M1117)+H1117*INDEX('Position_Rubric'!$F$6:$F$14,M1117)+I1117*INDEX('Position_Rubric'!$G$6:$G$14,M1117),1)))))</x:f>
        <x:v>Choose position</x:v>
      </x:c>
      <x:c r="K1117" s="82" t="str">
        <x:f>IF(AND(ISNUMBER(J1117),ISNUMBER(D1117)),J1117-D1117,"")</x:f>
      </x:c>
      <x:c r="L1117" s="69" t="str">
        <x:f>IF(COUNT(E1117:I1117)&lt;5,"Needs component scores",IF(ISNUMBER(J1117),"Calculated",J1117))</x:f>
        <x:v>Needs component scores</x:v>
      </x:c>
      <x:c r="M1117" s="69" t="str">
        <x:f>IF(C1117="","",MATCH(C1117,'Position_Rubric'!$A$6:$A$14,0))</x:f>
      </x:c>
      <x:c r="N1117" s="69" t="str"/>
    </x:row>
    <x:row r="1118" ht="25" customHeight="1">
      <x:c r="A1118" s="69" t="str">
        <x:v>summer-S26-0553</x:v>
      </x:c>
      <x:c r="B1118" s="69" t="str">
        <x:v>Isaac Moore</x:v>
      </x:c>
      <x:c r="C1118" s="69"/>
      <x:c r="D1118" s="82" t="str">
        <x:f>IF(ISNUMBER('Transfer_Ratings'!K1118),'Transfer_Ratings'!K1118,"")</x:f>
      </x:c>
      <x:c r="E1118" s="86"/>
      <x:c r="F1118" s="86"/>
      <x:c r="G1118" s="86"/>
      <x:c r="H1118" s="86"/>
      <x:c r="I1118" s="86"/>
      <x:c r="J1118" s="82" t="str">
        <x:f>IF(C1118="","Choose position",IF(COUNT(E1118:I1118)&lt;5,"",IF(OR(MIN(E1118:I1118)&lt;0.1,MAX(E1118:I1118)&gt;10),"Invalid score",IF(INDEX('Position_Rubric'!$H$6:$H$14,M1118)&lt;&gt;1,"Check weights",ROUND(E1118*INDEX('Position_Rubric'!$C$6:$C$14,M1118)+F1118*INDEX('Position_Rubric'!$D$6:$D$14,M1118)+G1118*INDEX('Position_Rubric'!$E$6:$E$14,M1118)+H1118*INDEX('Position_Rubric'!$F$6:$F$14,M1118)+I1118*INDEX('Position_Rubric'!$G$6:$G$14,M1118),1)))))</x:f>
        <x:v>Choose position</x:v>
      </x:c>
      <x:c r="K1118" s="82" t="str">
        <x:f>IF(AND(ISNUMBER(J1118),ISNUMBER(D1118)),J1118-D1118,"")</x:f>
      </x:c>
      <x:c r="L1118" s="69" t="str">
        <x:f>IF(COUNT(E1118:I1118)&lt;5,"Needs component scores",IF(ISNUMBER(J1118),"Calculated",J1118))</x:f>
        <x:v>Needs component scores</x:v>
      </x:c>
      <x:c r="M1118" s="69" t="str">
        <x:f>IF(C1118="","",MATCH(C1118,'Position_Rubric'!$A$6:$A$14,0))</x:f>
      </x:c>
      <x:c r="N1118" s="69" t="str"/>
    </x:row>
    <x:row r="1119" ht="25" customHeight="1">
      <x:c r="A1119" s="69" t="str">
        <x:v>summer-S26-0554</x:v>
      </x:c>
      <x:c r="B1119" s="69" t="str">
        <x:v>Kevin Bruno</x:v>
      </x:c>
      <x:c r="C1119" s="69"/>
      <x:c r="D1119" s="82" t="str">
        <x:f>IF(ISNUMBER('Transfer_Ratings'!K1119),'Transfer_Ratings'!K1119,"")</x:f>
      </x:c>
      <x:c r="E1119" s="86"/>
      <x:c r="F1119" s="86"/>
      <x:c r="G1119" s="86"/>
      <x:c r="H1119" s="86"/>
      <x:c r="I1119" s="86"/>
      <x:c r="J1119" s="82" t="str">
        <x:f>IF(C1119="","Choose position",IF(COUNT(E1119:I1119)&lt;5,"",IF(OR(MIN(E1119:I1119)&lt;0.1,MAX(E1119:I1119)&gt;10),"Invalid score",IF(INDEX('Position_Rubric'!$H$6:$H$14,M1119)&lt;&gt;1,"Check weights",ROUND(E1119*INDEX('Position_Rubric'!$C$6:$C$14,M1119)+F1119*INDEX('Position_Rubric'!$D$6:$D$14,M1119)+G1119*INDEX('Position_Rubric'!$E$6:$E$14,M1119)+H1119*INDEX('Position_Rubric'!$F$6:$F$14,M1119)+I1119*INDEX('Position_Rubric'!$G$6:$G$14,M1119),1)))))</x:f>
        <x:v>Choose position</x:v>
      </x:c>
      <x:c r="K1119" s="82" t="str">
        <x:f>IF(AND(ISNUMBER(J1119),ISNUMBER(D1119)),J1119-D1119,"")</x:f>
      </x:c>
      <x:c r="L1119" s="69" t="str">
        <x:f>IF(COUNT(E1119:I1119)&lt;5,"Needs component scores",IF(ISNUMBER(J1119),"Calculated",J1119))</x:f>
        <x:v>Needs component scores</x:v>
      </x:c>
      <x:c r="M1119" s="69" t="str">
        <x:f>IF(C1119="","",MATCH(C1119,'Position_Rubric'!$A$6:$A$14,0))</x:f>
      </x:c>
      <x:c r="N1119" s="69" t="str"/>
    </x:row>
    <x:row r="1120" ht="25" customHeight="1">
      <x:c r="A1120" s="69" t="str">
        <x:v>summer-S26-0556</x:v>
      </x:c>
      <x:c r="B1120" s="69" t="str">
        <x:v>Aladji Bamba</x:v>
      </x:c>
      <x:c r="C1120" s="69"/>
      <x:c r="D1120" s="82" t="str">
        <x:f>IF(ISNUMBER('Transfer_Ratings'!K1120),'Transfer_Ratings'!K1120,"")</x:f>
      </x:c>
      <x:c r="E1120" s="86"/>
      <x:c r="F1120" s="86"/>
      <x:c r="G1120" s="86"/>
      <x:c r="H1120" s="86"/>
      <x:c r="I1120" s="86"/>
      <x:c r="J1120" s="82" t="str">
        <x:f>IF(C1120="","Choose position",IF(COUNT(E1120:I1120)&lt;5,"",IF(OR(MIN(E1120:I1120)&lt;0.1,MAX(E1120:I1120)&gt;10),"Invalid score",IF(INDEX('Position_Rubric'!$H$6:$H$14,M1120)&lt;&gt;1,"Check weights",ROUND(E1120*INDEX('Position_Rubric'!$C$6:$C$14,M1120)+F1120*INDEX('Position_Rubric'!$D$6:$D$14,M1120)+G1120*INDEX('Position_Rubric'!$E$6:$E$14,M1120)+H1120*INDEX('Position_Rubric'!$F$6:$F$14,M1120)+I1120*INDEX('Position_Rubric'!$G$6:$G$14,M1120),1)))))</x:f>
        <x:v>Choose position</x:v>
      </x:c>
      <x:c r="K1120" s="82" t="str">
        <x:f>IF(AND(ISNUMBER(J1120),ISNUMBER(D1120)),J1120-D1120,"")</x:f>
      </x:c>
      <x:c r="L1120" s="69" t="str">
        <x:f>IF(COUNT(E1120:I1120)&lt;5,"Needs component scores",IF(ISNUMBER(J1120),"Calculated",J1120))</x:f>
        <x:v>Needs component scores</x:v>
      </x:c>
      <x:c r="M1120" s="69" t="str">
        <x:f>IF(C1120="","",MATCH(C1120,'Position_Rubric'!$A$6:$A$14,0))</x:f>
      </x:c>
      <x:c r="N1120" s="69" t="str"/>
    </x:row>
    <x:row r="1121" ht="25" customHeight="1">
      <x:c r="A1121" s="69" t="str">
        <x:v>summer-S26-0558</x:v>
      </x:c>
      <x:c r="B1121" s="69" t="str">
        <x:v>Ricardo Mangas</x:v>
      </x:c>
      <x:c r="C1121" s="69"/>
      <x:c r="D1121" s="82" t="str">
        <x:f>IF(ISNUMBER('Transfer_Ratings'!K1121),'Transfer_Ratings'!K1121,"")</x:f>
      </x:c>
      <x:c r="E1121" s="86"/>
      <x:c r="F1121" s="86"/>
      <x:c r="G1121" s="86"/>
      <x:c r="H1121" s="86"/>
      <x:c r="I1121" s="86"/>
      <x:c r="J1121" s="82" t="str">
        <x:f>IF(C1121="","Choose position",IF(COUNT(E1121:I1121)&lt;5,"",IF(OR(MIN(E1121:I1121)&lt;0.1,MAX(E1121:I1121)&gt;10),"Invalid score",IF(INDEX('Position_Rubric'!$H$6:$H$14,M1121)&lt;&gt;1,"Check weights",ROUND(E1121*INDEX('Position_Rubric'!$C$6:$C$14,M1121)+F1121*INDEX('Position_Rubric'!$D$6:$D$14,M1121)+G1121*INDEX('Position_Rubric'!$E$6:$E$14,M1121)+H1121*INDEX('Position_Rubric'!$F$6:$F$14,M1121)+I1121*INDEX('Position_Rubric'!$G$6:$G$14,M1121),1)))))</x:f>
        <x:v>Choose position</x:v>
      </x:c>
      <x:c r="K1121" s="82" t="str">
        <x:f>IF(AND(ISNUMBER(J1121),ISNUMBER(D1121)),J1121-D1121,"")</x:f>
      </x:c>
      <x:c r="L1121" s="69" t="str">
        <x:f>IF(COUNT(E1121:I1121)&lt;5,"Needs component scores",IF(ISNUMBER(J1121),"Calculated",J1121))</x:f>
        <x:v>Needs component scores</x:v>
      </x:c>
      <x:c r="M1121" s="69" t="str">
        <x:f>IF(C1121="","",MATCH(C1121,'Position_Rubric'!$A$6:$A$14,0))</x:f>
      </x:c>
      <x:c r="N1121" s="69" t="str"/>
    </x:row>
    <x:row r="1122" ht="25" customHeight="1">
      <x:c r="A1122" s="69" t="str">
        <x:v>summer-S26-0562</x:v>
      </x:c>
      <x:c r="B1122" s="69" t="str">
        <x:v>Maximilian Ibrahimovic</x:v>
      </x:c>
      <x:c r="C1122" s="69"/>
      <x:c r="D1122" s="82" t="str">
        <x:f>IF(ISNUMBER('Transfer_Ratings'!K1122),'Transfer_Ratings'!K1122,"")</x:f>
      </x:c>
      <x:c r="E1122" s="86"/>
      <x:c r="F1122" s="86"/>
      <x:c r="G1122" s="86"/>
      <x:c r="H1122" s="86"/>
      <x:c r="I1122" s="86"/>
      <x:c r="J1122" s="82" t="str">
        <x:f>IF(C1122="","Choose position",IF(COUNT(E1122:I1122)&lt;5,"",IF(OR(MIN(E1122:I1122)&lt;0.1,MAX(E1122:I1122)&gt;10),"Invalid score",IF(INDEX('Position_Rubric'!$H$6:$H$14,M1122)&lt;&gt;1,"Check weights",ROUND(E1122*INDEX('Position_Rubric'!$C$6:$C$14,M1122)+F1122*INDEX('Position_Rubric'!$D$6:$D$14,M1122)+G1122*INDEX('Position_Rubric'!$E$6:$E$14,M1122)+H1122*INDEX('Position_Rubric'!$F$6:$F$14,M1122)+I1122*INDEX('Position_Rubric'!$G$6:$G$14,M1122),1)))))</x:f>
        <x:v>Choose position</x:v>
      </x:c>
      <x:c r="K1122" s="82" t="str">
        <x:f>IF(AND(ISNUMBER(J1122),ISNUMBER(D1122)),J1122-D1122,"")</x:f>
      </x:c>
      <x:c r="L1122" s="69" t="str">
        <x:f>IF(COUNT(E1122:I1122)&lt;5,"Needs component scores",IF(ISNUMBER(J1122),"Calculated",J1122))</x:f>
        <x:v>Needs component scores</x:v>
      </x:c>
      <x:c r="M1122" s="69" t="str">
        <x:f>IF(C1122="","",MATCH(C1122,'Position_Rubric'!$A$6:$A$14,0))</x:f>
      </x:c>
      <x:c r="N1122" s="69" t="str"/>
    </x:row>
    <x:row r="1123" ht="25" customHeight="1">
      <x:c r="A1123" s="69" t="str">
        <x:v>summer-S26-0564</x:v>
      </x:c>
      <x:c r="B1123" s="69" t="str">
        <x:v>Fabio Desole</x:v>
      </x:c>
      <x:c r="C1123" s="69"/>
      <x:c r="D1123" s="82" t="str">
        <x:f>IF(ISNUMBER('Transfer_Ratings'!K1123),'Transfer_Ratings'!K1123,"")</x:f>
      </x:c>
      <x:c r="E1123" s="86"/>
      <x:c r="F1123" s="86"/>
      <x:c r="G1123" s="86"/>
      <x:c r="H1123" s="86"/>
      <x:c r="I1123" s="86"/>
      <x:c r="J1123" s="82" t="str">
        <x:f>IF(C1123="","Choose position",IF(COUNT(E1123:I1123)&lt;5,"",IF(OR(MIN(E1123:I1123)&lt;0.1,MAX(E1123:I1123)&gt;10),"Invalid score",IF(INDEX('Position_Rubric'!$H$6:$H$14,M1123)&lt;&gt;1,"Check weights",ROUND(E1123*INDEX('Position_Rubric'!$C$6:$C$14,M1123)+F1123*INDEX('Position_Rubric'!$D$6:$D$14,M1123)+G1123*INDEX('Position_Rubric'!$E$6:$E$14,M1123)+H1123*INDEX('Position_Rubric'!$F$6:$F$14,M1123)+I1123*INDEX('Position_Rubric'!$G$6:$G$14,M1123),1)))))</x:f>
        <x:v>Choose position</x:v>
      </x:c>
      <x:c r="K1123" s="82" t="str">
        <x:f>IF(AND(ISNUMBER(J1123),ISNUMBER(D1123)),J1123-D1123,"")</x:f>
      </x:c>
      <x:c r="L1123" s="69" t="str">
        <x:f>IF(COUNT(E1123:I1123)&lt;5,"Needs component scores",IF(ISNUMBER(J1123),"Calculated",J1123))</x:f>
        <x:v>Needs component scores</x:v>
      </x:c>
      <x:c r="M1123" s="69" t="str">
        <x:f>IF(C1123="","",MATCH(C1123,'Position_Rubric'!$A$6:$A$14,0))</x:f>
      </x:c>
      <x:c r="N1123" s="69" t="str"/>
    </x:row>
    <x:row r="1124" ht="25" customHeight="1">
      <x:c r="A1124" s="69" t="str">
        <x:v>summer-S26-0565</x:v>
      </x:c>
      <x:c r="B1124" s="69" t="str">
        <x:v>Mika Wallentowitz</x:v>
      </x:c>
      <x:c r="C1124" s="69"/>
      <x:c r="D1124" s="82" t="str">
        <x:f>IF(ISNUMBER('Transfer_Ratings'!K1124),'Transfer_Ratings'!K1124,"")</x:f>
      </x:c>
      <x:c r="E1124" s="86"/>
      <x:c r="F1124" s="86"/>
      <x:c r="G1124" s="86"/>
      <x:c r="H1124" s="86"/>
      <x:c r="I1124" s="86"/>
      <x:c r="J1124" s="82" t="str">
        <x:f>IF(C1124="","Choose position",IF(COUNT(E1124:I1124)&lt;5,"",IF(OR(MIN(E1124:I1124)&lt;0.1,MAX(E1124:I1124)&gt;10),"Invalid score",IF(INDEX('Position_Rubric'!$H$6:$H$14,M1124)&lt;&gt;1,"Check weights",ROUND(E1124*INDEX('Position_Rubric'!$C$6:$C$14,M1124)+F1124*INDEX('Position_Rubric'!$D$6:$D$14,M1124)+G1124*INDEX('Position_Rubric'!$E$6:$E$14,M1124)+H1124*INDEX('Position_Rubric'!$F$6:$F$14,M1124)+I1124*INDEX('Position_Rubric'!$G$6:$G$14,M1124),1)))))</x:f>
        <x:v>Choose position</x:v>
      </x:c>
      <x:c r="K1124" s="82" t="str">
        <x:f>IF(AND(ISNUMBER(J1124),ISNUMBER(D1124)),J1124-D1124,"")</x:f>
      </x:c>
      <x:c r="L1124" s="69" t="str">
        <x:f>IF(COUNT(E1124:I1124)&lt;5,"Needs component scores",IF(ISNUMBER(J1124),"Calculated",J1124))</x:f>
        <x:v>Needs component scores</x:v>
      </x:c>
      <x:c r="M1124" s="69" t="str">
        <x:f>IF(C1124="","",MATCH(C1124,'Position_Rubric'!$A$6:$A$14,0))</x:f>
      </x:c>
      <x:c r="N1124" s="69" t="str"/>
    </x:row>
    <x:row r="1125" ht="25" customHeight="1">
      <x:c r="A1125" s="69" t="str">
        <x:v>summer-S26-0568</x:v>
      </x:c>
      <x:c r="B1125" s="69" t="str">
        <x:v>Luis Hasa</x:v>
      </x:c>
      <x:c r="C1125" s="69"/>
      <x:c r="D1125" s="82" t="str">
        <x:f>IF(ISNUMBER('Transfer_Ratings'!K1125),'Transfer_Ratings'!K1125,"")</x:f>
      </x:c>
      <x:c r="E1125" s="86"/>
      <x:c r="F1125" s="86"/>
      <x:c r="G1125" s="86"/>
      <x:c r="H1125" s="86"/>
      <x:c r="I1125" s="86"/>
      <x:c r="J1125" s="82" t="str">
        <x:f>IF(C1125="","Choose position",IF(COUNT(E1125:I1125)&lt;5,"",IF(OR(MIN(E1125:I1125)&lt;0.1,MAX(E1125:I1125)&gt;10),"Invalid score",IF(INDEX('Position_Rubric'!$H$6:$H$14,M1125)&lt;&gt;1,"Check weights",ROUND(E1125*INDEX('Position_Rubric'!$C$6:$C$14,M1125)+F1125*INDEX('Position_Rubric'!$D$6:$D$14,M1125)+G1125*INDEX('Position_Rubric'!$E$6:$E$14,M1125)+H1125*INDEX('Position_Rubric'!$F$6:$F$14,M1125)+I1125*INDEX('Position_Rubric'!$G$6:$G$14,M1125),1)))))</x:f>
        <x:v>Choose position</x:v>
      </x:c>
      <x:c r="K1125" s="82" t="str">
        <x:f>IF(AND(ISNUMBER(J1125),ISNUMBER(D1125)),J1125-D1125,"")</x:f>
      </x:c>
      <x:c r="L1125" s="69" t="str">
        <x:f>IF(COUNT(E1125:I1125)&lt;5,"Needs component scores",IF(ISNUMBER(J1125),"Calculated",J1125))</x:f>
        <x:v>Needs component scores</x:v>
      </x:c>
      <x:c r="M1125" s="69" t="str">
        <x:f>IF(C1125="","",MATCH(C1125,'Position_Rubric'!$A$6:$A$14,0))</x:f>
      </x:c>
      <x:c r="N1125" s="69" t="str"/>
    </x:row>
    <x:row r="1126" ht="25" customHeight="1">
      <x:c r="A1126" s="69" t="str">
        <x:v>summer-S26-0570</x:v>
      </x:c>
      <x:c r="B1126" s="69" t="str">
        <x:v>Amara Nallo</x:v>
      </x:c>
      <x:c r="C1126" s="69"/>
      <x:c r="D1126" s="82" t="str">
        <x:f>IF(ISNUMBER('Transfer_Ratings'!K1126),'Transfer_Ratings'!K1126,"")</x:f>
      </x:c>
      <x:c r="E1126" s="86"/>
      <x:c r="F1126" s="86"/>
      <x:c r="G1126" s="86"/>
      <x:c r="H1126" s="86"/>
      <x:c r="I1126" s="86"/>
      <x:c r="J1126" s="82" t="str">
        <x:f>IF(C1126="","Choose position",IF(COUNT(E1126:I1126)&lt;5,"",IF(OR(MIN(E1126:I1126)&lt;0.1,MAX(E1126:I1126)&gt;10),"Invalid score",IF(INDEX('Position_Rubric'!$H$6:$H$14,M1126)&lt;&gt;1,"Check weights",ROUND(E1126*INDEX('Position_Rubric'!$C$6:$C$14,M1126)+F1126*INDEX('Position_Rubric'!$D$6:$D$14,M1126)+G1126*INDEX('Position_Rubric'!$E$6:$E$14,M1126)+H1126*INDEX('Position_Rubric'!$F$6:$F$14,M1126)+I1126*INDEX('Position_Rubric'!$G$6:$G$14,M1126),1)))))</x:f>
        <x:v>Choose position</x:v>
      </x:c>
      <x:c r="K1126" s="82" t="str">
        <x:f>IF(AND(ISNUMBER(J1126),ISNUMBER(D1126)),J1126-D1126,"")</x:f>
      </x:c>
      <x:c r="L1126" s="69" t="str">
        <x:f>IF(COUNT(E1126:I1126)&lt;5,"Needs component scores",IF(ISNUMBER(J1126),"Calculated",J1126))</x:f>
        <x:v>Needs component scores</x:v>
      </x:c>
      <x:c r="M1126" s="69" t="str">
        <x:f>IF(C1126="","",MATCH(C1126,'Position_Rubric'!$A$6:$A$14,0))</x:f>
      </x:c>
      <x:c r="N1126" s="69" t="str"/>
    </x:row>
    <x:row r="1127" ht="25" customHeight="1">
      <x:c r="A1127" s="69" t="str">
        <x:v>summer-S26-0572</x:v>
      </x:c>
      <x:c r="B1127" s="69" t="str">
        <x:v>Alessandro Milani</x:v>
      </x:c>
      <x:c r="C1127" s="69"/>
      <x:c r="D1127" s="82" t="str">
        <x:f>IF(ISNUMBER('Transfer_Ratings'!K1127),'Transfer_Ratings'!K1127,"")</x:f>
      </x:c>
      <x:c r="E1127" s="86"/>
      <x:c r="F1127" s="86"/>
      <x:c r="G1127" s="86"/>
      <x:c r="H1127" s="86"/>
      <x:c r="I1127" s="86"/>
      <x:c r="J1127" s="82" t="str">
        <x:f>IF(C1127="","Choose position",IF(COUNT(E1127:I1127)&lt;5,"",IF(OR(MIN(E1127:I1127)&lt;0.1,MAX(E1127:I1127)&gt;10),"Invalid score",IF(INDEX('Position_Rubric'!$H$6:$H$14,M1127)&lt;&gt;1,"Check weights",ROUND(E1127*INDEX('Position_Rubric'!$C$6:$C$14,M1127)+F1127*INDEX('Position_Rubric'!$D$6:$D$14,M1127)+G1127*INDEX('Position_Rubric'!$E$6:$E$14,M1127)+H1127*INDEX('Position_Rubric'!$F$6:$F$14,M1127)+I1127*INDEX('Position_Rubric'!$G$6:$G$14,M1127),1)))))</x:f>
        <x:v>Choose position</x:v>
      </x:c>
      <x:c r="K1127" s="82" t="str">
        <x:f>IF(AND(ISNUMBER(J1127),ISNUMBER(D1127)),J1127-D1127,"")</x:f>
      </x:c>
      <x:c r="L1127" s="69" t="str">
        <x:f>IF(COUNT(E1127:I1127)&lt;5,"Needs component scores",IF(ISNUMBER(J1127),"Calculated",J1127))</x:f>
        <x:v>Needs component scores</x:v>
      </x:c>
      <x:c r="M1127" s="69" t="str">
        <x:f>IF(C1127="","",MATCH(C1127,'Position_Rubric'!$A$6:$A$14,0))</x:f>
      </x:c>
      <x:c r="N1127" s="69" t="str"/>
    </x:row>
    <x:row r="1128" ht="25" customHeight="1">
      <x:c r="A1128" s="69" t="str">
        <x:v>summer-S26-0573</x:v>
      </x:c>
      <x:c r="B1128" s="69" t="str">
        <x:v>Jacopo Grossi</x:v>
      </x:c>
      <x:c r="C1128" s="69"/>
      <x:c r="D1128" s="82" t="str">
        <x:f>IF(ISNUMBER('Transfer_Ratings'!K1128),'Transfer_Ratings'!K1128,"")</x:f>
      </x:c>
      <x:c r="E1128" s="86"/>
      <x:c r="F1128" s="86"/>
      <x:c r="G1128" s="86"/>
      <x:c r="H1128" s="86"/>
      <x:c r="I1128" s="86"/>
      <x:c r="J1128" s="82" t="str">
        <x:f>IF(C1128="","Choose position",IF(COUNT(E1128:I1128)&lt;5,"",IF(OR(MIN(E1128:I1128)&lt;0.1,MAX(E1128:I1128)&gt;10),"Invalid score",IF(INDEX('Position_Rubric'!$H$6:$H$14,M1128)&lt;&gt;1,"Check weights",ROUND(E1128*INDEX('Position_Rubric'!$C$6:$C$14,M1128)+F1128*INDEX('Position_Rubric'!$D$6:$D$14,M1128)+G1128*INDEX('Position_Rubric'!$E$6:$E$14,M1128)+H1128*INDEX('Position_Rubric'!$F$6:$F$14,M1128)+I1128*INDEX('Position_Rubric'!$G$6:$G$14,M1128),1)))))</x:f>
        <x:v>Choose position</x:v>
      </x:c>
      <x:c r="K1128" s="82" t="str">
        <x:f>IF(AND(ISNUMBER(J1128),ISNUMBER(D1128)),J1128-D1128,"")</x:f>
      </x:c>
      <x:c r="L1128" s="69" t="str">
        <x:f>IF(COUNT(E1128:I1128)&lt;5,"Needs component scores",IF(ISNUMBER(J1128),"Calculated",J1128))</x:f>
        <x:v>Needs component scores</x:v>
      </x:c>
      <x:c r="M1128" s="69" t="str">
        <x:f>IF(C1128="","",MATCH(C1128,'Position_Rubric'!$A$6:$A$14,0))</x:f>
      </x:c>
      <x:c r="N1128" s="69" t="str"/>
    </x:row>
    <x:row r="1129" ht="25" customHeight="1">
      <x:c r="A1129" s="69" t="str">
        <x:v>summer-S26-0574</x:v>
      </x:c>
      <x:c r="B1129" s="69" t="str">
        <x:v>Lee Kang-in</x:v>
      </x:c>
      <x:c r="C1129" s="69"/>
      <x:c r="D1129" s="82" t="str">
        <x:f>IF(ISNUMBER('Transfer_Ratings'!K1129),'Transfer_Ratings'!K1129,"")</x:f>
      </x:c>
      <x:c r="E1129" s="86"/>
      <x:c r="F1129" s="86"/>
      <x:c r="G1129" s="86"/>
      <x:c r="H1129" s="86"/>
      <x:c r="I1129" s="86"/>
      <x:c r="J1129" s="82" t="str">
        <x:f>IF(C1129="","Choose position",IF(COUNT(E1129:I1129)&lt;5,"",IF(OR(MIN(E1129:I1129)&lt;0.1,MAX(E1129:I1129)&gt;10),"Invalid score",IF(INDEX('Position_Rubric'!$H$6:$H$14,M1129)&lt;&gt;1,"Check weights",ROUND(E1129*INDEX('Position_Rubric'!$C$6:$C$14,M1129)+F1129*INDEX('Position_Rubric'!$D$6:$D$14,M1129)+G1129*INDEX('Position_Rubric'!$E$6:$E$14,M1129)+H1129*INDEX('Position_Rubric'!$F$6:$F$14,M1129)+I1129*INDEX('Position_Rubric'!$G$6:$G$14,M1129),1)))))</x:f>
        <x:v>Choose position</x:v>
      </x:c>
      <x:c r="K1129" s="82" t="str">
        <x:f>IF(AND(ISNUMBER(J1129),ISNUMBER(D1129)),J1129-D1129,"")</x:f>
      </x:c>
      <x:c r="L1129" s="69" t="str">
        <x:f>IF(COUNT(E1129:I1129)&lt;5,"Needs component scores",IF(ISNUMBER(J1129),"Calculated",J1129))</x:f>
        <x:v>Needs component scores</x:v>
      </x:c>
      <x:c r="M1129" s="69" t="str">
        <x:f>IF(C1129="","",MATCH(C1129,'Position_Rubric'!$A$6:$A$14,0))</x:f>
      </x:c>
      <x:c r="N1129" s="69" t="str"/>
    </x:row>
    <x:row r="1130" ht="25" customHeight="1">
      <x:c r="A1130" s="69" t="str">
        <x:v>summer-S26-0576</x:v>
      </x:c>
      <x:c r="B1130" s="69" t="str">
        <x:v>Bilal Nadir</x:v>
      </x:c>
      <x:c r="C1130" s="69"/>
      <x:c r="D1130" s="82" t="str">
        <x:f>IF(ISNUMBER('Transfer_Ratings'!K1130),'Transfer_Ratings'!K1130,"")</x:f>
      </x:c>
      <x:c r="E1130" s="86"/>
      <x:c r="F1130" s="86"/>
      <x:c r="G1130" s="86"/>
      <x:c r="H1130" s="86"/>
      <x:c r="I1130" s="86"/>
      <x:c r="J1130" s="82" t="str">
        <x:f>IF(C1130="","Choose position",IF(COUNT(E1130:I1130)&lt;5,"",IF(OR(MIN(E1130:I1130)&lt;0.1,MAX(E1130:I1130)&gt;10),"Invalid score",IF(INDEX('Position_Rubric'!$H$6:$H$14,M1130)&lt;&gt;1,"Check weights",ROUND(E1130*INDEX('Position_Rubric'!$C$6:$C$14,M1130)+F1130*INDEX('Position_Rubric'!$D$6:$D$14,M1130)+G1130*INDEX('Position_Rubric'!$E$6:$E$14,M1130)+H1130*INDEX('Position_Rubric'!$F$6:$F$14,M1130)+I1130*INDEX('Position_Rubric'!$G$6:$G$14,M1130),1)))))</x:f>
        <x:v>Choose position</x:v>
      </x:c>
      <x:c r="K1130" s="82" t="str">
        <x:f>IF(AND(ISNUMBER(J1130),ISNUMBER(D1130)),J1130-D1130,"")</x:f>
      </x:c>
      <x:c r="L1130" s="69" t="str">
        <x:f>IF(COUNT(E1130:I1130)&lt;5,"Needs component scores",IF(ISNUMBER(J1130),"Calculated",J1130))</x:f>
        <x:v>Needs component scores</x:v>
      </x:c>
      <x:c r="M1130" s="69" t="str">
        <x:f>IF(C1130="","",MATCH(C1130,'Position_Rubric'!$A$6:$A$14,0))</x:f>
      </x:c>
      <x:c r="N1130" s="69" t="str"/>
    </x:row>
    <x:row r="1131" ht="25" customHeight="1">
      <x:c r="A1131" s="69" t="str">
        <x:v>summer-S26-0577</x:v>
      </x:c>
      <x:c r="B1131" s="69" t="str">
        <x:v>Juan Cruz</x:v>
      </x:c>
      <x:c r="C1131" s="69"/>
      <x:c r="D1131" s="82" t="str">
        <x:f>IF(ISNUMBER('Transfer_Ratings'!K1131),'Transfer_Ratings'!K1131,"")</x:f>
      </x:c>
      <x:c r="E1131" s="86"/>
      <x:c r="F1131" s="86"/>
      <x:c r="G1131" s="86"/>
      <x:c r="H1131" s="86"/>
      <x:c r="I1131" s="86"/>
      <x:c r="J1131" s="82" t="str">
        <x:f>IF(C1131="","Choose position",IF(COUNT(E1131:I1131)&lt;5,"",IF(OR(MIN(E1131:I1131)&lt;0.1,MAX(E1131:I1131)&gt;10),"Invalid score",IF(INDEX('Position_Rubric'!$H$6:$H$14,M1131)&lt;&gt;1,"Check weights",ROUND(E1131*INDEX('Position_Rubric'!$C$6:$C$14,M1131)+F1131*INDEX('Position_Rubric'!$D$6:$D$14,M1131)+G1131*INDEX('Position_Rubric'!$E$6:$E$14,M1131)+H1131*INDEX('Position_Rubric'!$F$6:$F$14,M1131)+I1131*INDEX('Position_Rubric'!$G$6:$G$14,M1131),1)))))</x:f>
        <x:v>Choose position</x:v>
      </x:c>
      <x:c r="K1131" s="82" t="str">
        <x:f>IF(AND(ISNUMBER(J1131),ISNUMBER(D1131)),J1131-D1131,"")</x:f>
      </x:c>
      <x:c r="L1131" s="69" t="str">
        <x:f>IF(COUNT(E1131:I1131)&lt;5,"Needs component scores",IF(ISNUMBER(J1131),"Calculated",J1131))</x:f>
        <x:v>Needs component scores</x:v>
      </x:c>
      <x:c r="M1131" s="69" t="str">
        <x:f>IF(C1131="","",MATCH(C1131,'Position_Rubric'!$A$6:$A$14,0))</x:f>
      </x:c>
      <x:c r="N1131" s="69" t="str"/>
    </x:row>
    <x:row r="1132" ht="25" customHeight="1">
      <x:c r="A1132" s="69" t="str">
        <x:v>summer-S26-0579</x:v>
      </x:c>
      <x:c r="B1132" s="69" t="str">
        <x:v>Maximilian Wöber</x:v>
      </x:c>
      <x:c r="C1132" s="69"/>
      <x:c r="D1132" s="82" t="str">
        <x:f>IF(ISNUMBER('Transfer_Ratings'!K1132),'Transfer_Ratings'!K1132,"")</x:f>
      </x:c>
      <x:c r="E1132" s="86"/>
      <x:c r="F1132" s="86"/>
      <x:c r="G1132" s="86"/>
      <x:c r="H1132" s="86"/>
      <x:c r="I1132" s="86"/>
      <x:c r="J1132" s="82" t="str">
        <x:f>IF(C1132="","Choose position",IF(COUNT(E1132:I1132)&lt;5,"",IF(OR(MIN(E1132:I1132)&lt;0.1,MAX(E1132:I1132)&gt;10),"Invalid score",IF(INDEX('Position_Rubric'!$H$6:$H$14,M1132)&lt;&gt;1,"Check weights",ROUND(E1132*INDEX('Position_Rubric'!$C$6:$C$14,M1132)+F1132*INDEX('Position_Rubric'!$D$6:$D$14,M1132)+G1132*INDEX('Position_Rubric'!$E$6:$E$14,M1132)+H1132*INDEX('Position_Rubric'!$F$6:$F$14,M1132)+I1132*INDEX('Position_Rubric'!$G$6:$G$14,M1132),1)))))</x:f>
        <x:v>Choose position</x:v>
      </x:c>
      <x:c r="K1132" s="82" t="str">
        <x:f>IF(AND(ISNUMBER(J1132),ISNUMBER(D1132)),J1132-D1132,"")</x:f>
      </x:c>
      <x:c r="L1132" s="69" t="str">
        <x:f>IF(COUNT(E1132:I1132)&lt;5,"Needs component scores",IF(ISNUMBER(J1132),"Calculated",J1132))</x:f>
        <x:v>Needs component scores</x:v>
      </x:c>
      <x:c r="M1132" s="69" t="str">
        <x:f>IF(C1132="","",MATCH(C1132,'Position_Rubric'!$A$6:$A$14,0))</x:f>
      </x:c>
      <x:c r="N1132" s="69" t="str"/>
    </x:row>
    <x:row r="1133" ht="25" customHeight="1">
      <x:c r="A1133" s="69" t="str">
        <x:v>summer-S26-0580</x:v>
      </x:c>
      <x:c r="B1133" s="69" t="str">
        <x:v>Lorenzo Riccio</x:v>
      </x:c>
      <x:c r="C1133" s="69"/>
      <x:c r="D1133" s="82" t="str">
        <x:f>IF(ISNUMBER('Transfer_Ratings'!K1133),'Transfer_Ratings'!K1133,"")</x:f>
      </x:c>
      <x:c r="E1133" s="86"/>
      <x:c r="F1133" s="86"/>
      <x:c r="G1133" s="86"/>
      <x:c r="H1133" s="86"/>
      <x:c r="I1133" s="86"/>
      <x:c r="J1133" s="82" t="str">
        <x:f>IF(C1133="","Choose position",IF(COUNT(E1133:I1133)&lt;5,"",IF(OR(MIN(E1133:I1133)&lt;0.1,MAX(E1133:I1133)&gt;10),"Invalid score",IF(INDEX('Position_Rubric'!$H$6:$H$14,M1133)&lt;&gt;1,"Check weights",ROUND(E1133*INDEX('Position_Rubric'!$C$6:$C$14,M1133)+F1133*INDEX('Position_Rubric'!$D$6:$D$14,M1133)+G1133*INDEX('Position_Rubric'!$E$6:$E$14,M1133)+H1133*INDEX('Position_Rubric'!$F$6:$F$14,M1133)+I1133*INDEX('Position_Rubric'!$G$6:$G$14,M1133),1)))))</x:f>
        <x:v>Choose position</x:v>
      </x:c>
      <x:c r="K1133" s="82" t="str">
        <x:f>IF(AND(ISNUMBER(J1133),ISNUMBER(D1133)),J1133-D1133,"")</x:f>
      </x:c>
      <x:c r="L1133" s="69" t="str">
        <x:f>IF(COUNT(E1133:I1133)&lt;5,"Needs component scores",IF(ISNUMBER(J1133),"Calculated",J1133))</x:f>
        <x:v>Needs component scores</x:v>
      </x:c>
      <x:c r="M1133" s="69" t="str">
        <x:f>IF(C1133="","",MATCH(C1133,'Position_Rubric'!$A$6:$A$14,0))</x:f>
      </x:c>
      <x:c r="N1133" s="69" t="str"/>
    </x:row>
    <x:row r="1134" ht="25" customHeight="1">
      <x:c r="A1134" s="69" t="str">
        <x:v>summer-S26-0581</x:v>
      </x:c>
      <x:c r="B1134" s="69" t="str">
        <x:v>Luca Erlein</x:v>
      </x:c>
      <x:c r="C1134" s="69"/>
      <x:c r="D1134" s="82" t="str">
        <x:f>IF(ISNUMBER('Transfer_Ratings'!K1134),'Transfer_Ratings'!K1134,"")</x:f>
      </x:c>
      <x:c r="E1134" s="86"/>
      <x:c r="F1134" s="86"/>
      <x:c r="G1134" s="86"/>
      <x:c r="H1134" s="86"/>
      <x:c r="I1134" s="86"/>
      <x:c r="J1134" s="82" t="str">
        <x:f>IF(C1134="","Choose position",IF(COUNT(E1134:I1134)&lt;5,"",IF(OR(MIN(E1134:I1134)&lt;0.1,MAX(E1134:I1134)&gt;10),"Invalid score",IF(INDEX('Position_Rubric'!$H$6:$H$14,M1134)&lt;&gt;1,"Check weights",ROUND(E1134*INDEX('Position_Rubric'!$C$6:$C$14,M1134)+F1134*INDEX('Position_Rubric'!$D$6:$D$14,M1134)+G1134*INDEX('Position_Rubric'!$E$6:$E$14,M1134)+H1134*INDEX('Position_Rubric'!$F$6:$F$14,M1134)+I1134*INDEX('Position_Rubric'!$G$6:$G$14,M1134),1)))))</x:f>
        <x:v>Choose position</x:v>
      </x:c>
      <x:c r="K1134" s="82" t="str">
        <x:f>IF(AND(ISNUMBER(J1134),ISNUMBER(D1134)),J1134-D1134,"")</x:f>
      </x:c>
      <x:c r="L1134" s="69" t="str">
        <x:f>IF(COUNT(E1134:I1134)&lt;5,"Needs component scores",IF(ISNUMBER(J1134),"Calculated",J1134))</x:f>
        <x:v>Needs component scores</x:v>
      </x:c>
      <x:c r="M1134" s="69" t="str">
        <x:f>IF(C1134="","",MATCH(C1134,'Position_Rubric'!$A$6:$A$14,0))</x:f>
      </x:c>
      <x:c r="N1134" s="69" t="str"/>
    </x:row>
    <x:row r="1135" ht="25" customHeight="1">
      <x:c r="A1135" s="69" t="str">
        <x:v>summer-S26-0582</x:v>
      </x:c>
      <x:c r="B1135" s="69" t="str">
        <x:v>Arnau Tenas</x:v>
      </x:c>
      <x:c r="C1135" s="69" t="str">
        <x:v>GK</x:v>
      </x:c>
      <x:c r="D1135" s="82" t="str">
        <x:f>IF(ISNUMBER('Transfer_Ratings'!K1135),'Transfer_Ratings'!K1135,"")</x:f>
      </x:c>
      <x:c r="E1135" s="86"/>
      <x:c r="F1135" s="86"/>
      <x:c r="G1135" s="86"/>
      <x:c r="H1135" s="86"/>
      <x:c r="I1135" s="86"/>
      <x:c r="J1135" s="82" t="str">
        <x:f>IF(C1135="","Choose position",IF(COUNT(E1135:I1135)&lt;5,"",IF(OR(MIN(E1135:I1135)&lt;0.1,MAX(E1135:I1135)&gt;10),"Invalid score",IF(INDEX('Position_Rubric'!$H$6:$H$14,M1135)&lt;&gt;1,"Check weights",ROUND(E1135*INDEX('Position_Rubric'!$C$6:$C$14,M1135)+F1135*INDEX('Position_Rubric'!$D$6:$D$14,M1135)+G1135*INDEX('Position_Rubric'!$E$6:$E$14,M1135)+H1135*INDEX('Position_Rubric'!$F$6:$F$14,M1135)+I1135*INDEX('Position_Rubric'!$G$6:$G$14,M1135),1)))))</x:f>
      </x:c>
      <x:c r="K1135" s="82" t="str">
        <x:f>IF(AND(ISNUMBER(J1135),ISNUMBER(D1135)),J1135-D1135,"")</x:f>
      </x:c>
      <x:c r="L1135" s="69" t="str">
        <x:f>IF(COUNT(E1135:I1135)&lt;5,"Needs component scores",IF(ISNUMBER(J1135),"Calculated",J1135))</x:f>
        <x:v>Needs component scores</x:v>
      </x:c>
      <x:c r="M1135" s="69" t="n">
        <x:f>IF(C1135="","",MATCH(C1135,'Position_Rubric'!$A$6:$A$14,0))</x:f>
        <x:v>9</x:v>
      </x:c>
      <x:c r="N1135" s="69" t="str"/>
    </x:row>
    <x:row r="1136" ht="25" customHeight="1">
      <x:c r="A1136" s="69" t="str">
        <x:v>summer-S26-0583</x:v>
      </x:c>
      <x:c r="B1136" s="69" t="str">
        <x:v>Jackson Izquierdo</x:v>
      </x:c>
      <x:c r="C1136" s="69" t="str">
        <x:v>GK</x:v>
      </x:c>
      <x:c r="D1136" s="82" t="str">
        <x:f>IF(ISNUMBER('Transfer_Ratings'!K1136),'Transfer_Ratings'!K1136,"")</x:f>
      </x:c>
      <x:c r="E1136" s="86"/>
      <x:c r="F1136" s="86"/>
      <x:c r="G1136" s="86"/>
      <x:c r="H1136" s="86"/>
      <x:c r="I1136" s="86"/>
      <x:c r="J1136" s="82" t="str">
        <x:f>IF(C1136="","Choose position",IF(COUNT(E1136:I1136)&lt;5,"",IF(OR(MIN(E1136:I1136)&lt;0.1,MAX(E1136:I1136)&gt;10),"Invalid score",IF(INDEX('Position_Rubric'!$H$6:$H$14,M1136)&lt;&gt;1,"Check weights",ROUND(E1136*INDEX('Position_Rubric'!$C$6:$C$14,M1136)+F1136*INDEX('Position_Rubric'!$D$6:$D$14,M1136)+G1136*INDEX('Position_Rubric'!$E$6:$E$14,M1136)+H1136*INDEX('Position_Rubric'!$F$6:$F$14,M1136)+I1136*INDEX('Position_Rubric'!$G$6:$G$14,M1136),1)))))</x:f>
      </x:c>
      <x:c r="K1136" s="82" t="str">
        <x:f>IF(AND(ISNUMBER(J1136),ISNUMBER(D1136)),J1136-D1136,"")</x:f>
      </x:c>
      <x:c r="L1136" s="69" t="str">
        <x:f>IF(COUNT(E1136:I1136)&lt;5,"Needs component scores",IF(ISNUMBER(J1136),"Calculated",J1136))</x:f>
        <x:v>Needs component scores</x:v>
      </x:c>
      <x:c r="M1136" s="69" t="n">
        <x:f>IF(C1136="","",MATCH(C1136,'Position_Rubric'!$A$6:$A$14,0))</x:f>
        <x:v>9</x:v>
      </x:c>
      <x:c r="N1136" s="69" t="str"/>
    </x:row>
    <x:row r="1137" ht="25" customHeight="1">
      <x:c r="A1137" s="69" t="str">
        <x:v>summer-S26-0584</x:v>
      </x:c>
      <x:c r="B1137" s="69" t="str">
        <x:v>Matthew Cox</x:v>
      </x:c>
      <x:c r="C1137" s="69" t="str">
        <x:v>GK</x:v>
      </x:c>
      <x:c r="D1137" s="82" t="str">
        <x:f>IF(ISNUMBER('Transfer_Ratings'!K1137),'Transfer_Ratings'!K1137,"")</x:f>
      </x:c>
      <x:c r="E1137" s="86"/>
      <x:c r="F1137" s="86"/>
      <x:c r="G1137" s="86"/>
      <x:c r="H1137" s="86"/>
      <x:c r="I1137" s="86"/>
      <x:c r="J1137" s="82" t="str">
        <x:f>IF(C1137="","Choose position",IF(COUNT(E1137:I1137)&lt;5,"",IF(OR(MIN(E1137:I1137)&lt;0.1,MAX(E1137:I1137)&gt;10),"Invalid score",IF(INDEX('Position_Rubric'!$H$6:$H$14,M1137)&lt;&gt;1,"Check weights",ROUND(E1137*INDEX('Position_Rubric'!$C$6:$C$14,M1137)+F1137*INDEX('Position_Rubric'!$D$6:$D$14,M1137)+G1137*INDEX('Position_Rubric'!$E$6:$E$14,M1137)+H1137*INDEX('Position_Rubric'!$F$6:$F$14,M1137)+I1137*INDEX('Position_Rubric'!$G$6:$G$14,M1137),1)))))</x:f>
      </x:c>
      <x:c r="K1137" s="82" t="str">
        <x:f>IF(AND(ISNUMBER(J1137),ISNUMBER(D1137)),J1137-D1137,"")</x:f>
      </x:c>
      <x:c r="L1137" s="69" t="str">
        <x:f>IF(COUNT(E1137:I1137)&lt;5,"Needs component scores",IF(ISNUMBER(J1137),"Calculated",J1137))</x:f>
        <x:v>Needs component scores</x:v>
      </x:c>
      <x:c r="M1137" s="69" t="n">
        <x:f>IF(C1137="","",MATCH(C1137,'Position_Rubric'!$A$6:$A$14,0))</x:f>
        <x:v>9</x:v>
      </x:c>
      <x:c r="N1137" s="69" t="str"/>
    </x:row>
    <x:row r="1138" ht="25" customHeight="1">
      <x:c r="A1138" s="69" t="str">
        <x:v>summer-S26-0585</x:v>
      </x:c>
      <x:c r="B1138" s="69" t="str">
        <x:v>Conor Townsend</x:v>
      </x:c>
      <x:c r="C1138" s="69"/>
      <x:c r="D1138" s="82" t="str">
        <x:f>IF(ISNUMBER('Transfer_Ratings'!K1138),'Transfer_Ratings'!K1138,"")</x:f>
      </x:c>
      <x:c r="E1138" s="86"/>
      <x:c r="F1138" s="86"/>
      <x:c r="G1138" s="86"/>
      <x:c r="H1138" s="86"/>
      <x:c r="I1138" s="86"/>
      <x:c r="J1138" s="82" t="str">
        <x:f>IF(C1138="","Choose position",IF(COUNT(E1138:I1138)&lt;5,"",IF(OR(MIN(E1138:I1138)&lt;0.1,MAX(E1138:I1138)&gt;10),"Invalid score",IF(INDEX('Position_Rubric'!$H$6:$H$14,M1138)&lt;&gt;1,"Check weights",ROUND(E1138*INDEX('Position_Rubric'!$C$6:$C$14,M1138)+F1138*INDEX('Position_Rubric'!$D$6:$D$14,M1138)+G1138*INDEX('Position_Rubric'!$E$6:$E$14,M1138)+H1138*INDEX('Position_Rubric'!$F$6:$F$14,M1138)+I1138*INDEX('Position_Rubric'!$G$6:$G$14,M1138),1)))))</x:f>
        <x:v>Choose position</x:v>
      </x:c>
      <x:c r="K1138" s="82" t="str">
        <x:f>IF(AND(ISNUMBER(J1138),ISNUMBER(D1138)),J1138-D1138,"")</x:f>
      </x:c>
      <x:c r="L1138" s="69" t="str">
        <x:f>IF(COUNT(E1138:I1138)&lt;5,"Needs component scores",IF(ISNUMBER(J1138),"Calculated",J1138))</x:f>
        <x:v>Needs component scores</x:v>
      </x:c>
      <x:c r="M1138" s="69" t="str">
        <x:f>IF(C1138="","",MATCH(C1138,'Position_Rubric'!$A$6:$A$14,0))</x:f>
      </x:c>
      <x:c r="N1138" s="69" t="str"/>
    </x:row>
    <x:row r="1139" ht="25" customHeight="1">
      <x:c r="A1139" s="69" t="str">
        <x:v>summer-S26-0586</x:v>
      </x:c>
      <x:c r="B1139" s="69" t="str">
        <x:v>Owen Goodman</x:v>
      </x:c>
      <x:c r="C1139" s="69" t="str">
        <x:v>GK</x:v>
      </x:c>
      <x:c r="D1139" s="82" t="str">
        <x:f>IF(ISNUMBER('Transfer_Ratings'!K1139),'Transfer_Ratings'!K1139,"")</x:f>
      </x:c>
      <x:c r="E1139" s="86"/>
      <x:c r="F1139" s="86"/>
      <x:c r="G1139" s="86"/>
      <x:c r="H1139" s="86"/>
      <x:c r="I1139" s="86"/>
      <x:c r="J1139" s="82" t="str">
        <x:f>IF(C1139="","Choose position",IF(COUNT(E1139:I1139)&lt;5,"",IF(OR(MIN(E1139:I1139)&lt;0.1,MAX(E1139:I1139)&gt;10),"Invalid score",IF(INDEX('Position_Rubric'!$H$6:$H$14,M1139)&lt;&gt;1,"Check weights",ROUND(E1139*INDEX('Position_Rubric'!$C$6:$C$14,M1139)+F1139*INDEX('Position_Rubric'!$D$6:$D$14,M1139)+G1139*INDEX('Position_Rubric'!$E$6:$E$14,M1139)+H1139*INDEX('Position_Rubric'!$F$6:$F$14,M1139)+I1139*INDEX('Position_Rubric'!$G$6:$G$14,M1139),1)))))</x:f>
      </x:c>
      <x:c r="K1139" s="82" t="str">
        <x:f>IF(AND(ISNUMBER(J1139),ISNUMBER(D1139)),J1139-D1139,"")</x:f>
      </x:c>
      <x:c r="L1139" s="69" t="str">
        <x:f>IF(COUNT(E1139:I1139)&lt;5,"Needs component scores",IF(ISNUMBER(J1139),"Calculated",J1139))</x:f>
        <x:v>Needs component scores</x:v>
      </x:c>
      <x:c r="M1139" s="69" t="n">
        <x:f>IF(C1139="","",MATCH(C1139,'Position_Rubric'!$A$6:$A$14,0))</x:f>
        <x:v>9</x:v>
      </x:c>
      <x:c r="N1139" s="69" t="str"/>
    </x:row>
    <x:row r="1140" ht="25" customHeight="1">
      <x:c r="A1140" s="69" t="str">
        <x:v>summer-S26-0587</x:v>
      </x:c>
      <x:c r="B1140" s="69" t="str">
        <x:v>Borna Knezovic</x:v>
      </x:c>
      <x:c r="C1140" s="69"/>
      <x:c r="D1140" s="82" t="str">
        <x:f>IF(ISNUMBER('Transfer_Ratings'!K1140),'Transfer_Ratings'!K1140,"")</x:f>
      </x:c>
      <x:c r="E1140" s="86"/>
      <x:c r="F1140" s="86"/>
      <x:c r="G1140" s="86"/>
      <x:c r="H1140" s="86"/>
      <x:c r="I1140" s="86"/>
      <x:c r="J1140" s="82" t="str">
        <x:f>IF(C1140="","Choose position",IF(COUNT(E1140:I1140)&lt;5,"",IF(OR(MIN(E1140:I1140)&lt;0.1,MAX(E1140:I1140)&gt;10),"Invalid score",IF(INDEX('Position_Rubric'!$H$6:$H$14,M1140)&lt;&gt;1,"Check weights",ROUND(E1140*INDEX('Position_Rubric'!$C$6:$C$14,M1140)+F1140*INDEX('Position_Rubric'!$D$6:$D$14,M1140)+G1140*INDEX('Position_Rubric'!$E$6:$E$14,M1140)+H1140*INDEX('Position_Rubric'!$F$6:$F$14,M1140)+I1140*INDEX('Position_Rubric'!$G$6:$G$14,M1140),1)))))</x:f>
        <x:v>Choose position</x:v>
      </x:c>
      <x:c r="K1140" s="82" t="str">
        <x:f>IF(AND(ISNUMBER(J1140),ISNUMBER(D1140)),J1140-D1140,"")</x:f>
      </x:c>
      <x:c r="L1140" s="69" t="str">
        <x:f>IF(COUNT(E1140:I1140)&lt;5,"Needs component scores",IF(ISNUMBER(J1140),"Calculated",J1140))</x:f>
        <x:v>Needs component scores</x:v>
      </x:c>
      <x:c r="M1140" s="69" t="str">
        <x:f>IF(C1140="","",MATCH(C1140,'Position_Rubric'!$A$6:$A$14,0))</x:f>
      </x:c>
      <x:c r="N1140" s="69" t="str"/>
    </x:row>
    <x:row r="1141" ht="25" customHeight="1">
      <x:c r="A1141" s="69" t="str">
        <x:v>summer-S26-0588</x:v>
      </x:c>
      <x:c r="B1141" s="69" t="str">
        <x:v>Nobel Mendy</x:v>
      </x:c>
      <x:c r="C1141" s="69"/>
      <x:c r="D1141" s="82" t="str">
        <x:f>IF(ISNUMBER('Transfer_Ratings'!K1141),'Transfer_Ratings'!K1141,"")</x:f>
      </x:c>
      <x:c r="E1141" s="86"/>
      <x:c r="F1141" s="86"/>
      <x:c r="G1141" s="86"/>
      <x:c r="H1141" s="86"/>
      <x:c r="I1141" s="86"/>
      <x:c r="J1141" s="82" t="str">
        <x:f>IF(C1141="","Choose position",IF(COUNT(E1141:I1141)&lt;5,"",IF(OR(MIN(E1141:I1141)&lt;0.1,MAX(E1141:I1141)&gt;10),"Invalid score",IF(INDEX('Position_Rubric'!$H$6:$H$14,M1141)&lt;&gt;1,"Check weights",ROUND(E1141*INDEX('Position_Rubric'!$C$6:$C$14,M1141)+F1141*INDEX('Position_Rubric'!$D$6:$D$14,M1141)+G1141*INDEX('Position_Rubric'!$E$6:$E$14,M1141)+H1141*INDEX('Position_Rubric'!$F$6:$F$14,M1141)+I1141*INDEX('Position_Rubric'!$G$6:$G$14,M1141),1)))))</x:f>
        <x:v>Choose position</x:v>
      </x:c>
      <x:c r="K1141" s="82" t="str">
        <x:f>IF(AND(ISNUMBER(J1141),ISNUMBER(D1141)),J1141-D1141,"")</x:f>
      </x:c>
      <x:c r="L1141" s="69" t="str">
        <x:f>IF(COUNT(E1141:I1141)&lt;5,"Needs component scores",IF(ISNUMBER(J1141),"Calculated",J1141))</x:f>
        <x:v>Needs component scores</x:v>
      </x:c>
      <x:c r="M1141" s="69" t="str">
        <x:f>IF(C1141="","",MATCH(C1141,'Position_Rubric'!$A$6:$A$14,0))</x:f>
      </x:c>
      <x:c r="N1141" s="69" t="str"/>
    </x:row>
    <x:row r="1142" ht="25" customHeight="1">
      <x:c r="A1142" s="69" t="str">
        <x:v>summer-S26-0589</x:v>
      </x:c>
      <x:c r="B1142" s="69" t="str">
        <x:v>Justin de Haas</x:v>
      </x:c>
      <x:c r="C1142" s="69"/>
      <x:c r="D1142" s="82" t="str">
        <x:f>IF(ISNUMBER('Transfer_Ratings'!K1142),'Transfer_Ratings'!K1142,"")</x:f>
      </x:c>
      <x:c r="E1142" s="86"/>
      <x:c r="F1142" s="86"/>
      <x:c r="G1142" s="86"/>
      <x:c r="H1142" s="86"/>
      <x:c r="I1142" s="86"/>
      <x:c r="J1142" s="82" t="str">
        <x:f>IF(C1142="","Choose position",IF(COUNT(E1142:I1142)&lt;5,"",IF(OR(MIN(E1142:I1142)&lt;0.1,MAX(E1142:I1142)&gt;10),"Invalid score",IF(INDEX('Position_Rubric'!$H$6:$H$14,M1142)&lt;&gt;1,"Check weights",ROUND(E1142*INDEX('Position_Rubric'!$C$6:$C$14,M1142)+F1142*INDEX('Position_Rubric'!$D$6:$D$14,M1142)+G1142*INDEX('Position_Rubric'!$E$6:$E$14,M1142)+H1142*INDEX('Position_Rubric'!$F$6:$F$14,M1142)+I1142*INDEX('Position_Rubric'!$G$6:$G$14,M1142),1)))))</x:f>
        <x:v>Choose position</x:v>
      </x:c>
      <x:c r="K1142" s="82" t="str">
        <x:f>IF(AND(ISNUMBER(J1142),ISNUMBER(D1142)),J1142-D1142,"")</x:f>
      </x:c>
      <x:c r="L1142" s="69" t="str">
        <x:f>IF(COUNT(E1142:I1142)&lt;5,"Needs component scores",IF(ISNUMBER(J1142),"Calculated",J1142))</x:f>
        <x:v>Needs component scores</x:v>
      </x:c>
      <x:c r="M1142" s="69" t="str">
        <x:f>IF(C1142="","",MATCH(C1142,'Position_Rubric'!$A$6:$A$14,0))</x:f>
      </x:c>
      <x:c r="N1142" s="69" t="str"/>
    </x:row>
    <x:row r="1143" ht="25" customHeight="1">
      <x:c r="A1143" s="69" t="str">
        <x:v>summer-S26-0591</x:v>
      </x:c>
      <x:c r="B1143" s="69" t="str">
        <x:v>Egoitz Muñoz</x:v>
      </x:c>
      <x:c r="C1143" s="69"/>
      <x:c r="D1143" s="82" t="str">
        <x:f>IF(ISNUMBER('Transfer_Ratings'!K1143),'Transfer_Ratings'!K1143,"")</x:f>
      </x:c>
      <x:c r="E1143" s="86"/>
      <x:c r="F1143" s="86"/>
      <x:c r="G1143" s="86"/>
      <x:c r="H1143" s="86"/>
      <x:c r="I1143" s="86"/>
      <x:c r="J1143" s="82" t="str">
        <x:f>IF(C1143="","Choose position",IF(COUNT(E1143:I1143)&lt;5,"",IF(OR(MIN(E1143:I1143)&lt;0.1,MAX(E1143:I1143)&gt;10),"Invalid score",IF(INDEX('Position_Rubric'!$H$6:$H$14,M1143)&lt;&gt;1,"Check weights",ROUND(E1143*INDEX('Position_Rubric'!$C$6:$C$14,M1143)+F1143*INDEX('Position_Rubric'!$D$6:$D$14,M1143)+G1143*INDEX('Position_Rubric'!$E$6:$E$14,M1143)+H1143*INDEX('Position_Rubric'!$F$6:$F$14,M1143)+I1143*INDEX('Position_Rubric'!$G$6:$G$14,M1143),1)))))</x:f>
        <x:v>Choose position</x:v>
      </x:c>
      <x:c r="K1143" s="82" t="str">
        <x:f>IF(AND(ISNUMBER(J1143),ISNUMBER(D1143)),J1143-D1143,"")</x:f>
      </x:c>
      <x:c r="L1143" s="69" t="str">
        <x:f>IF(COUNT(E1143:I1143)&lt;5,"Needs component scores",IF(ISNUMBER(J1143),"Calculated",J1143))</x:f>
        <x:v>Needs component scores</x:v>
      </x:c>
      <x:c r="M1143" s="69" t="str">
        <x:f>IF(C1143="","",MATCH(C1143,'Position_Rubric'!$A$6:$A$14,0))</x:f>
      </x:c>
      <x:c r="N1143" s="69" t="str"/>
    </x:row>
    <x:row r="1144" ht="25" customHeight="1">
      <x:c r="A1144" s="69" t="str">
        <x:v>summer-S26-0592</x:v>
      </x:c>
      <x:c r="B1144" s="69" t="str">
        <x:v>Jon García</x:v>
      </x:c>
      <x:c r="C1144" s="69"/>
      <x:c r="D1144" s="82" t="str">
        <x:f>IF(ISNUMBER('Transfer_Ratings'!K1144),'Transfer_Ratings'!K1144,"")</x:f>
      </x:c>
      <x:c r="E1144" s="86"/>
      <x:c r="F1144" s="86"/>
      <x:c r="G1144" s="86"/>
      <x:c r="H1144" s="86"/>
      <x:c r="I1144" s="86"/>
      <x:c r="J1144" s="82" t="str">
        <x:f>IF(C1144="","Choose position",IF(COUNT(E1144:I1144)&lt;5,"",IF(OR(MIN(E1144:I1144)&lt;0.1,MAX(E1144:I1144)&gt;10),"Invalid score",IF(INDEX('Position_Rubric'!$H$6:$H$14,M1144)&lt;&gt;1,"Check weights",ROUND(E1144*INDEX('Position_Rubric'!$C$6:$C$14,M1144)+F1144*INDEX('Position_Rubric'!$D$6:$D$14,M1144)+G1144*INDEX('Position_Rubric'!$E$6:$E$14,M1144)+H1144*INDEX('Position_Rubric'!$F$6:$F$14,M1144)+I1144*INDEX('Position_Rubric'!$G$6:$G$14,M1144),1)))))</x:f>
        <x:v>Choose position</x:v>
      </x:c>
      <x:c r="K1144" s="82" t="str">
        <x:f>IF(AND(ISNUMBER(J1144),ISNUMBER(D1144)),J1144-D1144,"")</x:f>
      </x:c>
      <x:c r="L1144" s="69" t="str">
        <x:f>IF(COUNT(E1144:I1144)&lt;5,"Needs component scores",IF(ISNUMBER(J1144),"Calculated",J1144))</x:f>
        <x:v>Needs component scores</x:v>
      </x:c>
      <x:c r="M1144" s="69" t="str">
        <x:f>IF(C1144="","",MATCH(C1144,'Position_Rubric'!$A$6:$A$14,0))</x:f>
      </x:c>
      <x:c r="N1144" s="69" t="str"/>
    </x:row>
    <x:row r="1145" ht="25" customHeight="1">
      <x:c r="A1145" s="69" t="str">
        <x:v>summer-S26-0593</x:v>
      </x:c>
      <x:c r="B1145" s="69" t="str">
        <x:v>Víctor Fernández</x:v>
      </x:c>
      <x:c r="C1145" s="69"/>
      <x:c r="D1145" s="82" t="str">
        <x:f>IF(ISNUMBER('Transfer_Ratings'!K1145),'Transfer_Ratings'!K1145,"")</x:f>
      </x:c>
      <x:c r="E1145" s="86"/>
      <x:c r="F1145" s="86"/>
      <x:c r="G1145" s="86"/>
      <x:c r="H1145" s="86"/>
      <x:c r="I1145" s="86"/>
      <x:c r="J1145" s="82" t="str">
        <x:f>IF(C1145="","Choose position",IF(COUNT(E1145:I1145)&lt;5,"",IF(OR(MIN(E1145:I1145)&lt;0.1,MAX(E1145:I1145)&gt;10),"Invalid score",IF(INDEX('Position_Rubric'!$H$6:$H$14,M1145)&lt;&gt;1,"Check weights",ROUND(E1145*INDEX('Position_Rubric'!$C$6:$C$14,M1145)+F1145*INDEX('Position_Rubric'!$D$6:$D$14,M1145)+G1145*INDEX('Position_Rubric'!$E$6:$E$14,M1145)+H1145*INDEX('Position_Rubric'!$F$6:$F$14,M1145)+I1145*INDEX('Position_Rubric'!$G$6:$G$14,M1145),1)))))</x:f>
        <x:v>Choose position</x:v>
      </x:c>
      <x:c r="K1145" s="82" t="str">
        <x:f>IF(AND(ISNUMBER(J1145),ISNUMBER(D1145)),J1145-D1145,"")</x:f>
      </x:c>
      <x:c r="L1145" s="69" t="str">
        <x:f>IF(COUNT(E1145:I1145)&lt;5,"Needs component scores",IF(ISNUMBER(J1145),"Calculated",J1145))</x:f>
        <x:v>Needs component scores</x:v>
      </x:c>
      <x:c r="M1145" s="69" t="str">
        <x:f>IF(C1145="","",MATCH(C1145,'Position_Rubric'!$A$6:$A$14,0))</x:f>
      </x:c>
      <x:c r="N1145" s="69" t="str"/>
    </x:row>
    <x:row r="1146" ht="25" customHeight="1">
      <x:c r="A1146" s="69" t="str">
        <x:v>summer-S26-0594</x:v>
      </x:c>
      <x:c r="B1146" s="69" t="str">
        <x:v>Javi Pamies</x:v>
      </x:c>
      <x:c r="C1146" s="69"/>
      <x:c r="D1146" s="82" t="str">
        <x:f>IF(ISNUMBER('Transfer_Ratings'!K1146),'Transfer_Ratings'!K1146,"")</x:f>
      </x:c>
      <x:c r="E1146" s="86"/>
      <x:c r="F1146" s="86"/>
      <x:c r="G1146" s="86"/>
      <x:c r="H1146" s="86"/>
      <x:c r="I1146" s="86"/>
      <x:c r="J1146" s="82" t="str">
        <x:f>IF(C1146="","Choose position",IF(COUNT(E1146:I1146)&lt;5,"",IF(OR(MIN(E1146:I1146)&lt;0.1,MAX(E1146:I1146)&gt;10),"Invalid score",IF(INDEX('Position_Rubric'!$H$6:$H$14,M1146)&lt;&gt;1,"Check weights",ROUND(E1146*INDEX('Position_Rubric'!$C$6:$C$14,M1146)+F1146*INDEX('Position_Rubric'!$D$6:$D$14,M1146)+G1146*INDEX('Position_Rubric'!$E$6:$E$14,M1146)+H1146*INDEX('Position_Rubric'!$F$6:$F$14,M1146)+I1146*INDEX('Position_Rubric'!$G$6:$G$14,M1146),1)))))</x:f>
        <x:v>Choose position</x:v>
      </x:c>
      <x:c r="K1146" s="82" t="str">
        <x:f>IF(AND(ISNUMBER(J1146),ISNUMBER(D1146)),J1146-D1146,"")</x:f>
      </x:c>
      <x:c r="L1146" s="69" t="str">
        <x:f>IF(COUNT(E1146:I1146)&lt;5,"Needs component scores",IF(ISNUMBER(J1146),"Calculated",J1146))</x:f>
        <x:v>Needs component scores</x:v>
      </x:c>
      <x:c r="M1146" s="69" t="str">
        <x:f>IF(C1146="","",MATCH(C1146,'Position_Rubric'!$A$6:$A$14,0))</x:f>
      </x:c>
      <x:c r="N1146" s="69" t="str"/>
    </x:row>
    <x:row r="1147" ht="25" customHeight="1">
      <x:c r="A1147" s="69" t="str">
        <x:v>summer-S26-0596</x:v>
      </x:c>
      <x:c r="B1147" s="69" t="str">
        <x:v>Kazunari Kita</x:v>
      </x:c>
      <x:c r="C1147" s="69"/>
      <x:c r="D1147" s="82" t="str">
        <x:f>IF(ISNUMBER('Transfer_Ratings'!K1147),'Transfer_Ratings'!K1147,"")</x:f>
      </x:c>
      <x:c r="E1147" s="86"/>
      <x:c r="F1147" s="86"/>
      <x:c r="G1147" s="86"/>
      <x:c r="H1147" s="86"/>
      <x:c r="I1147" s="86"/>
      <x:c r="J1147" s="82" t="str">
        <x:f>IF(C1147="","Choose position",IF(COUNT(E1147:I1147)&lt;5,"",IF(OR(MIN(E1147:I1147)&lt;0.1,MAX(E1147:I1147)&gt;10),"Invalid score",IF(INDEX('Position_Rubric'!$H$6:$H$14,M1147)&lt;&gt;1,"Check weights",ROUND(E1147*INDEX('Position_Rubric'!$C$6:$C$14,M1147)+F1147*INDEX('Position_Rubric'!$D$6:$D$14,M1147)+G1147*INDEX('Position_Rubric'!$E$6:$E$14,M1147)+H1147*INDEX('Position_Rubric'!$F$6:$F$14,M1147)+I1147*INDEX('Position_Rubric'!$G$6:$G$14,M1147),1)))))</x:f>
        <x:v>Choose position</x:v>
      </x:c>
      <x:c r="K1147" s="82" t="str">
        <x:f>IF(AND(ISNUMBER(J1147),ISNUMBER(D1147)),J1147-D1147,"")</x:f>
      </x:c>
      <x:c r="L1147" s="69" t="str">
        <x:f>IF(COUNT(E1147:I1147)&lt;5,"Needs component scores",IF(ISNUMBER(J1147),"Calculated",J1147))</x:f>
        <x:v>Needs component scores</x:v>
      </x:c>
      <x:c r="M1147" s="69" t="str">
        <x:f>IF(C1147="","",MATCH(C1147,'Position_Rubric'!$A$6:$A$14,0))</x:f>
      </x:c>
      <x:c r="N1147" s="69" t="str"/>
    </x:row>
    <x:row r="1148" ht="25" customHeight="1">
      <x:c r="A1148" s="69" t="str">
        <x:v>summer-S26-0598</x:v>
      </x:c>
      <x:c r="B1148" s="69" t="str">
        <x:v>Jano Monserrate</x:v>
      </x:c>
      <x:c r="C1148" s="69"/>
      <x:c r="D1148" s="82" t="str">
        <x:f>IF(ISNUMBER('Transfer_Ratings'!K1148),'Transfer_Ratings'!K1148,"")</x:f>
      </x:c>
      <x:c r="E1148" s="86"/>
      <x:c r="F1148" s="86"/>
      <x:c r="G1148" s="86"/>
      <x:c r="H1148" s="86"/>
      <x:c r="I1148" s="86"/>
      <x:c r="J1148" s="82" t="str">
        <x:f>IF(C1148="","Choose position",IF(COUNT(E1148:I1148)&lt;5,"",IF(OR(MIN(E1148:I1148)&lt;0.1,MAX(E1148:I1148)&gt;10),"Invalid score",IF(INDEX('Position_Rubric'!$H$6:$H$14,M1148)&lt;&gt;1,"Check weights",ROUND(E1148*INDEX('Position_Rubric'!$C$6:$C$14,M1148)+F1148*INDEX('Position_Rubric'!$D$6:$D$14,M1148)+G1148*INDEX('Position_Rubric'!$E$6:$E$14,M1148)+H1148*INDEX('Position_Rubric'!$F$6:$F$14,M1148)+I1148*INDEX('Position_Rubric'!$G$6:$G$14,M1148),1)))))</x:f>
        <x:v>Choose position</x:v>
      </x:c>
      <x:c r="K1148" s="82" t="str">
        <x:f>IF(AND(ISNUMBER(J1148),ISNUMBER(D1148)),J1148-D1148,"")</x:f>
      </x:c>
      <x:c r="L1148" s="69" t="str">
        <x:f>IF(COUNT(E1148:I1148)&lt;5,"Needs component scores",IF(ISNUMBER(J1148),"Calculated",J1148))</x:f>
        <x:v>Needs component scores</x:v>
      </x:c>
      <x:c r="M1148" s="69" t="str">
        <x:f>IF(C1148="","",MATCH(C1148,'Position_Rubric'!$A$6:$A$14,0))</x:f>
      </x:c>
      <x:c r="N1148" s="69" t="str"/>
    </x:row>
    <x:row r="1149" ht="25" customHeight="1">
      <x:c r="A1149" s="69" t="str">
        <x:v>summer-S26-0599</x:v>
      </x:c>
      <x:c r="B1149" s="69" t="str">
        <x:v>José Gragera</x:v>
      </x:c>
      <x:c r="C1149" s="69"/>
      <x:c r="D1149" s="82" t="str">
        <x:f>IF(ISNUMBER('Transfer_Ratings'!K1149),'Transfer_Ratings'!K1149,"")</x:f>
      </x:c>
      <x:c r="E1149" s="86"/>
      <x:c r="F1149" s="86"/>
      <x:c r="G1149" s="86"/>
      <x:c r="H1149" s="86"/>
      <x:c r="I1149" s="86"/>
      <x:c r="J1149" s="82" t="str">
        <x:f>IF(C1149="","Choose position",IF(COUNT(E1149:I1149)&lt;5,"",IF(OR(MIN(E1149:I1149)&lt;0.1,MAX(E1149:I1149)&gt;10),"Invalid score",IF(INDEX('Position_Rubric'!$H$6:$H$14,M1149)&lt;&gt;1,"Check weights",ROUND(E1149*INDEX('Position_Rubric'!$C$6:$C$14,M1149)+F1149*INDEX('Position_Rubric'!$D$6:$D$14,M1149)+G1149*INDEX('Position_Rubric'!$E$6:$E$14,M1149)+H1149*INDEX('Position_Rubric'!$F$6:$F$14,M1149)+I1149*INDEX('Position_Rubric'!$G$6:$G$14,M1149),1)))))</x:f>
        <x:v>Choose position</x:v>
      </x:c>
      <x:c r="K1149" s="82" t="str">
        <x:f>IF(AND(ISNUMBER(J1149),ISNUMBER(D1149)),J1149-D1149,"")</x:f>
      </x:c>
      <x:c r="L1149" s="69" t="str">
        <x:f>IF(COUNT(E1149:I1149)&lt;5,"Needs component scores",IF(ISNUMBER(J1149),"Calculated",J1149))</x:f>
        <x:v>Needs component scores</x:v>
      </x:c>
      <x:c r="M1149" s="69" t="str">
        <x:f>IF(C1149="","",MATCH(C1149,'Position_Rubric'!$A$6:$A$14,0))</x:f>
      </x:c>
      <x:c r="N1149" s="69" t="str"/>
    </x:row>
    <x:row r="1150" ht="25" customHeight="1">
      <x:c r="A1150" s="69" t="str">
        <x:v>summer-S26-0601</x:v>
      </x:c>
      <x:c r="B1150" s="69" t="str">
        <x:v>Jusuf Gazibegovic</x:v>
      </x:c>
      <x:c r="C1150" s="69"/>
      <x:c r="D1150" s="82" t="str">
        <x:f>IF(ISNUMBER('Transfer_Ratings'!K1150),'Transfer_Ratings'!K1150,"")</x:f>
      </x:c>
      <x:c r="E1150" s="86"/>
      <x:c r="F1150" s="86"/>
      <x:c r="G1150" s="86"/>
      <x:c r="H1150" s="86"/>
      <x:c r="I1150" s="86"/>
      <x:c r="J1150" s="82" t="str">
        <x:f>IF(C1150="","Choose position",IF(COUNT(E1150:I1150)&lt;5,"",IF(OR(MIN(E1150:I1150)&lt;0.1,MAX(E1150:I1150)&gt;10),"Invalid score",IF(INDEX('Position_Rubric'!$H$6:$H$14,M1150)&lt;&gt;1,"Check weights",ROUND(E1150*INDEX('Position_Rubric'!$C$6:$C$14,M1150)+F1150*INDEX('Position_Rubric'!$D$6:$D$14,M1150)+G1150*INDEX('Position_Rubric'!$E$6:$E$14,M1150)+H1150*INDEX('Position_Rubric'!$F$6:$F$14,M1150)+I1150*INDEX('Position_Rubric'!$G$6:$G$14,M1150),1)))))</x:f>
        <x:v>Choose position</x:v>
      </x:c>
      <x:c r="K1150" s="82" t="str">
        <x:f>IF(AND(ISNUMBER(J1150),ISNUMBER(D1150)),J1150-D1150,"")</x:f>
      </x:c>
      <x:c r="L1150" s="69" t="str">
        <x:f>IF(COUNT(E1150:I1150)&lt;5,"Needs component scores",IF(ISNUMBER(J1150),"Calculated",J1150))</x:f>
        <x:v>Needs component scores</x:v>
      </x:c>
      <x:c r="M1150" s="69" t="str">
        <x:f>IF(C1150="","",MATCH(C1150,'Position_Rubric'!$A$6:$A$14,0))</x:f>
      </x:c>
      <x:c r="N1150" s="69" t="str"/>
    </x:row>
    <x:row r="1151" ht="25" customHeight="1">
      <x:c r="A1151" s="69" t="str">
        <x:v>summer-S26-0602</x:v>
      </x:c>
      <x:c r="B1151" s="69" t="str">
        <x:v>José Salinas</x:v>
      </x:c>
      <x:c r="C1151" s="69"/>
      <x:c r="D1151" s="82" t="str">
        <x:f>IF(ISNUMBER('Transfer_Ratings'!K1151),'Transfer_Ratings'!K1151,"")</x:f>
      </x:c>
      <x:c r="E1151" s="86"/>
      <x:c r="F1151" s="86"/>
      <x:c r="G1151" s="86"/>
      <x:c r="H1151" s="86"/>
      <x:c r="I1151" s="86"/>
      <x:c r="J1151" s="82" t="str">
        <x:f>IF(C1151="","Choose position",IF(COUNT(E1151:I1151)&lt;5,"",IF(OR(MIN(E1151:I1151)&lt;0.1,MAX(E1151:I1151)&gt;10),"Invalid score",IF(INDEX('Position_Rubric'!$H$6:$H$14,M1151)&lt;&gt;1,"Check weights",ROUND(E1151*INDEX('Position_Rubric'!$C$6:$C$14,M1151)+F1151*INDEX('Position_Rubric'!$D$6:$D$14,M1151)+G1151*INDEX('Position_Rubric'!$E$6:$E$14,M1151)+H1151*INDEX('Position_Rubric'!$F$6:$F$14,M1151)+I1151*INDEX('Position_Rubric'!$G$6:$G$14,M1151),1)))))</x:f>
        <x:v>Choose position</x:v>
      </x:c>
      <x:c r="K1151" s="82" t="str">
        <x:f>IF(AND(ISNUMBER(J1151),ISNUMBER(D1151)),J1151-D1151,"")</x:f>
      </x:c>
      <x:c r="L1151" s="69" t="str">
        <x:f>IF(COUNT(E1151:I1151)&lt;5,"Needs component scores",IF(ISNUMBER(J1151),"Calculated",J1151))</x:f>
        <x:v>Needs component scores</x:v>
      </x:c>
      <x:c r="M1151" s="69" t="str">
        <x:f>IF(C1151="","",MATCH(C1151,'Position_Rubric'!$A$6:$A$14,0))</x:f>
      </x:c>
      <x:c r="N1151" s="69" t="str"/>
    </x:row>
    <x:row r="1152" ht="25" customHeight="1">
      <x:c r="A1152" s="69" t="str">
        <x:v>summer-S26-0606</x:v>
      </x:c>
      <x:c r="B1152" s="69" t="str">
        <x:v>Luca Erlein</x:v>
      </x:c>
      <x:c r="C1152" s="69"/>
      <x:c r="D1152" s="82" t="str">
        <x:f>IF(ISNUMBER('Transfer_Ratings'!K1152),'Transfer_Ratings'!K1152,"")</x:f>
      </x:c>
      <x:c r="E1152" s="86"/>
      <x:c r="F1152" s="86"/>
      <x:c r="G1152" s="86"/>
      <x:c r="H1152" s="86"/>
      <x:c r="I1152" s="86"/>
      <x:c r="J1152" s="82" t="str">
        <x:f>IF(C1152="","Choose position",IF(COUNT(E1152:I1152)&lt;5,"",IF(OR(MIN(E1152:I1152)&lt;0.1,MAX(E1152:I1152)&gt;10),"Invalid score",IF(INDEX('Position_Rubric'!$H$6:$H$14,M1152)&lt;&gt;1,"Check weights",ROUND(E1152*INDEX('Position_Rubric'!$C$6:$C$14,M1152)+F1152*INDEX('Position_Rubric'!$D$6:$D$14,M1152)+G1152*INDEX('Position_Rubric'!$E$6:$E$14,M1152)+H1152*INDEX('Position_Rubric'!$F$6:$F$14,M1152)+I1152*INDEX('Position_Rubric'!$G$6:$G$14,M1152),1)))))</x:f>
        <x:v>Choose position</x:v>
      </x:c>
      <x:c r="K1152" s="82" t="str">
        <x:f>IF(AND(ISNUMBER(J1152),ISNUMBER(D1152)),J1152-D1152,"")</x:f>
      </x:c>
      <x:c r="L1152" s="69" t="str">
        <x:f>IF(COUNT(E1152:I1152)&lt;5,"Needs component scores",IF(ISNUMBER(J1152),"Calculated",J1152))</x:f>
        <x:v>Needs component scores</x:v>
      </x:c>
      <x:c r="M1152" s="69" t="str">
        <x:f>IF(C1152="","",MATCH(C1152,'Position_Rubric'!$A$6:$A$14,0))</x:f>
      </x:c>
      <x:c r="N1152" s="69" t="str"/>
    </x:row>
    <x:row r="1153" ht="25" customHeight="1">
      <x:c r="A1153" s="69" t="str">
        <x:v>summer-S26-0608</x:v>
      </x:c>
      <x:c r="B1153" s="69" t="str">
        <x:v>Tommaso Vannucchi</x:v>
      </x:c>
      <x:c r="C1153" s="69" t="str">
        <x:v>GK</x:v>
      </x:c>
      <x:c r="D1153" s="82" t="str">
        <x:f>IF(ISNUMBER('Transfer_Ratings'!K1153),'Transfer_Ratings'!K1153,"")</x:f>
      </x:c>
      <x:c r="E1153" s="86"/>
      <x:c r="F1153" s="86"/>
      <x:c r="G1153" s="86"/>
      <x:c r="H1153" s="86"/>
      <x:c r="I1153" s="86"/>
      <x:c r="J1153" s="82" t="str">
        <x:f>IF(C1153="","Choose position",IF(COUNT(E1153:I1153)&lt;5,"",IF(OR(MIN(E1153:I1153)&lt;0.1,MAX(E1153:I1153)&gt;10),"Invalid score",IF(INDEX('Position_Rubric'!$H$6:$H$14,M1153)&lt;&gt;1,"Check weights",ROUND(E1153*INDEX('Position_Rubric'!$C$6:$C$14,M1153)+F1153*INDEX('Position_Rubric'!$D$6:$D$14,M1153)+G1153*INDEX('Position_Rubric'!$E$6:$E$14,M1153)+H1153*INDEX('Position_Rubric'!$F$6:$F$14,M1153)+I1153*INDEX('Position_Rubric'!$G$6:$G$14,M1153),1)))))</x:f>
      </x:c>
      <x:c r="K1153" s="82" t="str">
        <x:f>IF(AND(ISNUMBER(J1153),ISNUMBER(D1153)),J1153-D1153,"")</x:f>
      </x:c>
      <x:c r="L1153" s="69" t="str">
        <x:f>IF(COUNT(E1153:I1153)&lt;5,"Needs component scores",IF(ISNUMBER(J1153),"Calculated",J1153))</x:f>
        <x:v>Needs component scores</x:v>
      </x:c>
      <x:c r="M1153" s="69" t="n">
        <x:f>IF(C1153="","",MATCH(C1153,'Position_Rubric'!$A$6:$A$14,0))</x:f>
        <x:v>9</x:v>
      </x:c>
      <x:c r="N1153" s="69" t="str"/>
    </x:row>
    <x:row r="1154" ht="25" customHeight="1">
      <x:c r="A1154" s="69" t="str">
        <x:v>summer-S26-0610</x:v>
      </x:c>
      <x:c r="B1154" s="69" t="str">
        <x:v>Kjell Scherpen</x:v>
      </x:c>
      <x:c r="C1154" s="69" t="str">
        <x:v>GK</x:v>
      </x:c>
      <x:c r="D1154" s="82" t="str">
        <x:f>IF(ISNUMBER('Transfer_Ratings'!K1154),'Transfer_Ratings'!K1154,"")</x:f>
      </x:c>
      <x:c r="E1154" s="86"/>
      <x:c r="F1154" s="86"/>
      <x:c r="G1154" s="86"/>
      <x:c r="H1154" s="86"/>
      <x:c r="I1154" s="86"/>
      <x:c r="J1154" s="82" t="str">
        <x:f>IF(C1154="","Choose position",IF(COUNT(E1154:I1154)&lt;5,"",IF(OR(MIN(E1154:I1154)&lt;0.1,MAX(E1154:I1154)&gt;10),"Invalid score",IF(INDEX('Position_Rubric'!$H$6:$H$14,M1154)&lt;&gt;1,"Check weights",ROUND(E1154*INDEX('Position_Rubric'!$C$6:$C$14,M1154)+F1154*INDEX('Position_Rubric'!$D$6:$D$14,M1154)+G1154*INDEX('Position_Rubric'!$E$6:$E$14,M1154)+H1154*INDEX('Position_Rubric'!$F$6:$F$14,M1154)+I1154*INDEX('Position_Rubric'!$G$6:$G$14,M1154),1)))))</x:f>
      </x:c>
      <x:c r="K1154" s="82" t="str">
        <x:f>IF(AND(ISNUMBER(J1154),ISNUMBER(D1154)),J1154-D1154,"")</x:f>
      </x:c>
      <x:c r="L1154" s="69" t="str">
        <x:f>IF(COUNT(E1154:I1154)&lt;5,"Needs component scores",IF(ISNUMBER(J1154),"Calculated",J1154))</x:f>
        <x:v>Needs component scores</x:v>
      </x:c>
      <x:c r="M1154" s="69" t="n">
        <x:f>IF(C1154="","",MATCH(C1154,'Position_Rubric'!$A$6:$A$14,0))</x:f>
        <x:v>9</x:v>
      </x:c>
      <x:c r="N1154" s="69" t="str"/>
    </x:row>
    <x:row r="1155" ht="25" customHeight="1">
      <x:c r="A1155" s="69" t="str">
        <x:v>summer-S26-0611</x:v>
      </x:c>
      <x:c r="B1155" s="69" t="str">
        <x:v>Otávio</x:v>
      </x:c>
      <x:c r="C1155" s="69"/>
      <x:c r="D1155" s="82" t="str">
        <x:f>IF(ISNUMBER('Transfer_Ratings'!K1155),'Transfer_Ratings'!K1155,"")</x:f>
      </x:c>
      <x:c r="E1155" s="86"/>
      <x:c r="F1155" s="86"/>
      <x:c r="G1155" s="86"/>
      <x:c r="H1155" s="86"/>
      <x:c r="I1155" s="86"/>
      <x:c r="J1155" s="82" t="str">
        <x:f>IF(C1155="","Choose position",IF(COUNT(E1155:I1155)&lt;5,"",IF(OR(MIN(E1155:I1155)&lt;0.1,MAX(E1155:I1155)&gt;10),"Invalid score",IF(INDEX('Position_Rubric'!$H$6:$H$14,M1155)&lt;&gt;1,"Check weights",ROUND(E1155*INDEX('Position_Rubric'!$C$6:$C$14,M1155)+F1155*INDEX('Position_Rubric'!$D$6:$D$14,M1155)+G1155*INDEX('Position_Rubric'!$E$6:$E$14,M1155)+H1155*INDEX('Position_Rubric'!$F$6:$F$14,M1155)+I1155*INDEX('Position_Rubric'!$G$6:$G$14,M1155),1)))))</x:f>
        <x:v>Choose position</x:v>
      </x:c>
      <x:c r="K1155" s="82" t="str">
        <x:f>IF(AND(ISNUMBER(J1155),ISNUMBER(D1155)),J1155-D1155,"")</x:f>
      </x:c>
      <x:c r="L1155" s="69" t="str">
        <x:f>IF(COUNT(E1155:I1155)&lt;5,"Needs component scores",IF(ISNUMBER(J1155),"Calculated",J1155))</x:f>
        <x:v>Needs component scores</x:v>
      </x:c>
      <x:c r="M1155" s="69" t="str">
        <x:f>IF(C1155="","",MATCH(C1155,'Position_Rubric'!$A$6:$A$14,0))</x:f>
      </x:c>
      <x:c r="N1155" s="69" t="str"/>
    </x:row>
    <x:row r="1156" ht="25" customHeight="1">
      <x:c r="A1156" s="69" t="str">
        <x:v>summer-S26-0612</x:v>
      </x:c>
      <x:c r="B1156" s="69" t="str">
        <x:v>Joe Gauci</x:v>
      </x:c>
      <x:c r="C1156" s="69" t="str">
        <x:v>GK</x:v>
      </x:c>
      <x:c r="D1156" s="82" t="str">
        <x:f>IF(ISNUMBER('Transfer_Ratings'!K1156),'Transfer_Ratings'!K1156,"")</x:f>
      </x:c>
      <x:c r="E1156" s="86"/>
      <x:c r="F1156" s="86"/>
      <x:c r="G1156" s="86"/>
      <x:c r="H1156" s="86"/>
      <x:c r="I1156" s="86"/>
      <x:c r="J1156" s="82" t="str">
        <x:f>IF(C1156="","Choose position",IF(COUNT(E1156:I1156)&lt;5,"",IF(OR(MIN(E1156:I1156)&lt;0.1,MAX(E1156:I1156)&gt;10),"Invalid score",IF(INDEX('Position_Rubric'!$H$6:$H$14,M1156)&lt;&gt;1,"Check weights",ROUND(E1156*INDEX('Position_Rubric'!$C$6:$C$14,M1156)+F1156*INDEX('Position_Rubric'!$D$6:$D$14,M1156)+G1156*INDEX('Position_Rubric'!$E$6:$E$14,M1156)+H1156*INDEX('Position_Rubric'!$F$6:$F$14,M1156)+I1156*INDEX('Position_Rubric'!$G$6:$G$14,M1156),1)))))</x:f>
      </x:c>
      <x:c r="K1156" s="82" t="str">
        <x:f>IF(AND(ISNUMBER(J1156),ISNUMBER(D1156)),J1156-D1156,"")</x:f>
      </x:c>
      <x:c r="L1156" s="69" t="str">
        <x:f>IF(COUNT(E1156:I1156)&lt;5,"Needs component scores",IF(ISNUMBER(J1156),"Calculated",J1156))</x:f>
        <x:v>Needs component scores</x:v>
      </x:c>
      <x:c r="M1156" s="69" t="n">
        <x:f>IF(C1156="","",MATCH(C1156,'Position_Rubric'!$A$6:$A$14,0))</x:f>
        <x:v>9</x:v>
      </x:c>
      <x:c r="N1156" s="69" t="str"/>
    </x:row>
    <x:row r="1157" ht="25" customHeight="1">
      <x:c r="A1157" s="69" t="str">
        <x:v>summer-S26-0614</x:v>
      </x:c>
      <x:c r="B1157" s="69" t="str">
        <x:v>Ugo Raghouber</x:v>
      </x:c>
      <x:c r="C1157" s="69"/>
      <x:c r="D1157" s="82" t="str">
        <x:f>IF(ISNUMBER('Transfer_Ratings'!K1157),'Transfer_Ratings'!K1157,"")</x:f>
      </x:c>
      <x:c r="E1157" s="86"/>
      <x:c r="F1157" s="86"/>
      <x:c r="G1157" s="86"/>
      <x:c r="H1157" s="86"/>
      <x:c r="I1157" s="86"/>
      <x:c r="J1157" s="82" t="str">
        <x:f>IF(C1157="","Choose position",IF(COUNT(E1157:I1157)&lt;5,"",IF(OR(MIN(E1157:I1157)&lt;0.1,MAX(E1157:I1157)&gt;10),"Invalid score",IF(INDEX('Position_Rubric'!$H$6:$H$14,M1157)&lt;&gt;1,"Check weights",ROUND(E1157*INDEX('Position_Rubric'!$C$6:$C$14,M1157)+F1157*INDEX('Position_Rubric'!$D$6:$D$14,M1157)+G1157*INDEX('Position_Rubric'!$E$6:$E$14,M1157)+H1157*INDEX('Position_Rubric'!$F$6:$F$14,M1157)+I1157*INDEX('Position_Rubric'!$G$6:$G$14,M1157),1)))))</x:f>
        <x:v>Choose position</x:v>
      </x:c>
      <x:c r="K1157" s="82" t="str">
        <x:f>IF(AND(ISNUMBER(J1157),ISNUMBER(D1157)),J1157-D1157,"")</x:f>
      </x:c>
      <x:c r="L1157" s="69" t="str">
        <x:f>IF(COUNT(E1157:I1157)&lt;5,"Needs component scores",IF(ISNUMBER(J1157),"Calculated",J1157))</x:f>
        <x:v>Needs component scores</x:v>
      </x:c>
      <x:c r="M1157" s="69" t="str">
        <x:f>IF(C1157="","",MATCH(C1157,'Position_Rubric'!$A$6:$A$14,0))</x:f>
      </x:c>
      <x:c r="N1157" s="69" t="str"/>
    </x:row>
    <x:row r="1158" ht="25" customHeight="1">
      <x:c r="A1158" s="69" t="str">
        <x:v>summer-S26-0618</x:v>
      </x:c>
      <x:c r="B1158" s="69" t="str">
        <x:v>Lorenzo Villa</x:v>
      </x:c>
      <x:c r="C1158" s="69"/>
      <x:c r="D1158" s="82" t="str">
        <x:f>IF(ISNUMBER('Transfer_Ratings'!K1158),'Transfer_Ratings'!K1158,"")</x:f>
      </x:c>
      <x:c r="E1158" s="86"/>
      <x:c r="F1158" s="86"/>
      <x:c r="G1158" s="86"/>
      <x:c r="H1158" s="86"/>
      <x:c r="I1158" s="86"/>
      <x:c r="J1158" s="82" t="str">
        <x:f>IF(C1158="","Choose position",IF(COUNT(E1158:I1158)&lt;5,"",IF(OR(MIN(E1158:I1158)&lt;0.1,MAX(E1158:I1158)&gt;10),"Invalid score",IF(INDEX('Position_Rubric'!$H$6:$H$14,M1158)&lt;&gt;1,"Check weights",ROUND(E1158*INDEX('Position_Rubric'!$C$6:$C$14,M1158)+F1158*INDEX('Position_Rubric'!$D$6:$D$14,M1158)+G1158*INDEX('Position_Rubric'!$E$6:$E$14,M1158)+H1158*INDEX('Position_Rubric'!$F$6:$F$14,M1158)+I1158*INDEX('Position_Rubric'!$G$6:$G$14,M1158),1)))))</x:f>
        <x:v>Choose position</x:v>
      </x:c>
      <x:c r="K1158" s="82" t="str">
        <x:f>IF(AND(ISNUMBER(J1158),ISNUMBER(D1158)),J1158-D1158,"")</x:f>
      </x:c>
      <x:c r="L1158" s="69" t="str">
        <x:f>IF(COUNT(E1158:I1158)&lt;5,"Needs component scores",IF(ISNUMBER(J1158),"Calculated",J1158))</x:f>
        <x:v>Needs component scores</x:v>
      </x:c>
      <x:c r="M1158" s="69" t="str">
        <x:f>IF(C1158="","",MATCH(C1158,'Position_Rubric'!$A$6:$A$14,0))</x:f>
      </x:c>
      <x:c r="N1158" s="69" t="str"/>
    </x:row>
    <x:row r="1159" ht="25" customHeight="1">
      <x:c r="A1159" s="69" t="str">
        <x:v>summer-S26-0619</x:v>
      </x:c>
      <x:c r="B1159" s="69" t="str">
        <x:v>Rares Ilie</x:v>
      </x:c>
      <x:c r="C1159" s="69"/>
      <x:c r="D1159" s="82" t="str">
        <x:f>IF(ISNUMBER('Transfer_Ratings'!K1159),'Transfer_Ratings'!K1159,"")</x:f>
      </x:c>
      <x:c r="E1159" s="86"/>
      <x:c r="F1159" s="86"/>
      <x:c r="G1159" s="86"/>
      <x:c r="H1159" s="86"/>
      <x:c r="I1159" s="86"/>
      <x:c r="J1159" s="82" t="str">
        <x:f>IF(C1159="","Choose position",IF(COUNT(E1159:I1159)&lt;5,"",IF(OR(MIN(E1159:I1159)&lt;0.1,MAX(E1159:I1159)&gt;10),"Invalid score",IF(INDEX('Position_Rubric'!$H$6:$H$14,M1159)&lt;&gt;1,"Check weights",ROUND(E1159*INDEX('Position_Rubric'!$C$6:$C$14,M1159)+F1159*INDEX('Position_Rubric'!$D$6:$D$14,M1159)+G1159*INDEX('Position_Rubric'!$E$6:$E$14,M1159)+H1159*INDEX('Position_Rubric'!$F$6:$F$14,M1159)+I1159*INDEX('Position_Rubric'!$G$6:$G$14,M1159),1)))))</x:f>
        <x:v>Choose position</x:v>
      </x:c>
      <x:c r="K1159" s="82" t="str">
        <x:f>IF(AND(ISNUMBER(J1159),ISNUMBER(D1159)),J1159-D1159,"")</x:f>
      </x:c>
      <x:c r="L1159" s="69" t="str">
        <x:f>IF(COUNT(E1159:I1159)&lt;5,"Needs component scores",IF(ISNUMBER(J1159),"Calculated",J1159))</x:f>
        <x:v>Needs component scores</x:v>
      </x:c>
      <x:c r="M1159" s="69" t="str">
        <x:f>IF(C1159="","",MATCH(C1159,'Position_Rubric'!$A$6:$A$14,0))</x:f>
      </x:c>
      <x:c r="N1159" s="69" t="str"/>
    </x:row>
    <x:row r="1160" ht="25" customHeight="1">
      <x:c r="A1160" s="69" t="str">
        <x:v>summer-S26-0620</x:v>
      </x:c>
      <x:c r="B1160" s="69" t="str">
        <x:v>Harvey Cartwright</x:v>
      </x:c>
      <x:c r="C1160" s="69" t="str">
        <x:v>GK</x:v>
      </x:c>
      <x:c r="D1160" s="82" t="str">
        <x:f>IF(ISNUMBER('Transfer_Ratings'!K1160),'Transfer_Ratings'!K1160,"")</x:f>
      </x:c>
      <x:c r="E1160" s="86"/>
      <x:c r="F1160" s="86"/>
      <x:c r="G1160" s="86"/>
      <x:c r="H1160" s="86"/>
      <x:c r="I1160" s="86"/>
      <x:c r="J1160" s="82" t="str">
        <x:f>IF(C1160="","Choose position",IF(COUNT(E1160:I1160)&lt;5,"",IF(OR(MIN(E1160:I1160)&lt;0.1,MAX(E1160:I1160)&gt;10),"Invalid score",IF(INDEX('Position_Rubric'!$H$6:$H$14,M1160)&lt;&gt;1,"Check weights",ROUND(E1160*INDEX('Position_Rubric'!$C$6:$C$14,M1160)+F1160*INDEX('Position_Rubric'!$D$6:$D$14,M1160)+G1160*INDEX('Position_Rubric'!$E$6:$E$14,M1160)+H1160*INDEX('Position_Rubric'!$F$6:$F$14,M1160)+I1160*INDEX('Position_Rubric'!$G$6:$G$14,M1160),1)))))</x:f>
      </x:c>
      <x:c r="K1160" s="82" t="str">
        <x:f>IF(AND(ISNUMBER(J1160),ISNUMBER(D1160)),J1160-D1160,"")</x:f>
      </x:c>
      <x:c r="L1160" s="69" t="str">
        <x:f>IF(COUNT(E1160:I1160)&lt;5,"Needs component scores",IF(ISNUMBER(J1160),"Calculated",J1160))</x:f>
        <x:v>Needs component scores</x:v>
      </x:c>
      <x:c r="M1160" s="69" t="n">
        <x:f>IF(C1160="","",MATCH(C1160,'Position_Rubric'!$A$6:$A$14,0))</x:f>
        <x:v>9</x:v>
      </x:c>
      <x:c r="N1160" s="69" t="str"/>
    </x:row>
    <x:row r="1161" ht="25" customHeight="1">
      <x:c r="A1161" s="69" t="str">
        <x:v>summer-S26-0621</x:v>
      </x:c>
      <x:c r="B1161" s="69" t="str">
        <x:v>Julio Díaz</x:v>
      </x:c>
      <x:c r="C1161" s="69"/>
      <x:c r="D1161" s="82" t="str">
        <x:f>IF(ISNUMBER('Transfer_Ratings'!K1161),'Transfer_Ratings'!K1161,"")</x:f>
      </x:c>
      <x:c r="E1161" s="86"/>
      <x:c r="F1161" s="86"/>
      <x:c r="G1161" s="86"/>
      <x:c r="H1161" s="86"/>
      <x:c r="I1161" s="86"/>
      <x:c r="J1161" s="82" t="str">
        <x:f>IF(C1161="","Choose position",IF(COUNT(E1161:I1161)&lt;5,"",IF(OR(MIN(E1161:I1161)&lt;0.1,MAX(E1161:I1161)&gt;10),"Invalid score",IF(INDEX('Position_Rubric'!$H$6:$H$14,M1161)&lt;&gt;1,"Check weights",ROUND(E1161*INDEX('Position_Rubric'!$C$6:$C$14,M1161)+F1161*INDEX('Position_Rubric'!$D$6:$D$14,M1161)+G1161*INDEX('Position_Rubric'!$E$6:$E$14,M1161)+H1161*INDEX('Position_Rubric'!$F$6:$F$14,M1161)+I1161*INDEX('Position_Rubric'!$G$6:$G$14,M1161),1)))))</x:f>
        <x:v>Choose position</x:v>
      </x:c>
      <x:c r="K1161" s="82" t="str">
        <x:f>IF(AND(ISNUMBER(J1161),ISNUMBER(D1161)),J1161-D1161,"")</x:f>
      </x:c>
      <x:c r="L1161" s="69" t="str">
        <x:f>IF(COUNT(E1161:I1161)&lt;5,"Needs component scores",IF(ISNUMBER(J1161),"Calculated",J1161))</x:f>
        <x:v>Needs component scores</x:v>
      </x:c>
      <x:c r="M1161" s="69" t="str">
        <x:f>IF(C1161="","",MATCH(C1161,'Position_Rubric'!$A$6:$A$14,0))</x:f>
      </x:c>
      <x:c r="N1161" s="69" t="str"/>
    </x:row>
    <x:row r="1162" ht="25" customHeight="1">
      <x:c r="A1162" s="69" t="str">
        <x:v>summer-S26-0623</x:v>
      </x:c>
      <x:c r="B1162" s="69" t="str">
        <x:v>Hugo Solozábal</x:v>
      </x:c>
      <x:c r="C1162" s="69"/>
      <x:c r="D1162" s="82" t="str">
        <x:f>IF(ISNUMBER('Transfer_Ratings'!K1162),'Transfer_Ratings'!K1162,"")</x:f>
      </x:c>
      <x:c r="E1162" s="86"/>
      <x:c r="F1162" s="86"/>
      <x:c r="G1162" s="86"/>
      <x:c r="H1162" s="86"/>
      <x:c r="I1162" s="86"/>
      <x:c r="J1162" s="82" t="str">
        <x:f>IF(C1162="","Choose position",IF(COUNT(E1162:I1162)&lt;5,"",IF(OR(MIN(E1162:I1162)&lt;0.1,MAX(E1162:I1162)&gt;10),"Invalid score",IF(INDEX('Position_Rubric'!$H$6:$H$14,M1162)&lt;&gt;1,"Check weights",ROUND(E1162*INDEX('Position_Rubric'!$C$6:$C$14,M1162)+F1162*INDEX('Position_Rubric'!$D$6:$D$14,M1162)+G1162*INDEX('Position_Rubric'!$E$6:$E$14,M1162)+H1162*INDEX('Position_Rubric'!$F$6:$F$14,M1162)+I1162*INDEX('Position_Rubric'!$G$6:$G$14,M1162),1)))))</x:f>
        <x:v>Choose position</x:v>
      </x:c>
      <x:c r="K1162" s="82" t="str">
        <x:f>IF(AND(ISNUMBER(J1162),ISNUMBER(D1162)),J1162-D1162,"")</x:f>
      </x:c>
      <x:c r="L1162" s="69" t="str">
        <x:f>IF(COUNT(E1162:I1162)&lt;5,"Needs component scores",IF(ISNUMBER(J1162),"Calculated",J1162))</x:f>
        <x:v>Needs component scores</x:v>
      </x:c>
      <x:c r="M1162" s="69" t="str">
        <x:f>IF(C1162="","",MATCH(C1162,'Position_Rubric'!$A$6:$A$14,0))</x:f>
      </x:c>
      <x:c r="N1162" s="69" t="str"/>
    </x:row>
    <x:row r="1163" ht="25" customHeight="1">
      <x:c r="A1163" s="69" t="str">
        <x:v>summer-S26-0624</x:v>
      </x:c>
      <x:c r="B1163" s="69" t="str">
        <x:v>Darling Bladi</x:v>
      </x:c>
      <x:c r="C1163" s="69"/>
      <x:c r="D1163" s="82" t="str">
        <x:f>IF(ISNUMBER('Transfer_Ratings'!K1163),'Transfer_Ratings'!K1163,"")</x:f>
      </x:c>
      <x:c r="E1163" s="86"/>
      <x:c r="F1163" s="86"/>
      <x:c r="G1163" s="86"/>
      <x:c r="H1163" s="86"/>
      <x:c r="I1163" s="86"/>
      <x:c r="J1163" s="82" t="str">
        <x:f>IF(C1163="","Choose position",IF(COUNT(E1163:I1163)&lt;5,"",IF(OR(MIN(E1163:I1163)&lt;0.1,MAX(E1163:I1163)&gt;10),"Invalid score",IF(INDEX('Position_Rubric'!$H$6:$H$14,M1163)&lt;&gt;1,"Check weights",ROUND(E1163*INDEX('Position_Rubric'!$C$6:$C$14,M1163)+F1163*INDEX('Position_Rubric'!$D$6:$D$14,M1163)+G1163*INDEX('Position_Rubric'!$E$6:$E$14,M1163)+H1163*INDEX('Position_Rubric'!$F$6:$F$14,M1163)+I1163*INDEX('Position_Rubric'!$G$6:$G$14,M1163),1)))))</x:f>
        <x:v>Choose position</x:v>
      </x:c>
      <x:c r="K1163" s="82" t="str">
        <x:f>IF(AND(ISNUMBER(J1163),ISNUMBER(D1163)),J1163-D1163,"")</x:f>
      </x:c>
      <x:c r="L1163" s="69" t="str">
        <x:f>IF(COUNT(E1163:I1163)&lt;5,"Needs component scores",IF(ISNUMBER(J1163),"Calculated",J1163))</x:f>
        <x:v>Needs component scores</x:v>
      </x:c>
      <x:c r="M1163" s="69" t="str">
        <x:f>IF(C1163="","",MATCH(C1163,'Position_Rubric'!$A$6:$A$14,0))</x:f>
      </x:c>
      <x:c r="N1163" s="69" t="str"/>
    </x:row>
    <x:row r="1164" ht="25" customHeight="1">
      <x:c r="A1164" s="69" t="str">
        <x:v>summer-S26-0626</x:v>
      </x:c>
      <x:c r="B1164" s="69" t="str">
        <x:v>Jon de Luis</x:v>
      </x:c>
      <x:c r="C1164" s="69"/>
      <x:c r="D1164" s="82" t="str">
        <x:f>IF(ISNUMBER('Transfer_Ratings'!K1164),'Transfer_Ratings'!K1164,"")</x:f>
      </x:c>
      <x:c r="E1164" s="86"/>
      <x:c r="F1164" s="86"/>
      <x:c r="G1164" s="86"/>
      <x:c r="H1164" s="86"/>
      <x:c r="I1164" s="86"/>
      <x:c r="J1164" s="82" t="str">
        <x:f>IF(C1164="","Choose position",IF(COUNT(E1164:I1164)&lt;5,"",IF(OR(MIN(E1164:I1164)&lt;0.1,MAX(E1164:I1164)&gt;10),"Invalid score",IF(INDEX('Position_Rubric'!$H$6:$H$14,M1164)&lt;&gt;1,"Check weights",ROUND(E1164*INDEX('Position_Rubric'!$C$6:$C$14,M1164)+F1164*INDEX('Position_Rubric'!$D$6:$D$14,M1164)+G1164*INDEX('Position_Rubric'!$E$6:$E$14,M1164)+H1164*INDEX('Position_Rubric'!$F$6:$F$14,M1164)+I1164*INDEX('Position_Rubric'!$G$6:$G$14,M1164),1)))))</x:f>
        <x:v>Choose position</x:v>
      </x:c>
      <x:c r="K1164" s="82" t="str">
        <x:f>IF(AND(ISNUMBER(J1164),ISNUMBER(D1164)),J1164-D1164,"")</x:f>
      </x:c>
      <x:c r="L1164" s="69" t="str">
        <x:f>IF(COUNT(E1164:I1164)&lt;5,"Needs component scores",IF(ISNUMBER(J1164),"Calculated",J1164))</x:f>
        <x:v>Needs component scores</x:v>
      </x:c>
      <x:c r="M1164" s="69" t="str">
        <x:f>IF(C1164="","",MATCH(C1164,'Position_Rubric'!$A$6:$A$14,0))</x:f>
      </x:c>
      <x:c r="N1164" s="69" t="str"/>
    </x:row>
    <x:row r="1165" ht="25" customHeight="1">
      <x:c r="A1165" s="69" t="str">
        <x:v>summer-S26-0627</x:v>
      </x:c>
      <x:c r="B1165" s="69" t="str">
        <x:v>Jokin Ezkieta</x:v>
      </x:c>
      <x:c r="C1165" s="69" t="str">
        <x:v>GK</x:v>
      </x:c>
      <x:c r="D1165" s="82" t="str">
        <x:f>IF(ISNUMBER('Transfer_Ratings'!K1165),'Transfer_Ratings'!K1165,"")</x:f>
      </x:c>
      <x:c r="E1165" s="86"/>
      <x:c r="F1165" s="86"/>
      <x:c r="G1165" s="86"/>
      <x:c r="H1165" s="86"/>
      <x:c r="I1165" s="86"/>
      <x:c r="J1165" s="82" t="str">
        <x:f>IF(C1165="","Choose position",IF(COUNT(E1165:I1165)&lt;5,"",IF(OR(MIN(E1165:I1165)&lt;0.1,MAX(E1165:I1165)&gt;10),"Invalid score",IF(INDEX('Position_Rubric'!$H$6:$H$14,M1165)&lt;&gt;1,"Check weights",ROUND(E1165*INDEX('Position_Rubric'!$C$6:$C$14,M1165)+F1165*INDEX('Position_Rubric'!$D$6:$D$14,M1165)+G1165*INDEX('Position_Rubric'!$E$6:$E$14,M1165)+H1165*INDEX('Position_Rubric'!$F$6:$F$14,M1165)+I1165*INDEX('Position_Rubric'!$G$6:$G$14,M1165),1)))))</x:f>
      </x:c>
      <x:c r="K1165" s="82" t="str">
        <x:f>IF(AND(ISNUMBER(J1165),ISNUMBER(D1165)),J1165-D1165,"")</x:f>
      </x:c>
      <x:c r="L1165" s="69" t="str">
        <x:f>IF(COUNT(E1165:I1165)&lt;5,"Needs component scores",IF(ISNUMBER(J1165),"Calculated",J1165))</x:f>
        <x:v>Needs component scores</x:v>
      </x:c>
      <x:c r="M1165" s="69" t="n">
        <x:f>IF(C1165="","",MATCH(C1165,'Position_Rubric'!$A$6:$A$14,0))</x:f>
        <x:v>9</x:v>
      </x:c>
      <x:c r="N1165" s="69" t="str"/>
    </x:row>
    <x:row r="1166" ht="25" customHeight="1">
      <x:c r="A1166" s="69" t="str">
        <x:v>summer-S26-0628</x:v>
      </x:c>
      <x:c r="B1166" s="69" t="str">
        <x:v>Damián Cáceres</x:v>
      </x:c>
      <x:c r="C1166" s="69"/>
      <x:c r="D1166" s="82" t="str">
        <x:f>IF(ISNUMBER('Transfer_Ratings'!K1166),'Transfer_Ratings'!K1166,"")</x:f>
      </x:c>
      <x:c r="E1166" s="86"/>
      <x:c r="F1166" s="86"/>
      <x:c r="G1166" s="86"/>
      <x:c r="H1166" s="86"/>
      <x:c r="I1166" s="86"/>
      <x:c r="J1166" s="82" t="str">
        <x:f>IF(C1166="","Choose position",IF(COUNT(E1166:I1166)&lt;5,"",IF(OR(MIN(E1166:I1166)&lt;0.1,MAX(E1166:I1166)&gt;10),"Invalid score",IF(INDEX('Position_Rubric'!$H$6:$H$14,M1166)&lt;&gt;1,"Check weights",ROUND(E1166*INDEX('Position_Rubric'!$C$6:$C$14,M1166)+F1166*INDEX('Position_Rubric'!$D$6:$D$14,M1166)+G1166*INDEX('Position_Rubric'!$E$6:$E$14,M1166)+H1166*INDEX('Position_Rubric'!$F$6:$F$14,M1166)+I1166*INDEX('Position_Rubric'!$G$6:$G$14,M1166),1)))))</x:f>
        <x:v>Choose position</x:v>
      </x:c>
      <x:c r="K1166" s="82" t="str">
        <x:f>IF(AND(ISNUMBER(J1166),ISNUMBER(D1166)),J1166-D1166,"")</x:f>
      </x:c>
      <x:c r="L1166" s="69" t="str">
        <x:f>IF(COUNT(E1166:I1166)&lt;5,"Needs component scores",IF(ISNUMBER(J1166),"Calculated",J1166))</x:f>
        <x:v>Needs component scores</x:v>
      </x:c>
      <x:c r="M1166" s="69" t="str">
        <x:f>IF(C1166="","",MATCH(C1166,'Position_Rubric'!$A$6:$A$14,0))</x:f>
      </x:c>
      <x:c r="N1166" s="69" t="str"/>
    </x:row>
    <x:row r="1167" ht="25" customHeight="1">
      <x:c r="A1167" s="69" t="str">
        <x:v>summer-S26-0629</x:v>
      </x:c>
      <x:c r="B1167" s="69" t="str">
        <x:v>Javi Castro</x:v>
      </x:c>
      <x:c r="C1167" s="69"/>
      <x:c r="D1167" s="82" t="str">
        <x:f>IF(ISNUMBER('Transfer_Ratings'!K1167),'Transfer_Ratings'!K1167,"")</x:f>
      </x:c>
      <x:c r="E1167" s="86"/>
      <x:c r="F1167" s="86"/>
      <x:c r="G1167" s="86"/>
      <x:c r="H1167" s="86"/>
      <x:c r="I1167" s="86"/>
      <x:c r="J1167" s="82" t="str">
        <x:f>IF(C1167="","Choose position",IF(COUNT(E1167:I1167)&lt;5,"",IF(OR(MIN(E1167:I1167)&lt;0.1,MAX(E1167:I1167)&gt;10),"Invalid score",IF(INDEX('Position_Rubric'!$H$6:$H$14,M1167)&lt;&gt;1,"Check weights",ROUND(E1167*INDEX('Position_Rubric'!$C$6:$C$14,M1167)+F1167*INDEX('Position_Rubric'!$D$6:$D$14,M1167)+G1167*INDEX('Position_Rubric'!$E$6:$E$14,M1167)+H1167*INDEX('Position_Rubric'!$F$6:$F$14,M1167)+I1167*INDEX('Position_Rubric'!$G$6:$G$14,M1167),1)))))</x:f>
        <x:v>Choose position</x:v>
      </x:c>
      <x:c r="K1167" s="82" t="str">
        <x:f>IF(AND(ISNUMBER(J1167),ISNUMBER(D1167)),J1167-D1167,"")</x:f>
      </x:c>
      <x:c r="L1167" s="69" t="str">
        <x:f>IF(COUNT(E1167:I1167)&lt;5,"Needs component scores",IF(ISNUMBER(J1167),"Calculated",J1167))</x:f>
        <x:v>Needs component scores</x:v>
      </x:c>
      <x:c r="M1167" s="69" t="str">
        <x:f>IF(C1167="","",MATCH(C1167,'Position_Rubric'!$A$6:$A$14,0))</x:f>
      </x:c>
      <x:c r="N1167" s="69" t="str"/>
    </x:row>
    <x:row r="1168" ht="25" customHeight="1">
      <x:c r="A1168" s="69" t="str">
        <x:v>summer-S26-0630</x:v>
      </x:c>
      <x:c r="B1168" s="69" t="str">
        <x:v>Jean Ives Valou</x:v>
      </x:c>
      <x:c r="C1168" s="69"/>
      <x:c r="D1168" s="82" t="str">
        <x:f>IF(ISNUMBER('Transfer_Ratings'!K1168),'Transfer_Ratings'!K1168,"")</x:f>
      </x:c>
      <x:c r="E1168" s="86"/>
      <x:c r="F1168" s="86"/>
      <x:c r="G1168" s="86"/>
      <x:c r="H1168" s="86"/>
      <x:c r="I1168" s="86"/>
      <x:c r="J1168" s="82" t="str">
        <x:f>IF(C1168="","Choose position",IF(COUNT(E1168:I1168)&lt;5,"",IF(OR(MIN(E1168:I1168)&lt;0.1,MAX(E1168:I1168)&gt;10),"Invalid score",IF(INDEX('Position_Rubric'!$H$6:$H$14,M1168)&lt;&gt;1,"Check weights",ROUND(E1168*INDEX('Position_Rubric'!$C$6:$C$14,M1168)+F1168*INDEX('Position_Rubric'!$D$6:$D$14,M1168)+G1168*INDEX('Position_Rubric'!$E$6:$E$14,M1168)+H1168*INDEX('Position_Rubric'!$F$6:$F$14,M1168)+I1168*INDEX('Position_Rubric'!$G$6:$G$14,M1168),1)))))</x:f>
        <x:v>Choose position</x:v>
      </x:c>
      <x:c r="K1168" s="82" t="str">
        <x:f>IF(AND(ISNUMBER(J1168),ISNUMBER(D1168)),J1168-D1168,"")</x:f>
      </x:c>
      <x:c r="L1168" s="69" t="str">
        <x:f>IF(COUNT(E1168:I1168)&lt;5,"Needs component scores",IF(ISNUMBER(J1168),"Calculated",J1168))</x:f>
        <x:v>Needs component scores</x:v>
      </x:c>
      <x:c r="M1168" s="69" t="str">
        <x:f>IF(C1168="","",MATCH(C1168,'Position_Rubric'!$A$6:$A$14,0))</x:f>
      </x:c>
      <x:c r="N1168" s="69" t="str"/>
    </x:row>
    <x:row r="1169" ht="25" customHeight="1">
      <x:c r="A1169" s="69" t="str">
        <x:v>summer-S26-0632</x:v>
      </x:c>
      <x:c r="B1169" s="69" t="str">
        <x:v>Ibon Sánchez</x:v>
      </x:c>
      <x:c r="C1169" s="69"/>
      <x:c r="D1169" s="82" t="str">
        <x:f>IF(ISNUMBER('Transfer_Ratings'!K1169),'Transfer_Ratings'!K1169,"")</x:f>
      </x:c>
      <x:c r="E1169" s="86"/>
      <x:c r="F1169" s="86"/>
      <x:c r="G1169" s="86"/>
      <x:c r="H1169" s="86"/>
      <x:c r="I1169" s="86"/>
      <x:c r="J1169" s="82" t="str">
        <x:f>IF(C1169="","Choose position",IF(COUNT(E1169:I1169)&lt;5,"",IF(OR(MIN(E1169:I1169)&lt;0.1,MAX(E1169:I1169)&gt;10),"Invalid score",IF(INDEX('Position_Rubric'!$H$6:$H$14,M1169)&lt;&gt;1,"Check weights",ROUND(E1169*INDEX('Position_Rubric'!$C$6:$C$14,M1169)+F1169*INDEX('Position_Rubric'!$D$6:$D$14,M1169)+G1169*INDEX('Position_Rubric'!$E$6:$E$14,M1169)+H1169*INDEX('Position_Rubric'!$F$6:$F$14,M1169)+I1169*INDEX('Position_Rubric'!$G$6:$G$14,M1169),1)))))</x:f>
        <x:v>Choose position</x:v>
      </x:c>
      <x:c r="K1169" s="82" t="str">
        <x:f>IF(AND(ISNUMBER(J1169),ISNUMBER(D1169)),J1169-D1169,"")</x:f>
      </x:c>
      <x:c r="L1169" s="69" t="str">
        <x:f>IF(COUNT(E1169:I1169)&lt;5,"Needs component scores",IF(ISNUMBER(J1169),"Calculated",J1169))</x:f>
        <x:v>Needs component scores</x:v>
      </x:c>
      <x:c r="M1169" s="69" t="str">
        <x:f>IF(C1169="","",MATCH(C1169,'Position_Rubric'!$A$6:$A$14,0))</x:f>
      </x:c>
      <x:c r="N1169" s="69" t="str"/>
    </x:row>
    <x:row r="1170" ht="25" customHeight="1">
      <x:c r="A1170" s="69" t="str">
        <x:v>summer-S26-0633</x:v>
      </x:c>
      <x:c r="B1170" s="69" t="str">
        <x:v>Eder García</x:v>
      </x:c>
      <x:c r="C1170" s="69"/>
      <x:c r="D1170" s="82" t="str">
        <x:f>IF(ISNUMBER('Transfer_Ratings'!K1170),'Transfer_Ratings'!K1170,"")</x:f>
      </x:c>
      <x:c r="E1170" s="86"/>
      <x:c r="F1170" s="86"/>
      <x:c r="G1170" s="86"/>
      <x:c r="H1170" s="86"/>
      <x:c r="I1170" s="86"/>
      <x:c r="J1170" s="82" t="str">
        <x:f>IF(C1170="","Choose position",IF(COUNT(E1170:I1170)&lt;5,"",IF(OR(MIN(E1170:I1170)&lt;0.1,MAX(E1170:I1170)&gt;10),"Invalid score",IF(INDEX('Position_Rubric'!$H$6:$H$14,M1170)&lt;&gt;1,"Check weights",ROUND(E1170*INDEX('Position_Rubric'!$C$6:$C$14,M1170)+F1170*INDEX('Position_Rubric'!$D$6:$D$14,M1170)+G1170*INDEX('Position_Rubric'!$E$6:$E$14,M1170)+H1170*INDEX('Position_Rubric'!$F$6:$F$14,M1170)+I1170*INDEX('Position_Rubric'!$G$6:$G$14,M1170),1)))))</x:f>
        <x:v>Choose position</x:v>
      </x:c>
      <x:c r="K1170" s="82" t="str">
        <x:f>IF(AND(ISNUMBER(J1170),ISNUMBER(D1170)),J1170-D1170,"")</x:f>
      </x:c>
      <x:c r="L1170" s="69" t="str">
        <x:f>IF(COUNT(E1170:I1170)&lt;5,"Needs component scores",IF(ISNUMBER(J1170),"Calculated",J1170))</x:f>
        <x:v>Needs component scores</x:v>
      </x:c>
      <x:c r="M1170" s="69" t="str">
        <x:f>IF(C1170="","",MATCH(C1170,'Position_Rubric'!$A$6:$A$14,0))</x:f>
      </x:c>
      <x:c r="N1170" s="69" t="str"/>
    </x:row>
    <x:row r="1171" ht="25" customHeight="1">
      <x:c r="A1171" s="69" t="str">
        <x:v>summer-S26-0634</x:v>
      </x:c>
      <x:c r="B1171" s="69" t="str">
        <x:v>Aimar Duñabeitia</x:v>
      </x:c>
      <x:c r="C1171" s="69"/>
      <x:c r="D1171" s="82" t="str">
        <x:f>IF(ISNUMBER('Transfer_Ratings'!K1171),'Transfer_Ratings'!K1171,"")</x:f>
      </x:c>
      <x:c r="E1171" s="86"/>
      <x:c r="F1171" s="86"/>
      <x:c r="G1171" s="86"/>
      <x:c r="H1171" s="86"/>
      <x:c r="I1171" s="86"/>
      <x:c r="J1171" s="82" t="str">
        <x:f>IF(C1171="","Choose position",IF(COUNT(E1171:I1171)&lt;5,"",IF(OR(MIN(E1171:I1171)&lt;0.1,MAX(E1171:I1171)&gt;10),"Invalid score",IF(INDEX('Position_Rubric'!$H$6:$H$14,M1171)&lt;&gt;1,"Check weights",ROUND(E1171*INDEX('Position_Rubric'!$C$6:$C$14,M1171)+F1171*INDEX('Position_Rubric'!$D$6:$D$14,M1171)+G1171*INDEX('Position_Rubric'!$E$6:$E$14,M1171)+H1171*INDEX('Position_Rubric'!$F$6:$F$14,M1171)+I1171*INDEX('Position_Rubric'!$G$6:$G$14,M1171),1)))))</x:f>
        <x:v>Choose position</x:v>
      </x:c>
      <x:c r="K1171" s="82" t="str">
        <x:f>IF(AND(ISNUMBER(J1171),ISNUMBER(D1171)),J1171-D1171,"")</x:f>
      </x:c>
      <x:c r="L1171" s="69" t="str">
        <x:f>IF(COUNT(E1171:I1171)&lt;5,"Needs component scores",IF(ISNUMBER(J1171),"Calculated",J1171))</x:f>
        <x:v>Needs component scores</x:v>
      </x:c>
      <x:c r="M1171" s="69" t="str">
        <x:f>IF(C1171="","",MATCH(C1171,'Position_Rubric'!$A$6:$A$14,0))</x:f>
      </x:c>
      <x:c r="N1171" s="69" t="str"/>
    </x:row>
    <x:row r="1172" ht="25" customHeight="1">
      <x:c r="A1172" s="69" t="str">
        <x:v>summer-S26-0637</x:v>
      </x:c>
      <x:c r="B1172" s="69" t="str">
        <x:v>Dimitrios Stamatakis</x:v>
      </x:c>
      <x:c r="C1172" s="69" t="str">
        <x:v>GK</x:v>
      </x:c>
      <x:c r="D1172" s="82" t="str">
        <x:f>IF(ISNUMBER('Transfer_Ratings'!K1172),'Transfer_Ratings'!K1172,"")</x:f>
      </x:c>
      <x:c r="E1172" s="86"/>
      <x:c r="F1172" s="86"/>
      <x:c r="G1172" s="86"/>
      <x:c r="H1172" s="86"/>
      <x:c r="I1172" s="86"/>
      <x:c r="J1172" s="82" t="str">
        <x:f>IF(C1172="","Choose position",IF(COUNT(E1172:I1172)&lt;5,"",IF(OR(MIN(E1172:I1172)&lt;0.1,MAX(E1172:I1172)&gt;10),"Invalid score",IF(INDEX('Position_Rubric'!$H$6:$H$14,M1172)&lt;&gt;1,"Check weights",ROUND(E1172*INDEX('Position_Rubric'!$C$6:$C$14,M1172)+F1172*INDEX('Position_Rubric'!$D$6:$D$14,M1172)+G1172*INDEX('Position_Rubric'!$E$6:$E$14,M1172)+H1172*INDEX('Position_Rubric'!$F$6:$F$14,M1172)+I1172*INDEX('Position_Rubric'!$G$6:$G$14,M1172),1)))))</x:f>
      </x:c>
      <x:c r="K1172" s="82" t="str">
        <x:f>IF(AND(ISNUMBER(J1172),ISNUMBER(D1172)),J1172-D1172,"")</x:f>
      </x:c>
      <x:c r="L1172" s="69" t="str">
        <x:f>IF(COUNT(E1172:I1172)&lt;5,"Needs component scores",IF(ISNUMBER(J1172),"Calculated",J1172))</x:f>
        <x:v>Needs component scores</x:v>
      </x:c>
      <x:c r="M1172" s="69" t="n">
        <x:f>IF(C1172="","",MATCH(C1172,'Position_Rubric'!$A$6:$A$14,0))</x:f>
        <x:v>9</x:v>
      </x:c>
      <x:c r="N1172" s="69" t="str"/>
    </x:row>
    <x:row r="1173" ht="25" customHeight="1">
      <x:c r="A1173" s="69" t="str">
        <x:v>summer-S26-0639</x:v>
      </x:c>
      <x:c r="B1173" s="69" t="str">
        <x:v>Sankhoun Diawara</x:v>
      </x:c>
      <x:c r="C1173" s="69"/>
      <x:c r="D1173" s="82" t="str">
        <x:f>IF(ISNUMBER('Transfer_Ratings'!K1173),'Transfer_Ratings'!K1173,"")</x:f>
      </x:c>
      <x:c r="E1173" s="86"/>
      <x:c r="F1173" s="86"/>
      <x:c r="G1173" s="86"/>
      <x:c r="H1173" s="86"/>
      <x:c r="I1173" s="86"/>
      <x:c r="J1173" s="82" t="str">
        <x:f>IF(C1173="","Choose position",IF(COUNT(E1173:I1173)&lt;5,"",IF(OR(MIN(E1173:I1173)&lt;0.1,MAX(E1173:I1173)&gt;10),"Invalid score",IF(INDEX('Position_Rubric'!$H$6:$H$14,M1173)&lt;&gt;1,"Check weights",ROUND(E1173*INDEX('Position_Rubric'!$C$6:$C$14,M1173)+F1173*INDEX('Position_Rubric'!$D$6:$D$14,M1173)+G1173*INDEX('Position_Rubric'!$E$6:$E$14,M1173)+H1173*INDEX('Position_Rubric'!$F$6:$F$14,M1173)+I1173*INDEX('Position_Rubric'!$G$6:$G$14,M1173),1)))))</x:f>
        <x:v>Choose position</x:v>
      </x:c>
      <x:c r="K1173" s="82" t="str">
        <x:f>IF(AND(ISNUMBER(J1173),ISNUMBER(D1173)),J1173-D1173,"")</x:f>
      </x:c>
      <x:c r="L1173" s="69" t="str">
        <x:f>IF(COUNT(E1173:I1173)&lt;5,"Needs component scores",IF(ISNUMBER(J1173),"Calculated",J1173))</x:f>
        <x:v>Needs component scores</x:v>
      </x:c>
      <x:c r="M1173" s="69" t="str">
        <x:f>IF(C1173="","",MATCH(C1173,'Position_Rubric'!$A$6:$A$14,0))</x:f>
      </x:c>
      <x:c r="N1173" s="69" t="str"/>
    </x:row>
    <x:row r="1174" ht="25" customHeight="1">
      <x:c r="A1174" s="69" t="str">
        <x:v>summer-S26-0640</x:v>
      </x:c>
      <x:c r="B1174" s="69" t="str">
        <x:v>Ekain Díaz</x:v>
      </x:c>
      <x:c r="C1174" s="69"/>
      <x:c r="D1174" s="82" t="str">
        <x:f>IF(ISNUMBER('Transfer_Ratings'!K1174),'Transfer_Ratings'!K1174,"")</x:f>
      </x:c>
      <x:c r="E1174" s="86"/>
      <x:c r="F1174" s="86"/>
      <x:c r="G1174" s="86"/>
      <x:c r="H1174" s="86"/>
      <x:c r="I1174" s="86"/>
      <x:c r="J1174" s="82" t="str">
        <x:f>IF(C1174="","Choose position",IF(COUNT(E1174:I1174)&lt;5,"",IF(OR(MIN(E1174:I1174)&lt;0.1,MAX(E1174:I1174)&gt;10),"Invalid score",IF(INDEX('Position_Rubric'!$H$6:$H$14,M1174)&lt;&gt;1,"Check weights",ROUND(E1174*INDEX('Position_Rubric'!$C$6:$C$14,M1174)+F1174*INDEX('Position_Rubric'!$D$6:$D$14,M1174)+G1174*INDEX('Position_Rubric'!$E$6:$E$14,M1174)+H1174*INDEX('Position_Rubric'!$F$6:$F$14,M1174)+I1174*INDEX('Position_Rubric'!$G$6:$G$14,M1174),1)))))</x:f>
        <x:v>Choose position</x:v>
      </x:c>
      <x:c r="K1174" s="82" t="str">
        <x:f>IF(AND(ISNUMBER(J1174),ISNUMBER(D1174)),J1174-D1174,"")</x:f>
      </x:c>
      <x:c r="L1174" s="69" t="str">
        <x:f>IF(COUNT(E1174:I1174)&lt;5,"Needs component scores",IF(ISNUMBER(J1174),"Calculated",J1174))</x:f>
        <x:v>Needs component scores</x:v>
      </x:c>
      <x:c r="M1174" s="69" t="str">
        <x:f>IF(C1174="","",MATCH(C1174,'Position_Rubric'!$A$6:$A$14,0))</x:f>
      </x:c>
      <x:c r="N1174" s="69" t="str"/>
    </x:row>
    <x:row r="1175" ht="25" customHeight="1">
      <x:c r="A1175" s="69" t="str">
        <x:v>summer-S26-0643</x:v>
      </x:c>
      <x:c r="B1175" s="69" t="str">
        <x:v>Germán García</x:v>
      </x:c>
      <x:c r="C1175" s="69" t="str">
        <x:v>GK</x:v>
      </x:c>
      <x:c r="D1175" s="82" t="str">
        <x:f>IF(ISNUMBER('Transfer_Ratings'!K1175),'Transfer_Ratings'!K1175,"")</x:f>
      </x:c>
      <x:c r="E1175" s="86"/>
      <x:c r="F1175" s="86"/>
      <x:c r="G1175" s="86"/>
      <x:c r="H1175" s="86"/>
      <x:c r="I1175" s="86"/>
      <x:c r="J1175" s="82" t="str">
        <x:f>IF(C1175="","Choose position",IF(COUNT(E1175:I1175)&lt;5,"",IF(OR(MIN(E1175:I1175)&lt;0.1,MAX(E1175:I1175)&gt;10),"Invalid score",IF(INDEX('Position_Rubric'!$H$6:$H$14,M1175)&lt;&gt;1,"Check weights",ROUND(E1175*INDEX('Position_Rubric'!$C$6:$C$14,M1175)+F1175*INDEX('Position_Rubric'!$D$6:$D$14,M1175)+G1175*INDEX('Position_Rubric'!$E$6:$E$14,M1175)+H1175*INDEX('Position_Rubric'!$F$6:$F$14,M1175)+I1175*INDEX('Position_Rubric'!$G$6:$G$14,M1175),1)))))</x:f>
      </x:c>
      <x:c r="K1175" s="82" t="str">
        <x:f>IF(AND(ISNUMBER(J1175),ISNUMBER(D1175)),J1175-D1175,"")</x:f>
      </x:c>
      <x:c r="L1175" s="69" t="str">
        <x:f>IF(COUNT(E1175:I1175)&lt;5,"Needs component scores",IF(ISNUMBER(J1175),"Calculated",J1175))</x:f>
        <x:v>Needs component scores</x:v>
      </x:c>
      <x:c r="M1175" s="69" t="n">
        <x:f>IF(C1175="","",MATCH(C1175,'Position_Rubric'!$A$6:$A$14,0))</x:f>
        <x:v>9</x:v>
      </x:c>
      <x:c r="N1175" s="69" t="str"/>
    </x:row>
    <x:row r="1176" ht="25" customHeight="1">
      <x:c r="A1176" s="69" t="str">
        <x:v>summer-S26-0644</x:v>
      </x:c>
      <x:c r="B1176" s="69" t="str">
        <x:v>Aitor Gismera</x:v>
      </x:c>
      <x:c r="C1176" s="69"/>
      <x:c r="D1176" s="82" t="str">
        <x:f>IF(ISNUMBER('Transfer_Ratings'!K1176),'Transfer_Ratings'!K1176,"")</x:f>
      </x:c>
      <x:c r="E1176" s="86"/>
      <x:c r="F1176" s="86"/>
      <x:c r="G1176" s="86"/>
      <x:c r="H1176" s="86"/>
      <x:c r="I1176" s="86"/>
      <x:c r="J1176" s="82" t="str">
        <x:f>IF(C1176="","Choose position",IF(COUNT(E1176:I1176)&lt;5,"",IF(OR(MIN(E1176:I1176)&lt;0.1,MAX(E1176:I1176)&gt;10),"Invalid score",IF(INDEX('Position_Rubric'!$H$6:$H$14,M1176)&lt;&gt;1,"Check weights",ROUND(E1176*INDEX('Position_Rubric'!$C$6:$C$14,M1176)+F1176*INDEX('Position_Rubric'!$D$6:$D$14,M1176)+G1176*INDEX('Position_Rubric'!$E$6:$E$14,M1176)+H1176*INDEX('Position_Rubric'!$F$6:$F$14,M1176)+I1176*INDEX('Position_Rubric'!$G$6:$G$14,M1176),1)))))</x:f>
        <x:v>Choose position</x:v>
      </x:c>
      <x:c r="K1176" s="82" t="str">
        <x:f>IF(AND(ISNUMBER(J1176),ISNUMBER(D1176)),J1176-D1176,"")</x:f>
      </x:c>
      <x:c r="L1176" s="69" t="str">
        <x:f>IF(COUNT(E1176:I1176)&lt;5,"Needs component scores",IF(ISNUMBER(J1176),"Calculated",J1176))</x:f>
        <x:v>Needs component scores</x:v>
      </x:c>
      <x:c r="M1176" s="69" t="str">
        <x:f>IF(C1176="","",MATCH(C1176,'Position_Rubric'!$A$6:$A$14,0))</x:f>
      </x:c>
      <x:c r="N1176" s="69" t="str"/>
    </x:row>
    <x:row r="1177" ht="25" customHeight="1">
      <x:c r="A1177" s="69" t="str">
        <x:v>summer-S26-0645</x:v>
      </x:c>
      <x:c r="B1177" s="69" t="str">
        <x:v>José Luis Català</x:v>
      </x:c>
      <x:c r="C1177" s="69"/>
      <x:c r="D1177" s="82" t="str">
        <x:f>IF(ISNUMBER('Transfer_Ratings'!K1177),'Transfer_Ratings'!K1177,"")</x:f>
      </x:c>
      <x:c r="E1177" s="86"/>
      <x:c r="F1177" s="86"/>
      <x:c r="G1177" s="86"/>
      <x:c r="H1177" s="86"/>
      <x:c r="I1177" s="86"/>
      <x:c r="J1177" s="82" t="str">
        <x:f>IF(C1177="","Choose position",IF(COUNT(E1177:I1177)&lt;5,"",IF(OR(MIN(E1177:I1177)&lt;0.1,MAX(E1177:I1177)&gt;10),"Invalid score",IF(INDEX('Position_Rubric'!$H$6:$H$14,M1177)&lt;&gt;1,"Check weights",ROUND(E1177*INDEX('Position_Rubric'!$C$6:$C$14,M1177)+F1177*INDEX('Position_Rubric'!$D$6:$D$14,M1177)+G1177*INDEX('Position_Rubric'!$E$6:$E$14,M1177)+H1177*INDEX('Position_Rubric'!$F$6:$F$14,M1177)+I1177*INDEX('Position_Rubric'!$G$6:$G$14,M1177),1)))))</x:f>
        <x:v>Choose position</x:v>
      </x:c>
      <x:c r="K1177" s="82" t="str">
        <x:f>IF(AND(ISNUMBER(J1177),ISNUMBER(D1177)),J1177-D1177,"")</x:f>
      </x:c>
      <x:c r="L1177" s="69" t="str">
        <x:f>IF(COUNT(E1177:I1177)&lt;5,"Needs component scores",IF(ISNUMBER(J1177),"Calculated",J1177))</x:f>
        <x:v>Needs component scores</x:v>
      </x:c>
      <x:c r="M1177" s="69" t="str">
        <x:f>IF(C1177="","",MATCH(C1177,'Position_Rubric'!$A$6:$A$14,0))</x:f>
      </x:c>
      <x:c r="N1177" s="69" t="str"/>
    </x:row>
    <x:row r="1178" ht="25" customHeight="1">
      <x:c r="A1178" s="69" t="str">
        <x:v>summer-S26-0646</x:v>
      </x:c>
      <x:c r="B1178" s="69" t="str">
        <x:v>Dani Requena</x:v>
      </x:c>
      <x:c r="C1178" s="69"/>
      <x:c r="D1178" s="82" t="str">
        <x:f>IF(ISNUMBER('Transfer_Ratings'!K1178),'Transfer_Ratings'!K1178,"")</x:f>
      </x:c>
      <x:c r="E1178" s="86"/>
      <x:c r="F1178" s="86"/>
      <x:c r="G1178" s="86"/>
      <x:c r="H1178" s="86"/>
      <x:c r="I1178" s="86"/>
      <x:c r="J1178" s="82" t="str">
        <x:f>IF(C1178="","Choose position",IF(COUNT(E1178:I1178)&lt;5,"",IF(OR(MIN(E1178:I1178)&lt;0.1,MAX(E1178:I1178)&gt;10),"Invalid score",IF(INDEX('Position_Rubric'!$H$6:$H$14,M1178)&lt;&gt;1,"Check weights",ROUND(E1178*INDEX('Position_Rubric'!$C$6:$C$14,M1178)+F1178*INDEX('Position_Rubric'!$D$6:$D$14,M1178)+G1178*INDEX('Position_Rubric'!$E$6:$E$14,M1178)+H1178*INDEX('Position_Rubric'!$F$6:$F$14,M1178)+I1178*INDEX('Position_Rubric'!$G$6:$G$14,M1178),1)))))</x:f>
        <x:v>Choose position</x:v>
      </x:c>
      <x:c r="K1178" s="82" t="str">
        <x:f>IF(AND(ISNUMBER(J1178),ISNUMBER(D1178)),J1178-D1178,"")</x:f>
      </x:c>
      <x:c r="L1178" s="69" t="str">
        <x:f>IF(COUNT(E1178:I1178)&lt;5,"Needs component scores",IF(ISNUMBER(J1178),"Calculated",J1178))</x:f>
        <x:v>Needs component scores</x:v>
      </x:c>
      <x:c r="M1178" s="69" t="str">
        <x:f>IF(C1178="","",MATCH(C1178,'Position_Rubric'!$A$6:$A$14,0))</x:f>
      </x:c>
      <x:c r="N1178" s="69" t="str"/>
    </x:row>
    <x:row r="1179" ht="25" customHeight="1">
      <x:c r="A1179" s="69" t="str">
        <x:v>summer-S26-0647</x:v>
      </x:c>
      <x:c r="B1179" s="69" t="str">
        <x:v>Daouda Doumbia</x:v>
      </x:c>
      <x:c r="C1179" s="69"/>
      <x:c r="D1179" s="82" t="str">
        <x:f>IF(ISNUMBER('Transfer_Ratings'!K1179),'Transfer_Ratings'!K1179,"")</x:f>
      </x:c>
      <x:c r="E1179" s="86"/>
      <x:c r="F1179" s="86"/>
      <x:c r="G1179" s="86"/>
      <x:c r="H1179" s="86"/>
      <x:c r="I1179" s="86"/>
      <x:c r="J1179" s="82" t="str">
        <x:f>IF(C1179="","Choose position",IF(COUNT(E1179:I1179)&lt;5,"",IF(OR(MIN(E1179:I1179)&lt;0.1,MAX(E1179:I1179)&gt;10),"Invalid score",IF(INDEX('Position_Rubric'!$H$6:$H$14,M1179)&lt;&gt;1,"Check weights",ROUND(E1179*INDEX('Position_Rubric'!$C$6:$C$14,M1179)+F1179*INDEX('Position_Rubric'!$D$6:$D$14,M1179)+G1179*INDEX('Position_Rubric'!$E$6:$E$14,M1179)+H1179*INDEX('Position_Rubric'!$F$6:$F$14,M1179)+I1179*INDEX('Position_Rubric'!$G$6:$G$14,M1179),1)))))</x:f>
        <x:v>Choose position</x:v>
      </x:c>
      <x:c r="K1179" s="82" t="str">
        <x:f>IF(AND(ISNUMBER(J1179),ISNUMBER(D1179)),J1179-D1179,"")</x:f>
      </x:c>
      <x:c r="L1179" s="69" t="str">
        <x:f>IF(COUNT(E1179:I1179)&lt;5,"Needs component scores",IF(ISNUMBER(J1179),"Calculated",J1179))</x:f>
        <x:v>Needs component scores</x:v>
      </x:c>
      <x:c r="M1179" s="69" t="str">
        <x:f>IF(C1179="","",MATCH(C1179,'Position_Rubric'!$A$6:$A$14,0))</x:f>
      </x:c>
      <x:c r="N1179" s="69" t="str"/>
    </x:row>
    <x:row r="1180" ht="25" customHeight="1">
      <x:c r="A1180" s="69" t="str">
        <x:v>summer-S26-0648</x:v>
      </x:c>
      <x:c r="B1180" s="69" t="str">
        <x:v>Ginés Sorroche</x:v>
      </x:c>
      <x:c r="C1180" s="69"/>
      <x:c r="D1180" s="82" t="str">
        <x:f>IF(ISNUMBER('Transfer_Ratings'!K1180),'Transfer_Ratings'!K1180,"")</x:f>
      </x:c>
      <x:c r="E1180" s="86"/>
      <x:c r="F1180" s="86"/>
      <x:c r="G1180" s="86"/>
      <x:c r="H1180" s="86"/>
      <x:c r="I1180" s="86"/>
      <x:c r="J1180" s="82" t="str">
        <x:f>IF(C1180="","Choose position",IF(COUNT(E1180:I1180)&lt;5,"",IF(OR(MIN(E1180:I1180)&lt;0.1,MAX(E1180:I1180)&gt;10),"Invalid score",IF(INDEX('Position_Rubric'!$H$6:$H$14,M1180)&lt;&gt;1,"Check weights",ROUND(E1180*INDEX('Position_Rubric'!$C$6:$C$14,M1180)+F1180*INDEX('Position_Rubric'!$D$6:$D$14,M1180)+G1180*INDEX('Position_Rubric'!$E$6:$E$14,M1180)+H1180*INDEX('Position_Rubric'!$F$6:$F$14,M1180)+I1180*INDEX('Position_Rubric'!$G$6:$G$14,M1180),1)))))</x:f>
        <x:v>Choose position</x:v>
      </x:c>
      <x:c r="K1180" s="82" t="str">
        <x:f>IF(AND(ISNUMBER(J1180),ISNUMBER(D1180)),J1180-D1180,"")</x:f>
      </x:c>
      <x:c r="L1180" s="69" t="str">
        <x:f>IF(COUNT(E1180:I1180)&lt;5,"Needs component scores",IF(ISNUMBER(J1180),"Calculated",J1180))</x:f>
        <x:v>Needs component scores</x:v>
      </x:c>
      <x:c r="M1180" s="69" t="str">
        <x:f>IF(C1180="","",MATCH(C1180,'Position_Rubric'!$A$6:$A$14,0))</x:f>
      </x:c>
      <x:c r="N1180" s="69" t="str"/>
    </x:row>
    <x:row r="1181" ht="25" customHeight="1">
      <x:c r="A1181" s="69" t="str">
        <x:v>summer-S26-0649</x:v>
      </x:c>
      <x:c r="B1181" s="69" t="str">
        <x:v>Carlos Dotor</x:v>
      </x:c>
      <x:c r="C1181" s="69"/>
      <x:c r="D1181" s="82" t="str">
        <x:f>IF(ISNUMBER('Transfer_Ratings'!K1181),'Transfer_Ratings'!K1181,"")</x:f>
      </x:c>
      <x:c r="E1181" s="86"/>
      <x:c r="F1181" s="86"/>
      <x:c r="G1181" s="86"/>
      <x:c r="H1181" s="86"/>
      <x:c r="I1181" s="86"/>
      <x:c r="J1181" s="82" t="str">
        <x:f>IF(C1181="","Choose position",IF(COUNT(E1181:I1181)&lt;5,"",IF(OR(MIN(E1181:I1181)&lt;0.1,MAX(E1181:I1181)&gt;10),"Invalid score",IF(INDEX('Position_Rubric'!$H$6:$H$14,M1181)&lt;&gt;1,"Check weights",ROUND(E1181*INDEX('Position_Rubric'!$C$6:$C$14,M1181)+F1181*INDEX('Position_Rubric'!$D$6:$D$14,M1181)+G1181*INDEX('Position_Rubric'!$E$6:$E$14,M1181)+H1181*INDEX('Position_Rubric'!$F$6:$F$14,M1181)+I1181*INDEX('Position_Rubric'!$G$6:$G$14,M1181),1)))))</x:f>
        <x:v>Choose position</x:v>
      </x:c>
      <x:c r="K1181" s="82" t="str">
        <x:f>IF(AND(ISNUMBER(J1181),ISNUMBER(D1181)),J1181-D1181,"")</x:f>
      </x:c>
      <x:c r="L1181" s="69" t="str">
        <x:f>IF(COUNT(E1181:I1181)&lt;5,"Needs component scores",IF(ISNUMBER(J1181),"Calculated",J1181))</x:f>
        <x:v>Needs component scores</x:v>
      </x:c>
      <x:c r="M1181" s="69" t="str">
        <x:f>IF(C1181="","",MATCH(C1181,'Position_Rubric'!$A$6:$A$14,0))</x:f>
      </x:c>
      <x:c r="N1181" s="69" t="str"/>
    </x:row>
    <x:row r="1182" ht="25" customHeight="1">
      <x:c r="A1182" s="69" t="str">
        <x:v>summer-S26-0650</x:v>
      </x:c>
      <x:c r="B1182" s="69" t="str">
        <x:v>Manu Sánchez</x:v>
      </x:c>
      <x:c r="C1182" s="69"/>
      <x:c r="D1182" s="82" t="str">
        <x:f>IF(ISNUMBER('Transfer_Ratings'!K1182),'Transfer_Ratings'!K1182,"")</x:f>
      </x:c>
      <x:c r="E1182" s="86"/>
      <x:c r="F1182" s="86"/>
      <x:c r="G1182" s="86"/>
      <x:c r="H1182" s="86"/>
      <x:c r="I1182" s="86"/>
      <x:c r="J1182" s="82" t="str">
        <x:f>IF(C1182="","Choose position",IF(COUNT(E1182:I1182)&lt;5,"",IF(OR(MIN(E1182:I1182)&lt;0.1,MAX(E1182:I1182)&gt;10),"Invalid score",IF(INDEX('Position_Rubric'!$H$6:$H$14,M1182)&lt;&gt;1,"Check weights",ROUND(E1182*INDEX('Position_Rubric'!$C$6:$C$14,M1182)+F1182*INDEX('Position_Rubric'!$D$6:$D$14,M1182)+G1182*INDEX('Position_Rubric'!$E$6:$E$14,M1182)+H1182*INDEX('Position_Rubric'!$F$6:$F$14,M1182)+I1182*INDEX('Position_Rubric'!$G$6:$G$14,M1182),1)))))</x:f>
        <x:v>Choose position</x:v>
      </x:c>
      <x:c r="K1182" s="82" t="str">
        <x:f>IF(AND(ISNUMBER(J1182),ISNUMBER(D1182)),J1182-D1182,"")</x:f>
      </x:c>
      <x:c r="L1182" s="69" t="str">
        <x:f>IF(COUNT(E1182:I1182)&lt;5,"Needs component scores",IF(ISNUMBER(J1182),"Calculated",J1182))</x:f>
        <x:v>Needs component scores</x:v>
      </x:c>
      <x:c r="M1182" s="69" t="str">
        <x:f>IF(C1182="","",MATCH(C1182,'Position_Rubric'!$A$6:$A$14,0))</x:f>
      </x:c>
      <x:c r="N1182" s="69" t="str"/>
    </x:row>
    <x:row r="1183" ht="25" customHeight="1">
      <x:c r="A1183" s="69" t="str">
        <x:v>summer-S26-0652</x:v>
      </x:c>
      <x:c r="B1183" s="69" t="str">
        <x:v>Pablo Rivera</x:v>
      </x:c>
      <x:c r="C1183" s="69"/>
      <x:c r="D1183" s="82" t="str">
        <x:f>IF(ISNUMBER('Transfer_Ratings'!K1183),'Transfer_Ratings'!K1183,"")</x:f>
      </x:c>
      <x:c r="E1183" s="86"/>
      <x:c r="F1183" s="86"/>
      <x:c r="G1183" s="86"/>
      <x:c r="H1183" s="86"/>
      <x:c r="I1183" s="86"/>
      <x:c r="J1183" s="82" t="str">
        <x:f>IF(C1183="","Choose position",IF(COUNT(E1183:I1183)&lt;5,"",IF(OR(MIN(E1183:I1183)&lt;0.1,MAX(E1183:I1183)&gt;10),"Invalid score",IF(INDEX('Position_Rubric'!$H$6:$H$14,M1183)&lt;&gt;1,"Check weights",ROUND(E1183*INDEX('Position_Rubric'!$C$6:$C$14,M1183)+F1183*INDEX('Position_Rubric'!$D$6:$D$14,M1183)+G1183*INDEX('Position_Rubric'!$E$6:$E$14,M1183)+H1183*INDEX('Position_Rubric'!$F$6:$F$14,M1183)+I1183*INDEX('Position_Rubric'!$G$6:$G$14,M1183),1)))))</x:f>
        <x:v>Choose position</x:v>
      </x:c>
      <x:c r="K1183" s="82" t="str">
        <x:f>IF(AND(ISNUMBER(J1183),ISNUMBER(D1183)),J1183-D1183,"")</x:f>
      </x:c>
      <x:c r="L1183" s="69" t="str">
        <x:f>IF(COUNT(E1183:I1183)&lt;5,"Needs component scores",IF(ISNUMBER(J1183),"Calculated",J1183))</x:f>
        <x:v>Needs component scores</x:v>
      </x:c>
      <x:c r="M1183" s="69" t="str">
        <x:f>IF(C1183="","",MATCH(C1183,'Position_Rubric'!$A$6:$A$14,0))</x:f>
      </x:c>
      <x:c r="N1183" s="69" t="str"/>
    </x:row>
    <x:row r="1184" ht="25" customHeight="1">
      <x:c r="A1184" s="69" t="str">
        <x:v>summer-S26-0654</x:v>
      </x:c>
      <x:c r="B1184" s="69" t="str">
        <x:v>Lucas Núñez</x:v>
      </x:c>
      <x:c r="C1184" s="69"/>
      <x:c r="D1184" s="82" t="str">
        <x:f>IF(ISNUMBER('Transfer_Ratings'!K1184),'Transfer_Ratings'!K1184,"")</x:f>
      </x:c>
      <x:c r="E1184" s="86"/>
      <x:c r="F1184" s="86"/>
      <x:c r="G1184" s="86"/>
      <x:c r="H1184" s="86"/>
      <x:c r="I1184" s="86"/>
      <x:c r="J1184" s="82" t="str">
        <x:f>IF(C1184="","Choose position",IF(COUNT(E1184:I1184)&lt;5,"",IF(OR(MIN(E1184:I1184)&lt;0.1,MAX(E1184:I1184)&gt;10),"Invalid score",IF(INDEX('Position_Rubric'!$H$6:$H$14,M1184)&lt;&gt;1,"Check weights",ROUND(E1184*INDEX('Position_Rubric'!$C$6:$C$14,M1184)+F1184*INDEX('Position_Rubric'!$D$6:$D$14,M1184)+G1184*INDEX('Position_Rubric'!$E$6:$E$14,M1184)+H1184*INDEX('Position_Rubric'!$F$6:$F$14,M1184)+I1184*INDEX('Position_Rubric'!$G$6:$G$14,M1184),1)))))</x:f>
        <x:v>Choose position</x:v>
      </x:c>
      <x:c r="K1184" s="82" t="str">
        <x:f>IF(AND(ISNUMBER(J1184),ISNUMBER(D1184)),J1184-D1184,"")</x:f>
      </x:c>
      <x:c r="L1184" s="69" t="str">
        <x:f>IF(COUNT(E1184:I1184)&lt;5,"Needs component scores",IF(ISNUMBER(J1184),"Calculated",J1184))</x:f>
        <x:v>Needs component scores</x:v>
      </x:c>
      <x:c r="M1184" s="69" t="str">
        <x:f>IF(C1184="","",MATCH(C1184,'Position_Rubric'!$A$6:$A$14,0))</x:f>
      </x:c>
      <x:c r="N1184" s="69" t="str"/>
    </x:row>
    <x:row r="1185" ht="25" customHeight="1">
      <x:c r="A1185" s="69" t="str">
        <x:v>summer-S26-0655</x:v>
      </x:c>
      <x:c r="B1185" s="69" t="str">
        <x:v>Alejandro Mestanza</x:v>
      </x:c>
      <x:c r="C1185" s="69"/>
      <x:c r="D1185" s="82" t="str">
        <x:f>IF(ISNUMBER('Transfer_Ratings'!K1185),'Transfer_Ratings'!K1185,"")</x:f>
      </x:c>
      <x:c r="E1185" s="86"/>
      <x:c r="F1185" s="86"/>
      <x:c r="G1185" s="86"/>
      <x:c r="H1185" s="86"/>
      <x:c r="I1185" s="86"/>
      <x:c r="J1185" s="82" t="str">
        <x:f>IF(C1185="","Choose position",IF(COUNT(E1185:I1185)&lt;5,"",IF(OR(MIN(E1185:I1185)&lt;0.1,MAX(E1185:I1185)&gt;10),"Invalid score",IF(INDEX('Position_Rubric'!$H$6:$H$14,M1185)&lt;&gt;1,"Check weights",ROUND(E1185*INDEX('Position_Rubric'!$C$6:$C$14,M1185)+F1185*INDEX('Position_Rubric'!$D$6:$D$14,M1185)+G1185*INDEX('Position_Rubric'!$E$6:$E$14,M1185)+H1185*INDEX('Position_Rubric'!$F$6:$F$14,M1185)+I1185*INDEX('Position_Rubric'!$G$6:$G$14,M1185),1)))))</x:f>
        <x:v>Choose position</x:v>
      </x:c>
      <x:c r="K1185" s="82" t="str">
        <x:f>IF(AND(ISNUMBER(J1185),ISNUMBER(D1185)),J1185-D1185,"")</x:f>
      </x:c>
      <x:c r="L1185" s="69" t="str">
        <x:f>IF(COUNT(E1185:I1185)&lt;5,"Needs component scores",IF(ISNUMBER(J1185),"Calculated",J1185))</x:f>
        <x:v>Needs component scores</x:v>
      </x:c>
      <x:c r="M1185" s="69" t="str">
        <x:f>IF(C1185="","",MATCH(C1185,'Position_Rubric'!$A$6:$A$14,0))</x:f>
      </x:c>
      <x:c r="N1185" s="69" t="str"/>
    </x:row>
    <x:row r="1186" ht="25" customHeight="1">
      <x:c r="A1186" s="69" t="str">
        <x:v>summer-S26-0656</x:v>
      </x:c>
      <x:c r="B1186" s="69" t="str">
        <x:v>Gil Juanpe</x:v>
      </x:c>
      <x:c r="C1186" s="69" t="str">
        <x:v>GK</x:v>
      </x:c>
      <x:c r="D1186" s="82" t="str">
        <x:f>IF(ISNUMBER('Transfer_Ratings'!K1186),'Transfer_Ratings'!K1186,"")</x:f>
      </x:c>
      <x:c r="E1186" s="86"/>
      <x:c r="F1186" s="86"/>
      <x:c r="G1186" s="86"/>
      <x:c r="H1186" s="86"/>
      <x:c r="I1186" s="86"/>
      <x:c r="J1186" s="82" t="str">
        <x:f>IF(C1186="","Choose position",IF(COUNT(E1186:I1186)&lt;5,"",IF(OR(MIN(E1186:I1186)&lt;0.1,MAX(E1186:I1186)&gt;10),"Invalid score",IF(INDEX('Position_Rubric'!$H$6:$H$14,M1186)&lt;&gt;1,"Check weights",ROUND(E1186*INDEX('Position_Rubric'!$C$6:$C$14,M1186)+F1186*INDEX('Position_Rubric'!$D$6:$D$14,M1186)+G1186*INDEX('Position_Rubric'!$E$6:$E$14,M1186)+H1186*INDEX('Position_Rubric'!$F$6:$F$14,M1186)+I1186*INDEX('Position_Rubric'!$G$6:$G$14,M1186),1)))))</x:f>
      </x:c>
      <x:c r="K1186" s="82" t="str">
        <x:f>IF(AND(ISNUMBER(J1186),ISNUMBER(D1186)),J1186-D1186,"")</x:f>
      </x:c>
      <x:c r="L1186" s="69" t="str">
        <x:f>IF(COUNT(E1186:I1186)&lt;5,"Needs component scores",IF(ISNUMBER(J1186),"Calculated",J1186))</x:f>
        <x:v>Needs component scores</x:v>
      </x:c>
      <x:c r="M1186" s="69" t="n">
        <x:f>IF(C1186="","",MATCH(C1186,'Position_Rubric'!$A$6:$A$14,0))</x:f>
        <x:v>9</x:v>
      </x:c>
      <x:c r="N1186" s="69" t="str"/>
    </x:row>
    <x:row r="1187" ht="25" customHeight="1">
      <x:c r="A1187" s="69" t="str">
        <x:v>summer-S26-0659</x:v>
      </x:c>
      <x:c r="B1187" s="69" t="str">
        <x:v>Bema Sina</x:v>
      </x:c>
      <x:c r="C1187" s="69"/>
      <x:c r="D1187" s="82" t="str">
        <x:f>IF(ISNUMBER('Transfer_Ratings'!K1187),'Transfer_Ratings'!K1187,"")</x:f>
      </x:c>
      <x:c r="E1187" s="86"/>
      <x:c r="F1187" s="86"/>
      <x:c r="G1187" s="86"/>
      <x:c r="H1187" s="86"/>
      <x:c r="I1187" s="86"/>
      <x:c r="J1187" s="82" t="str">
        <x:f>IF(C1187="","Choose position",IF(COUNT(E1187:I1187)&lt;5,"",IF(OR(MIN(E1187:I1187)&lt;0.1,MAX(E1187:I1187)&gt;10),"Invalid score",IF(INDEX('Position_Rubric'!$H$6:$H$14,M1187)&lt;&gt;1,"Check weights",ROUND(E1187*INDEX('Position_Rubric'!$C$6:$C$14,M1187)+F1187*INDEX('Position_Rubric'!$D$6:$D$14,M1187)+G1187*INDEX('Position_Rubric'!$E$6:$E$14,M1187)+H1187*INDEX('Position_Rubric'!$F$6:$F$14,M1187)+I1187*INDEX('Position_Rubric'!$G$6:$G$14,M1187),1)))))</x:f>
        <x:v>Choose position</x:v>
      </x:c>
      <x:c r="K1187" s="82" t="str">
        <x:f>IF(AND(ISNUMBER(J1187),ISNUMBER(D1187)),J1187-D1187,"")</x:f>
      </x:c>
      <x:c r="L1187" s="69" t="str">
        <x:f>IF(COUNT(E1187:I1187)&lt;5,"Needs component scores",IF(ISNUMBER(J1187),"Calculated",J1187))</x:f>
        <x:v>Needs component scores</x:v>
      </x:c>
      <x:c r="M1187" s="69" t="str">
        <x:f>IF(C1187="","",MATCH(C1187,'Position_Rubric'!$A$6:$A$14,0))</x:f>
      </x:c>
      <x:c r="N1187" s="69" t="str"/>
    </x:row>
    <x:row r="1188" ht="25" customHeight="1">
      <x:c r="A1188" s="69" t="str">
        <x:v>summer-S26-0661</x:v>
      </x:c>
      <x:c r="B1188" s="69" t="str">
        <x:v>Samuel Calera</x:v>
      </x:c>
      <x:c r="C1188" s="69"/>
      <x:c r="D1188" s="82" t="str">
        <x:f>IF(ISNUMBER('Transfer_Ratings'!K1188),'Transfer_Ratings'!K1188,"")</x:f>
      </x:c>
      <x:c r="E1188" s="86"/>
      <x:c r="F1188" s="86"/>
      <x:c r="G1188" s="86"/>
      <x:c r="H1188" s="86"/>
      <x:c r="I1188" s="86"/>
      <x:c r="J1188" s="82" t="str">
        <x:f>IF(C1188="","Choose position",IF(COUNT(E1188:I1188)&lt;5,"",IF(OR(MIN(E1188:I1188)&lt;0.1,MAX(E1188:I1188)&gt;10),"Invalid score",IF(INDEX('Position_Rubric'!$H$6:$H$14,M1188)&lt;&gt;1,"Check weights",ROUND(E1188*INDEX('Position_Rubric'!$C$6:$C$14,M1188)+F1188*INDEX('Position_Rubric'!$D$6:$D$14,M1188)+G1188*INDEX('Position_Rubric'!$E$6:$E$14,M1188)+H1188*INDEX('Position_Rubric'!$F$6:$F$14,M1188)+I1188*INDEX('Position_Rubric'!$G$6:$G$14,M1188),1)))))</x:f>
        <x:v>Choose position</x:v>
      </x:c>
      <x:c r="K1188" s="82" t="str">
        <x:f>IF(AND(ISNUMBER(J1188),ISNUMBER(D1188)),J1188-D1188,"")</x:f>
      </x:c>
      <x:c r="L1188" s="69" t="str">
        <x:f>IF(COUNT(E1188:I1188)&lt;5,"Needs component scores",IF(ISNUMBER(J1188),"Calculated",J1188))</x:f>
        <x:v>Needs component scores</x:v>
      </x:c>
      <x:c r="M1188" s="69" t="str">
        <x:f>IF(C1188="","",MATCH(C1188,'Position_Rubric'!$A$6:$A$14,0))</x:f>
      </x:c>
      <x:c r="N1188" s="69" t="str"/>
    </x:row>
    <x:row r="1189" ht="25" customHeight="1">
      <x:c r="A1189" s="69" t="str">
        <x:v>summer-S26-0662</x:v>
      </x:c>
      <x:c r="B1189" s="69" t="str">
        <x:v>Luis Balbo</x:v>
      </x:c>
      <x:c r="C1189" s="69"/>
      <x:c r="D1189" s="82" t="str">
        <x:f>IF(ISNUMBER('Transfer_Ratings'!K1189),'Transfer_Ratings'!K1189,"")</x:f>
      </x:c>
      <x:c r="E1189" s="86"/>
      <x:c r="F1189" s="86"/>
      <x:c r="G1189" s="86"/>
      <x:c r="H1189" s="86"/>
      <x:c r="I1189" s="86"/>
      <x:c r="J1189" s="82" t="str">
        <x:f>IF(C1189="","Choose position",IF(COUNT(E1189:I1189)&lt;5,"",IF(OR(MIN(E1189:I1189)&lt;0.1,MAX(E1189:I1189)&gt;10),"Invalid score",IF(INDEX('Position_Rubric'!$H$6:$H$14,M1189)&lt;&gt;1,"Check weights",ROUND(E1189*INDEX('Position_Rubric'!$C$6:$C$14,M1189)+F1189*INDEX('Position_Rubric'!$D$6:$D$14,M1189)+G1189*INDEX('Position_Rubric'!$E$6:$E$14,M1189)+H1189*INDEX('Position_Rubric'!$F$6:$F$14,M1189)+I1189*INDEX('Position_Rubric'!$G$6:$G$14,M1189),1)))))</x:f>
        <x:v>Choose position</x:v>
      </x:c>
      <x:c r="K1189" s="82" t="str">
        <x:f>IF(AND(ISNUMBER(J1189),ISNUMBER(D1189)),J1189-D1189,"")</x:f>
      </x:c>
      <x:c r="L1189" s="69" t="str">
        <x:f>IF(COUNT(E1189:I1189)&lt;5,"Needs component scores",IF(ISNUMBER(J1189),"Calculated",J1189))</x:f>
        <x:v>Needs component scores</x:v>
      </x:c>
      <x:c r="M1189" s="69" t="str">
        <x:f>IF(C1189="","",MATCH(C1189,'Position_Rubric'!$A$6:$A$14,0))</x:f>
      </x:c>
      <x:c r="N1189" s="69" t="str"/>
    </x:row>
    <x:row r="1190" ht="25" customHeight="1">
      <x:c r="A1190" s="69" t="str">
        <x:v>summer-S26-0663</x:v>
      </x:c>
      <x:c r="B1190" s="69" t="str">
        <x:v>Stefan Ortega</x:v>
      </x:c>
      <x:c r="C1190" s="69" t="str">
        <x:v>GK</x:v>
      </x:c>
      <x:c r="D1190" s="82" t="str">
        <x:f>IF(ISNUMBER('Transfer_Ratings'!K1190),'Transfer_Ratings'!K1190,"")</x:f>
      </x:c>
      <x:c r="E1190" s="86"/>
      <x:c r="F1190" s="86"/>
      <x:c r="G1190" s="86"/>
      <x:c r="H1190" s="86"/>
      <x:c r="I1190" s="86"/>
      <x:c r="J1190" s="82" t="str">
        <x:f>IF(C1190="","Choose position",IF(COUNT(E1190:I1190)&lt;5,"",IF(OR(MIN(E1190:I1190)&lt;0.1,MAX(E1190:I1190)&gt;10),"Invalid score",IF(INDEX('Position_Rubric'!$H$6:$H$14,M1190)&lt;&gt;1,"Check weights",ROUND(E1190*INDEX('Position_Rubric'!$C$6:$C$14,M1190)+F1190*INDEX('Position_Rubric'!$D$6:$D$14,M1190)+G1190*INDEX('Position_Rubric'!$E$6:$E$14,M1190)+H1190*INDEX('Position_Rubric'!$F$6:$F$14,M1190)+I1190*INDEX('Position_Rubric'!$G$6:$G$14,M1190),1)))))</x:f>
      </x:c>
      <x:c r="K1190" s="82" t="str">
        <x:f>IF(AND(ISNUMBER(J1190),ISNUMBER(D1190)),J1190-D1190,"")</x:f>
      </x:c>
      <x:c r="L1190" s="69" t="str">
        <x:f>IF(COUNT(E1190:I1190)&lt;5,"Needs component scores",IF(ISNUMBER(J1190),"Calculated",J1190))</x:f>
        <x:v>Needs component scores</x:v>
      </x:c>
      <x:c r="M1190" s="69" t="n">
        <x:f>IF(C1190="","",MATCH(C1190,'Position_Rubric'!$A$6:$A$14,0))</x:f>
        <x:v>9</x:v>
      </x:c>
      <x:c r="N1190" s="69" t="str"/>
    </x:row>
    <x:row r="1191" ht="25" customHeight="1">
      <x:c r="A1191" s="69" t="str">
        <x:v>summer-S26-0666</x:v>
      </x:c>
      <x:c r="B1191" s="69" t="str">
        <x:v>Junior Mwanga</x:v>
      </x:c>
      <x:c r="C1191" s="69"/>
      <x:c r="D1191" s="82" t="str">
        <x:f>IF(ISNUMBER('Transfer_Ratings'!K1191),'Transfer_Ratings'!K1191,"")</x:f>
      </x:c>
      <x:c r="E1191" s="86"/>
      <x:c r="F1191" s="86"/>
      <x:c r="G1191" s="86"/>
      <x:c r="H1191" s="86"/>
      <x:c r="I1191" s="86"/>
      <x:c r="J1191" s="82" t="str">
        <x:f>IF(C1191="","Choose position",IF(COUNT(E1191:I1191)&lt;5,"",IF(OR(MIN(E1191:I1191)&lt;0.1,MAX(E1191:I1191)&gt;10),"Invalid score",IF(INDEX('Position_Rubric'!$H$6:$H$14,M1191)&lt;&gt;1,"Check weights",ROUND(E1191*INDEX('Position_Rubric'!$C$6:$C$14,M1191)+F1191*INDEX('Position_Rubric'!$D$6:$D$14,M1191)+G1191*INDEX('Position_Rubric'!$E$6:$E$14,M1191)+H1191*INDEX('Position_Rubric'!$F$6:$F$14,M1191)+I1191*INDEX('Position_Rubric'!$G$6:$G$14,M1191),1)))))</x:f>
        <x:v>Choose position</x:v>
      </x:c>
      <x:c r="K1191" s="82" t="str">
        <x:f>IF(AND(ISNUMBER(J1191),ISNUMBER(D1191)),J1191-D1191,"")</x:f>
      </x:c>
      <x:c r="L1191" s="69" t="str">
        <x:f>IF(COUNT(E1191:I1191)&lt;5,"Needs component scores",IF(ISNUMBER(J1191),"Calculated",J1191))</x:f>
        <x:v>Needs component scores</x:v>
      </x:c>
      <x:c r="M1191" s="69" t="str">
        <x:f>IF(C1191="","",MATCH(C1191,'Position_Rubric'!$A$6:$A$14,0))</x:f>
      </x:c>
      <x:c r="N1191" s="69" t="str"/>
    </x:row>
    <x:row r="1192" ht="25" customHeight="1">
      <x:c r="A1192" s="69" t="str">
        <x:v>summer-S26-0667</x:v>
      </x:c>
      <x:c r="B1192" s="69" t="str">
        <x:v>Pietro Comuzzo</x:v>
      </x:c>
      <x:c r="C1192" s="69"/>
      <x:c r="D1192" s="82" t="str">
        <x:f>IF(ISNUMBER('Transfer_Ratings'!K1192),'Transfer_Ratings'!K1192,"")</x:f>
      </x:c>
      <x:c r="E1192" s="86"/>
      <x:c r="F1192" s="86"/>
      <x:c r="G1192" s="86"/>
      <x:c r="H1192" s="86"/>
      <x:c r="I1192" s="86"/>
      <x:c r="J1192" s="82" t="str">
        <x:f>IF(C1192="","Choose position",IF(COUNT(E1192:I1192)&lt;5,"",IF(OR(MIN(E1192:I1192)&lt;0.1,MAX(E1192:I1192)&gt;10),"Invalid score",IF(INDEX('Position_Rubric'!$H$6:$H$14,M1192)&lt;&gt;1,"Check weights",ROUND(E1192*INDEX('Position_Rubric'!$C$6:$C$14,M1192)+F1192*INDEX('Position_Rubric'!$D$6:$D$14,M1192)+G1192*INDEX('Position_Rubric'!$E$6:$E$14,M1192)+H1192*INDEX('Position_Rubric'!$F$6:$F$14,M1192)+I1192*INDEX('Position_Rubric'!$G$6:$G$14,M1192),1)))))</x:f>
        <x:v>Choose position</x:v>
      </x:c>
      <x:c r="K1192" s="82" t="str">
        <x:f>IF(AND(ISNUMBER(J1192),ISNUMBER(D1192)),J1192-D1192,"")</x:f>
      </x:c>
      <x:c r="L1192" s="69" t="str">
        <x:f>IF(COUNT(E1192:I1192)&lt;5,"Needs component scores",IF(ISNUMBER(J1192),"Calculated",J1192))</x:f>
        <x:v>Needs component scores</x:v>
      </x:c>
      <x:c r="M1192" s="69" t="str">
        <x:f>IF(C1192="","",MATCH(C1192,'Position_Rubric'!$A$6:$A$14,0))</x:f>
      </x:c>
      <x:c r="N1192" s="69" t="str"/>
    </x:row>
    <x:row r="1193" ht="25" customHeight="1">
      <x:c r="A1193" s="69" t="str">
        <x:v>summer-S26-0668</x:v>
      </x:c>
      <x:c r="B1193" s="69" t="str">
        <x:v>Eray Cömert</x:v>
      </x:c>
      <x:c r="C1193" s="69"/>
      <x:c r="D1193" s="82" t="str">
        <x:f>IF(ISNUMBER('Transfer_Ratings'!K1193),'Transfer_Ratings'!K1193,"")</x:f>
      </x:c>
      <x:c r="E1193" s="86"/>
      <x:c r="F1193" s="86"/>
      <x:c r="G1193" s="86"/>
      <x:c r="H1193" s="86"/>
      <x:c r="I1193" s="86"/>
      <x:c r="J1193" s="82" t="str">
        <x:f>IF(C1193="","Choose position",IF(COUNT(E1193:I1193)&lt;5,"",IF(OR(MIN(E1193:I1193)&lt;0.1,MAX(E1193:I1193)&gt;10),"Invalid score",IF(INDEX('Position_Rubric'!$H$6:$H$14,M1193)&lt;&gt;1,"Check weights",ROUND(E1193*INDEX('Position_Rubric'!$C$6:$C$14,M1193)+F1193*INDEX('Position_Rubric'!$D$6:$D$14,M1193)+G1193*INDEX('Position_Rubric'!$E$6:$E$14,M1193)+H1193*INDEX('Position_Rubric'!$F$6:$F$14,M1193)+I1193*INDEX('Position_Rubric'!$G$6:$G$14,M1193),1)))))</x:f>
        <x:v>Choose position</x:v>
      </x:c>
      <x:c r="K1193" s="82" t="str">
        <x:f>IF(AND(ISNUMBER(J1193),ISNUMBER(D1193)),J1193-D1193,"")</x:f>
      </x:c>
      <x:c r="L1193" s="69" t="str">
        <x:f>IF(COUNT(E1193:I1193)&lt;5,"Needs component scores",IF(ISNUMBER(J1193),"Calculated",J1193))</x:f>
        <x:v>Needs component scores</x:v>
      </x:c>
      <x:c r="M1193" s="69" t="str">
        <x:f>IF(C1193="","",MATCH(C1193,'Position_Rubric'!$A$6:$A$14,0))</x:f>
      </x:c>
      <x:c r="N1193" s="69" t="str"/>
    </x:row>
    <x:row r="1194" ht="25" customHeight="1">
      <x:c r="A1194" s="69" t="str">
        <x:v>summer-S26-0669</x:v>
      </x:c>
      <x:c r="B1194" s="69" t="str">
        <x:v>Mikel Amondarain</x:v>
      </x:c>
      <x:c r="C1194" s="69"/>
      <x:c r="D1194" s="82" t="str">
        <x:f>IF(ISNUMBER('Transfer_Ratings'!K1194),'Transfer_Ratings'!K1194,"")</x:f>
      </x:c>
      <x:c r="E1194" s="86"/>
      <x:c r="F1194" s="86"/>
      <x:c r="G1194" s="86"/>
      <x:c r="H1194" s="86"/>
      <x:c r="I1194" s="86"/>
      <x:c r="J1194" s="82" t="str">
        <x:f>IF(C1194="","Choose position",IF(COUNT(E1194:I1194)&lt;5,"",IF(OR(MIN(E1194:I1194)&lt;0.1,MAX(E1194:I1194)&gt;10),"Invalid score",IF(INDEX('Position_Rubric'!$H$6:$H$14,M1194)&lt;&gt;1,"Check weights",ROUND(E1194*INDEX('Position_Rubric'!$C$6:$C$14,M1194)+F1194*INDEX('Position_Rubric'!$D$6:$D$14,M1194)+G1194*INDEX('Position_Rubric'!$E$6:$E$14,M1194)+H1194*INDEX('Position_Rubric'!$F$6:$F$14,M1194)+I1194*INDEX('Position_Rubric'!$G$6:$G$14,M1194),1)))))</x:f>
        <x:v>Choose position</x:v>
      </x:c>
      <x:c r="K1194" s="82" t="str">
        <x:f>IF(AND(ISNUMBER(J1194),ISNUMBER(D1194)),J1194-D1194,"")</x:f>
      </x:c>
      <x:c r="L1194" s="69" t="str">
        <x:f>IF(COUNT(E1194:I1194)&lt;5,"Needs component scores",IF(ISNUMBER(J1194),"Calculated",J1194))</x:f>
        <x:v>Needs component scores</x:v>
      </x:c>
      <x:c r="M1194" s="69" t="str">
        <x:f>IF(C1194="","",MATCH(C1194,'Position_Rubric'!$A$6:$A$14,0))</x:f>
      </x:c>
      <x:c r="N1194" s="69" t="str"/>
    </x:row>
    <x:row r="1195" ht="25" customHeight="1">
      <x:c r="A1195" s="69" t="str">
        <x:v>summer-S26-0671</x:v>
      </x:c>
      <x:c r="B1195" s="69" t="str">
        <x:v>Riccardo Pagano</x:v>
      </x:c>
      <x:c r="C1195" s="69"/>
      <x:c r="D1195" s="82" t="str">
        <x:f>IF(ISNUMBER('Transfer_Ratings'!K1195),'Transfer_Ratings'!K1195,"")</x:f>
      </x:c>
      <x:c r="E1195" s="86"/>
      <x:c r="F1195" s="86"/>
      <x:c r="G1195" s="86"/>
      <x:c r="H1195" s="86"/>
      <x:c r="I1195" s="86"/>
      <x:c r="J1195" s="82" t="str">
        <x:f>IF(C1195="","Choose position",IF(COUNT(E1195:I1195)&lt;5,"",IF(OR(MIN(E1195:I1195)&lt;0.1,MAX(E1195:I1195)&gt;10),"Invalid score",IF(INDEX('Position_Rubric'!$H$6:$H$14,M1195)&lt;&gt;1,"Check weights",ROUND(E1195*INDEX('Position_Rubric'!$C$6:$C$14,M1195)+F1195*INDEX('Position_Rubric'!$D$6:$D$14,M1195)+G1195*INDEX('Position_Rubric'!$E$6:$E$14,M1195)+H1195*INDEX('Position_Rubric'!$F$6:$F$14,M1195)+I1195*INDEX('Position_Rubric'!$G$6:$G$14,M1195),1)))))</x:f>
        <x:v>Choose position</x:v>
      </x:c>
      <x:c r="K1195" s="82" t="str">
        <x:f>IF(AND(ISNUMBER(J1195),ISNUMBER(D1195)),J1195-D1195,"")</x:f>
      </x:c>
      <x:c r="L1195" s="69" t="str">
        <x:f>IF(COUNT(E1195:I1195)&lt;5,"Needs component scores",IF(ISNUMBER(J1195),"Calculated",J1195))</x:f>
        <x:v>Needs component scores</x:v>
      </x:c>
      <x:c r="M1195" s="69" t="str">
        <x:f>IF(C1195="","",MATCH(C1195,'Position_Rubric'!$A$6:$A$14,0))</x:f>
      </x:c>
      <x:c r="N1195" s="69" t="str"/>
    </x:row>
    <x:row r="1196" ht="25" customHeight="1">
      <x:c r="A1196" s="69" t="str">
        <x:v>summer-S26-0672</x:v>
      </x:c>
      <x:c r="B1196" s="69" t="str">
        <x:v>Maxence Lacroix</x:v>
      </x:c>
      <x:c r="C1196" s="69"/>
      <x:c r="D1196" s="82" t="str">
        <x:f>IF(ISNUMBER('Transfer_Ratings'!K1196),'Transfer_Ratings'!K1196,"")</x:f>
      </x:c>
      <x:c r="E1196" s="86"/>
      <x:c r="F1196" s="86"/>
      <x:c r="G1196" s="86"/>
      <x:c r="H1196" s="86"/>
      <x:c r="I1196" s="86"/>
      <x:c r="J1196" s="82" t="str">
        <x:f>IF(C1196="","Choose position",IF(COUNT(E1196:I1196)&lt;5,"",IF(OR(MIN(E1196:I1196)&lt;0.1,MAX(E1196:I1196)&gt;10),"Invalid score",IF(INDEX('Position_Rubric'!$H$6:$H$14,M1196)&lt;&gt;1,"Check weights",ROUND(E1196*INDEX('Position_Rubric'!$C$6:$C$14,M1196)+F1196*INDEX('Position_Rubric'!$D$6:$D$14,M1196)+G1196*INDEX('Position_Rubric'!$E$6:$E$14,M1196)+H1196*INDEX('Position_Rubric'!$F$6:$F$14,M1196)+I1196*INDEX('Position_Rubric'!$G$6:$G$14,M1196),1)))))</x:f>
        <x:v>Choose position</x:v>
      </x:c>
      <x:c r="K1196" s="82" t="str">
        <x:f>IF(AND(ISNUMBER(J1196),ISNUMBER(D1196)),J1196-D1196,"")</x:f>
      </x:c>
      <x:c r="L1196" s="69" t="str">
        <x:f>IF(COUNT(E1196:I1196)&lt;5,"Needs component scores",IF(ISNUMBER(J1196),"Calculated",J1196))</x:f>
        <x:v>Needs component scores</x:v>
      </x:c>
      <x:c r="M1196" s="69" t="str">
        <x:f>IF(C1196="","",MATCH(C1196,'Position_Rubric'!$A$6:$A$14,0))</x:f>
      </x:c>
      <x:c r="N1196" s="69" t="str"/>
    </x:row>
    <x:row r="1197" ht="25" customHeight="1">
      <x:c r="A1197" s="69" t="str">
        <x:v>summer-S26-0674</x:v>
      </x:c>
      <x:c r="B1197" s="69" t="str">
        <x:v>Danny Imray</x:v>
      </x:c>
      <x:c r="C1197" s="69"/>
      <x:c r="D1197" s="82" t="str">
        <x:f>IF(ISNUMBER('Transfer_Ratings'!K1197),'Transfer_Ratings'!K1197,"")</x:f>
      </x:c>
      <x:c r="E1197" s="86"/>
      <x:c r="F1197" s="86"/>
      <x:c r="G1197" s="86"/>
      <x:c r="H1197" s="86"/>
      <x:c r="I1197" s="86"/>
      <x:c r="J1197" s="82" t="str">
        <x:f>IF(C1197="","Choose position",IF(COUNT(E1197:I1197)&lt;5,"",IF(OR(MIN(E1197:I1197)&lt;0.1,MAX(E1197:I1197)&gt;10),"Invalid score",IF(INDEX('Position_Rubric'!$H$6:$H$14,M1197)&lt;&gt;1,"Check weights",ROUND(E1197*INDEX('Position_Rubric'!$C$6:$C$14,M1197)+F1197*INDEX('Position_Rubric'!$D$6:$D$14,M1197)+G1197*INDEX('Position_Rubric'!$E$6:$E$14,M1197)+H1197*INDEX('Position_Rubric'!$F$6:$F$14,M1197)+I1197*INDEX('Position_Rubric'!$G$6:$G$14,M1197),1)))))</x:f>
        <x:v>Choose position</x:v>
      </x:c>
      <x:c r="K1197" s="82" t="str">
        <x:f>IF(AND(ISNUMBER(J1197),ISNUMBER(D1197)),J1197-D1197,"")</x:f>
      </x:c>
      <x:c r="L1197" s="69" t="str">
        <x:f>IF(COUNT(E1197:I1197)&lt;5,"Needs component scores",IF(ISNUMBER(J1197),"Calculated",J1197))</x:f>
        <x:v>Needs component scores</x:v>
      </x:c>
      <x:c r="M1197" s="69" t="str">
        <x:f>IF(C1197="","",MATCH(C1197,'Position_Rubric'!$A$6:$A$14,0))</x:f>
      </x:c>
      <x:c r="N1197" s="69" t="str"/>
    </x:row>
    <x:row r="1198" ht="25" customHeight="1">
      <x:c r="A1198" s="69" t="str">
        <x:v>summer-S26-0675</x:v>
      </x:c>
      <x:c r="B1198" s="69" t="str">
        <x:v>Tyler Fredricson</x:v>
      </x:c>
      <x:c r="C1198" s="69"/>
      <x:c r="D1198" s="82" t="str">
        <x:f>IF(ISNUMBER('Transfer_Ratings'!K1198),'Transfer_Ratings'!K1198,"")</x:f>
      </x:c>
      <x:c r="E1198" s="86"/>
      <x:c r="F1198" s="86"/>
      <x:c r="G1198" s="86"/>
      <x:c r="H1198" s="86"/>
      <x:c r="I1198" s="86"/>
      <x:c r="J1198" s="82" t="str">
        <x:f>IF(C1198="","Choose position",IF(COUNT(E1198:I1198)&lt;5,"",IF(OR(MIN(E1198:I1198)&lt;0.1,MAX(E1198:I1198)&gt;10),"Invalid score",IF(INDEX('Position_Rubric'!$H$6:$H$14,M1198)&lt;&gt;1,"Check weights",ROUND(E1198*INDEX('Position_Rubric'!$C$6:$C$14,M1198)+F1198*INDEX('Position_Rubric'!$D$6:$D$14,M1198)+G1198*INDEX('Position_Rubric'!$E$6:$E$14,M1198)+H1198*INDEX('Position_Rubric'!$F$6:$F$14,M1198)+I1198*INDEX('Position_Rubric'!$G$6:$G$14,M1198),1)))))</x:f>
        <x:v>Choose position</x:v>
      </x:c>
      <x:c r="K1198" s="82" t="str">
        <x:f>IF(AND(ISNUMBER(J1198),ISNUMBER(D1198)),J1198-D1198,"")</x:f>
      </x:c>
      <x:c r="L1198" s="69" t="str">
        <x:f>IF(COUNT(E1198:I1198)&lt;5,"Needs component scores",IF(ISNUMBER(J1198),"Calculated",J1198))</x:f>
        <x:v>Needs component scores</x:v>
      </x:c>
      <x:c r="M1198" s="69" t="str">
        <x:f>IF(C1198="","",MATCH(C1198,'Position_Rubric'!$A$6:$A$14,0))</x:f>
      </x:c>
      <x:c r="N1198" s="69" t="str"/>
    </x:row>
    <x:row r="1199" ht="25" customHeight="1">
      <x:c r="A1199" s="69" t="str">
        <x:v>summer-S26-0676</x:v>
      </x:c>
      <x:c r="B1199" s="69" t="str">
        <x:v>Daiki Hashioka</x:v>
      </x:c>
      <x:c r="C1199" s="69"/>
      <x:c r="D1199" s="82" t="str">
        <x:f>IF(ISNUMBER('Transfer_Ratings'!K1199),'Transfer_Ratings'!K1199,"")</x:f>
      </x:c>
      <x:c r="E1199" s="86"/>
      <x:c r="F1199" s="86"/>
      <x:c r="G1199" s="86"/>
      <x:c r="H1199" s="86"/>
      <x:c r="I1199" s="86"/>
      <x:c r="J1199" s="82" t="str">
        <x:f>IF(C1199="","Choose position",IF(COUNT(E1199:I1199)&lt;5,"",IF(OR(MIN(E1199:I1199)&lt;0.1,MAX(E1199:I1199)&gt;10),"Invalid score",IF(INDEX('Position_Rubric'!$H$6:$H$14,M1199)&lt;&gt;1,"Check weights",ROUND(E1199*INDEX('Position_Rubric'!$C$6:$C$14,M1199)+F1199*INDEX('Position_Rubric'!$D$6:$D$14,M1199)+G1199*INDEX('Position_Rubric'!$E$6:$E$14,M1199)+H1199*INDEX('Position_Rubric'!$F$6:$F$14,M1199)+I1199*INDEX('Position_Rubric'!$G$6:$G$14,M1199),1)))))</x:f>
        <x:v>Choose position</x:v>
      </x:c>
      <x:c r="K1199" s="82" t="str">
        <x:f>IF(AND(ISNUMBER(J1199),ISNUMBER(D1199)),J1199-D1199,"")</x:f>
      </x:c>
      <x:c r="L1199" s="69" t="str">
        <x:f>IF(COUNT(E1199:I1199)&lt;5,"Needs component scores",IF(ISNUMBER(J1199),"Calculated",J1199))</x:f>
        <x:v>Needs component scores</x:v>
      </x:c>
      <x:c r="M1199" s="69" t="str">
        <x:f>IF(C1199="","",MATCH(C1199,'Position_Rubric'!$A$6:$A$14,0))</x:f>
      </x:c>
      <x:c r="N1199" s="69" t="str"/>
    </x:row>
    <x:row r="1200" ht="25" customHeight="1">
      <x:c r="A1200" s="69" t="str">
        <x:v>summer-S26-0677</x:v>
      </x:c>
      <x:c r="B1200" s="69" t="str">
        <x:v>Rayan Bamba</x:v>
      </x:c>
      <x:c r="C1200" s="69"/>
      <x:c r="D1200" s="82" t="str">
        <x:f>IF(ISNUMBER('Transfer_Ratings'!K1200),'Transfer_Ratings'!K1200,"")</x:f>
      </x:c>
      <x:c r="E1200" s="86"/>
      <x:c r="F1200" s="86"/>
      <x:c r="G1200" s="86"/>
      <x:c r="H1200" s="86"/>
      <x:c r="I1200" s="86"/>
      <x:c r="J1200" s="82" t="str">
        <x:f>IF(C1200="","Choose position",IF(COUNT(E1200:I1200)&lt;5,"",IF(OR(MIN(E1200:I1200)&lt;0.1,MAX(E1200:I1200)&gt;10),"Invalid score",IF(INDEX('Position_Rubric'!$H$6:$H$14,M1200)&lt;&gt;1,"Check weights",ROUND(E1200*INDEX('Position_Rubric'!$C$6:$C$14,M1200)+F1200*INDEX('Position_Rubric'!$D$6:$D$14,M1200)+G1200*INDEX('Position_Rubric'!$E$6:$E$14,M1200)+H1200*INDEX('Position_Rubric'!$F$6:$F$14,M1200)+I1200*INDEX('Position_Rubric'!$G$6:$G$14,M1200),1)))))</x:f>
        <x:v>Choose position</x:v>
      </x:c>
      <x:c r="K1200" s="82" t="str">
        <x:f>IF(AND(ISNUMBER(J1200),ISNUMBER(D1200)),J1200-D1200,"")</x:f>
      </x:c>
      <x:c r="L1200" s="69" t="str">
        <x:f>IF(COUNT(E1200:I1200)&lt;5,"Needs component scores",IF(ISNUMBER(J1200),"Calculated",J1200))</x:f>
        <x:v>Needs component scores</x:v>
      </x:c>
      <x:c r="M1200" s="69" t="str">
        <x:f>IF(C1200="","",MATCH(C1200,'Position_Rubric'!$A$6:$A$14,0))</x:f>
      </x:c>
      <x:c r="N1200" s="69" t="str"/>
    </x:row>
    <x:row r="1201" ht="25" customHeight="1">
      <x:c r="A1201" s="69" t="str">
        <x:v>summer-S26-0679</x:v>
      </x:c>
      <x:c r="B1201" s="69" t="str">
        <x:v>Gustavo Sá</x:v>
      </x:c>
      <x:c r="C1201" s="69"/>
      <x:c r="D1201" s="82" t="str">
        <x:f>IF(ISNUMBER('Transfer_Ratings'!K1201),'Transfer_Ratings'!K1201,"")</x:f>
      </x:c>
      <x:c r="E1201" s="86"/>
      <x:c r="F1201" s="86"/>
      <x:c r="G1201" s="86"/>
      <x:c r="H1201" s="86"/>
      <x:c r="I1201" s="86"/>
      <x:c r="J1201" s="82" t="str">
        <x:f>IF(C1201="","Choose position",IF(COUNT(E1201:I1201)&lt;5,"",IF(OR(MIN(E1201:I1201)&lt;0.1,MAX(E1201:I1201)&gt;10),"Invalid score",IF(INDEX('Position_Rubric'!$H$6:$H$14,M1201)&lt;&gt;1,"Check weights",ROUND(E1201*INDEX('Position_Rubric'!$C$6:$C$14,M1201)+F1201*INDEX('Position_Rubric'!$D$6:$D$14,M1201)+G1201*INDEX('Position_Rubric'!$E$6:$E$14,M1201)+H1201*INDEX('Position_Rubric'!$F$6:$F$14,M1201)+I1201*INDEX('Position_Rubric'!$G$6:$G$14,M1201),1)))))</x:f>
        <x:v>Choose position</x:v>
      </x:c>
      <x:c r="K1201" s="82" t="str">
        <x:f>IF(AND(ISNUMBER(J1201),ISNUMBER(D1201)),J1201-D1201,"")</x:f>
      </x:c>
      <x:c r="L1201" s="69" t="str">
        <x:f>IF(COUNT(E1201:I1201)&lt;5,"Needs component scores",IF(ISNUMBER(J1201),"Calculated",J1201))</x:f>
        <x:v>Needs component scores</x:v>
      </x:c>
      <x:c r="M1201" s="69" t="str">
        <x:f>IF(C1201="","",MATCH(C1201,'Position_Rubric'!$A$6:$A$14,0))</x:f>
      </x:c>
      <x:c r="N1201" s="69" t="str"/>
    </x:row>
    <x:row r="1202" ht="25" customHeight="1">
      <x:c r="A1202" s="69" t="str">
        <x:v>summer-S26-0681</x:v>
      </x:c>
      <x:c r="B1202" s="69" t="str">
        <x:v>Alessandro Dellavalle</x:v>
      </x:c>
      <x:c r="C1202" s="69"/>
      <x:c r="D1202" s="82" t="str">
        <x:f>IF(ISNUMBER('Transfer_Ratings'!K1202),'Transfer_Ratings'!K1202,"")</x:f>
      </x:c>
      <x:c r="E1202" s="86"/>
      <x:c r="F1202" s="86"/>
      <x:c r="G1202" s="86"/>
      <x:c r="H1202" s="86"/>
      <x:c r="I1202" s="86"/>
      <x:c r="J1202" s="82" t="str">
        <x:f>IF(C1202="","Choose position",IF(COUNT(E1202:I1202)&lt;5,"",IF(OR(MIN(E1202:I1202)&lt;0.1,MAX(E1202:I1202)&gt;10),"Invalid score",IF(INDEX('Position_Rubric'!$H$6:$H$14,M1202)&lt;&gt;1,"Check weights",ROUND(E1202*INDEX('Position_Rubric'!$C$6:$C$14,M1202)+F1202*INDEX('Position_Rubric'!$D$6:$D$14,M1202)+G1202*INDEX('Position_Rubric'!$E$6:$E$14,M1202)+H1202*INDEX('Position_Rubric'!$F$6:$F$14,M1202)+I1202*INDEX('Position_Rubric'!$G$6:$G$14,M1202),1)))))</x:f>
        <x:v>Choose position</x:v>
      </x:c>
      <x:c r="K1202" s="82" t="str">
        <x:f>IF(AND(ISNUMBER(J1202),ISNUMBER(D1202)),J1202-D1202,"")</x:f>
      </x:c>
      <x:c r="L1202" s="69" t="str">
        <x:f>IF(COUNT(E1202:I1202)&lt;5,"Needs component scores",IF(ISNUMBER(J1202),"Calculated",J1202))</x:f>
        <x:v>Needs component scores</x:v>
      </x:c>
      <x:c r="M1202" s="69" t="str">
        <x:f>IF(C1202="","",MATCH(C1202,'Position_Rubric'!$A$6:$A$14,0))</x:f>
      </x:c>
      <x:c r="N1202" s="69" t="str"/>
    </x:row>
    <x:row r="1203" ht="25" customHeight="1">
      <x:c r="A1203" s="69" t="str">
        <x:v>summer-S26-0685</x:v>
      </x:c>
      <x:c r="B1203" s="69" t="str">
        <x:v>Mathys Tourraine</x:v>
      </x:c>
      <x:c r="C1203" s="69"/>
      <x:c r="D1203" s="82" t="str">
        <x:f>IF(ISNUMBER('Transfer_Ratings'!K1203),'Transfer_Ratings'!K1203,"")</x:f>
      </x:c>
      <x:c r="E1203" s="86"/>
      <x:c r="F1203" s="86"/>
      <x:c r="G1203" s="86"/>
      <x:c r="H1203" s="86"/>
      <x:c r="I1203" s="86"/>
      <x:c r="J1203" s="82" t="str">
        <x:f>IF(C1203="","Choose position",IF(COUNT(E1203:I1203)&lt;5,"",IF(OR(MIN(E1203:I1203)&lt;0.1,MAX(E1203:I1203)&gt;10),"Invalid score",IF(INDEX('Position_Rubric'!$H$6:$H$14,M1203)&lt;&gt;1,"Check weights",ROUND(E1203*INDEX('Position_Rubric'!$C$6:$C$14,M1203)+F1203*INDEX('Position_Rubric'!$D$6:$D$14,M1203)+G1203*INDEX('Position_Rubric'!$E$6:$E$14,M1203)+H1203*INDEX('Position_Rubric'!$F$6:$F$14,M1203)+I1203*INDEX('Position_Rubric'!$G$6:$G$14,M1203),1)))))</x:f>
        <x:v>Choose position</x:v>
      </x:c>
      <x:c r="K1203" s="82" t="str">
        <x:f>IF(AND(ISNUMBER(J1203),ISNUMBER(D1203)),J1203-D1203,"")</x:f>
      </x:c>
      <x:c r="L1203" s="69" t="str">
        <x:f>IF(COUNT(E1203:I1203)&lt;5,"Needs component scores",IF(ISNUMBER(J1203),"Calculated",J1203))</x:f>
        <x:v>Needs component scores</x:v>
      </x:c>
      <x:c r="M1203" s="69" t="str">
        <x:f>IF(C1203="","",MATCH(C1203,'Position_Rubric'!$A$6:$A$14,0))</x:f>
      </x:c>
      <x:c r="N1203" s="69" t="str"/>
    </x:row>
    <x:row r="1204" ht="25" customHeight="1">
      <x:c r="A1204" s="69" t="str">
        <x:v>summer-S26-0687</x:v>
      </x:c>
      <x:c r="B1204" s="69" t="str">
        <x:v>Matías Moreno</x:v>
      </x:c>
      <x:c r="C1204" s="69"/>
      <x:c r="D1204" s="82" t="str">
        <x:f>IF(ISNUMBER('Transfer_Ratings'!K1204),'Transfer_Ratings'!K1204,"")</x:f>
      </x:c>
      <x:c r="E1204" s="86"/>
      <x:c r="F1204" s="86"/>
      <x:c r="G1204" s="86"/>
      <x:c r="H1204" s="86"/>
      <x:c r="I1204" s="86"/>
      <x:c r="J1204" s="82" t="str">
        <x:f>IF(C1204="","Choose position",IF(COUNT(E1204:I1204)&lt;5,"",IF(OR(MIN(E1204:I1204)&lt;0.1,MAX(E1204:I1204)&gt;10),"Invalid score",IF(INDEX('Position_Rubric'!$H$6:$H$14,M1204)&lt;&gt;1,"Check weights",ROUND(E1204*INDEX('Position_Rubric'!$C$6:$C$14,M1204)+F1204*INDEX('Position_Rubric'!$D$6:$D$14,M1204)+G1204*INDEX('Position_Rubric'!$E$6:$E$14,M1204)+H1204*INDEX('Position_Rubric'!$F$6:$F$14,M1204)+I1204*INDEX('Position_Rubric'!$G$6:$G$14,M1204),1)))))</x:f>
        <x:v>Choose position</x:v>
      </x:c>
      <x:c r="K1204" s="82" t="str">
        <x:f>IF(AND(ISNUMBER(J1204),ISNUMBER(D1204)),J1204-D1204,"")</x:f>
      </x:c>
      <x:c r="L1204" s="69" t="str">
        <x:f>IF(COUNT(E1204:I1204)&lt;5,"Needs component scores",IF(ISNUMBER(J1204),"Calculated",J1204))</x:f>
        <x:v>Needs component scores</x:v>
      </x:c>
      <x:c r="M1204" s="69" t="str">
        <x:f>IF(C1204="","",MATCH(C1204,'Position_Rubric'!$A$6:$A$14,0))</x:f>
      </x:c>
      <x:c r="N1204" s="69" t="str"/>
    </x:row>
    <x:row r="1205" ht="25" customHeight="1">
      <x:c r="A1205" s="69" t="str">
        <x:v>summer-S26-0688</x:v>
      </x:c>
      <x:c r="B1205" s="69" t="str">
        <x:v>Saba Sazonov</x:v>
      </x:c>
      <x:c r="C1205" s="69"/>
      <x:c r="D1205" s="82" t="str">
        <x:f>IF(ISNUMBER('Transfer_Ratings'!K1205),'Transfer_Ratings'!K1205,"")</x:f>
      </x:c>
      <x:c r="E1205" s="86"/>
      <x:c r="F1205" s="86"/>
      <x:c r="G1205" s="86"/>
      <x:c r="H1205" s="86"/>
      <x:c r="I1205" s="86"/>
      <x:c r="J1205" s="82" t="str">
        <x:f>IF(C1205="","Choose position",IF(COUNT(E1205:I1205)&lt;5,"",IF(OR(MIN(E1205:I1205)&lt;0.1,MAX(E1205:I1205)&gt;10),"Invalid score",IF(INDEX('Position_Rubric'!$H$6:$H$14,M1205)&lt;&gt;1,"Check weights",ROUND(E1205*INDEX('Position_Rubric'!$C$6:$C$14,M1205)+F1205*INDEX('Position_Rubric'!$D$6:$D$14,M1205)+G1205*INDEX('Position_Rubric'!$E$6:$E$14,M1205)+H1205*INDEX('Position_Rubric'!$F$6:$F$14,M1205)+I1205*INDEX('Position_Rubric'!$G$6:$G$14,M1205),1)))))</x:f>
        <x:v>Choose position</x:v>
      </x:c>
      <x:c r="K1205" s="82" t="str">
        <x:f>IF(AND(ISNUMBER(J1205),ISNUMBER(D1205)),J1205-D1205,"")</x:f>
      </x:c>
      <x:c r="L1205" s="69" t="str">
        <x:f>IF(COUNT(E1205:I1205)&lt;5,"Needs component scores",IF(ISNUMBER(J1205),"Calculated",J1205))</x:f>
        <x:v>Needs component scores</x:v>
      </x:c>
      <x:c r="M1205" s="69" t="str">
        <x:f>IF(C1205="","",MATCH(C1205,'Position_Rubric'!$A$6:$A$14,0))</x:f>
      </x:c>
      <x:c r="N1205" s="69" t="str"/>
    </x:row>
    <x:row r="1206" ht="25" customHeight="1">
      <x:c r="A1206" s="69" t="str">
        <x:v>summer-S26-0690</x:v>
      </x:c>
      <x:c r="B1206" s="69" t="str">
        <x:v>Ollie Harrison</x:v>
      </x:c>
      <x:c r="C1206" s="69"/>
      <x:c r="D1206" s="82" t="str">
        <x:f>IF(ISNUMBER('Transfer_Ratings'!K1206),'Transfer_Ratings'!K1206,"")</x:f>
      </x:c>
      <x:c r="E1206" s="86"/>
      <x:c r="F1206" s="86"/>
      <x:c r="G1206" s="86"/>
      <x:c r="H1206" s="86"/>
      <x:c r="I1206" s="86"/>
      <x:c r="J1206" s="82" t="str">
        <x:f>IF(C1206="","Choose position",IF(COUNT(E1206:I1206)&lt;5,"",IF(OR(MIN(E1206:I1206)&lt;0.1,MAX(E1206:I1206)&gt;10),"Invalid score",IF(INDEX('Position_Rubric'!$H$6:$H$14,M1206)&lt;&gt;1,"Check weights",ROUND(E1206*INDEX('Position_Rubric'!$C$6:$C$14,M1206)+F1206*INDEX('Position_Rubric'!$D$6:$D$14,M1206)+G1206*INDEX('Position_Rubric'!$E$6:$E$14,M1206)+H1206*INDEX('Position_Rubric'!$F$6:$F$14,M1206)+I1206*INDEX('Position_Rubric'!$G$6:$G$14,M1206),1)))))</x:f>
        <x:v>Choose position</x:v>
      </x:c>
      <x:c r="K1206" s="82" t="str">
        <x:f>IF(AND(ISNUMBER(J1206),ISNUMBER(D1206)),J1206-D1206,"")</x:f>
      </x:c>
      <x:c r="L1206" s="69" t="str">
        <x:f>IF(COUNT(E1206:I1206)&lt;5,"Needs component scores",IF(ISNUMBER(J1206),"Calculated",J1206))</x:f>
        <x:v>Needs component scores</x:v>
      </x:c>
      <x:c r="M1206" s="69" t="str">
        <x:f>IF(C1206="","",MATCH(C1206,'Position_Rubric'!$A$6:$A$14,0))</x:f>
      </x:c>
      <x:c r="N1206" s="69" t="str"/>
    </x:row>
    <x:row r="1207" ht="25" customHeight="1">
      <x:c r="A1207" s="69" t="str">
        <x:v>summer-S26-0692</x:v>
      </x:c>
      <x:c r="B1207" s="69" t="str">
        <x:v>Martín Payero</x:v>
      </x:c>
      <x:c r="C1207" s="69"/>
      <x:c r="D1207" s="82" t="str">
        <x:f>IF(ISNUMBER('Transfer_Ratings'!K1207),'Transfer_Ratings'!K1207,"")</x:f>
      </x:c>
      <x:c r="E1207" s="86"/>
      <x:c r="F1207" s="86"/>
      <x:c r="G1207" s="86"/>
      <x:c r="H1207" s="86"/>
      <x:c r="I1207" s="86"/>
      <x:c r="J1207" s="82" t="str">
        <x:f>IF(C1207="","Choose position",IF(COUNT(E1207:I1207)&lt;5,"",IF(OR(MIN(E1207:I1207)&lt;0.1,MAX(E1207:I1207)&gt;10),"Invalid score",IF(INDEX('Position_Rubric'!$H$6:$H$14,M1207)&lt;&gt;1,"Check weights",ROUND(E1207*INDEX('Position_Rubric'!$C$6:$C$14,M1207)+F1207*INDEX('Position_Rubric'!$D$6:$D$14,M1207)+G1207*INDEX('Position_Rubric'!$E$6:$E$14,M1207)+H1207*INDEX('Position_Rubric'!$F$6:$F$14,M1207)+I1207*INDEX('Position_Rubric'!$G$6:$G$14,M1207),1)))))</x:f>
        <x:v>Choose position</x:v>
      </x:c>
      <x:c r="K1207" s="82" t="str">
        <x:f>IF(AND(ISNUMBER(J1207),ISNUMBER(D1207)),J1207-D1207,"")</x:f>
      </x:c>
      <x:c r="L1207" s="69" t="str">
        <x:f>IF(COUNT(E1207:I1207)&lt;5,"Needs component scores",IF(ISNUMBER(J1207),"Calculated",J1207))</x:f>
        <x:v>Needs component scores</x:v>
      </x:c>
      <x:c r="M1207" s="69" t="str">
        <x:f>IF(C1207="","",MATCH(C1207,'Position_Rubric'!$A$6:$A$14,0))</x:f>
      </x:c>
      <x:c r="N1207" s="69" t="str"/>
    </x:row>
    <x:row r="1208" ht="25" customHeight="1">
      <x:c r="A1208" s="69" t="str">
        <x:v>summer-S26-0694</x:v>
      </x:c>
      <x:c r="B1208" s="69" t="str">
        <x:v>Federico Ravaglia</x:v>
      </x:c>
      <x:c r="C1208" s="69" t="str">
        <x:v>GK</x:v>
      </x:c>
      <x:c r="D1208" s="82" t="str">
        <x:f>IF(ISNUMBER('Transfer_Ratings'!K1208),'Transfer_Ratings'!K1208,"")</x:f>
      </x:c>
      <x:c r="E1208" s="86"/>
      <x:c r="F1208" s="86"/>
      <x:c r="G1208" s="86"/>
      <x:c r="H1208" s="86"/>
      <x:c r="I1208" s="86"/>
      <x:c r="J1208" s="82" t="str">
        <x:f>IF(C1208="","Choose position",IF(COUNT(E1208:I1208)&lt;5,"",IF(OR(MIN(E1208:I1208)&lt;0.1,MAX(E1208:I1208)&gt;10),"Invalid score",IF(INDEX('Position_Rubric'!$H$6:$H$14,M1208)&lt;&gt;1,"Check weights",ROUND(E1208*INDEX('Position_Rubric'!$C$6:$C$14,M1208)+F1208*INDEX('Position_Rubric'!$D$6:$D$14,M1208)+G1208*INDEX('Position_Rubric'!$E$6:$E$14,M1208)+H1208*INDEX('Position_Rubric'!$F$6:$F$14,M1208)+I1208*INDEX('Position_Rubric'!$G$6:$G$14,M1208),1)))))</x:f>
      </x:c>
      <x:c r="K1208" s="82" t="str">
        <x:f>IF(AND(ISNUMBER(J1208),ISNUMBER(D1208)),J1208-D1208,"")</x:f>
      </x:c>
      <x:c r="L1208" s="69" t="str">
        <x:f>IF(COUNT(E1208:I1208)&lt;5,"Needs component scores",IF(ISNUMBER(J1208),"Calculated",J1208))</x:f>
        <x:v>Needs component scores</x:v>
      </x:c>
      <x:c r="M1208" s="69" t="n">
        <x:f>IF(C1208="","",MATCH(C1208,'Position_Rubric'!$A$6:$A$14,0))</x:f>
        <x:v>9</x:v>
      </x:c>
      <x:c r="N1208" s="69" t="str"/>
    </x:row>
    <x:row r="1209" ht="25" customHeight="1">
      <x:c r="A1209" s="69" t="str">
        <x:v>summer-S26-0695</x:v>
      </x:c>
      <x:c r="B1209" s="69" t="str">
        <x:v>Mateusz Wieteska</x:v>
      </x:c>
      <x:c r="C1209" s="69"/>
      <x:c r="D1209" s="82" t="str">
        <x:f>IF(ISNUMBER('Transfer_Ratings'!K1209),'Transfer_Ratings'!K1209,"")</x:f>
      </x:c>
      <x:c r="E1209" s="86"/>
      <x:c r="F1209" s="86"/>
      <x:c r="G1209" s="86"/>
      <x:c r="H1209" s="86"/>
      <x:c r="I1209" s="86"/>
      <x:c r="J1209" s="82" t="str">
        <x:f>IF(C1209="","Choose position",IF(COUNT(E1209:I1209)&lt;5,"",IF(OR(MIN(E1209:I1209)&lt;0.1,MAX(E1209:I1209)&gt;10),"Invalid score",IF(INDEX('Position_Rubric'!$H$6:$H$14,M1209)&lt;&gt;1,"Check weights",ROUND(E1209*INDEX('Position_Rubric'!$C$6:$C$14,M1209)+F1209*INDEX('Position_Rubric'!$D$6:$D$14,M1209)+G1209*INDEX('Position_Rubric'!$E$6:$E$14,M1209)+H1209*INDEX('Position_Rubric'!$F$6:$F$14,M1209)+I1209*INDEX('Position_Rubric'!$G$6:$G$14,M1209),1)))))</x:f>
        <x:v>Choose position</x:v>
      </x:c>
      <x:c r="K1209" s="82" t="str">
        <x:f>IF(AND(ISNUMBER(J1209),ISNUMBER(D1209)),J1209-D1209,"")</x:f>
      </x:c>
      <x:c r="L1209" s="69" t="str">
        <x:f>IF(COUNT(E1209:I1209)&lt;5,"Needs component scores",IF(ISNUMBER(J1209),"Calculated",J1209))</x:f>
        <x:v>Needs component scores</x:v>
      </x:c>
      <x:c r="M1209" s="69" t="str">
        <x:f>IF(C1209="","",MATCH(C1209,'Position_Rubric'!$A$6:$A$14,0))</x:f>
      </x:c>
      <x:c r="N1209" s="69" t="str"/>
    </x:row>
    <x:row r="1210" ht="25" customHeight="1">
      <x:c r="A1210" s="69" t="str">
        <x:v>summer-S26-0696</x:v>
      </x:c>
      <x:c r="B1210" s="69" t="str">
        <x:v>Kian Fitz-Jim</x:v>
      </x:c>
      <x:c r="C1210" s="69"/>
      <x:c r="D1210" s="82" t="str">
        <x:f>IF(ISNUMBER('Transfer_Ratings'!K1210),'Transfer_Ratings'!K1210,"")</x:f>
      </x:c>
      <x:c r="E1210" s="86"/>
      <x:c r="F1210" s="86"/>
      <x:c r="G1210" s="86"/>
      <x:c r="H1210" s="86"/>
      <x:c r="I1210" s="86"/>
      <x:c r="J1210" s="82" t="str">
        <x:f>IF(C1210="","Choose position",IF(COUNT(E1210:I1210)&lt;5,"",IF(OR(MIN(E1210:I1210)&lt;0.1,MAX(E1210:I1210)&gt;10),"Invalid score",IF(INDEX('Position_Rubric'!$H$6:$H$14,M1210)&lt;&gt;1,"Check weights",ROUND(E1210*INDEX('Position_Rubric'!$C$6:$C$14,M1210)+F1210*INDEX('Position_Rubric'!$D$6:$D$14,M1210)+G1210*INDEX('Position_Rubric'!$E$6:$E$14,M1210)+H1210*INDEX('Position_Rubric'!$F$6:$F$14,M1210)+I1210*INDEX('Position_Rubric'!$G$6:$G$14,M1210),1)))))</x:f>
        <x:v>Choose position</x:v>
      </x:c>
      <x:c r="K1210" s="82" t="str">
        <x:f>IF(AND(ISNUMBER(J1210),ISNUMBER(D1210)),J1210-D1210,"")</x:f>
      </x:c>
      <x:c r="L1210" s="69" t="str">
        <x:f>IF(COUNT(E1210:I1210)&lt;5,"Needs component scores",IF(ISNUMBER(J1210),"Calculated",J1210))</x:f>
        <x:v>Needs component scores</x:v>
      </x:c>
      <x:c r="M1210" s="69" t="str">
        <x:f>IF(C1210="","",MATCH(C1210,'Position_Rubric'!$A$6:$A$14,0))</x:f>
      </x:c>
      <x:c r="N1210" s="69" t="str"/>
    </x:row>
    <x:row r="1211" ht="25" customHeight="1">
      <x:c r="A1211" s="69" t="str">
        <x:v>summer-S26-0698</x:v>
      </x:c>
      <x:c r="B1211" s="69" t="str">
        <x:v>Mattia Viti</x:v>
      </x:c>
      <x:c r="C1211" s="69"/>
      <x:c r="D1211" s="82" t="str">
        <x:f>IF(ISNUMBER('Transfer_Ratings'!K1211),'Transfer_Ratings'!K1211,"")</x:f>
      </x:c>
      <x:c r="E1211" s="86"/>
      <x:c r="F1211" s="86"/>
      <x:c r="G1211" s="86"/>
      <x:c r="H1211" s="86"/>
      <x:c r="I1211" s="86"/>
      <x:c r="J1211" s="82" t="str">
        <x:f>IF(C1211="","Choose position",IF(COUNT(E1211:I1211)&lt;5,"",IF(OR(MIN(E1211:I1211)&lt;0.1,MAX(E1211:I1211)&gt;10),"Invalid score",IF(INDEX('Position_Rubric'!$H$6:$H$14,M1211)&lt;&gt;1,"Check weights",ROUND(E1211*INDEX('Position_Rubric'!$C$6:$C$14,M1211)+F1211*INDEX('Position_Rubric'!$D$6:$D$14,M1211)+G1211*INDEX('Position_Rubric'!$E$6:$E$14,M1211)+H1211*INDEX('Position_Rubric'!$F$6:$F$14,M1211)+I1211*INDEX('Position_Rubric'!$G$6:$G$14,M1211),1)))))</x:f>
        <x:v>Choose position</x:v>
      </x:c>
      <x:c r="K1211" s="82" t="str">
        <x:f>IF(AND(ISNUMBER(J1211),ISNUMBER(D1211)),J1211-D1211,"")</x:f>
      </x:c>
      <x:c r="L1211" s="69" t="str">
        <x:f>IF(COUNT(E1211:I1211)&lt;5,"Needs component scores",IF(ISNUMBER(J1211),"Calculated",J1211))</x:f>
        <x:v>Needs component scores</x:v>
      </x:c>
      <x:c r="M1211" s="69" t="str">
        <x:f>IF(C1211="","",MATCH(C1211,'Position_Rubric'!$A$6:$A$14,0))</x:f>
      </x:c>
      <x:c r="N1211" s="69" t="str"/>
    </x:row>
    <x:row r="1212" ht="25" customHeight="1">
      <x:c r="A1212" s="69" t="str">
        <x:v>summer-S26-0699</x:v>
      </x:c>
      <x:c r="B1212" s="69" t="str">
        <x:v>Julian Brandt</x:v>
      </x:c>
      <x:c r="C1212" s="69"/>
      <x:c r="D1212" s="82" t="str">
        <x:f>IF(ISNUMBER('Transfer_Ratings'!K1212),'Transfer_Ratings'!K1212,"")</x:f>
      </x:c>
      <x:c r="E1212" s="86"/>
      <x:c r="F1212" s="86"/>
      <x:c r="G1212" s="86"/>
      <x:c r="H1212" s="86"/>
      <x:c r="I1212" s="86"/>
      <x:c r="J1212" s="82" t="str">
        <x:f>IF(C1212="","Choose position",IF(COUNT(E1212:I1212)&lt;5,"",IF(OR(MIN(E1212:I1212)&lt;0.1,MAX(E1212:I1212)&gt;10),"Invalid score",IF(INDEX('Position_Rubric'!$H$6:$H$14,M1212)&lt;&gt;1,"Check weights",ROUND(E1212*INDEX('Position_Rubric'!$C$6:$C$14,M1212)+F1212*INDEX('Position_Rubric'!$D$6:$D$14,M1212)+G1212*INDEX('Position_Rubric'!$E$6:$E$14,M1212)+H1212*INDEX('Position_Rubric'!$F$6:$F$14,M1212)+I1212*INDEX('Position_Rubric'!$G$6:$G$14,M1212),1)))))</x:f>
        <x:v>Choose position</x:v>
      </x:c>
      <x:c r="K1212" s="82" t="str">
        <x:f>IF(AND(ISNUMBER(J1212),ISNUMBER(D1212)),J1212-D1212,"")</x:f>
      </x:c>
      <x:c r="L1212" s="69" t="str">
        <x:f>IF(COUNT(E1212:I1212)&lt;5,"Needs component scores",IF(ISNUMBER(J1212),"Calculated",J1212))</x:f>
        <x:v>Needs component scores</x:v>
      </x:c>
      <x:c r="M1212" s="69" t="str">
        <x:f>IF(C1212="","",MATCH(C1212,'Position_Rubric'!$A$6:$A$14,0))</x:f>
      </x:c>
      <x:c r="N1212" s="69" t="str"/>
    </x:row>
    <x:row r="1213" ht="25" customHeight="1">
      <x:c r="A1213" s="69" t="str">
        <x:v>summer-S26-0701</x:v>
      </x:c>
      <x:c r="B1213" s="69" t="str">
        <x:v>Mario Mitaj</x:v>
      </x:c>
      <x:c r="C1213" s="69"/>
      <x:c r="D1213" s="82" t="str">
        <x:f>IF(ISNUMBER('Transfer_Ratings'!K1213),'Transfer_Ratings'!K1213,"")</x:f>
      </x:c>
      <x:c r="E1213" s="86"/>
      <x:c r="F1213" s="86"/>
      <x:c r="G1213" s="86"/>
      <x:c r="H1213" s="86"/>
      <x:c r="I1213" s="86"/>
      <x:c r="J1213" s="82" t="str">
        <x:f>IF(C1213="","Choose position",IF(COUNT(E1213:I1213)&lt;5,"",IF(OR(MIN(E1213:I1213)&lt;0.1,MAX(E1213:I1213)&gt;10),"Invalid score",IF(INDEX('Position_Rubric'!$H$6:$H$14,M1213)&lt;&gt;1,"Check weights",ROUND(E1213*INDEX('Position_Rubric'!$C$6:$C$14,M1213)+F1213*INDEX('Position_Rubric'!$D$6:$D$14,M1213)+G1213*INDEX('Position_Rubric'!$E$6:$E$14,M1213)+H1213*INDEX('Position_Rubric'!$F$6:$F$14,M1213)+I1213*INDEX('Position_Rubric'!$G$6:$G$14,M1213),1)))))</x:f>
        <x:v>Choose position</x:v>
      </x:c>
      <x:c r="K1213" s="82" t="str">
        <x:f>IF(AND(ISNUMBER(J1213),ISNUMBER(D1213)),J1213-D1213,"")</x:f>
      </x:c>
      <x:c r="L1213" s="69" t="str">
        <x:f>IF(COUNT(E1213:I1213)&lt;5,"Needs component scores",IF(ISNUMBER(J1213),"Calculated",J1213))</x:f>
        <x:v>Needs component scores</x:v>
      </x:c>
      <x:c r="M1213" s="69" t="str">
        <x:f>IF(C1213="","",MATCH(C1213,'Position_Rubric'!$A$6:$A$14,0))</x:f>
      </x:c>
      <x:c r="N1213" s="69" t="str"/>
    </x:row>
    <x:row r="1214" ht="25" customHeight="1">
      <x:c r="A1214" s="69" t="str">
        <x:v>summer-S26-0703</x:v>
      </x:c>
      <x:c r="B1214" s="69" t="str">
        <x:v>António Silva</x:v>
      </x:c>
      <x:c r="C1214" s="69"/>
      <x:c r="D1214" s="82" t="str">
        <x:f>IF(ISNUMBER('Transfer_Ratings'!K1214),'Transfer_Ratings'!K1214,"")</x:f>
      </x:c>
      <x:c r="E1214" s="86"/>
      <x:c r="F1214" s="86"/>
      <x:c r="G1214" s="86"/>
      <x:c r="H1214" s="86"/>
      <x:c r="I1214" s="86"/>
      <x:c r="J1214" s="82" t="str">
        <x:f>IF(C1214="","Choose position",IF(COUNT(E1214:I1214)&lt;5,"",IF(OR(MIN(E1214:I1214)&lt;0.1,MAX(E1214:I1214)&gt;10),"Invalid score",IF(INDEX('Position_Rubric'!$H$6:$H$14,M1214)&lt;&gt;1,"Check weights",ROUND(E1214*INDEX('Position_Rubric'!$C$6:$C$14,M1214)+F1214*INDEX('Position_Rubric'!$D$6:$D$14,M1214)+G1214*INDEX('Position_Rubric'!$E$6:$E$14,M1214)+H1214*INDEX('Position_Rubric'!$F$6:$F$14,M1214)+I1214*INDEX('Position_Rubric'!$G$6:$G$14,M1214),1)))))</x:f>
        <x:v>Choose position</x:v>
      </x:c>
      <x:c r="K1214" s="82" t="str">
        <x:f>IF(AND(ISNUMBER(J1214),ISNUMBER(D1214)),J1214-D1214,"")</x:f>
      </x:c>
      <x:c r="L1214" s="69" t="str">
        <x:f>IF(COUNT(E1214:I1214)&lt;5,"Needs component scores",IF(ISNUMBER(J1214),"Calculated",J1214))</x:f>
        <x:v>Needs component scores</x:v>
      </x:c>
      <x:c r="M1214" s="69" t="str">
        <x:f>IF(C1214="","",MATCH(C1214,'Position_Rubric'!$A$6:$A$14,0))</x:f>
      </x:c>
      <x:c r="N1214" s="69" t="str"/>
    </x:row>
    <x:row r="1215" ht="25" customHeight="1">
      <x:c r="A1215" s="69" t="str">
        <x:v>summer-S26-0705</x:v>
      </x:c>
      <x:c r="B1215" s="69" t="str">
        <x:v>Damían Rodríguez</x:v>
      </x:c>
      <x:c r="C1215" s="69"/>
      <x:c r="D1215" s="82" t="str">
        <x:f>IF(ISNUMBER('Transfer_Ratings'!K1215),'Transfer_Ratings'!K1215,"")</x:f>
      </x:c>
      <x:c r="E1215" s="86"/>
      <x:c r="F1215" s="86"/>
      <x:c r="G1215" s="86"/>
      <x:c r="H1215" s="86"/>
      <x:c r="I1215" s="86"/>
      <x:c r="J1215" s="82" t="str">
        <x:f>IF(C1215="","Choose position",IF(COUNT(E1215:I1215)&lt;5,"",IF(OR(MIN(E1215:I1215)&lt;0.1,MAX(E1215:I1215)&gt;10),"Invalid score",IF(INDEX('Position_Rubric'!$H$6:$H$14,M1215)&lt;&gt;1,"Check weights",ROUND(E1215*INDEX('Position_Rubric'!$C$6:$C$14,M1215)+F1215*INDEX('Position_Rubric'!$D$6:$D$14,M1215)+G1215*INDEX('Position_Rubric'!$E$6:$E$14,M1215)+H1215*INDEX('Position_Rubric'!$F$6:$F$14,M1215)+I1215*INDEX('Position_Rubric'!$G$6:$G$14,M1215),1)))))</x:f>
        <x:v>Choose position</x:v>
      </x:c>
      <x:c r="K1215" s="82" t="str">
        <x:f>IF(AND(ISNUMBER(J1215),ISNUMBER(D1215)),J1215-D1215,"")</x:f>
      </x:c>
      <x:c r="L1215" s="69" t="str">
        <x:f>IF(COUNT(E1215:I1215)&lt;5,"Needs component scores",IF(ISNUMBER(J1215),"Calculated",J1215))</x:f>
        <x:v>Needs component scores</x:v>
      </x:c>
      <x:c r="M1215" s="69" t="str">
        <x:f>IF(C1215="","",MATCH(C1215,'Position_Rubric'!$A$6:$A$14,0))</x:f>
      </x:c>
      <x:c r="N1215" s="69" t="str"/>
    </x:row>
    <x:row r="1216" ht="25" customHeight="1">
      <x:c r="A1216" s="69" t="str">
        <x:v>summer-S26-0706</x:v>
      </x:c>
      <x:c r="B1216" s="69" t="str">
        <x:v>Hervé Koffi</x:v>
      </x:c>
      <x:c r="C1216" s="69" t="str">
        <x:v>GK</x:v>
      </x:c>
      <x:c r="D1216" s="82" t="str">
        <x:f>IF(ISNUMBER('Transfer_Ratings'!K1216),'Transfer_Ratings'!K1216,"")</x:f>
      </x:c>
      <x:c r="E1216" s="86"/>
      <x:c r="F1216" s="86"/>
      <x:c r="G1216" s="86"/>
      <x:c r="H1216" s="86"/>
      <x:c r="I1216" s="86"/>
      <x:c r="J1216" s="82" t="str">
        <x:f>IF(C1216="","Choose position",IF(COUNT(E1216:I1216)&lt;5,"",IF(OR(MIN(E1216:I1216)&lt;0.1,MAX(E1216:I1216)&gt;10),"Invalid score",IF(INDEX('Position_Rubric'!$H$6:$H$14,M1216)&lt;&gt;1,"Check weights",ROUND(E1216*INDEX('Position_Rubric'!$C$6:$C$14,M1216)+F1216*INDEX('Position_Rubric'!$D$6:$D$14,M1216)+G1216*INDEX('Position_Rubric'!$E$6:$E$14,M1216)+H1216*INDEX('Position_Rubric'!$F$6:$F$14,M1216)+I1216*INDEX('Position_Rubric'!$G$6:$G$14,M1216),1)))))</x:f>
      </x:c>
      <x:c r="K1216" s="82" t="str">
        <x:f>IF(AND(ISNUMBER(J1216),ISNUMBER(D1216)),J1216-D1216,"")</x:f>
      </x:c>
      <x:c r="L1216" s="69" t="str">
        <x:f>IF(COUNT(E1216:I1216)&lt;5,"Needs component scores",IF(ISNUMBER(J1216),"Calculated",J1216))</x:f>
        <x:v>Needs component scores</x:v>
      </x:c>
      <x:c r="M1216" s="69" t="n">
        <x:f>IF(C1216="","",MATCH(C1216,'Position_Rubric'!$A$6:$A$14,0))</x:f>
        <x:v>9</x:v>
      </x:c>
      <x:c r="N1216" s="69" t="str"/>
    </x:row>
    <x:row r="1217" ht="25" customHeight="1">
      <x:c r="A1217" s="69" t="str">
        <x:v>summer-S26-0707</x:v>
      </x:c>
      <x:c r="B1217" s="69" t="str">
        <x:v>Kevin Akpoguma</x:v>
      </x:c>
      <x:c r="C1217" s="69"/>
      <x:c r="D1217" s="82" t="str">
        <x:f>IF(ISNUMBER('Transfer_Ratings'!K1217),'Transfer_Ratings'!K1217,"")</x:f>
      </x:c>
      <x:c r="E1217" s="86"/>
      <x:c r="F1217" s="86"/>
      <x:c r="G1217" s="86"/>
      <x:c r="H1217" s="86"/>
      <x:c r="I1217" s="86"/>
      <x:c r="J1217" s="82" t="str">
        <x:f>IF(C1217="","Choose position",IF(COUNT(E1217:I1217)&lt;5,"",IF(OR(MIN(E1217:I1217)&lt;0.1,MAX(E1217:I1217)&gt;10),"Invalid score",IF(INDEX('Position_Rubric'!$H$6:$H$14,M1217)&lt;&gt;1,"Check weights",ROUND(E1217*INDEX('Position_Rubric'!$C$6:$C$14,M1217)+F1217*INDEX('Position_Rubric'!$D$6:$D$14,M1217)+G1217*INDEX('Position_Rubric'!$E$6:$E$14,M1217)+H1217*INDEX('Position_Rubric'!$F$6:$F$14,M1217)+I1217*INDEX('Position_Rubric'!$G$6:$G$14,M1217),1)))))</x:f>
        <x:v>Choose position</x:v>
      </x:c>
      <x:c r="K1217" s="82" t="str">
        <x:f>IF(AND(ISNUMBER(J1217),ISNUMBER(D1217)),J1217-D1217,"")</x:f>
      </x:c>
      <x:c r="L1217" s="69" t="str">
        <x:f>IF(COUNT(E1217:I1217)&lt;5,"Needs component scores",IF(ISNUMBER(J1217),"Calculated",J1217))</x:f>
        <x:v>Needs component scores</x:v>
      </x:c>
      <x:c r="M1217" s="69" t="str">
        <x:f>IF(C1217="","",MATCH(C1217,'Position_Rubric'!$A$6:$A$14,0))</x:f>
      </x:c>
      <x:c r="N1217" s="69" t="str"/>
    </x:row>
    <x:row r="1218" ht="25" customHeight="1">
      <x:c r="A1218" s="69" t="str">
        <x:v>summer-S26-0708</x:v>
      </x:c>
      <x:c r="B1218" s="69" t="str">
        <x:v>Ebenezer Akinsanmiro</x:v>
      </x:c>
      <x:c r="C1218" s="69"/>
      <x:c r="D1218" s="82" t="str">
        <x:f>IF(ISNUMBER('Transfer_Ratings'!K1218),'Transfer_Ratings'!K1218,"")</x:f>
      </x:c>
      <x:c r="E1218" s="86"/>
      <x:c r="F1218" s="86"/>
      <x:c r="G1218" s="86"/>
      <x:c r="H1218" s="86"/>
      <x:c r="I1218" s="86"/>
      <x:c r="J1218" s="82" t="str">
        <x:f>IF(C1218="","Choose position",IF(COUNT(E1218:I1218)&lt;5,"",IF(OR(MIN(E1218:I1218)&lt;0.1,MAX(E1218:I1218)&gt;10),"Invalid score",IF(INDEX('Position_Rubric'!$H$6:$H$14,M1218)&lt;&gt;1,"Check weights",ROUND(E1218*INDEX('Position_Rubric'!$C$6:$C$14,M1218)+F1218*INDEX('Position_Rubric'!$D$6:$D$14,M1218)+G1218*INDEX('Position_Rubric'!$E$6:$E$14,M1218)+H1218*INDEX('Position_Rubric'!$F$6:$F$14,M1218)+I1218*INDEX('Position_Rubric'!$G$6:$G$14,M1218),1)))))</x:f>
        <x:v>Choose position</x:v>
      </x:c>
      <x:c r="K1218" s="82" t="str">
        <x:f>IF(AND(ISNUMBER(J1218),ISNUMBER(D1218)),J1218-D1218,"")</x:f>
      </x:c>
      <x:c r="L1218" s="69" t="str">
        <x:f>IF(COUNT(E1218:I1218)&lt;5,"Needs component scores",IF(ISNUMBER(J1218),"Calculated",J1218))</x:f>
        <x:v>Needs component scores</x:v>
      </x:c>
      <x:c r="M1218" s="69" t="str">
        <x:f>IF(C1218="","",MATCH(C1218,'Position_Rubric'!$A$6:$A$14,0))</x:f>
      </x:c>
      <x:c r="N1218" s="69" t="str"/>
    </x:row>
    <x:row r="1219" ht="25" customHeight="1">
      <x:c r="A1219" s="69" t="str">
        <x:v>summer-S26-0710</x:v>
      </x:c>
      <x:c r="B1219" s="69" t="str">
        <x:v>Mamadou Sangaré</x:v>
      </x:c>
      <x:c r="C1219" s="69"/>
      <x:c r="D1219" s="82" t="str">
        <x:f>IF(ISNUMBER('Transfer_Ratings'!K1219),'Transfer_Ratings'!K1219,"")</x:f>
      </x:c>
      <x:c r="E1219" s="86"/>
      <x:c r="F1219" s="86"/>
      <x:c r="G1219" s="86"/>
      <x:c r="H1219" s="86"/>
      <x:c r="I1219" s="86"/>
      <x:c r="J1219" s="82" t="str">
        <x:f>IF(C1219="","Choose position",IF(COUNT(E1219:I1219)&lt;5,"",IF(OR(MIN(E1219:I1219)&lt;0.1,MAX(E1219:I1219)&gt;10),"Invalid score",IF(INDEX('Position_Rubric'!$H$6:$H$14,M1219)&lt;&gt;1,"Check weights",ROUND(E1219*INDEX('Position_Rubric'!$C$6:$C$14,M1219)+F1219*INDEX('Position_Rubric'!$D$6:$D$14,M1219)+G1219*INDEX('Position_Rubric'!$E$6:$E$14,M1219)+H1219*INDEX('Position_Rubric'!$F$6:$F$14,M1219)+I1219*INDEX('Position_Rubric'!$G$6:$G$14,M1219),1)))))</x:f>
        <x:v>Choose position</x:v>
      </x:c>
      <x:c r="K1219" s="82" t="str">
        <x:f>IF(AND(ISNUMBER(J1219),ISNUMBER(D1219)),J1219-D1219,"")</x:f>
      </x:c>
      <x:c r="L1219" s="69" t="str">
        <x:f>IF(COUNT(E1219:I1219)&lt;5,"Needs component scores",IF(ISNUMBER(J1219),"Calculated",J1219))</x:f>
        <x:v>Needs component scores</x:v>
      </x:c>
      <x:c r="M1219" s="69" t="str">
        <x:f>IF(C1219="","",MATCH(C1219,'Position_Rubric'!$A$6:$A$14,0))</x:f>
      </x:c>
      <x:c r="N1219" s="69" t="str"/>
    </x:row>
    <x:row r="1220" ht="25" customHeight="1">
      <x:c r="A1220" s="69" t="str">
        <x:v>summer-S26-0711</x:v>
      </x:c>
      <x:c r="B1220" s="69" t="str">
        <x:v>Nathan Tinsdale</x:v>
      </x:c>
      <x:c r="C1220" s="69"/>
      <x:c r="D1220" s="82" t="str">
        <x:f>IF(ISNUMBER('Transfer_Ratings'!K1220),'Transfer_Ratings'!K1220,"")</x:f>
      </x:c>
      <x:c r="E1220" s="86"/>
      <x:c r="F1220" s="86"/>
      <x:c r="G1220" s="86"/>
      <x:c r="H1220" s="86"/>
      <x:c r="I1220" s="86"/>
      <x:c r="J1220" s="82" t="str">
        <x:f>IF(C1220="","Choose position",IF(COUNT(E1220:I1220)&lt;5,"",IF(OR(MIN(E1220:I1220)&lt;0.1,MAX(E1220:I1220)&gt;10),"Invalid score",IF(INDEX('Position_Rubric'!$H$6:$H$14,M1220)&lt;&gt;1,"Check weights",ROUND(E1220*INDEX('Position_Rubric'!$C$6:$C$14,M1220)+F1220*INDEX('Position_Rubric'!$D$6:$D$14,M1220)+G1220*INDEX('Position_Rubric'!$E$6:$E$14,M1220)+H1220*INDEX('Position_Rubric'!$F$6:$F$14,M1220)+I1220*INDEX('Position_Rubric'!$G$6:$G$14,M1220),1)))))</x:f>
        <x:v>Choose position</x:v>
      </x:c>
      <x:c r="K1220" s="82" t="str">
        <x:f>IF(AND(ISNUMBER(J1220),ISNUMBER(D1220)),J1220-D1220,"")</x:f>
      </x:c>
      <x:c r="L1220" s="69" t="str">
        <x:f>IF(COUNT(E1220:I1220)&lt;5,"Needs component scores",IF(ISNUMBER(J1220),"Calculated",J1220))</x:f>
        <x:v>Needs component scores</x:v>
      </x:c>
      <x:c r="M1220" s="69" t="str">
        <x:f>IF(C1220="","",MATCH(C1220,'Position_Rubric'!$A$6:$A$14,0))</x:f>
      </x:c>
      <x:c r="N1220" s="69" t="str"/>
    </x:row>
    <x:row r="1221" ht="25" customHeight="1">
      <x:c r="A1221" s="69" t="str">
        <x:v>summer-S26-0713</x:v>
      </x:c>
      <x:c r="B1221" s="69" t="str">
        <x:v>Konstantinos Koulierakis</x:v>
      </x:c>
      <x:c r="C1221" s="69"/>
      <x:c r="D1221" s="82" t="str">
        <x:f>IF(ISNUMBER('Transfer_Ratings'!K1221),'Transfer_Ratings'!K1221,"")</x:f>
      </x:c>
      <x:c r="E1221" s="86"/>
      <x:c r="F1221" s="86"/>
      <x:c r="G1221" s="86"/>
      <x:c r="H1221" s="86"/>
      <x:c r="I1221" s="86"/>
      <x:c r="J1221" s="82" t="str">
        <x:f>IF(C1221="","Choose position",IF(COUNT(E1221:I1221)&lt;5,"",IF(OR(MIN(E1221:I1221)&lt;0.1,MAX(E1221:I1221)&gt;10),"Invalid score",IF(INDEX('Position_Rubric'!$H$6:$H$14,M1221)&lt;&gt;1,"Check weights",ROUND(E1221*INDEX('Position_Rubric'!$C$6:$C$14,M1221)+F1221*INDEX('Position_Rubric'!$D$6:$D$14,M1221)+G1221*INDEX('Position_Rubric'!$E$6:$E$14,M1221)+H1221*INDEX('Position_Rubric'!$F$6:$F$14,M1221)+I1221*INDEX('Position_Rubric'!$G$6:$G$14,M1221),1)))))</x:f>
        <x:v>Choose position</x:v>
      </x:c>
      <x:c r="K1221" s="82" t="str">
        <x:f>IF(AND(ISNUMBER(J1221),ISNUMBER(D1221)),J1221-D1221,"")</x:f>
      </x:c>
      <x:c r="L1221" s="69" t="str">
        <x:f>IF(COUNT(E1221:I1221)&lt;5,"Needs component scores",IF(ISNUMBER(J1221),"Calculated",J1221))</x:f>
        <x:v>Needs component scores</x:v>
      </x:c>
      <x:c r="M1221" s="69" t="str">
        <x:f>IF(C1221="","",MATCH(C1221,'Position_Rubric'!$A$6:$A$14,0))</x:f>
      </x:c>
      <x:c r="N1221" s="69" t="str"/>
    </x:row>
    <x:row r="1222" ht="25" customHeight="1">
      <x:c r="A1222" s="69" t="str">
        <x:v>summer-S26-0716</x:v>
      </x:c>
      <x:c r="B1222" s="69" t="str">
        <x:v>Jordan Zemura</x:v>
      </x:c>
      <x:c r="C1222" s="69"/>
      <x:c r="D1222" s="82" t="str">
        <x:f>IF(ISNUMBER('Transfer_Ratings'!K1222),'Transfer_Ratings'!K1222,"")</x:f>
      </x:c>
      <x:c r="E1222" s="86"/>
      <x:c r="F1222" s="86"/>
      <x:c r="G1222" s="86"/>
      <x:c r="H1222" s="86"/>
      <x:c r="I1222" s="86"/>
      <x:c r="J1222" s="82" t="str">
        <x:f>IF(C1222="","Choose position",IF(COUNT(E1222:I1222)&lt;5,"",IF(OR(MIN(E1222:I1222)&lt;0.1,MAX(E1222:I1222)&gt;10),"Invalid score",IF(INDEX('Position_Rubric'!$H$6:$H$14,M1222)&lt;&gt;1,"Check weights",ROUND(E1222*INDEX('Position_Rubric'!$C$6:$C$14,M1222)+F1222*INDEX('Position_Rubric'!$D$6:$D$14,M1222)+G1222*INDEX('Position_Rubric'!$E$6:$E$14,M1222)+H1222*INDEX('Position_Rubric'!$F$6:$F$14,M1222)+I1222*INDEX('Position_Rubric'!$G$6:$G$14,M1222),1)))))</x:f>
        <x:v>Choose position</x:v>
      </x:c>
      <x:c r="K1222" s="82" t="str">
        <x:f>IF(AND(ISNUMBER(J1222),ISNUMBER(D1222)),J1222-D1222,"")</x:f>
      </x:c>
      <x:c r="L1222" s="69" t="str">
        <x:f>IF(COUNT(E1222:I1222)&lt;5,"Needs component scores",IF(ISNUMBER(J1222),"Calculated",J1222))</x:f>
        <x:v>Needs component scores</x:v>
      </x:c>
      <x:c r="M1222" s="69" t="str">
        <x:f>IF(C1222="","",MATCH(C1222,'Position_Rubric'!$A$6:$A$14,0))</x:f>
      </x:c>
      <x:c r="N1222" s="69" t="str"/>
    </x:row>
    <x:row r="1223" ht="25" customHeight="1">
      <x:c r="A1223" s="69" t="str">
        <x:v>summer-S26-0718</x:v>
      </x:c>
      <x:c r="B1223" s="69" t="str">
        <x:v>Simon Sohm</x:v>
      </x:c>
      <x:c r="C1223" s="69"/>
      <x:c r="D1223" s="82" t="str">
        <x:f>IF(ISNUMBER('Transfer_Ratings'!K1223),'Transfer_Ratings'!K1223,"")</x:f>
      </x:c>
      <x:c r="E1223" s="86"/>
      <x:c r="F1223" s="86"/>
      <x:c r="G1223" s="86"/>
      <x:c r="H1223" s="86"/>
      <x:c r="I1223" s="86"/>
      <x:c r="J1223" s="82" t="str">
        <x:f>IF(C1223="","Choose position",IF(COUNT(E1223:I1223)&lt;5,"",IF(OR(MIN(E1223:I1223)&lt;0.1,MAX(E1223:I1223)&gt;10),"Invalid score",IF(INDEX('Position_Rubric'!$H$6:$H$14,M1223)&lt;&gt;1,"Check weights",ROUND(E1223*INDEX('Position_Rubric'!$C$6:$C$14,M1223)+F1223*INDEX('Position_Rubric'!$D$6:$D$14,M1223)+G1223*INDEX('Position_Rubric'!$E$6:$E$14,M1223)+H1223*INDEX('Position_Rubric'!$F$6:$F$14,M1223)+I1223*INDEX('Position_Rubric'!$G$6:$G$14,M1223),1)))))</x:f>
        <x:v>Choose position</x:v>
      </x:c>
      <x:c r="K1223" s="82" t="str">
        <x:f>IF(AND(ISNUMBER(J1223),ISNUMBER(D1223)),J1223-D1223,"")</x:f>
      </x:c>
      <x:c r="L1223" s="69" t="str">
        <x:f>IF(COUNT(E1223:I1223)&lt;5,"Needs component scores",IF(ISNUMBER(J1223),"Calculated",J1223))</x:f>
        <x:v>Needs component scores</x:v>
      </x:c>
      <x:c r="M1223" s="69" t="str">
        <x:f>IF(C1223="","",MATCH(C1223,'Position_Rubric'!$A$6:$A$14,0))</x:f>
      </x:c>
      <x:c r="N1223" s="69" t="str"/>
    </x:row>
    <x:row r="1224" ht="25" customHeight="1">
      <x:c r="A1224" s="69" t="str">
        <x:v>summer-S26-0719</x:v>
      </x:c>
      <x:c r="B1224" s="69" t="str">
        <x:v>Velizar-Iliya Iliev</x:v>
      </x:c>
      <x:c r="C1224" s="69" t="str">
        <x:v>GK</x:v>
      </x:c>
      <x:c r="D1224" s="82" t="str">
        <x:f>IF(ISNUMBER('Transfer_Ratings'!K1224),'Transfer_Ratings'!K1224,"")</x:f>
      </x:c>
      <x:c r="E1224" s="86"/>
      <x:c r="F1224" s="86"/>
      <x:c r="G1224" s="86"/>
      <x:c r="H1224" s="86"/>
      <x:c r="I1224" s="86"/>
      <x:c r="J1224" s="82" t="str">
        <x:f>IF(C1224="","Choose position",IF(COUNT(E1224:I1224)&lt;5,"",IF(OR(MIN(E1224:I1224)&lt;0.1,MAX(E1224:I1224)&gt;10),"Invalid score",IF(INDEX('Position_Rubric'!$H$6:$H$14,M1224)&lt;&gt;1,"Check weights",ROUND(E1224*INDEX('Position_Rubric'!$C$6:$C$14,M1224)+F1224*INDEX('Position_Rubric'!$D$6:$D$14,M1224)+G1224*INDEX('Position_Rubric'!$E$6:$E$14,M1224)+H1224*INDEX('Position_Rubric'!$F$6:$F$14,M1224)+I1224*INDEX('Position_Rubric'!$G$6:$G$14,M1224),1)))))</x:f>
      </x:c>
      <x:c r="K1224" s="82" t="str">
        <x:f>IF(AND(ISNUMBER(J1224),ISNUMBER(D1224)),J1224-D1224,"")</x:f>
      </x:c>
      <x:c r="L1224" s="69" t="str">
        <x:f>IF(COUNT(E1224:I1224)&lt;5,"Needs component scores",IF(ISNUMBER(J1224),"Calculated",J1224))</x:f>
        <x:v>Needs component scores</x:v>
      </x:c>
      <x:c r="M1224" s="69" t="n">
        <x:f>IF(C1224="","",MATCH(C1224,'Position_Rubric'!$A$6:$A$14,0))</x:f>
        <x:v>9</x:v>
      </x:c>
      <x:c r="N1224" s="69" t="str"/>
    </x:row>
    <x:row r="1225" ht="25" customHeight="1">
      <x:c r="A1225" s="69" t="str">
        <x:v>summer-S26-0723</x:v>
      </x:c>
      <x:c r="B1225" s="69" t="str">
        <x:v>Valentín Barco</x:v>
      </x:c>
      <x:c r="C1225" s="69"/>
      <x:c r="D1225" s="82" t="str">
        <x:f>IF(ISNUMBER('Transfer_Ratings'!K1225),'Transfer_Ratings'!K1225,"")</x:f>
      </x:c>
      <x:c r="E1225" s="86"/>
      <x:c r="F1225" s="86"/>
      <x:c r="G1225" s="86"/>
      <x:c r="H1225" s="86"/>
      <x:c r="I1225" s="86"/>
      <x:c r="J1225" s="82" t="str">
        <x:f>IF(C1225="","Choose position",IF(COUNT(E1225:I1225)&lt;5,"",IF(OR(MIN(E1225:I1225)&lt;0.1,MAX(E1225:I1225)&gt;10),"Invalid score",IF(INDEX('Position_Rubric'!$H$6:$H$14,M1225)&lt;&gt;1,"Check weights",ROUND(E1225*INDEX('Position_Rubric'!$C$6:$C$14,M1225)+F1225*INDEX('Position_Rubric'!$D$6:$D$14,M1225)+G1225*INDEX('Position_Rubric'!$E$6:$E$14,M1225)+H1225*INDEX('Position_Rubric'!$F$6:$F$14,M1225)+I1225*INDEX('Position_Rubric'!$G$6:$G$14,M1225),1)))))</x:f>
        <x:v>Choose position</x:v>
      </x:c>
      <x:c r="K1225" s="82" t="str">
        <x:f>IF(AND(ISNUMBER(J1225),ISNUMBER(D1225)),J1225-D1225,"")</x:f>
      </x:c>
      <x:c r="L1225" s="69" t="str">
        <x:f>IF(COUNT(E1225:I1225)&lt;5,"Needs component scores",IF(ISNUMBER(J1225),"Calculated",J1225))</x:f>
        <x:v>Needs component scores</x:v>
      </x:c>
      <x:c r="M1225" s="69" t="str">
        <x:f>IF(C1225="","",MATCH(C1225,'Position_Rubric'!$A$6:$A$14,0))</x:f>
      </x:c>
      <x:c r="N1225" s="69" t="str"/>
    </x:row>
    <x:row r="1226" ht="25" customHeight="1">
      <x:c r="A1226" s="69" t="str">
        <x:v>summer-S26-0727</x:v>
      </x:c>
      <x:c r="B1226" s="69" t="str">
        <x:v>Fran González</x:v>
      </x:c>
      <x:c r="C1226" s="69" t="str">
        <x:v>GK</x:v>
      </x:c>
      <x:c r="D1226" s="82" t="str">
        <x:f>IF(ISNUMBER('Transfer_Ratings'!K1226),'Transfer_Ratings'!K1226,"")</x:f>
      </x:c>
      <x:c r="E1226" s="86"/>
      <x:c r="F1226" s="86"/>
      <x:c r="G1226" s="86"/>
      <x:c r="H1226" s="86"/>
      <x:c r="I1226" s="86"/>
      <x:c r="J1226" s="82" t="str">
        <x:f>IF(C1226="","Choose position",IF(COUNT(E1226:I1226)&lt;5,"",IF(OR(MIN(E1226:I1226)&lt;0.1,MAX(E1226:I1226)&gt;10),"Invalid score",IF(INDEX('Position_Rubric'!$H$6:$H$14,M1226)&lt;&gt;1,"Check weights",ROUND(E1226*INDEX('Position_Rubric'!$C$6:$C$14,M1226)+F1226*INDEX('Position_Rubric'!$D$6:$D$14,M1226)+G1226*INDEX('Position_Rubric'!$E$6:$E$14,M1226)+H1226*INDEX('Position_Rubric'!$F$6:$F$14,M1226)+I1226*INDEX('Position_Rubric'!$G$6:$G$14,M1226),1)))))</x:f>
      </x:c>
      <x:c r="K1226" s="82" t="str">
        <x:f>IF(AND(ISNUMBER(J1226),ISNUMBER(D1226)),J1226-D1226,"")</x:f>
      </x:c>
      <x:c r="L1226" s="69" t="str">
        <x:f>IF(COUNT(E1226:I1226)&lt;5,"Needs component scores",IF(ISNUMBER(J1226),"Calculated",J1226))</x:f>
        <x:v>Needs component scores</x:v>
      </x:c>
      <x:c r="M1226" s="69" t="n">
        <x:f>IF(C1226="","",MATCH(C1226,'Position_Rubric'!$A$6:$A$14,0))</x:f>
        <x:v>9</x:v>
      </x:c>
      <x:c r="N1226" s="69" t="str"/>
    </x:row>
    <x:row r="1227" ht="25" customHeight="1">
      <x:c r="A1227" s="69" t="str">
        <x:v>summer-S26-0728</x:v>
      </x:c>
      <x:c r="B1227" s="69" t="str">
        <x:v>Lukas Hornicek</x:v>
      </x:c>
      <x:c r="C1227" s="69" t="str">
        <x:v>GK</x:v>
      </x:c>
      <x:c r="D1227" s="82" t="str">
        <x:f>IF(ISNUMBER('Transfer_Ratings'!K1227),'Transfer_Ratings'!K1227,"")</x:f>
      </x:c>
      <x:c r="E1227" s="86"/>
      <x:c r="F1227" s="86"/>
      <x:c r="G1227" s="86"/>
      <x:c r="H1227" s="86"/>
      <x:c r="I1227" s="86"/>
      <x:c r="J1227" s="82" t="str">
        <x:f>IF(C1227="","Choose position",IF(COUNT(E1227:I1227)&lt;5,"",IF(OR(MIN(E1227:I1227)&lt;0.1,MAX(E1227:I1227)&gt;10),"Invalid score",IF(INDEX('Position_Rubric'!$H$6:$H$14,M1227)&lt;&gt;1,"Check weights",ROUND(E1227*INDEX('Position_Rubric'!$C$6:$C$14,M1227)+F1227*INDEX('Position_Rubric'!$D$6:$D$14,M1227)+G1227*INDEX('Position_Rubric'!$E$6:$E$14,M1227)+H1227*INDEX('Position_Rubric'!$F$6:$F$14,M1227)+I1227*INDEX('Position_Rubric'!$G$6:$G$14,M1227),1)))))</x:f>
      </x:c>
      <x:c r="K1227" s="82" t="str">
        <x:f>IF(AND(ISNUMBER(J1227),ISNUMBER(D1227)),J1227-D1227,"")</x:f>
      </x:c>
      <x:c r="L1227" s="69" t="str">
        <x:f>IF(COUNT(E1227:I1227)&lt;5,"Needs component scores",IF(ISNUMBER(J1227),"Calculated",J1227))</x:f>
        <x:v>Needs component scores</x:v>
      </x:c>
      <x:c r="M1227" s="69" t="n">
        <x:f>IF(C1227="","",MATCH(C1227,'Position_Rubric'!$A$6:$A$14,0))</x:f>
        <x:v>9</x:v>
      </x:c>
      <x:c r="N1227" s="69" t="str"/>
    </x:row>
    <x:row r="1228" ht="25" customHeight="1">
      <x:c r="A1228" s="69" t="str">
        <x:v>summer-S26-0730</x:v>
      </x:c>
      <x:c r="B1228" s="69" t="str">
        <x:v>Felix Bacher</x:v>
      </x:c>
      <x:c r="C1228" s="69"/>
      <x:c r="D1228" s="82" t="str">
        <x:f>IF(ISNUMBER('Transfer_Ratings'!K1228),'Transfer_Ratings'!K1228,"")</x:f>
      </x:c>
      <x:c r="E1228" s="86"/>
      <x:c r="F1228" s="86"/>
      <x:c r="G1228" s="86"/>
      <x:c r="H1228" s="86"/>
      <x:c r="I1228" s="86"/>
      <x:c r="J1228" s="82" t="str">
        <x:f>IF(C1228="","Choose position",IF(COUNT(E1228:I1228)&lt;5,"",IF(OR(MIN(E1228:I1228)&lt;0.1,MAX(E1228:I1228)&gt;10),"Invalid score",IF(INDEX('Position_Rubric'!$H$6:$H$14,M1228)&lt;&gt;1,"Check weights",ROUND(E1228*INDEX('Position_Rubric'!$C$6:$C$14,M1228)+F1228*INDEX('Position_Rubric'!$D$6:$D$14,M1228)+G1228*INDEX('Position_Rubric'!$E$6:$E$14,M1228)+H1228*INDEX('Position_Rubric'!$F$6:$F$14,M1228)+I1228*INDEX('Position_Rubric'!$G$6:$G$14,M1228),1)))))</x:f>
        <x:v>Choose position</x:v>
      </x:c>
      <x:c r="K1228" s="82" t="str">
        <x:f>IF(AND(ISNUMBER(J1228),ISNUMBER(D1228)),J1228-D1228,"")</x:f>
      </x:c>
      <x:c r="L1228" s="69" t="str">
        <x:f>IF(COUNT(E1228:I1228)&lt;5,"Needs component scores",IF(ISNUMBER(J1228),"Calculated",J1228))</x:f>
        <x:v>Needs component scores</x:v>
      </x:c>
      <x:c r="M1228" s="69" t="str">
        <x:f>IF(C1228="","",MATCH(C1228,'Position_Rubric'!$A$6:$A$14,0))</x:f>
      </x:c>
      <x:c r="N1228" s="69" t="str"/>
    </x:row>
    <x:row r="1229" ht="25" customHeight="1">
      <x:c r="A1229" s="69" t="str">
        <x:v>summer-S26-0731</x:v>
      </x:c>
      <x:c r="B1229" s="69" t="str">
        <x:v>Redouane Halhal</x:v>
      </x:c>
      <x:c r="C1229" s="69"/>
      <x:c r="D1229" s="82" t="str">
        <x:f>IF(ISNUMBER('Transfer_Ratings'!K1229),'Transfer_Ratings'!K1229,"")</x:f>
      </x:c>
      <x:c r="E1229" s="86"/>
      <x:c r="F1229" s="86"/>
      <x:c r="G1229" s="86"/>
      <x:c r="H1229" s="86"/>
      <x:c r="I1229" s="86"/>
      <x:c r="J1229" s="82" t="str">
        <x:f>IF(C1229="","Choose position",IF(COUNT(E1229:I1229)&lt;5,"",IF(OR(MIN(E1229:I1229)&lt;0.1,MAX(E1229:I1229)&gt;10),"Invalid score",IF(INDEX('Position_Rubric'!$H$6:$H$14,M1229)&lt;&gt;1,"Check weights",ROUND(E1229*INDEX('Position_Rubric'!$C$6:$C$14,M1229)+F1229*INDEX('Position_Rubric'!$D$6:$D$14,M1229)+G1229*INDEX('Position_Rubric'!$E$6:$E$14,M1229)+H1229*INDEX('Position_Rubric'!$F$6:$F$14,M1229)+I1229*INDEX('Position_Rubric'!$G$6:$G$14,M1229),1)))))</x:f>
        <x:v>Choose position</x:v>
      </x:c>
      <x:c r="K1229" s="82" t="str">
        <x:f>IF(AND(ISNUMBER(J1229),ISNUMBER(D1229)),J1229-D1229,"")</x:f>
      </x:c>
      <x:c r="L1229" s="69" t="str">
        <x:f>IF(COUNT(E1229:I1229)&lt;5,"Needs component scores",IF(ISNUMBER(J1229),"Calculated",J1229))</x:f>
        <x:v>Needs component scores</x:v>
      </x:c>
      <x:c r="M1229" s="69" t="str">
        <x:f>IF(C1229="","",MATCH(C1229,'Position_Rubric'!$A$6:$A$14,0))</x:f>
      </x:c>
      <x:c r="N1229" s="69" t="str"/>
    </x:row>
    <x:row r="1230" ht="25" customHeight="1">
      <x:c r="A1230" s="69" t="str">
        <x:v>summer-S26-0732</x:v>
      </x:c>
      <x:c r="B1230" s="69" t="str">
        <x:v>Luca Montenegro</x:v>
      </x:c>
      <x:c r="C1230" s="69"/>
      <x:c r="D1230" s="82" t="str">
        <x:f>IF(ISNUMBER('Transfer_Ratings'!K1230),'Transfer_Ratings'!K1230,"")</x:f>
      </x:c>
      <x:c r="E1230" s="86"/>
      <x:c r="F1230" s="86"/>
      <x:c r="G1230" s="86"/>
      <x:c r="H1230" s="86"/>
      <x:c r="I1230" s="86"/>
      <x:c r="J1230" s="82" t="str">
        <x:f>IF(C1230="","Choose position",IF(COUNT(E1230:I1230)&lt;5,"",IF(OR(MIN(E1230:I1230)&lt;0.1,MAX(E1230:I1230)&gt;10),"Invalid score",IF(INDEX('Position_Rubric'!$H$6:$H$14,M1230)&lt;&gt;1,"Check weights",ROUND(E1230*INDEX('Position_Rubric'!$C$6:$C$14,M1230)+F1230*INDEX('Position_Rubric'!$D$6:$D$14,M1230)+G1230*INDEX('Position_Rubric'!$E$6:$E$14,M1230)+H1230*INDEX('Position_Rubric'!$F$6:$F$14,M1230)+I1230*INDEX('Position_Rubric'!$G$6:$G$14,M1230),1)))))</x:f>
        <x:v>Choose position</x:v>
      </x:c>
      <x:c r="K1230" s="82" t="str">
        <x:f>IF(AND(ISNUMBER(J1230),ISNUMBER(D1230)),J1230-D1230,"")</x:f>
      </x:c>
      <x:c r="L1230" s="69" t="str">
        <x:f>IF(COUNT(E1230:I1230)&lt;5,"Needs component scores",IF(ISNUMBER(J1230),"Calculated",J1230))</x:f>
        <x:v>Needs component scores</x:v>
      </x:c>
      <x:c r="M1230" s="69" t="str">
        <x:f>IF(C1230="","",MATCH(C1230,'Position_Rubric'!$A$6:$A$14,0))</x:f>
      </x:c>
      <x:c r="N1230" s="69" t="str"/>
    </x:row>
    <x:row r="1231" ht="25" customHeight="1">
      <x:c r="A1231" s="69" t="str">
        <x:v>summer-S26-0734</x:v>
      </x:c>
      <x:c r="B1231" s="69" t="str">
        <x:v>Abdoulaye Faye</x:v>
      </x:c>
      <x:c r="C1231" s="69"/>
      <x:c r="D1231" s="82" t="str">
        <x:f>IF(ISNUMBER('Transfer_Ratings'!K1231),'Transfer_Ratings'!K1231,"")</x:f>
      </x:c>
      <x:c r="E1231" s="86"/>
      <x:c r="F1231" s="86"/>
      <x:c r="G1231" s="86"/>
      <x:c r="H1231" s="86"/>
      <x:c r="I1231" s="86"/>
      <x:c r="J1231" s="82" t="str">
        <x:f>IF(C1231="","Choose position",IF(COUNT(E1231:I1231)&lt;5,"",IF(OR(MIN(E1231:I1231)&lt;0.1,MAX(E1231:I1231)&gt;10),"Invalid score",IF(INDEX('Position_Rubric'!$H$6:$H$14,M1231)&lt;&gt;1,"Check weights",ROUND(E1231*INDEX('Position_Rubric'!$C$6:$C$14,M1231)+F1231*INDEX('Position_Rubric'!$D$6:$D$14,M1231)+G1231*INDEX('Position_Rubric'!$E$6:$E$14,M1231)+H1231*INDEX('Position_Rubric'!$F$6:$F$14,M1231)+I1231*INDEX('Position_Rubric'!$G$6:$G$14,M1231),1)))))</x:f>
        <x:v>Choose position</x:v>
      </x:c>
      <x:c r="K1231" s="82" t="str">
        <x:f>IF(AND(ISNUMBER(J1231),ISNUMBER(D1231)),J1231-D1231,"")</x:f>
      </x:c>
      <x:c r="L1231" s="69" t="str">
        <x:f>IF(COUNT(E1231:I1231)&lt;5,"Needs component scores",IF(ISNUMBER(J1231),"Calculated",J1231))</x:f>
        <x:v>Needs component scores</x:v>
      </x:c>
      <x:c r="M1231" s="69" t="str">
        <x:f>IF(C1231="","",MATCH(C1231,'Position_Rubric'!$A$6:$A$14,0))</x:f>
      </x:c>
      <x:c r="N1231" s="69" t="str"/>
    </x:row>
    <x:row r="1232" ht="25" customHeight="1">
      <x:c r="A1232" s="69" t="str">
        <x:v>summer-S26-0735</x:v>
      </x:c>
      <x:c r="B1232" s="69" t="str">
        <x:v>Glen Kamara</x:v>
      </x:c>
      <x:c r="C1232" s="69"/>
      <x:c r="D1232" s="82" t="str">
        <x:f>IF(ISNUMBER('Transfer_Ratings'!K1232),'Transfer_Ratings'!K1232,"")</x:f>
      </x:c>
      <x:c r="E1232" s="86"/>
      <x:c r="F1232" s="86"/>
      <x:c r="G1232" s="86"/>
      <x:c r="H1232" s="86"/>
      <x:c r="I1232" s="86"/>
      <x:c r="J1232" s="82" t="str">
        <x:f>IF(C1232="","Choose position",IF(COUNT(E1232:I1232)&lt;5,"",IF(OR(MIN(E1232:I1232)&lt;0.1,MAX(E1232:I1232)&gt;10),"Invalid score",IF(INDEX('Position_Rubric'!$H$6:$H$14,M1232)&lt;&gt;1,"Check weights",ROUND(E1232*INDEX('Position_Rubric'!$C$6:$C$14,M1232)+F1232*INDEX('Position_Rubric'!$D$6:$D$14,M1232)+G1232*INDEX('Position_Rubric'!$E$6:$E$14,M1232)+H1232*INDEX('Position_Rubric'!$F$6:$F$14,M1232)+I1232*INDEX('Position_Rubric'!$G$6:$G$14,M1232),1)))))</x:f>
        <x:v>Choose position</x:v>
      </x:c>
      <x:c r="K1232" s="82" t="str">
        <x:f>IF(AND(ISNUMBER(J1232),ISNUMBER(D1232)),J1232-D1232,"")</x:f>
      </x:c>
      <x:c r="L1232" s="69" t="str">
        <x:f>IF(COUNT(E1232:I1232)&lt;5,"Needs component scores",IF(ISNUMBER(J1232),"Calculated",J1232))</x:f>
        <x:v>Needs component scores</x:v>
      </x:c>
      <x:c r="M1232" s="69" t="str">
        <x:f>IF(C1232="","",MATCH(C1232,'Position_Rubric'!$A$6:$A$14,0))</x:f>
      </x:c>
      <x:c r="N1232" s="69" t="str"/>
    </x:row>
    <x:row r="1233" ht="25" customHeight="1">
      <x:c r="A1233" s="69" t="str">
        <x:v>summer-S26-0737</x:v>
      </x:c>
      <x:c r="B1233" s="69" t="str">
        <x:v>Vasilije Adzic</x:v>
      </x:c>
      <x:c r="C1233" s="69"/>
      <x:c r="D1233" s="82" t="str">
        <x:f>IF(ISNUMBER('Transfer_Ratings'!K1233),'Transfer_Ratings'!K1233,"")</x:f>
      </x:c>
      <x:c r="E1233" s="86"/>
      <x:c r="F1233" s="86"/>
      <x:c r="G1233" s="86"/>
      <x:c r="H1233" s="86"/>
      <x:c r="I1233" s="86"/>
      <x:c r="J1233" s="82" t="str">
        <x:f>IF(C1233="","Choose position",IF(COUNT(E1233:I1233)&lt;5,"",IF(OR(MIN(E1233:I1233)&lt;0.1,MAX(E1233:I1233)&gt;10),"Invalid score",IF(INDEX('Position_Rubric'!$H$6:$H$14,M1233)&lt;&gt;1,"Check weights",ROUND(E1233*INDEX('Position_Rubric'!$C$6:$C$14,M1233)+F1233*INDEX('Position_Rubric'!$D$6:$D$14,M1233)+G1233*INDEX('Position_Rubric'!$E$6:$E$14,M1233)+H1233*INDEX('Position_Rubric'!$F$6:$F$14,M1233)+I1233*INDEX('Position_Rubric'!$G$6:$G$14,M1233),1)))))</x:f>
        <x:v>Choose position</x:v>
      </x:c>
      <x:c r="K1233" s="82" t="str">
        <x:f>IF(AND(ISNUMBER(J1233),ISNUMBER(D1233)),J1233-D1233,"")</x:f>
      </x:c>
      <x:c r="L1233" s="69" t="str">
        <x:f>IF(COUNT(E1233:I1233)&lt;5,"Needs component scores",IF(ISNUMBER(J1233),"Calculated",J1233))</x:f>
        <x:v>Needs component scores</x:v>
      </x:c>
      <x:c r="M1233" s="69" t="str">
        <x:f>IF(C1233="","",MATCH(C1233,'Position_Rubric'!$A$6:$A$14,0))</x:f>
      </x:c>
      <x:c r="N1233" s="69" t="str"/>
    </x:row>
    <x:row r="1234" ht="25" customHeight="1">
      <x:c r="A1234" s="69" t="str">
        <x:v>summer-S26-0738</x:v>
      </x:c>
      <x:c r="B1234" s="69" t="str">
        <x:v>Peter Gulacsi</x:v>
      </x:c>
      <x:c r="C1234" s="69" t="str">
        <x:v>GK</x:v>
      </x:c>
      <x:c r="D1234" s="82" t="str">
        <x:f>IF(ISNUMBER('Transfer_Ratings'!K1234),'Transfer_Ratings'!K1234,"")</x:f>
      </x:c>
      <x:c r="E1234" s="86"/>
      <x:c r="F1234" s="86"/>
      <x:c r="G1234" s="86"/>
      <x:c r="H1234" s="86"/>
      <x:c r="I1234" s="86"/>
      <x:c r="J1234" s="82" t="str">
        <x:f>IF(C1234="","Choose position",IF(COUNT(E1234:I1234)&lt;5,"",IF(OR(MIN(E1234:I1234)&lt;0.1,MAX(E1234:I1234)&gt;10),"Invalid score",IF(INDEX('Position_Rubric'!$H$6:$H$14,M1234)&lt;&gt;1,"Check weights",ROUND(E1234*INDEX('Position_Rubric'!$C$6:$C$14,M1234)+F1234*INDEX('Position_Rubric'!$D$6:$D$14,M1234)+G1234*INDEX('Position_Rubric'!$E$6:$E$14,M1234)+H1234*INDEX('Position_Rubric'!$F$6:$F$14,M1234)+I1234*INDEX('Position_Rubric'!$G$6:$G$14,M1234),1)))))</x:f>
      </x:c>
      <x:c r="K1234" s="82" t="str">
        <x:f>IF(AND(ISNUMBER(J1234),ISNUMBER(D1234)),J1234-D1234,"")</x:f>
      </x:c>
      <x:c r="L1234" s="69" t="str">
        <x:f>IF(COUNT(E1234:I1234)&lt;5,"Needs component scores",IF(ISNUMBER(J1234),"Calculated",J1234))</x:f>
        <x:v>Needs component scores</x:v>
      </x:c>
      <x:c r="M1234" s="69" t="n">
        <x:f>IF(C1234="","",MATCH(C1234,'Position_Rubric'!$A$6:$A$14,0))</x:f>
        <x:v>9</x:v>
      </x:c>
      <x:c r="N1234" s="69" t="str"/>
    </x:row>
    <x:row r="1235" ht="25" customHeight="1">
      <x:c r="A1235" s="69" t="str">
        <x:v>summer-S26-0739</x:v>
      </x:c>
      <x:c r="B1235" s="69" t="str">
        <x:v>João Mário</x:v>
      </x:c>
      <x:c r="C1235" s="69"/>
      <x:c r="D1235" s="82" t="str">
        <x:f>IF(ISNUMBER('Transfer_Ratings'!K1235),'Transfer_Ratings'!K1235,"")</x:f>
      </x:c>
      <x:c r="E1235" s="86"/>
      <x:c r="F1235" s="86"/>
      <x:c r="G1235" s="86"/>
      <x:c r="H1235" s="86"/>
      <x:c r="I1235" s="86"/>
      <x:c r="J1235" s="82" t="str">
        <x:f>IF(C1235="","Choose position",IF(COUNT(E1235:I1235)&lt;5,"",IF(OR(MIN(E1235:I1235)&lt;0.1,MAX(E1235:I1235)&gt;10),"Invalid score",IF(INDEX('Position_Rubric'!$H$6:$H$14,M1235)&lt;&gt;1,"Check weights",ROUND(E1235*INDEX('Position_Rubric'!$C$6:$C$14,M1235)+F1235*INDEX('Position_Rubric'!$D$6:$D$14,M1235)+G1235*INDEX('Position_Rubric'!$E$6:$E$14,M1235)+H1235*INDEX('Position_Rubric'!$F$6:$F$14,M1235)+I1235*INDEX('Position_Rubric'!$G$6:$G$14,M1235),1)))))</x:f>
        <x:v>Choose position</x:v>
      </x:c>
      <x:c r="K1235" s="82" t="str">
        <x:f>IF(AND(ISNUMBER(J1235),ISNUMBER(D1235)),J1235-D1235,"")</x:f>
      </x:c>
      <x:c r="L1235" s="69" t="str">
        <x:f>IF(COUNT(E1235:I1235)&lt;5,"Needs component scores",IF(ISNUMBER(J1235),"Calculated",J1235))</x:f>
        <x:v>Needs component scores</x:v>
      </x:c>
      <x:c r="M1235" s="69" t="str">
        <x:f>IF(C1235="","",MATCH(C1235,'Position_Rubric'!$A$6:$A$14,0))</x:f>
      </x:c>
      <x:c r="N1235" s="69" t="str"/>
    </x:row>
    <x:row r="1236" ht="25" customHeight="1">
      <x:c r="A1236" s="69" t="str">
        <x:v>summer-S26-0740</x:v>
      </x:c>
      <x:c r="B1236" s="69" t="str">
        <x:v>Yacine Titraoui</x:v>
      </x:c>
      <x:c r="C1236" s="69"/>
      <x:c r="D1236" s="82" t="str">
        <x:f>IF(ISNUMBER('Transfer_Ratings'!K1236),'Transfer_Ratings'!K1236,"")</x:f>
      </x:c>
      <x:c r="E1236" s="86"/>
      <x:c r="F1236" s="86"/>
      <x:c r="G1236" s="86"/>
      <x:c r="H1236" s="86"/>
      <x:c r="I1236" s="86"/>
      <x:c r="J1236" s="82" t="str">
        <x:f>IF(C1236="","Choose position",IF(COUNT(E1236:I1236)&lt;5,"",IF(OR(MIN(E1236:I1236)&lt;0.1,MAX(E1236:I1236)&gt;10),"Invalid score",IF(INDEX('Position_Rubric'!$H$6:$H$14,M1236)&lt;&gt;1,"Check weights",ROUND(E1236*INDEX('Position_Rubric'!$C$6:$C$14,M1236)+F1236*INDEX('Position_Rubric'!$D$6:$D$14,M1236)+G1236*INDEX('Position_Rubric'!$E$6:$E$14,M1236)+H1236*INDEX('Position_Rubric'!$F$6:$F$14,M1236)+I1236*INDEX('Position_Rubric'!$G$6:$G$14,M1236),1)))))</x:f>
        <x:v>Choose position</x:v>
      </x:c>
      <x:c r="K1236" s="82" t="str">
        <x:f>IF(AND(ISNUMBER(J1236),ISNUMBER(D1236)),J1236-D1236,"")</x:f>
      </x:c>
      <x:c r="L1236" s="69" t="str">
        <x:f>IF(COUNT(E1236:I1236)&lt;5,"Needs component scores",IF(ISNUMBER(J1236),"Calculated",J1236))</x:f>
        <x:v>Needs component scores</x:v>
      </x:c>
      <x:c r="M1236" s="69" t="str">
        <x:f>IF(C1236="","",MATCH(C1236,'Position_Rubric'!$A$6:$A$14,0))</x:f>
      </x:c>
      <x:c r="N1236" s="69" t="str"/>
    </x:row>
    <x:row r="1237" ht="25" customHeight="1">
      <x:c r="A1237" s="69" t="str">
        <x:v>summer-S26-0742</x:v>
      </x:c>
      <x:c r="B1237" s="69" t="str">
        <x:v>Carl Rushworth</x:v>
      </x:c>
      <x:c r="C1237" s="69" t="str">
        <x:v>GK</x:v>
      </x:c>
      <x:c r="D1237" s="82" t="str">
        <x:f>IF(ISNUMBER('Transfer_Ratings'!K1237),'Transfer_Ratings'!K1237,"")</x:f>
      </x:c>
      <x:c r="E1237" s="86"/>
      <x:c r="F1237" s="86"/>
      <x:c r="G1237" s="86"/>
      <x:c r="H1237" s="86"/>
      <x:c r="I1237" s="86"/>
      <x:c r="J1237" s="82" t="str">
        <x:f>IF(C1237="","Choose position",IF(COUNT(E1237:I1237)&lt;5,"",IF(OR(MIN(E1237:I1237)&lt;0.1,MAX(E1237:I1237)&gt;10),"Invalid score",IF(INDEX('Position_Rubric'!$H$6:$H$14,M1237)&lt;&gt;1,"Check weights",ROUND(E1237*INDEX('Position_Rubric'!$C$6:$C$14,M1237)+F1237*INDEX('Position_Rubric'!$D$6:$D$14,M1237)+G1237*INDEX('Position_Rubric'!$E$6:$E$14,M1237)+H1237*INDEX('Position_Rubric'!$F$6:$F$14,M1237)+I1237*INDEX('Position_Rubric'!$G$6:$G$14,M1237),1)))))</x:f>
      </x:c>
      <x:c r="K1237" s="82" t="str">
        <x:f>IF(AND(ISNUMBER(J1237),ISNUMBER(D1237)),J1237-D1237,"")</x:f>
      </x:c>
      <x:c r="L1237" s="69" t="str">
        <x:f>IF(COUNT(E1237:I1237)&lt;5,"Needs component scores",IF(ISNUMBER(J1237),"Calculated",J1237))</x:f>
        <x:v>Needs component scores</x:v>
      </x:c>
      <x:c r="M1237" s="69" t="n">
        <x:f>IF(C1237="","",MATCH(C1237,'Position_Rubric'!$A$6:$A$14,0))</x:f>
        <x:v>9</x:v>
      </x:c>
      <x:c r="N1237" s="69" t="str"/>
    </x:row>
    <x:row r="1238" ht="25" customHeight="1">
      <x:c r="A1238" s="69" t="str">
        <x:v>summer-S26-0743</x:v>
      </x:c>
      <x:c r="B1238" s="69" t="str">
        <x:v>César Palacios</x:v>
      </x:c>
      <x:c r="C1238" s="69"/>
      <x:c r="D1238" s="82" t="str">
        <x:f>IF(ISNUMBER('Transfer_Ratings'!K1238),'Transfer_Ratings'!K1238,"")</x:f>
      </x:c>
      <x:c r="E1238" s="86"/>
      <x:c r="F1238" s="86"/>
      <x:c r="G1238" s="86"/>
      <x:c r="H1238" s="86"/>
      <x:c r="I1238" s="86"/>
      <x:c r="J1238" s="82" t="str">
        <x:f>IF(C1238="","Choose position",IF(COUNT(E1238:I1238)&lt;5,"",IF(OR(MIN(E1238:I1238)&lt;0.1,MAX(E1238:I1238)&gt;10),"Invalid score",IF(INDEX('Position_Rubric'!$H$6:$H$14,M1238)&lt;&gt;1,"Check weights",ROUND(E1238*INDEX('Position_Rubric'!$C$6:$C$14,M1238)+F1238*INDEX('Position_Rubric'!$D$6:$D$14,M1238)+G1238*INDEX('Position_Rubric'!$E$6:$E$14,M1238)+H1238*INDEX('Position_Rubric'!$F$6:$F$14,M1238)+I1238*INDEX('Position_Rubric'!$G$6:$G$14,M1238),1)))))</x:f>
        <x:v>Choose position</x:v>
      </x:c>
      <x:c r="K1238" s="82" t="str">
        <x:f>IF(AND(ISNUMBER(J1238),ISNUMBER(D1238)),J1238-D1238,"")</x:f>
      </x:c>
      <x:c r="L1238" s="69" t="str">
        <x:f>IF(COUNT(E1238:I1238)&lt;5,"Needs component scores",IF(ISNUMBER(J1238),"Calculated",J1238))</x:f>
        <x:v>Needs component scores</x:v>
      </x:c>
      <x:c r="M1238" s="69" t="str">
        <x:f>IF(C1238="","",MATCH(C1238,'Position_Rubric'!$A$6:$A$14,0))</x:f>
      </x:c>
      <x:c r="N1238" s="69" t="str"/>
    </x:row>
    <x:row r="1239" ht="25" customHeight="1">
      <x:c r="A1239" s="69" t="str">
        <x:v>summer-S26-0744</x:v>
      </x:c>
      <x:c r="B1239" s="69" t="str">
        <x:v>Marc-André ter Stegen</x:v>
      </x:c>
      <x:c r="C1239" s="69" t="str">
        <x:v>GK</x:v>
      </x:c>
      <x:c r="D1239" s="82" t="str">
        <x:f>IF(ISNUMBER('Transfer_Ratings'!K1239),'Transfer_Ratings'!K1239,"")</x:f>
      </x:c>
      <x:c r="E1239" s="86"/>
      <x:c r="F1239" s="86"/>
      <x:c r="G1239" s="86"/>
      <x:c r="H1239" s="86"/>
      <x:c r="I1239" s="86"/>
      <x:c r="J1239" s="82" t="str">
        <x:f>IF(C1239="","Choose position",IF(COUNT(E1239:I1239)&lt;5,"",IF(OR(MIN(E1239:I1239)&lt;0.1,MAX(E1239:I1239)&gt;10),"Invalid score",IF(INDEX('Position_Rubric'!$H$6:$H$14,M1239)&lt;&gt;1,"Check weights",ROUND(E1239*INDEX('Position_Rubric'!$C$6:$C$14,M1239)+F1239*INDEX('Position_Rubric'!$D$6:$D$14,M1239)+G1239*INDEX('Position_Rubric'!$E$6:$E$14,M1239)+H1239*INDEX('Position_Rubric'!$F$6:$F$14,M1239)+I1239*INDEX('Position_Rubric'!$G$6:$G$14,M1239),1)))))</x:f>
      </x:c>
      <x:c r="K1239" s="82" t="str">
        <x:f>IF(AND(ISNUMBER(J1239),ISNUMBER(D1239)),J1239-D1239,"")</x:f>
      </x:c>
      <x:c r="L1239" s="69" t="str">
        <x:f>IF(COUNT(E1239:I1239)&lt;5,"Needs component scores",IF(ISNUMBER(J1239),"Calculated",J1239))</x:f>
        <x:v>Needs component scores</x:v>
      </x:c>
      <x:c r="M1239" s="69" t="n">
        <x:f>IF(C1239="","",MATCH(C1239,'Position_Rubric'!$A$6:$A$14,0))</x:f>
        <x:v>9</x:v>
      </x:c>
      <x:c r="N1239" s="69" t="str"/>
    </x:row>
    <x:row r="1240" ht="25" customHeight="1">
      <x:c r="A1240" s="69" t="str">
        <x:v>summer-S26-0745</x:v>
      </x:c>
      <x:c r="B1240" s="69" t="str">
        <x:v>Ørjan Nyland</x:v>
      </x:c>
      <x:c r="C1240" s="69" t="str">
        <x:v>GK</x:v>
      </x:c>
      <x:c r="D1240" s="82" t="str">
        <x:f>IF(ISNUMBER('Transfer_Ratings'!K1240),'Transfer_Ratings'!K1240,"")</x:f>
      </x:c>
      <x:c r="E1240" s="86"/>
      <x:c r="F1240" s="86"/>
      <x:c r="G1240" s="86"/>
      <x:c r="H1240" s="86"/>
      <x:c r="I1240" s="86"/>
      <x:c r="J1240" s="82" t="str">
        <x:f>IF(C1240="","Choose position",IF(COUNT(E1240:I1240)&lt;5,"",IF(OR(MIN(E1240:I1240)&lt;0.1,MAX(E1240:I1240)&gt;10),"Invalid score",IF(INDEX('Position_Rubric'!$H$6:$H$14,M1240)&lt;&gt;1,"Check weights",ROUND(E1240*INDEX('Position_Rubric'!$C$6:$C$14,M1240)+F1240*INDEX('Position_Rubric'!$D$6:$D$14,M1240)+G1240*INDEX('Position_Rubric'!$E$6:$E$14,M1240)+H1240*INDEX('Position_Rubric'!$F$6:$F$14,M1240)+I1240*INDEX('Position_Rubric'!$G$6:$G$14,M1240),1)))))</x:f>
      </x:c>
      <x:c r="K1240" s="82" t="str">
        <x:f>IF(AND(ISNUMBER(J1240),ISNUMBER(D1240)),J1240-D1240,"")</x:f>
      </x:c>
      <x:c r="L1240" s="69" t="str">
        <x:f>IF(COUNT(E1240:I1240)&lt;5,"Needs component scores",IF(ISNUMBER(J1240),"Calculated",J1240))</x:f>
        <x:v>Needs component scores</x:v>
      </x:c>
      <x:c r="M1240" s="69" t="n">
        <x:f>IF(C1240="","",MATCH(C1240,'Position_Rubric'!$A$6:$A$14,0))</x:f>
        <x:v>9</x:v>
      </x:c>
      <x:c r="N1240" s="69" t="str"/>
    </x:row>
    <x:row r="1241" ht="25" customHeight="1">
      <x:c r="A1241" s="69" t="str">
        <x:v>summer-S26-0746</x:v>
      </x:c>
      <x:c r="B1241" s="69" t="str">
        <x:v>Charlie Cresswell</x:v>
      </x:c>
      <x:c r="C1241" s="69"/>
      <x:c r="D1241" s="82" t="str">
        <x:f>IF(ISNUMBER('Transfer_Ratings'!K1241),'Transfer_Ratings'!K1241,"")</x:f>
      </x:c>
      <x:c r="E1241" s="86"/>
      <x:c r="F1241" s="86"/>
      <x:c r="G1241" s="86"/>
      <x:c r="H1241" s="86"/>
      <x:c r="I1241" s="86"/>
      <x:c r="J1241" s="82" t="str">
        <x:f>IF(C1241="","Choose position",IF(COUNT(E1241:I1241)&lt;5,"",IF(OR(MIN(E1241:I1241)&lt;0.1,MAX(E1241:I1241)&gt;10),"Invalid score",IF(INDEX('Position_Rubric'!$H$6:$H$14,M1241)&lt;&gt;1,"Check weights",ROUND(E1241*INDEX('Position_Rubric'!$C$6:$C$14,M1241)+F1241*INDEX('Position_Rubric'!$D$6:$D$14,M1241)+G1241*INDEX('Position_Rubric'!$E$6:$E$14,M1241)+H1241*INDEX('Position_Rubric'!$F$6:$F$14,M1241)+I1241*INDEX('Position_Rubric'!$G$6:$G$14,M1241),1)))))</x:f>
        <x:v>Choose position</x:v>
      </x:c>
      <x:c r="K1241" s="82" t="str">
        <x:f>IF(AND(ISNUMBER(J1241),ISNUMBER(D1241)),J1241-D1241,"")</x:f>
      </x:c>
      <x:c r="L1241" s="69" t="str">
        <x:f>IF(COUNT(E1241:I1241)&lt;5,"Needs component scores",IF(ISNUMBER(J1241),"Calculated",J1241))</x:f>
        <x:v>Needs component scores</x:v>
      </x:c>
      <x:c r="M1241" s="69" t="str">
        <x:f>IF(C1241="","",MATCH(C1241,'Position_Rubric'!$A$6:$A$14,0))</x:f>
      </x:c>
      <x:c r="N1241" s="69" t="str"/>
    </x:row>
    <x:row r="1242" ht="25" customHeight="1">
      <x:c r="A1242" s="69" t="str">
        <x:v>summer-S26-0747</x:v>
      </x:c>
      <x:c r="B1242" s="69" t="str">
        <x:v>Gio Reyna</x:v>
      </x:c>
      <x:c r="C1242" s="69"/>
      <x:c r="D1242" s="82" t="str">
        <x:f>IF(ISNUMBER('Transfer_Ratings'!K1242),'Transfer_Ratings'!K1242,"")</x:f>
      </x:c>
      <x:c r="E1242" s="86"/>
      <x:c r="F1242" s="86"/>
      <x:c r="G1242" s="86"/>
      <x:c r="H1242" s="86"/>
      <x:c r="I1242" s="86"/>
      <x:c r="J1242" s="82" t="str">
        <x:f>IF(C1242="","Choose position",IF(COUNT(E1242:I1242)&lt;5,"",IF(OR(MIN(E1242:I1242)&lt;0.1,MAX(E1242:I1242)&gt;10),"Invalid score",IF(INDEX('Position_Rubric'!$H$6:$H$14,M1242)&lt;&gt;1,"Check weights",ROUND(E1242*INDEX('Position_Rubric'!$C$6:$C$14,M1242)+F1242*INDEX('Position_Rubric'!$D$6:$D$14,M1242)+G1242*INDEX('Position_Rubric'!$E$6:$E$14,M1242)+H1242*INDEX('Position_Rubric'!$F$6:$F$14,M1242)+I1242*INDEX('Position_Rubric'!$G$6:$G$14,M1242),1)))))</x:f>
        <x:v>Choose position</x:v>
      </x:c>
      <x:c r="K1242" s="82" t="str">
        <x:f>IF(AND(ISNUMBER(J1242),ISNUMBER(D1242)),J1242-D1242,"")</x:f>
      </x:c>
      <x:c r="L1242" s="69" t="str">
        <x:f>IF(COUNT(E1242:I1242)&lt;5,"Needs component scores",IF(ISNUMBER(J1242),"Calculated",J1242))</x:f>
        <x:v>Needs component scores</x:v>
      </x:c>
      <x:c r="M1242" s="69" t="str">
        <x:f>IF(C1242="","",MATCH(C1242,'Position_Rubric'!$A$6:$A$14,0))</x:f>
      </x:c>
      <x:c r="N1242" s="69" t="str"/>
    </x:row>
    <x:row r="1243" ht="25" customHeight="1">
      <x:c r="A1243" s="69" t="str">
        <x:v>summer-S26-0753</x:v>
      </x:c>
      <x:c r="B1243" s="69" t="str">
        <x:v>Victor Valdepeñas</x:v>
      </x:c>
      <x:c r="C1243" s="69"/>
      <x:c r="D1243" s="82" t="str">
        <x:f>IF(ISNUMBER('Transfer_Ratings'!K1243),'Transfer_Ratings'!K1243,"")</x:f>
      </x:c>
      <x:c r="E1243" s="86"/>
      <x:c r="F1243" s="86"/>
      <x:c r="G1243" s="86"/>
      <x:c r="H1243" s="86"/>
      <x:c r="I1243" s="86"/>
      <x:c r="J1243" s="82" t="str">
        <x:f>IF(C1243="","Choose position",IF(COUNT(E1243:I1243)&lt;5,"",IF(OR(MIN(E1243:I1243)&lt;0.1,MAX(E1243:I1243)&gt;10),"Invalid score",IF(INDEX('Position_Rubric'!$H$6:$H$14,M1243)&lt;&gt;1,"Check weights",ROUND(E1243*INDEX('Position_Rubric'!$C$6:$C$14,M1243)+F1243*INDEX('Position_Rubric'!$D$6:$D$14,M1243)+G1243*INDEX('Position_Rubric'!$E$6:$E$14,M1243)+H1243*INDEX('Position_Rubric'!$F$6:$F$14,M1243)+I1243*INDEX('Position_Rubric'!$G$6:$G$14,M1243),1)))))</x:f>
        <x:v>Choose position</x:v>
      </x:c>
      <x:c r="K1243" s="82" t="str">
        <x:f>IF(AND(ISNUMBER(J1243),ISNUMBER(D1243)),J1243-D1243,"")</x:f>
      </x:c>
      <x:c r="L1243" s="69" t="str">
        <x:f>IF(COUNT(E1243:I1243)&lt;5,"Needs component scores",IF(ISNUMBER(J1243),"Calculated",J1243))</x:f>
        <x:v>Needs component scores</x:v>
      </x:c>
      <x:c r="M1243" s="69" t="str">
        <x:f>IF(C1243="","",MATCH(C1243,'Position_Rubric'!$A$6:$A$14,0))</x:f>
      </x:c>
      <x:c r="N1243" s="69" t="str"/>
    </x:row>
    <x:row r="1244" ht="25" customHeight="1">
      <x:c r="A1244" s="69" t="str">
        <x:v>summer-S26-0755</x:v>
      </x:c>
      <x:c r="B1244" s="69" t="str">
        <x:v>Pedro Felipe</x:v>
      </x:c>
      <x:c r="C1244" s="69"/>
      <x:c r="D1244" s="82" t="str">
        <x:f>IF(ISNUMBER('Transfer_Ratings'!K1244),'Transfer_Ratings'!K1244,"")</x:f>
      </x:c>
      <x:c r="E1244" s="86"/>
      <x:c r="F1244" s="86"/>
      <x:c r="G1244" s="86"/>
      <x:c r="H1244" s="86"/>
      <x:c r="I1244" s="86"/>
      <x:c r="J1244" s="82" t="str">
        <x:f>IF(C1244="","Choose position",IF(COUNT(E1244:I1244)&lt;5,"",IF(OR(MIN(E1244:I1244)&lt;0.1,MAX(E1244:I1244)&gt;10),"Invalid score",IF(INDEX('Position_Rubric'!$H$6:$H$14,M1244)&lt;&gt;1,"Check weights",ROUND(E1244*INDEX('Position_Rubric'!$C$6:$C$14,M1244)+F1244*INDEX('Position_Rubric'!$D$6:$D$14,M1244)+G1244*INDEX('Position_Rubric'!$E$6:$E$14,M1244)+H1244*INDEX('Position_Rubric'!$F$6:$F$14,M1244)+I1244*INDEX('Position_Rubric'!$G$6:$G$14,M1244),1)))))</x:f>
        <x:v>Choose position</x:v>
      </x:c>
      <x:c r="K1244" s="82" t="str">
        <x:f>IF(AND(ISNUMBER(J1244),ISNUMBER(D1244)),J1244-D1244,"")</x:f>
      </x:c>
      <x:c r="L1244" s="69" t="str">
        <x:f>IF(COUNT(E1244:I1244)&lt;5,"Needs component scores",IF(ISNUMBER(J1244),"Calculated",J1244))</x:f>
        <x:v>Needs component scores</x:v>
      </x:c>
      <x:c r="M1244" s="69" t="str">
        <x:f>IF(C1244="","",MATCH(C1244,'Position_Rubric'!$A$6:$A$14,0))</x:f>
      </x:c>
      <x:c r="N1244" s="69" t="str"/>
    </x:row>
    <x:row r="1245" ht="25" customHeight="1">
      <x:c r="A1245" s="69" t="str">
        <x:v>summer-S26-0756</x:v>
      </x:c>
      <x:c r="B1245" s="69" t="str">
        <x:v>Darlin Yongwa</x:v>
      </x:c>
      <x:c r="C1245" s="69"/>
      <x:c r="D1245" s="82" t="str">
        <x:f>IF(ISNUMBER('Transfer_Ratings'!K1245),'Transfer_Ratings'!K1245,"")</x:f>
      </x:c>
      <x:c r="E1245" s="86"/>
      <x:c r="F1245" s="86"/>
      <x:c r="G1245" s="86"/>
      <x:c r="H1245" s="86"/>
      <x:c r="I1245" s="86"/>
      <x:c r="J1245" s="82" t="str">
        <x:f>IF(C1245="","Choose position",IF(COUNT(E1245:I1245)&lt;5,"",IF(OR(MIN(E1245:I1245)&lt;0.1,MAX(E1245:I1245)&gt;10),"Invalid score",IF(INDEX('Position_Rubric'!$H$6:$H$14,M1245)&lt;&gt;1,"Check weights",ROUND(E1245*INDEX('Position_Rubric'!$C$6:$C$14,M1245)+F1245*INDEX('Position_Rubric'!$D$6:$D$14,M1245)+G1245*INDEX('Position_Rubric'!$E$6:$E$14,M1245)+H1245*INDEX('Position_Rubric'!$F$6:$F$14,M1245)+I1245*INDEX('Position_Rubric'!$G$6:$G$14,M1245),1)))))</x:f>
        <x:v>Choose position</x:v>
      </x:c>
      <x:c r="K1245" s="82" t="str">
        <x:f>IF(AND(ISNUMBER(J1245),ISNUMBER(D1245)),J1245-D1245,"")</x:f>
      </x:c>
      <x:c r="L1245" s="69" t="str">
        <x:f>IF(COUNT(E1245:I1245)&lt;5,"Needs component scores",IF(ISNUMBER(J1245),"Calculated",J1245))</x:f>
        <x:v>Needs component scores</x:v>
      </x:c>
      <x:c r="M1245" s="69" t="str">
        <x:f>IF(C1245="","",MATCH(C1245,'Position_Rubric'!$A$6:$A$14,0))</x:f>
      </x:c>
      <x:c r="N1245" s="69" t="str"/>
    </x:row>
    <x:row r="1246" ht="25" customHeight="1">
      <x:c r="A1246" s="69" t="str">
        <x:v>summer-S26-0763</x:v>
      </x:c>
      <x:c r="B1246" s="69" t="str">
        <x:v>Pablo Ramón</x:v>
      </x:c>
      <x:c r="C1246" s="69"/>
      <x:c r="D1246" s="82" t="str">
        <x:f>IF(ISNUMBER('Transfer_Ratings'!K1246),'Transfer_Ratings'!K1246,"")</x:f>
      </x:c>
      <x:c r="E1246" s="86"/>
      <x:c r="F1246" s="86"/>
      <x:c r="G1246" s="86"/>
      <x:c r="H1246" s="86"/>
      <x:c r="I1246" s="86"/>
      <x:c r="J1246" s="82" t="str">
        <x:f>IF(C1246="","Choose position",IF(COUNT(E1246:I1246)&lt;5,"",IF(OR(MIN(E1246:I1246)&lt;0.1,MAX(E1246:I1246)&gt;10),"Invalid score",IF(INDEX('Position_Rubric'!$H$6:$H$14,M1246)&lt;&gt;1,"Check weights",ROUND(E1246*INDEX('Position_Rubric'!$C$6:$C$14,M1246)+F1246*INDEX('Position_Rubric'!$D$6:$D$14,M1246)+G1246*INDEX('Position_Rubric'!$E$6:$E$14,M1246)+H1246*INDEX('Position_Rubric'!$F$6:$F$14,M1246)+I1246*INDEX('Position_Rubric'!$G$6:$G$14,M1246),1)))))</x:f>
        <x:v>Choose position</x:v>
      </x:c>
      <x:c r="K1246" s="82" t="str">
        <x:f>IF(AND(ISNUMBER(J1246),ISNUMBER(D1246)),J1246-D1246,"")</x:f>
      </x:c>
      <x:c r="L1246" s="69" t="str">
        <x:f>IF(COUNT(E1246:I1246)&lt;5,"Needs component scores",IF(ISNUMBER(J1246),"Calculated",J1246))</x:f>
        <x:v>Needs component scores</x:v>
      </x:c>
      <x:c r="M1246" s="69" t="str">
        <x:f>IF(C1246="","",MATCH(C1246,'Position_Rubric'!$A$6:$A$14,0))</x:f>
      </x:c>
      <x:c r="N1246" s="69" t="str"/>
    </x:row>
    <x:row r="1247" ht="25" customHeight="1">
      <x:c r="A1247" s="69" t="str">
        <x:v>summer-S26-0764</x:v>
      </x:c>
      <x:c r="B1247" s="69" t="str">
        <x:v>Unai Elgezabal</x:v>
      </x:c>
      <x:c r="C1247" s="69"/>
      <x:c r="D1247" s="82" t="str">
        <x:f>IF(ISNUMBER('Transfer_Ratings'!K1247),'Transfer_Ratings'!K1247,"")</x:f>
      </x:c>
      <x:c r="E1247" s="86"/>
      <x:c r="F1247" s="86"/>
      <x:c r="G1247" s="86"/>
      <x:c r="H1247" s="86"/>
      <x:c r="I1247" s="86"/>
      <x:c r="J1247" s="82" t="str">
        <x:f>IF(C1247="","Choose position",IF(COUNT(E1247:I1247)&lt;5,"",IF(OR(MIN(E1247:I1247)&lt;0.1,MAX(E1247:I1247)&gt;10),"Invalid score",IF(INDEX('Position_Rubric'!$H$6:$H$14,M1247)&lt;&gt;1,"Check weights",ROUND(E1247*INDEX('Position_Rubric'!$C$6:$C$14,M1247)+F1247*INDEX('Position_Rubric'!$D$6:$D$14,M1247)+G1247*INDEX('Position_Rubric'!$E$6:$E$14,M1247)+H1247*INDEX('Position_Rubric'!$F$6:$F$14,M1247)+I1247*INDEX('Position_Rubric'!$G$6:$G$14,M1247),1)))))</x:f>
        <x:v>Choose position</x:v>
      </x:c>
      <x:c r="K1247" s="82" t="str">
        <x:f>IF(AND(ISNUMBER(J1247),ISNUMBER(D1247)),J1247-D1247,"")</x:f>
      </x:c>
      <x:c r="L1247" s="69" t="str">
        <x:f>IF(COUNT(E1247:I1247)&lt;5,"Needs component scores",IF(ISNUMBER(J1247),"Calculated",J1247))</x:f>
        <x:v>Needs component scores</x:v>
      </x:c>
      <x:c r="M1247" s="69" t="str">
        <x:f>IF(C1247="","",MATCH(C1247,'Position_Rubric'!$A$6:$A$14,0))</x:f>
      </x:c>
      <x:c r="N1247" s="69" t="str"/>
    </x:row>
    <x:row r="1248" ht="25" customHeight="1">
      <x:c r="A1248" s="69" t="str">
        <x:v>summer-S26-0765</x:v>
      </x:c>
      <x:c r="B1248" s="69" t="str">
        <x:v>Konstantinos Tzolakis</x:v>
      </x:c>
      <x:c r="C1248" s="69" t="str">
        <x:v>GK</x:v>
      </x:c>
      <x:c r="D1248" s="82" t="str">
        <x:f>IF(ISNUMBER('Transfer_Ratings'!K1248),'Transfer_Ratings'!K1248,"")</x:f>
      </x:c>
      <x:c r="E1248" s="86"/>
      <x:c r="F1248" s="86"/>
      <x:c r="G1248" s="86"/>
      <x:c r="H1248" s="86"/>
      <x:c r="I1248" s="86"/>
      <x:c r="J1248" s="82" t="str">
        <x:f>IF(C1248="","Choose position",IF(COUNT(E1248:I1248)&lt;5,"",IF(OR(MIN(E1248:I1248)&lt;0.1,MAX(E1248:I1248)&gt;10),"Invalid score",IF(INDEX('Position_Rubric'!$H$6:$H$14,M1248)&lt;&gt;1,"Check weights",ROUND(E1248*INDEX('Position_Rubric'!$C$6:$C$14,M1248)+F1248*INDEX('Position_Rubric'!$D$6:$D$14,M1248)+G1248*INDEX('Position_Rubric'!$E$6:$E$14,M1248)+H1248*INDEX('Position_Rubric'!$F$6:$F$14,M1248)+I1248*INDEX('Position_Rubric'!$G$6:$G$14,M1248),1)))))</x:f>
      </x:c>
      <x:c r="K1248" s="82" t="str">
        <x:f>IF(AND(ISNUMBER(J1248),ISNUMBER(D1248)),J1248-D1248,"")</x:f>
      </x:c>
      <x:c r="L1248" s="69" t="str">
        <x:f>IF(COUNT(E1248:I1248)&lt;5,"Needs component scores",IF(ISNUMBER(J1248),"Calculated",J1248))</x:f>
        <x:v>Needs component scores</x:v>
      </x:c>
      <x:c r="M1248" s="69" t="n">
        <x:f>IF(C1248="","",MATCH(C1248,'Position_Rubric'!$A$6:$A$14,0))</x:f>
        <x:v>9</x:v>
      </x:c>
      <x:c r="N1248" s="69" t="str"/>
    </x:row>
    <x:row r="1249" ht="25" customHeight="1">
      <x:c r="A1249" s="69" t="str">
        <x:v>summer-S26-0766</x:v>
      </x:c>
      <x:c r="B1249" s="69" t="str">
        <x:v>Miguel Gutiérrez</x:v>
      </x:c>
      <x:c r="C1249" s="69"/>
      <x:c r="D1249" s="82" t="str">
        <x:f>IF(ISNUMBER('Transfer_Ratings'!K1249),'Transfer_Ratings'!K1249,"")</x:f>
      </x:c>
      <x:c r="E1249" s="86"/>
      <x:c r="F1249" s="86"/>
      <x:c r="G1249" s="86"/>
      <x:c r="H1249" s="86"/>
      <x:c r="I1249" s="86"/>
      <x:c r="J1249" s="82" t="str">
        <x:f>IF(C1249="","Choose position",IF(COUNT(E1249:I1249)&lt;5,"",IF(OR(MIN(E1249:I1249)&lt;0.1,MAX(E1249:I1249)&gt;10),"Invalid score",IF(INDEX('Position_Rubric'!$H$6:$H$14,M1249)&lt;&gt;1,"Check weights",ROUND(E1249*INDEX('Position_Rubric'!$C$6:$C$14,M1249)+F1249*INDEX('Position_Rubric'!$D$6:$D$14,M1249)+G1249*INDEX('Position_Rubric'!$E$6:$E$14,M1249)+H1249*INDEX('Position_Rubric'!$F$6:$F$14,M1249)+I1249*INDEX('Position_Rubric'!$G$6:$G$14,M1249),1)))))</x:f>
        <x:v>Choose position</x:v>
      </x:c>
      <x:c r="K1249" s="82" t="str">
        <x:f>IF(AND(ISNUMBER(J1249),ISNUMBER(D1249)),J1249-D1249,"")</x:f>
      </x:c>
      <x:c r="L1249" s="69" t="str">
        <x:f>IF(COUNT(E1249:I1249)&lt;5,"Needs component scores",IF(ISNUMBER(J1249),"Calculated",J1249))</x:f>
        <x:v>Needs component scores</x:v>
      </x:c>
      <x:c r="M1249" s="69" t="str">
        <x:f>IF(C1249="","",MATCH(C1249,'Position_Rubric'!$A$6:$A$14,0))</x:f>
      </x:c>
      <x:c r="N1249" s="69" t="str"/>
    </x:row>
    <x:row r="1250" ht="25" customHeight="1">
      <x:c r="A1250" s="69" t="str">
        <x:v>summer-S26-0767</x:v>
      </x:c>
      <x:c r="B1250" s="69" t="str">
        <x:v>Joseph Nonge</x:v>
      </x:c>
      <x:c r="C1250" s="69"/>
      <x:c r="D1250" s="82" t="str">
        <x:f>IF(ISNUMBER('Transfer_Ratings'!K1250),'Transfer_Ratings'!K1250,"")</x:f>
      </x:c>
      <x:c r="E1250" s="86"/>
      <x:c r="F1250" s="86"/>
      <x:c r="G1250" s="86"/>
      <x:c r="H1250" s="86"/>
      <x:c r="I1250" s="86"/>
      <x:c r="J1250" s="82" t="str">
        <x:f>IF(C1250="","Choose position",IF(COUNT(E1250:I1250)&lt;5,"",IF(OR(MIN(E1250:I1250)&lt;0.1,MAX(E1250:I1250)&gt;10),"Invalid score",IF(INDEX('Position_Rubric'!$H$6:$H$14,M1250)&lt;&gt;1,"Check weights",ROUND(E1250*INDEX('Position_Rubric'!$C$6:$C$14,M1250)+F1250*INDEX('Position_Rubric'!$D$6:$D$14,M1250)+G1250*INDEX('Position_Rubric'!$E$6:$E$14,M1250)+H1250*INDEX('Position_Rubric'!$F$6:$F$14,M1250)+I1250*INDEX('Position_Rubric'!$G$6:$G$14,M1250),1)))))</x:f>
        <x:v>Choose position</x:v>
      </x:c>
      <x:c r="K1250" s="82" t="str">
        <x:f>IF(AND(ISNUMBER(J1250),ISNUMBER(D1250)),J1250-D1250,"")</x:f>
      </x:c>
      <x:c r="L1250" s="69" t="str">
        <x:f>IF(COUNT(E1250:I1250)&lt;5,"Needs component scores",IF(ISNUMBER(J1250),"Calculated",J1250))</x:f>
        <x:v>Needs component scores</x:v>
      </x:c>
      <x:c r="M1250" s="69" t="str">
        <x:f>IF(C1250="","",MATCH(C1250,'Position_Rubric'!$A$6:$A$14,0))</x:f>
      </x:c>
      <x:c r="N1250" s="69" t="str"/>
    </x:row>
    <x:row r="1251" ht="25" customHeight="1">
      <x:c r="A1251" s="69" t="str">
        <x:v>summer-S26-0768</x:v>
      </x:c>
      <x:c r="B1251" s="69" t="str">
        <x:v>Kevin Leone</x:v>
      </x:c>
      <x:c r="C1251" s="69"/>
      <x:c r="D1251" s="82" t="str">
        <x:f>IF(ISNUMBER('Transfer_Ratings'!K1251),'Transfer_Ratings'!K1251,"")</x:f>
      </x:c>
      <x:c r="E1251" s="86"/>
      <x:c r="F1251" s="86"/>
      <x:c r="G1251" s="86"/>
      <x:c r="H1251" s="86"/>
      <x:c r="I1251" s="86"/>
      <x:c r="J1251" s="82" t="str">
        <x:f>IF(C1251="","Choose position",IF(COUNT(E1251:I1251)&lt;5,"",IF(OR(MIN(E1251:I1251)&lt;0.1,MAX(E1251:I1251)&gt;10),"Invalid score",IF(INDEX('Position_Rubric'!$H$6:$H$14,M1251)&lt;&gt;1,"Check weights",ROUND(E1251*INDEX('Position_Rubric'!$C$6:$C$14,M1251)+F1251*INDEX('Position_Rubric'!$D$6:$D$14,M1251)+G1251*INDEX('Position_Rubric'!$E$6:$E$14,M1251)+H1251*INDEX('Position_Rubric'!$F$6:$F$14,M1251)+I1251*INDEX('Position_Rubric'!$G$6:$G$14,M1251),1)))))</x:f>
        <x:v>Choose position</x:v>
      </x:c>
      <x:c r="K1251" s="82" t="str">
        <x:f>IF(AND(ISNUMBER(J1251),ISNUMBER(D1251)),J1251-D1251,"")</x:f>
      </x:c>
      <x:c r="L1251" s="69" t="str">
        <x:f>IF(COUNT(E1251:I1251)&lt;5,"Needs component scores",IF(ISNUMBER(J1251),"Calculated",J1251))</x:f>
        <x:v>Needs component scores</x:v>
      </x:c>
      <x:c r="M1251" s="69" t="str">
        <x:f>IF(C1251="","",MATCH(C1251,'Position_Rubric'!$A$6:$A$14,0))</x:f>
      </x:c>
      <x:c r="N1251" s="69" t="str"/>
    </x:row>
    <x:row r="1252" ht="25" customHeight="1">
      <x:c r="A1252" s="69" t="str">
        <x:v>summer-S26-0769</x:v>
      </x:c>
      <x:c r="B1252" s="69" t="str">
        <x:v>Reece Welch</x:v>
      </x:c>
      <x:c r="C1252" s="69"/>
      <x:c r="D1252" s="82" t="str">
        <x:f>IF(ISNUMBER('Transfer_Ratings'!K1252),'Transfer_Ratings'!K1252,"")</x:f>
      </x:c>
      <x:c r="E1252" s="86"/>
      <x:c r="F1252" s="86"/>
      <x:c r="G1252" s="86"/>
      <x:c r="H1252" s="86"/>
      <x:c r="I1252" s="86"/>
      <x:c r="J1252" s="82" t="str">
        <x:f>IF(C1252="","Choose position",IF(COUNT(E1252:I1252)&lt;5,"",IF(OR(MIN(E1252:I1252)&lt;0.1,MAX(E1252:I1252)&gt;10),"Invalid score",IF(INDEX('Position_Rubric'!$H$6:$H$14,M1252)&lt;&gt;1,"Check weights",ROUND(E1252*INDEX('Position_Rubric'!$C$6:$C$14,M1252)+F1252*INDEX('Position_Rubric'!$D$6:$D$14,M1252)+G1252*INDEX('Position_Rubric'!$E$6:$E$14,M1252)+H1252*INDEX('Position_Rubric'!$F$6:$F$14,M1252)+I1252*INDEX('Position_Rubric'!$G$6:$G$14,M1252),1)))))</x:f>
        <x:v>Choose position</x:v>
      </x:c>
      <x:c r="K1252" s="82" t="str">
        <x:f>IF(AND(ISNUMBER(J1252),ISNUMBER(D1252)),J1252-D1252,"")</x:f>
      </x:c>
      <x:c r="L1252" s="69" t="str">
        <x:f>IF(COUNT(E1252:I1252)&lt;5,"Needs component scores",IF(ISNUMBER(J1252),"Calculated",J1252))</x:f>
        <x:v>Needs component scores</x:v>
      </x:c>
      <x:c r="M1252" s="69" t="str">
        <x:f>IF(C1252="","",MATCH(C1252,'Position_Rubric'!$A$6:$A$14,0))</x:f>
      </x:c>
      <x:c r="N1252" s="69" t="str"/>
    </x:row>
    <x:row r="1253" ht="25" customHeight="1">
      <x:c r="A1253" s="69" t="str">
        <x:v>summer-S26-0771</x:v>
      </x:c>
      <x:c r="B1253" s="69" t="str">
        <x:v>Ruslan Malinovskyi</x:v>
      </x:c>
      <x:c r="C1253" s="69"/>
      <x:c r="D1253" s="82" t="str">
        <x:f>IF(ISNUMBER('Transfer_Ratings'!K1253),'Transfer_Ratings'!K1253,"")</x:f>
      </x:c>
      <x:c r="E1253" s="86"/>
      <x:c r="F1253" s="86"/>
      <x:c r="G1253" s="86"/>
      <x:c r="H1253" s="86"/>
      <x:c r="I1253" s="86"/>
      <x:c r="J1253" s="82" t="str">
        <x:f>IF(C1253="","Choose position",IF(COUNT(E1253:I1253)&lt;5,"",IF(OR(MIN(E1253:I1253)&lt;0.1,MAX(E1253:I1253)&gt;10),"Invalid score",IF(INDEX('Position_Rubric'!$H$6:$H$14,M1253)&lt;&gt;1,"Check weights",ROUND(E1253*INDEX('Position_Rubric'!$C$6:$C$14,M1253)+F1253*INDEX('Position_Rubric'!$D$6:$D$14,M1253)+G1253*INDEX('Position_Rubric'!$E$6:$E$14,M1253)+H1253*INDEX('Position_Rubric'!$F$6:$F$14,M1253)+I1253*INDEX('Position_Rubric'!$G$6:$G$14,M1253),1)))))</x:f>
        <x:v>Choose position</x:v>
      </x:c>
      <x:c r="K1253" s="82" t="str">
        <x:f>IF(AND(ISNUMBER(J1253),ISNUMBER(D1253)),J1253-D1253,"")</x:f>
      </x:c>
      <x:c r="L1253" s="69" t="str">
        <x:f>IF(COUNT(E1253:I1253)&lt;5,"Needs component scores",IF(ISNUMBER(J1253),"Calculated",J1253))</x:f>
        <x:v>Needs component scores</x:v>
      </x:c>
      <x:c r="M1253" s="69" t="str">
        <x:f>IF(C1253="","",MATCH(C1253,'Position_Rubric'!$A$6:$A$14,0))</x:f>
      </x:c>
      <x:c r="N1253" s="69" t="str"/>
    </x:row>
    <x:row r="1254" ht="25" customHeight="1">
      <x:c r="A1254" s="69" t="str">
        <x:v>summer-S26-0772</x:v>
      </x:c>
      <x:c r="B1254" s="69" t="str">
        <x:v>Hugo Cuenca</x:v>
      </x:c>
      <x:c r="C1254" s="69"/>
      <x:c r="D1254" s="82" t="str">
        <x:f>IF(ISNUMBER('Transfer_Ratings'!K1254),'Transfer_Ratings'!K1254,"")</x:f>
      </x:c>
      <x:c r="E1254" s="86"/>
      <x:c r="F1254" s="86"/>
      <x:c r="G1254" s="86"/>
      <x:c r="H1254" s="86"/>
      <x:c r="I1254" s="86"/>
      <x:c r="J1254" s="82" t="str">
        <x:f>IF(C1254="","Choose position",IF(COUNT(E1254:I1254)&lt;5,"",IF(OR(MIN(E1254:I1254)&lt;0.1,MAX(E1254:I1254)&gt;10),"Invalid score",IF(INDEX('Position_Rubric'!$H$6:$H$14,M1254)&lt;&gt;1,"Check weights",ROUND(E1254*INDEX('Position_Rubric'!$C$6:$C$14,M1254)+F1254*INDEX('Position_Rubric'!$D$6:$D$14,M1254)+G1254*INDEX('Position_Rubric'!$E$6:$E$14,M1254)+H1254*INDEX('Position_Rubric'!$F$6:$F$14,M1254)+I1254*INDEX('Position_Rubric'!$G$6:$G$14,M1254),1)))))</x:f>
        <x:v>Choose position</x:v>
      </x:c>
      <x:c r="K1254" s="82" t="str">
        <x:f>IF(AND(ISNUMBER(J1254),ISNUMBER(D1254)),J1254-D1254,"")</x:f>
      </x:c>
      <x:c r="L1254" s="69" t="str">
        <x:f>IF(COUNT(E1254:I1254)&lt;5,"Needs component scores",IF(ISNUMBER(J1254),"Calculated",J1254))</x:f>
        <x:v>Needs component scores</x:v>
      </x:c>
      <x:c r="M1254" s="69" t="str">
        <x:f>IF(C1254="","",MATCH(C1254,'Position_Rubric'!$A$6:$A$14,0))</x:f>
      </x:c>
      <x:c r="N1254" s="69" t="str"/>
    </x:row>
    <x:row r="1255" ht="25" customHeight="1">
      <x:c r="A1255" s="69" t="str">
        <x:v>summer-S26-0773</x:v>
      </x:c>
      <x:c r="B1255" s="69" t="str">
        <x:v>Gianluca Rossi</x:v>
      </x:c>
      <x:c r="C1255" s="69"/>
      <x:c r="D1255" s="82" t="str">
        <x:f>IF(ISNUMBER('Transfer_Ratings'!K1255),'Transfer_Ratings'!K1255,"")</x:f>
      </x:c>
      <x:c r="E1255" s="86"/>
      <x:c r="F1255" s="86"/>
      <x:c r="G1255" s="86"/>
      <x:c r="H1255" s="86"/>
      <x:c r="I1255" s="86"/>
      <x:c r="J1255" s="82" t="str">
        <x:f>IF(C1255="","Choose position",IF(COUNT(E1255:I1255)&lt;5,"",IF(OR(MIN(E1255:I1255)&lt;0.1,MAX(E1255:I1255)&gt;10),"Invalid score",IF(INDEX('Position_Rubric'!$H$6:$H$14,M1255)&lt;&gt;1,"Check weights",ROUND(E1255*INDEX('Position_Rubric'!$C$6:$C$14,M1255)+F1255*INDEX('Position_Rubric'!$D$6:$D$14,M1255)+G1255*INDEX('Position_Rubric'!$E$6:$E$14,M1255)+H1255*INDEX('Position_Rubric'!$F$6:$F$14,M1255)+I1255*INDEX('Position_Rubric'!$G$6:$G$14,M1255),1)))))</x:f>
        <x:v>Choose position</x:v>
      </x:c>
      <x:c r="K1255" s="82" t="str">
        <x:f>IF(AND(ISNUMBER(J1255),ISNUMBER(D1255)),J1255-D1255,"")</x:f>
      </x:c>
      <x:c r="L1255" s="69" t="str">
        <x:f>IF(COUNT(E1255:I1255)&lt;5,"Needs component scores",IF(ISNUMBER(J1255),"Calculated",J1255))</x:f>
        <x:v>Needs component scores</x:v>
      </x:c>
      <x:c r="M1255" s="69" t="str">
        <x:f>IF(C1255="","",MATCH(C1255,'Position_Rubric'!$A$6:$A$14,0))</x:f>
      </x:c>
      <x:c r="N1255" s="69" t="str"/>
    </x:row>
    <x:row r="1256" ht="25" customHeight="1">
      <x:c r="A1256" s="69" t="str">
        <x:v>summer-S26-0775</x:v>
      </x:c>
      <x:c r="B1256" s="69" t="str">
        <x:v>Tommaso Pittino</x:v>
      </x:c>
      <x:c r="C1256" s="69"/>
      <x:c r="D1256" s="82" t="str">
        <x:f>IF(ISNUMBER('Transfer_Ratings'!K1256),'Transfer_Ratings'!K1256,"")</x:f>
      </x:c>
      <x:c r="E1256" s="86"/>
      <x:c r="F1256" s="86"/>
      <x:c r="G1256" s="86"/>
      <x:c r="H1256" s="86"/>
      <x:c r="I1256" s="86"/>
      <x:c r="J1256" s="82" t="str">
        <x:f>IF(C1256="","Choose position",IF(COUNT(E1256:I1256)&lt;5,"",IF(OR(MIN(E1256:I1256)&lt;0.1,MAX(E1256:I1256)&gt;10),"Invalid score",IF(INDEX('Position_Rubric'!$H$6:$H$14,M1256)&lt;&gt;1,"Check weights",ROUND(E1256*INDEX('Position_Rubric'!$C$6:$C$14,M1256)+F1256*INDEX('Position_Rubric'!$D$6:$D$14,M1256)+G1256*INDEX('Position_Rubric'!$E$6:$E$14,M1256)+H1256*INDEX('Position_Rubric'!$F$6:$F$14,M1256)+I1256*INDEX('Position_Rubric'!$G$6:$G$14,M1256),1)))))</x:f>
        <x:v>Choose position</x:v>
      </x:c>
      <x:c r="K1256" s="82" t="str">
        <x:f>IF(AND(ISNUMBER(J1256),ISNUMBER(D1256)),J1256-D1256,"")</x:f>
      </x:c>
      <x:c r="L1256" s="69" t="str">
        <x:f>IF(COUNT(E1256:I1256)&lt;5,"Needs component scores",IF(ISNUMBER(J1256),"Calculated",J1256))</x:f>
        <x:v>Needs component scores</x:v>
      </x:c>
      <x:c r="M1256" s="69" t="str">
        <x:f>IF(C1256="","",MATCH(C1256,'Position_Rubric'!$A$6:$A$14,0))</x:f>
      </x:c>
      <x:c r="N1256" s="69" t="str"/>
    </x:row>
    <x:row r="1257" ht="25" customHeight="1">
      <x:c r="A1257" s="69" t="str">
        <x:v>summer-S26-0776</x:v>
      </x:c>
      <x:c r="B1257" s="69" t="str">
        <x:v>Lorenzo Gagliardi</x:v>
      </x:c>
      <x:c r="C1257" s="69"/>
      <x:c r="D1257" s="82" t="str">
        <x:f>IF(ISNUMBER('Transfer_Ratings'!K1257),'Transfer_Ratings'!K1257,"")</x:f>
      </x:c>
      <x:c r="E1257" s="86"/>
      <x:c r="F1257" s="86"/>
      <x:c r="G1257" s="86"/>
      <x:c r="H1257" s="86"/>
      <x:c r="I1257" s="86"/>
      <x:c r="J1257" s="82" t="str">
        <x:f>IF(C1257="","Choose position",IF(COUNT(E1257:I1257)&lt;5,"",IF(OR(MIN(E1257:I1257)&lt;0.1,MAX(E1257:I1257)&gt;10),"Invalid score",IF(INDEX('Position_Rubric'!$H$6:$H$14,M1257)&lt;&gt;1,"Check weights",ROUND(E1257*INDEX('Position_Rubric'!$C$6:$C$14,M1257)+F1257*INDEX('Position_Rubric'!$D$6:$D$14,M1257)+G1257*INDEX('Position_Rubric'!$E$6:$E$14,M1257)+H1257*INDEX('Position_Rubric'!$F$6:$F$14,M1257)+I1257*INDEX('Position_Rubric'!$G$6:$G$14,M1257),1)))))</x:f>
        <x:v>Choose position</x:v>
      </x:c>
      <x:c r="K1257" s="82" t="str">
        <x:f>IF(AND(ISNUMBER(J1257),ISNUMBER(D1257)),J1257-D1257,"")</x:f>
      </x:c>
      <x:c r="L1257" s="69" t="str">
        <x:f>IF(COUNT(E1257:I1257)&lt;5,"Needs component scores",IF(ISNUMBER(J1257),"Calculated",J1257))</x:f>
        <x:v>Needs component scores</x:v>
      </x:c>
      <x:c r="M1257" s="69" t="str">
        <x:f>IF(C1257="","",MATCH(C1257,'Position_Rubric'!$A$6:$A$14,0))</x:f>
      </x:c>
      <x:c r="N1257" s="69" t="str"/>
    </x:row>
    <x:row r="1258" ht="25" customHeight="1">
      <x:c r="A1258" s="69" t="str">
        <x:v>summer-S26-0777</x:v>
      </x:c>
      <x:c r="B1258" s="69" t="str">
        <x:v>Simone Calvani</x:v>
      </x:c>
      <x:c r="C1258" s="69" t="str">
        <x:v>GK</x:v>
      </x:c>
      <x:c r="D1258" s="82" t="str">
        <x:f>IF(ISNUMBER('Transfer_Ratings'!K1258),'Transfer_Ratings'!K1258,"")</x:f>
      </x:c>
      <x:c r="E1258" s="86"/>
      <x:c r="F1258" s="86"/>
      <x:c r="G1258" s="86"/>
      <x:c r="H1258" s="86"/>
      <x:c r="I1258" s="86"/>
      <x:c r="J1258" s="82" t="str">
        <x:f>IF(C1258="","Choose position",IF(COUNT(E1258:I1258)&lt;5,"",IF(OR(MIN(E1258:I1258)&lt;0.1,MAX(E1258:I1258)&gt;10),"Invalid score",IF(INDEX('Position_Rubric'!$H$6:$H$14,M1258)&lt;&gt;1,"Check weights",ROUND(E1258*INDEX('Position_Rubric'!$C$6:$C$14,M1258)+F1258*INDEX('Position_Rubric'!$D$6:$D$14,M1258)+G1258*INDEX('Position_Rubric'!$E$6:$E$14,M1258)+H1258*INDEX('Position_Rubric'!$F$6:$F$14,M1258)+I1258*INDEX('Position_Rubric'!$G$6:$G$14,M1258),1)))))</x:f>
      </x:c>
      <x:c r="K1258" s="82" t="str">
        <x:f>IF(AND(ISNUMBER(J1258),ISNUMBER(D1258)),J1258-D1258,"")</x:f>
      </x:c>
      <x:c r="L1258" s="69" t="str">
        <x:f>IF(COUNT(E1258:I1258)&lt;5,"Needs component scores",IF(ISNUMBER(J1258),"Calculated",J1258))</x:f>
        <x:v>Needs component scores</x:v>
      </x:c>
      <x:c r="M1258" s="69" t="n">
        <x:f>IF(C1258="","",MATCH(C1258,'Position_Rubric'!$A$6:$A$14,0))</x:f>
        <x:v>9</x:v>
      </x:c>
      <x:c r="N1258" s="69" t="str"/>
    </x:row>
    <x:row r="1259" ht="25" customHeight="1">
      <x:c r="A1259" s="69" t="str">
        <x:v>summer-S26-0778</x:v>
      </x:c>
      <x:c r="B1259" s="69" t="str">
        <x:v>Edoardo Meconi</x:v>
      </x:c>
      <x:c r="C1259" s="69"/>
      <x:c r="D1259" s="82" t="str">
        <x:f>IF(ISNUMBER('Transfer_Ratings'!K1259),'Transfer_Ratings'!K1259,"")</x:f>
      </x:c>
      <x:c r="E1259" s="86"/>
      <x:c r="F1259" s="86"/>
      <x:c r="G1259" s="86"/>
      <x:c r="H1259" s="86"/>
      <x:c r="I1259" s="86"/>
      <x:c r="J1259" s="82" t="str">
        <x:f>IF(C1259="","Choose position",IF(COUNT(E1259:I1259)&lt;5,"",IF(OR(MIN(E1259:I1259)&lt;0.1,MAX(E1259:I1259)&gt;10),"Invalid score",IF(INDEX('Position_Rubric'!$H$6:$H$14,M1259)&lt;&gt;1,"Check weights",ROUND(E1259*INDEX('Position_Rubric'!$C$6:$C$14,M1259)+F1259*INDEX('Position_Rubric'!$D$6:$D$14,M1259)+G1259*INDEX('Position_Rubric'!$E$6:$E$14,M1259)+H1259*INDEX('Position_Rubric'!$F$6:$F$14,M1259)+I1259*INDEX('Position_Rubric'!$G$6:$G$14,M1259),1)))))</x:f>
        <x:v>Choose position</x:v>
      </x:c>
      <x:c r="K1259" s="82" t="str">
        <x:f>IF(AND(ISNUMBER(J1259),ISNUMBER(D1259)),J1259-D1259,"")</x:f>
      </x:c>
      <x:c r="L1259" s="69" t="str">
        <x:f>IF(COUNT(E1259:I1259)&lt;5,"Needs component scores",IF(ISNUMBER(J1259),"Calculated",J1259))</x:f>
        <x:v>Needs component scores</x:v>
      </x:c>
      <x:c r="M1259" s="69" t="str">
        <x:f>IF(C1259="","",MATCH(C1259,'Position_Rubric'!$A$6:$A$14,0))</x:f>
      </x:c>
      <x:c r="N1259" s="69" t="str"/>
    </x:row>
    <x:row r="1260" ht="25" customHeight="1">
      <x:c r="A1260" s="69" t="str">
        <x:v>summer-S26-0780</x:v>
      </x:c>
      <x:c r="B1260" s="69" t="str">
        <x:v>Charlie Crew</x:v>
      </x:c>
      <x:c r="C1260" s="69"/>
      <x:c r="D1260" s="82" t="str">
        <x:f>IF(ISNUMBER('Transfer_Ratings'!K1260),'Transfer_Ratings'!K1260,"")</x:f>
      </x:c>
      <x:c r="E1260" s="86"/>
      <x:c r="F1260" s="86"/>
      <x:c r="G1260" s="86"/>
      <x:c r="H1260" s="86"/>
      <x:c r="I1260" s="86"/>
      <x:c r="J1260" s="82" t="str">
        <x:f>IF(C1260="","Choose position",IF(COUNT(E1260:I1260)&lt;5,"",IF(OR(MIN(E1260:I1260)&lt;0.1,MAX(E1260:I1260)&gt;10),"Invalid score",IF(INDEX('Position_Rubric'!$H$6:$H$14,M1260)&lt;&gt;1,"Check weights",ROUND(E1260*INDEX('Position_Rubric'!$C$6:$C$14,M1260)+F1260*INDEX('Position_Rubric'!$D$6:$D$14,M1260)+G1260*INDEX('Position_Rubric'!$E$6:$E$14,M1260)+H1260*INDEX('Position_Rubric'!$F$6:$F$14,M1260)+I1260*INDEX('Position_Rubric'!$G$6:$G$14,M1260),1)))))</x:f>
        <x:v>Choose position</x:v>
      </x:c>
      <x:c r="K1260" s="82" t="str">
        <x:f>IF(AND(ISNUMBER(J1260),ISNUMBER(D1260)),J1260-D1260,"")</x:f>
      </x:c>
      <x:c r="L1260" s="69" t="str">
        <x:f>IF(COUNT(E1260:I1260)&lt;5,"Needs component scores",IF(ISNUMBER(J1260),"Calculated",J1260))</x:f>
        <x:v>Needs component scores</x:v>
      </x:c>
      <x:c r="M1260" s="69" t="str">
        <x:f>IF(C1260="","",MATCH(C1260,'Position_Rubric'!$A$6:$A$14,0))</x:f>
      </x:c>
      <x:c r="N1260" s="69" t="str"/>
    </x:row>
    <x:row r="1261" ht="25" customHeight="1">
      <x:c r="A1261" s="69" t="str">
        <x:v>summer-S26-0781</x:v>
      </x:c>
      <x:c r="B1261" s="69" t="str">
        <x:v>Thimothée Lo-Tutala</x:v>
      </x:c>
      <x:c r="C1261" s="69" t="str">
        <x:v>GK</x:v>
      </x:c>
      <x:c r="D1261" s="82" t="str">
        <x:f>IF(ISNUMBER('Transfer_Ratings'!K1261),'Transfer_Ratings'!K1261,"")</x:f>
      </x:c>
      <x:c r="E1261" s="86"/>
      <x:c r="F1261" s="86"/>
      <x:c r="G1261" s="86"/>
      <x:c r="H1261" s="86"/>
      <x:c r="I1261" s="86"/>
      <x:c r="J1261" s="82" t="str">
        <x:f>IF(C1261="","Choose position",IF(COUNT(E1261:I1261)&lt;5,"",IF(OR(MIN(E1261:I1261)&lt;0.1,MAX(E1261:I1261)&gt;10),"Invalid score",IF(INDEX('Position_Rubric'!$H$6:$H$14,M1261)&lt;&gt;1,"Check weights",ROUND(E1261*INDEX('Position_Rubric'!$C$6:$C$14,M1261)+F1261*INDEX('Position_Rubric'!$D$6:$D$14,M1261)+G1261*INDEX('Position_Rubric'!$E$6:$E$14,M1261)+H1261*INDEX('Position_Rubric'!$F$6:$F$14,M1261)+I1261*INDEX('Position_Rubric'!$G$6:$G$14,M1261),1)))))</x:f>
      </x:c>
      <x:c r="K1261" s="82" t="str">
        <x:f>IF(AND(ISNUMBER(J1261),ISNUMBER(D1261)),J1261-D1261,"")</x:f>
      </x:c>
      <x:c r="L1261" s="69" t="str">
        <x:f>IF(COUNT(E1261:I1261)&lt;5,"Needs component scores",IF(ISNUMBER(J1261),"Calculated",J1261))</x:f>
        <x:v>Needs component scores</x:v>
      </x:c>
      <x:c r="M1261" s="69" t="n">
        <x:f>IF(C1261="","",MATCH(C1261,'Position_Rubric'!$A$6:$A$14,0))</x:f>
        <x:v>9</x:v>
      </x:c>
      <x:c r="N1261" s="69" t="str"/>
    </x:row>
    <x:row r="1262" ht="25" customHeight="1">
      <x:c r="A1262" s="69" t="str">
        <x:v>summer-S26-0782</x:v>
      </x:c>
      <x:c r="B1262" s="69" t="str">
        <x:v>Archie Harris</x:v>
      </x:c>
      <x:c r="C1262" s="69"/>
      <x:c r="D1262" s="82" t="str">
        <x:f>IF(ISNUMBER('Transfer_Ratings'!K1262),'Transfer_Ratings'!K1262,"")</x:f>
      </x:c>
      <x:c r="E1262" s="86"/>
      <x:c r="F1262" s="86"/>
      <x:c r="G1262" s="86"/>
      <x:c r="H1262" s="86"/>
      <x:c r="I1262" s="86"/>
      <x:c r="J1262" s="82" t="str">
        <x:f>IF(C1262="","Choose position",IF(COUNT(E1262:I1262)&lt;5,"",IF(OR(MIN(E1262:I1262)&lt;0.1,MAX(E1262:I1262)&gt;10),"Invalid score",IF(INDEX('Position_Rubric'!$H$6:$H$14,M1262)&lt;&gt;1,"Check weights",ROUND(E1262*INDEX('Position_Rubric'!$C$6:$C$14,M1262)+F1262*INDEX('Position_Rubric'!$D$6:$D$14,M1262)+G1262*INDEX('Position_Rubric'!$E$6:$E$14,M1262)+H1262*INDEX('Position_Rubric'!$F$6:$F$14,M1262)+I1262*INDEX('Position_Rubric'!$G$6:$G$14,M1262),1)))))</x:f>
        <x:v>Choose position</x:v>
      </x:c>
      <x:c r="K1262" s="82" t="str">
        <x:f>IF(AND(ISNUMBER(J1262),ISNUMBER(D1262)),J1262-D1262,"")</x:f>
      </x:c>
      <x:c r="L1262" s="69" t="str">
        <x:f>IF(COUNT(E1262:I1262)&lt;5,"Needs component scores",IF(ISNUMBER(J1262),"Calculated",J1262))</x:f>
        <x:v>Needs component scores</x:v>
      </x:c>
      <x:c r="M1262" s="69" t="str">
        <x:f>IF(C1262="","",MATCH(C1262,'Position_Rubric'!$A$6:$A$14,0))</x:f>
      </x:c>
      <x:c r="N1262" s="69" t="str"/>
    </x:row>
    <x:row r="1263" ht="25" customHeight="1">
      <x:c r="A1263" s="69" t="str">
        <x:v>summer-S26-0784</x:v>
      </x:c>
      <x:c r="B1263" s="69" t="str">
        <x:v>Juanlu Sánchez</x:v>
      </x:c>
      <x:c r="C1263" s="69"/>
      <x:c r="D1263" s="82" t="str">
        <x:f>IF(ISNUMBER('Transfer_Ratings'!K1263),'Transfer_Ratings'!K1263,"")</x:f>
      </x:c>
      <x:c r="E1263" s="86"/>
      <x:c r="F1263" s="86"/>
      <x:c r="G1263" s="86"/>
      <x:c r="H1263" s="86"/>
      <x:c r="I1263" s="86"/>
      <x:c r="J1263" s="82" t="str">
        <x:f>IF(C1263="","Choose position",IF(COUNT(E1263:I1263)&lt;5,"",IF(OR(MIN(E1263:I1263)&lt;0.1,MAX(E1263:I1263)&gt;10),"Invalid score",IF(INDEX('Position_Rubric'!$H$6:$H$14,M1263)&lt;&gt;1,"Check weights",ROUND(E1263*INDEX('Position_Rubric'!$C$6:$C$14,M1263)+F1263*INDEX('Position_Rubric'!$D$6:$D$14,M1263)+G1263*INDEX('Position_Rubric'!$E$6:$E$14,M1263)+H1263*INDEX('Position_Rubric'!$F$6:$F$14,M1263)+I1263*INDEX('Position_Rubric'!$G$6:$G$14,M1263),1)))))</x:f>
        <x:v>Choose position</x:v>
      </x:c>
      <x:c r="K1263" s="82" t="str">
        <x:f>IF(AND(ISNUMBER(J1263),ISNUMBER(D1263)),J1263-D1263,"")</x:f>
      </x:c>
      <x:c r="L1263" s="69" t="str">
        <x:f>IF(COUNT(E1263:I1263)&lt;5,"Needs component scores",IF(ISNUMBER(J1263),"Calculated",J1263))</x:f>
        <x:v>Needs component scores</x:v>
      </x:c>
      <x:c r="M1263" s="69" t="str">
        <x:f>IF(C1263="","",MATCH(C1263,'Position_Rubric'!$A$6:$A$14,0))</x:f>
      </x:c>
      <x:c r="N1263" s="69" t="str"/>
    </x:row>
    <x:row r="1264" ht="25" customHeight="1">
      <x:c r="A1264" s="69" t="str">
        <x:v>summer-S26-0786</x:v>
      </x:c>
      <x:c r="B1264" s="69" t="str">
        <x:v>James Trafford</x:v>
      </x:c>
      <x:c r="C1264" s="69" t="str">
        <x:v>GK</x:v>
      </x:c>
      <x:c r="D1264" s="82" t="str">
        <x:f>IF(ISNUMBER('Transfer_Ratings'!K1264),'Transfer_Ratings'!K1264,"")</x:f>
      </x:c>
      <x:c r="E1264" s="86"/>
      <x:c r="F1264" s="86"/>
      <x:c r="G1264" s="86"/>
      <x:c r="H1264" s="86"/>
      <x:c r="I1264" s="86"/>
      <x:c r="J1264" s="82" t="str">
        <x:f>IF(C1264="","Choose position",IF(COUNT(E1264:I1264)&lt;5,"",IF(OR(MIN(E1264:I1264)&lt;0.1,MAX(E1264:I1264)&gt;10),"Invalid score",IF(INDEX('Position_Rubric'!$H$6:$H$14,M1264)&lt;&gt;1,"Check weights",ROUND(E1264*INDEX('Position_Rubric'!$C$6:$C$14,M1264)+F1264*INDEX('Position_Rubric'!$D$6:$D$14,M1264)+G1264*INDEX('Position_Rubric'!$E$6:$E$14,M1264)+H1264*INDEX('Position_Rubric'!$F$6:$F$14,M1264)+I1264*INDEX('Position_Rubric'!$G$6:$G$14,M1264),1)))))</x:f>
      </x:c>
      <x:c r="K1264" s="82" t="str">
        <x:f>IF(AND(ISNUMBER(J1264),ISNUMBER(D1264)),J1264-D1264,"")</x:f>
      </x:c>
      <x:c r="L1264" s="69" t="str">
        <x:f>IF(COUNT(E1264:I1264)&lt;5,"Needs component scores",IF(ISNUMBER(J1264),"Calculated",J1264))</x:f>
        <x:v>Needs component scores</x:v>
      </x:c>
      <x:c r="M1264" s="69" t="n">
        <x:f>IF(C1264="","",MATCH(C1264,'Position_Rubric'!$A$6:$A$14,0))</x:f>
        <x:v>9</x:v>
      </x:c>
      <x:c r="N1264" s="69" t="str"/>
    </x:row>
    <x:row r="1265" ht="25" customHeight="1">
      <x:c r="A1265" s="69" t="str">
        <x:v>summer-S26-0787</x:v>
      </x:c>
      <x:c r="B1265" s="69" t="str">
        <x:v>Cristian Orozco</x:v>
      </x:c>
      <x:c r="C1265" s="69"/>
      <x:c r="D1265" s="82" t="str">
        <x:f>IF(ISNUMBER('Transfer_Ratings'!K1265),'Transfer_Ratings'!K1265,"")</x:f>
      </x:c>
      <x:c r="E1265" s="86"/>
      <x:c r="F1265" s="86"/>
      <x:c r="G1265" s="86"/>
      <x:c r="H1265" s="86"/>
      <x:c r="I1265" s="86"/>
      <x:c r="J1265" s="82" t="str">
        <x:f>IF(C1265="","Choose position",IF(COUNT(E1265:I1265)&lt;5,"",IF(OR(MIN(E1265:I1265)&lt;0.1,MAX(E1265:I1265)&gt;10),"Invalid score",IF(INDEX('Position_Rubric'!$H$6:$H$14,M1265)&lt;&gt;1,"Check weights",ROUND(E1265*INDEX('Position_Rubric'!$C$6:$C$14,M1265)+F1265*INDEX('Position_Rubric'!$D$6:$D$14,M1265)+G1265*INDEX('Position_Rubric'!$E$6:$E$14,M1265)+H1265*INDEX('Position_Rubric'!$F$6:$F$14,M1265)+I1265*INDEX('Position_Rubric'!$G$6:$G$14,M1265),1)))))</x:f>
        <x:v>Choose position</x:v>
      </x:c>
      <x:c r="K1265" s="82" t="str">
        <x:f>IF(AND(ISNUMBER(J1265),ISNUMBER(D1265)),J1265-D1265,"")</x:f>
      </x:c>
      <x:c r="L1265" s="69" t="str">
        <x:f>IF(COUNT(E1265:I1265)&lt;5,"Needs component scores",IF(ISNUMBER(J1265),"Calculated",J1265))</x:f>
        <x:v>Needs component scores</x:v>
      </x:c>
      <x:c r="M1265" s="69" t="str">
        <x:f>IF(C1265="","",MATCH(C1265,'Position_Rubric'!$A$6:$A$14,0))</x:f>
      </x:c>
      <x:c r="N1265" s="69" t="str"/>
    </x:row>
    <x:row r="1266" ht="25" customHeight="1">
      <x:c r="A1266" s="69" t="str">
        <x:v>summer-S26-0788</x:v>
      </x:c>
      <x:c r="B1266" s="69" t="str">
        <x:v>Andrea Ceresoli</x:v>
      </x:c>
      <x:c r="C1266" s="69"/>
      <x:c r="D1266" s="82" t="str">
        <x:f>IF(ISNUMBER('Transfer_Ratings'!K1266),'Transfer_Ratings'!K1266,"")</x:f>
      </x:c>
      <x:c r="E1266" s="86"/>
      <x:c r="F1266" s="86"/>
      <x:c r="G1266" s="86"/>
      <x:c r="H1266" s="86"/>
      <x:c r="I1266" s="86"/>
      <x:c r="J1266" s="82" t="str">
        <x:f>IF(C1266="","Choose position",IF(COUNT(E1266:I1266)&lt;5,"",IF(OR(MIN(E1266:I1266)&lt;0.1,MAX(E1266:I1266)&gt;10),"Invalid score",IF(INDEX('Position_Rubric'!$H$6:$H$14,M1266)&lt;&gt;1,"Check weights",ROUND(E1266*INDEX('Position_Rubric'!$C$6:$C$14,M1266)+F1266*INDEX('Position_Rubric'!$D$6:$D$14,M1266)+G1266*INDEX('Position_Rubric'!$E$6:$E$14,M1266)+H1266*INDEX('Position_Rubric'!$F$6:$F$14,M1266)+I1266*INDEX('Position_Rubric'!$G$6:$G$14,M1266),1)))))</x:f>
        <x:v>Choose position</x:v>
      </x:c>
      <x:c r="K1266" s="82" t="str">
        <x:f>IF(AND(ISNUMBER(J1266),ISNUMBER(D1266)),J1266-D1266,"")</x:f>
      </x:c>
      <x:c r="L1266" s="69" t="str">
        <x:f>IF(COUNT(E1266:I1266)&lt;5,"Needs component scores",IF(ISNUMBER(J1266),"Calculated",J1266))</x:f>
        <x:v>Needs component scores</x:v>
      </x:c>
      <x:c r="M1266" s="69" t="str">
        <x:f>IF(C1266="","",MATCH(C1266,'Position_Rubric'!$A$6:$A$14,0))</x:f>
      </x:c>
      <x:c r="N1266" s="69" t="str"/>
    </x:row>
    <x:row r="1267" ht="25" customHeight="1">
      <x:c r="A1267" s="69" t="str">
        <x:v>summer-S26-0789</x:v>
      </x:c>
      <x:c r="B1267" s="69" t="str">
        <x:v>Yan Couto</x:v>
      </x:c>
      <x:c r="C1267" s="69"/>
      <x:c r="D1267" s="82" t="str">
        <x:f>IF(ISNUMBER('Transfer_Ratings'!K1267),'Transfer_Ratings'!K1267,"")</x:f>
      </x:c>
      <x:c r="E1267" s="86"/>
      <x:c r="F1267" s="86"/>
      <x:c r="G1267" s="86"/>
      <x:c r="H1267" s="86"/>
      <x:c r="I1267" s="86"/>
      <x:c r="J1267" s="82" t="str">
        <x:f>IF(C1267="","Choose position",IF(COUNT(E1267:I1267)&lt;5,"",IF(OR(MIN(E1267:I1267)&lt;0.1,MAX(E1267:I1267)&gt;10),"Invalid score",IF(INDEX('Position_Rubric'!$H$6:$H$14,M1267)&lt;&gt;1,"Check weights",ROUND(E1267*INDEX('Position_Rubric'!$C$6:$C$14,M1267)+F1267*INDEX('Position_Rubric'!$D$6:$D$14,M1267)+G1267*INDEX('Position_Rubric'!$E$6:$E$14,M1267)+H1267*INDEX('Position_Rubric'!$F$6:$F$14,M1267)+I1267*INDEX('Position_Rubric'!$G$6:$G$14,M1267),1)))))</x:f>
        <x:v>Choose position</x:v>
      </x:c>
      <x:c r="K1267" s="82" t="str">
        <x:f>IF(AND(ISNUMBER(J1267),ISNUMBER(D1267)),J1267-D1267,"")</x:f>
      </x:c>
      <x:c r="L1267" s="69" t="str">
        <x:f>IF(COUNT(E1267:I1267)&lt;5,"Needs component scores",IF(ISNUMBER(J1267),"Calculated",J1267))</x:f>
        <x:v>Needs component scores</x:v>
      </x:c>
      <x:c r="M1267" s="69" t="str">
        <x:f>IF(C1267="","",MATCH(C1267,'Position_Rubric'!$A$6:$A$14,0))</x:f>
      </x:c>
      <x:c r="N1267" s="69" t="str"/>
    </x:row>
    <x:row r="1268" ht="25" customHeight="1">
      <x:c r="A1268" s="69" t="str">
        <x:v>summer-S26-0791</x:v>
      </x:c>
      <x:c r="B1268" s="69" t="str">
        <x:v>Djibril Sow</x:v>
      </x:c>
      <x:c r="C1268" s="69"/>
      <x:c r="D1268" s="82" t="str">
        <x:f>IF(ISNUMBER('Transfer_Ratings'!K1268),'Transfer_Ratings'!K1268,"")</x:f>
      </x:c>
      <x:c r="E1268" s="86"/>
      <x:c r="F1268" s="86"/>
      <x:c r="G1268" s="86"/>
      <x:c r="H1268" s="86"/>
      <x:c r="I1268" s="86"/>
      <x:c r="J1268" s="82" t="str">
        <x:f>IF(C1268="","Choose position",IF(COUNT(E1268:I1268)&lt;5,"",IF(OR(MIN(E1268:I1268)&lt;0.1,MAX(E1268:I1268)&gt;10),"Invalid score",IF(INDEX('Position_Rubric'!$H$6:$H$14,M1268)&lt;&gt;1,"Check weights",ROUND(E1268*INDEX('Position_Rubric'!$C$6:$C$14,M1268)+F1268*INDEX('Position_Rubric'!$D$6:$D$14,M1268)+G1268*INDEX('Position_Rubric'!$E$6:$E$14,M1268)+H1268*INDEX('Position_Rubric'!$F$6:$F$14,M1268)+I1268*INDEX('Position_Rubric'!$G$6:$G$14,M1268),1)))))</x:f>
        <x:v>Choose position</x:v>
      </x:c>
      <x:c r="K1268" s="82" t="str">
        <x:f>IF(AND(ISNUMBER(J1268),ISNUMBER(D1268)),J1268-D1268,"")</x:f>
      </x:c>
      <x:c r="L1268" s="69" t="str">
        <x:f>IF(COUNT(E1268:I1268)&lt;5,"Needs component scores",IF(ISNUMBER(J1268),"Calculated",J1268))</x:f>
        <x:v>Needs component scores</x:v>
      </x:c>
      <x:c r="M1268" s="69" t="str">
        <x:f>IF(C1268="","",MATCH(C1268,'Position_Rubric'!$A$6:$A$14,0))</x:f>
      </x:c>
      <x:c r="N1268" s="69" t="str"/>
    </x:row>
    <x:row r="1269" ht="25" customHeight="1">
      <x:c r="A1269" s="69" t="str">
        <x:v>summer-S26-0792</x:v>
      </x:c>
      <x:c r="B1269" s="69" t="str">
        <x:v>Christian Früchtl</x:v>
      </x:c>
      <x:c r="C1269" s="69" t="str">
        <x:v>GK</x:v>
      </x:c>
      <x:c r="D1269" s="82" t="str">
        <x:f>IF(ISNUMBER('Transfer_Ratings'!K1269),'Transfer_Ratings'!K1269,"")</x:f>
      </x:c>
      <x:c r="E1269" s="86"/>
      <x:c r="F1269" s="86"/>
      <x:c r="G1269" s="86"/>
      <x:c r="H1269" s="86"/>
      <x:c r="I1269" s="86"/>
      <x:c r="J1269" s="82" t="str">
        <x:f>IF(C1269="","Choose position",IF(COUNT(E1269:I1269)&lt;5,"",IF(OR(MIN(E1269:I1269)&lt;0.1,MAX(E1269:I1269)&gt;10),"Invalid score",IF(INDEX('Position_Rubric'!$H$6:$H$14,M1269)&lt;&gt;1,"Check weights",ROUND(E1269*INDEX('Position_Rubric'!$C$6:$C$14,M1269)+F1269*INDEX('Position_Rubric'!$D$6:$D$14,M1269)+G1269*INDEX('Position_Rubric'!$E$6:$E$14,M1269)+H1269*INDEX('Position_Rubric'!$F$6:$F$14,M1269)+I1269*INDEX('Position_Rubric'!$G$6:$G$14,M1269),1)))))</x:f>
      </x:c>
      <x:c r="K1269" s="82" t="str">
        <x:f>IF(AND(ISNUMBER(J1269),ISNUMBER(D1269)),J1269-D1269,"")</x:f>
      </x:c>
      <x:c r="L1269" s="69" t="str">
        <x:f>IF(COUNT(E1269:I1269)&lt;5,"Needs component scores",IF(ISNUMBER(J1269),"Calculated",J1269))</x:f>
        <x:v>Needs component scores</x:v>
      </x:c>
      <x:c r="M1269" s="69" t="n">
        <x:f>IF(C1269="","",MATCH(C1269,'Position_Rubric'!$A$6:$A$14,0))</x:f>
        <x:v>9</x:v>
      </x:c>
      <x:c r="N1269" s="69" t="str"/>
    </x:row>
    <x:row r="1270" ht="25" customHeight="1">
      <x:c r="A1270" s="69" t="str">
        <x:v>summer-S26-0793</x:v>
      </x:c>
      <x:c r="B1270" s="69" t="str">
        <x:v>Giacomo Satalino</x:v>
      </x:c>
      <x:c r="C1270" s="69" t="str">
        <x:v>GK</x:v>
      </x:c>
      <x:c r="D1270" s="82" t="str">
        <x:f>IF(ISNUMBER('Transfer_Ratings'!K1270),'Transfer_Ratings'!K1270,"")</x:f>
      </x:c>
      <x:c r="E1270" s="86"/>
      <x:c r="F1270" s="86"/>
      <x:c r="G1270" s="86"/>
      <x:c r="H1270" s="86"/>
      <x:c r="I1270" s="86"/>
      <x:c r="J1270" s="82" t="str">
        <x:f>IF(C1270="","Choose position",IF(COUNT(E1270:I1270)&lt;5,"",IF(OR(MIN(E1270:I1270)&lt;0.1,MAX(E1270:I1270)&gt;10),"Invalid score",IF(INDEX('Position_Rubric'!$H$6:$H$14,M1270)&lt;&gt;1,"Check weights",ROUND(E1270*INDEX('Position_Rubric'!$C$6:$C$14,M1270)+F1270*INDEX('Position_Rubric'!$D$6:$D$14,M1270)+G1270*INDEX('Position_Rubric'!$E$6:$E$14,M1270)+H1270*INDEX('Position_Rubric'!$F$6:$F$14,M1270)+I1270*INDEX('Position_Rubric'!$G$6:$G$14,M1270),1)))))</x:f>
      </x:c>
      <x:c r="K1270" s="82" t="str">
        <x:f>IF(AND(ISNUMBER(J1270),ISNUMBER(D1270)),J1270-D1270,"")</x:f>
      </x:c>
      <x:c r="L1270" s="69" t="str">
        <x:f>IF(COUNT(E1270:I1270)&lt;5,"Needs component scores",IF(ISNUMBER(J1270),"Calculated",J1270))</x:f>
        <x:v>Needs component scores</x:v>
      </x:c>
      <x:c r="M1270" s="69" t="n">
        <x:f>IF(C1270="","",MATCH(C1270,'Position_Rubric'!$A$6:$A$14,0))</x:f>
        <x:v>9</x:v>
      </x:c>
      <x:c r="N1270" s="69" t="str"/>
    </x:row>
    <x:row r="1271" ht="25" customHeight="1">
      <x:c r="A1271" s="69" t="str">
        <x:v>summer-S26-0794</x:v>
      </x:c>
      <x:c r="B1271" s="69" t="str">
        <x:v>Dimitris Giannoulis</x:v>
      </x:c>
      <x:c r="C1271" s="69"/>
      <x:c r="D1271" s="82" t="str">
        <x:f>IF(ISNUMBER('Transfer_Ratings'!K1271),'Transfer_Ratings'!K1271,"")</x:f>
      </x:c>
      <x:c r="E1271" s="86"/>
      <x:c r="F1271" s="86"/>
      <x:c r="G1271" s="86"/>
      <x:c r="H1271" s="86"/>
      <x:c r="I1271" s="86"/>
      <x:c r="J1271" s="82" t="str">
        <x:f>IF(C1271="","Choose position",IF(COUNT(E1271:I1271)&lt;5,"",IF(OR(MIN(E1271:I1271)&lt;0.1,MAX(E1271:I1271)&gt;10),"Invalid score",IF(INDEX('Position_Rubric'!$H$6:$H$14,M1271)&lt;&gt;1,"Check weights",ROUND(E1271*INDEX('Position_Rubric'!$C$6:$C$14,M1271)+F1271*INDEX('Position_Rubric'!$D$6:$D$14,M1271)+G1271*INDEX('Position_Rubric'!$E$6:$E$14,M1271)+H1271*INDEX('Position_Rubric'!$F$6:$F$14,M1271)+I1271*INDEX('Position_Rubric'!$G$6:$G$14,M1271),1)))))</x:f>
        <x:v>Choose position</x:v>
      </x:c>
      <x:c r="K1271" s="82" t="str">
        <x:f>IF(AND(ISNUMBER(J1271),ISNUMBER(D1271)),J1271-D1271,"")</x:f>
      </x:c>
      <x:c r="L1271" s="69" t="str">
        <x:f>IF(COUNT(E1271:I1271)&lt;5,"Needs component scores",IF(ISNUMBER(J1271),"Calculated",J1271))</x:f>
        <x:v>Needs component scores</x:v>
      </x:c>
      <x:c r="M1271" s="69" t="str">
        <x:f>IF(C1271="","",MATCH(C1271,'Position_Rubric'!$A$6:$A$14,0))</x:f>
      </x:c>
      <x:c r="N1271" s="69" t="str"/>
    </x:row>
    <x:row r="1272" ht="25" customHeight="1">
      <x:c r="A1272" s="69" t="str">
        <x:v>summer-S26-0797</x:v>
      </x:c>
      <x:c r="B1272" s="69" t="str">
        <x:v>Unai Núñez</x:v>
      </x:c>
      <x:c r="C1272" s="69"/>
      <x:c r="D1272" s="82" t="str">
        <x:f>IF(ISNUMBER('Transfer_Ratings'!K1272),'Transfer_Ratings'!K1272,"")</x:f>
      </x:c>
      <x:c r="E1272" s="86"/>
      <x:c r="F1272" s="86"/>
      <x:c r="G1272" s="86"/>
      <x:c r="H1272" s="86"/>
      <x:c r="I1272" s="86"/>
      <x:c r="J1272" s="82" t="str">
        <x:f>IF(C1272="","Choose position",IF(COUNT(E1272:I1272)&lt;5,"",IF(OR(MIN(E1272:I1272)&lt;0.1,MAX(E1272:I1272)&gt;10),"Invalid score",IF(INDEX('Position_Rubric'!$H$6:$H$14,M1272)&lt;&gt;1,"Check weights",ROUND(E1272*INDEX('Position_Rubric'!$C$6:$C$14,M1272)+F1272*INDEX('Position_Rubric'!$D$6:$D$14,M1272)+G1272*INDEX('Position_Rubric'!$E$6:$E$14,M1272)+H1272*INDEX('Position_Rubric'!$F$6:$F$14,M1272)+I1272*INDEX('Position_Rubric'!$G$6:$G$14,M1272),1)))))</x:f>
        <x:v>Choose position</x:v>
      </x:c>
      <x:c r="K1272" s="82" t="str">
        <x:f>IF(AND(ISNUMBER(J1272),ISNUMBER(D1272)),J1272-D1272,"")</x:f>
      </x:c>
      <x:c r="L1272" s="69" t="str">
        <x:f>IF(COUNT(E1272:I1272)&lt;5,"Needs component scores",IF(ISNUMBER(J1272),"Calculated",J1272))</x:f>
        <x:v>Needs component scores</x:v>
      </x:c>
      <x:c r="M1272" s="69" t="str">
        <x:f>IF(C1272="","",MATCH(C1272,'Position_Rubric'!$A$6:$A$14,0))</x:f>
      </x:c>
      <x:c r="N1272" s="69" t="str"/>
    </x:row>
    <x:row r="1273" ht="25" customHeight="1">
      <x:c r="A1273" s="69" t="str">
        <x:v>summer-S26-0798</x:v>
      </x:c>
      <x:c r="B1273" s="69" t="str">
        <x:v>Angeliño</x:v>
      </x:c>
      <x:c r="C1273" s="69"/>
      <x:c r="D1273" s="82" t="str">
        <x:f>IF(ISNUMBER('Transfer_Ratings'!K1273),'Transfer_Ratings'!K1273,"")</x:f>
      </x:c>
      <x:c r="E1273" s="86"/>
      <x:c r="F1273" s="86"/>
      <x:c r="G1273" s="86"/>
      <x:c r="H1273" s="86"/>
      <x:c r="I1273" s="86"/>
      <x:c r="J1273" s="82" t="str">
        <x:f>IF(C1273="","Choose position",IF(COUNT(E1273:I1273)&lt;5,"",IF(OR(MIN(E1273:I1273)&lt;0.1,MAX(E1273:I1273)&gt;10),"Invalid score",IF(INDEX('Position_Rubric'!$H$6:$H$14,M1273)&lt;&gt;1,"Check weights",ROUND(E1273*INDEX('Position_Rubric'!$C$6:$C$14,M1273)+F1273*INDEX('Position_Rubric'!$D$6:$D$14,M1273)+G1273*INDEX('Position_Rubric'!$E$6:$E$14,M1273)+H1273*INDEX('Position_Rubric'!$F$6:$F$14,M1273)+I1273*INDEX('Position_Rubric'!$G$6:$G$14,M1273),1)))))</x:f>
        <x:v>Choose position</x:v>
      </x:c>
      <x:c r="K1273" s="82" t="str">
        <x:f>IF(AND(ISNUMBER(J1273),ISNUMBER(D1273)),J1273-D1273,"")</x:f>
      </x:c>
      <x:c r="L1273" s="69" t="str">
        <x:f>IF(COUNT(E1273:I1273)&lt;5,"Needs component scores",IF(ISNUMBER(J1273),"Calculated",J1273))</x:f>
        <x:v>Needs component scores</x:v>
      </x:c>
      <x:c r="M1273" s="69" t="str">
        <x:f>IF(C1273="","",MATCH(C1273,'Position_Rubric'!$A$6:$A$14,0))</x:f>
      </x:c>
      <x:c r="N1273" s="69" t="str"/>
    </x:row>
    <x:row r="1274" ht="25" customHeight="1">
      <x:c r="A1274" s="69" t="str">
        <x:v>summer-S26-0799</x:v>
      </x:c>
      <x:c r="B1274" s="69" t="str">
        <x:v>Javi Morcillo</x:v>
      </x:c>
      <x:c r="C1274" s="69"/>
      <x:c r="D1274" s="82" t="str">
        <x:f>IF(ISNUMBER('Transfer_Ratings'!K1274),'Transfer_Ratings'!K1274,"")</x:f>
      </x:c>
      <x:c r="E1274" s="86"/>
      <x:c r="F1274" s="86"/>
      <x:c r="G1274" s="86"/>
      <x:c r="H1274" s="86"/>
      <x:c r="I1274" s="86"/>
      <x:c r="J1274" s="82" t="str">
        <x:f>IF(C1274="","Choose position",IF(COUNT(E1274:I1274)&lt;5,"",IF(OR(MIN(E1274:I1274)&lt;0.1,MAX(E1274:I1274)&gt;10),"Invalid score",IF(INDEX('Position_Rubric'!$H$6:$H$14,M1274)&lt;&gt;1,"Check weights",ROUND(E1274*INDEX('Position_Rubric'!$C$6:$C$14,M1274)+F1274*INDEX('Position_Rubric'!$D$6:$D$14,M1274)+G1274*INDEX('Position_Rubric'!$E$6:$E$14,M1274)+H1274*INDEX('Position_Rubric'!$F$6:$F$14,M1274)+I1274*INDEX('Position_Rubric'!$G$6:$G$14,M1274),1)))))</x:f>
        <x:v>Choose position</x:v>
      </x:c>
      <x:c r="K1274" s="82" t="str">
        <x:f>IF(AND(ISNUMBER(J1274),ISNUMBER(D1274)),J1274-D1274,"")</x:f>
      </x:c>
      <x:c r="L1274" s="69" t="str">
        <x:f>IF(COUNT(E1274:I1274)&lt;5,"Needs component scores",IF(ISNUMBER(J1274),"Calculated",J1274))</x:f>
        <x:v>Needs component scores</x:v>
      </x:c>
      <x:c r="M1274" s="69" t="str">
        <x:f>IF(C1274="","",MATCH(C1274,'Position_Rubric'!$A$6:$A$14,0))</x:f>
      </x:c>
      <x:c r="N1274" s="69" t="str"/>
    </x:row>
    <x:row r="1275" ht="25" customHeight="1">
      <x:c r="A1275" s="69" t="str">
        <x:v>summer-S26-0800</x:v>
      </x:c>
      <x:c r="B1275" s="69" t="str">
        <x:v>Altay Bayindir</x:v>
      </x:c>
      <x:c r="C1275" s="69" t="str">
        <x:v>GK</x:v>
      </x:c>
      <x:c r="D1275" s="82" t="str">
        <x:f>IF(ISNUMBER('Transfer_Ratings'!K1275),'Transfer_Ratings'!K1275,"")</x:f>
      </x:c>
      <x:c r="E1275" s="86"/>
      <x:c r="F1275" s="86"/>
      <x:c r="G1275" s="86"/>
      <x:c r="H1275" s="86"/>
      <x:c r="I1275" s="86"/>
      <x:c r="J1275" s="82" t="str">
        <x:f>IF(C1275="","Choose position",IF(COUNT(E1275:I1275)&lt;5,"",IF(OR(MIN(E1275:I1275)&lt;0.1,MAX(E1275:I1275)&gt;10),"Invalid score",IF(INDEX('Position_Rubric'!$H$6:$H$14,M1275)&lt;&gt;1,"Check weights",ROUND(E1275*INDEX('Position_Rubric'!$C$6:$C$14,M1275)+F1275*INDEX('Position_Rubric'!$D$6:$D$14,M1275)+G1275*INDEX('Position_Rubric'!$E$6:$E$14,M1275)+H1275*INDEX('Position_Rubric'!$F$6:$F$14,M1275)+I1275*INDEX('Position_Rubric'!$G$6:$G$14,M1275),1)))))</x:f>
      </x:c>
      <x:c r="K1275" s="82" t="str">
        <x:f>IF(AND(ISNUMBER(J1275),ISNUMBER(D1275)),J1275-D1275,"")</x:f>
      </x:c>
      <x:c r="L1275" s="69" t="str">
        <x:f>IF(COUNT(E1275:I1275)&lt;5,"Needs component scores",IF(ISNUMBER(J1275),"Calculated",J1275))</x:f>
        <x:v>Needs component scores</x:v>
      </x:c>
      <x:c r="M1275" s="69" t="n">
        <x:f>IF(C1275="","",MATCH(C1275,'Position_Rubric'!$A$6:$A$14,0))</x:f>
        <x:v>9</x:v>
      </x:c>
      <x:c r="N1275" s="69" t="str"/>
    </x:row>
    <x:row r="1276" ht="25" customHeight="1">
      <x:c r="A1276" s="69" t="str">
        <x:v>summer-S26-0802</x:v>
      </x:c>
      <x:c r="B1276" s="69" t="str">
        <x:v>Alfie Merritt</x:v>
      </x:c>
      <x:c r="C1276" s="69"/>
      <x:c r="D1276" s="82" t="str">
        <x:f>IF(ISNUMBER('Transfer_Ratings'!K1276),'Transfer_Ratings'!K1276,"")</x:f>
      </x:c>
      <x:c r="E1276" s="86"/>
      <x:c r="F1276" s="86"/>
      <x:c r="G1276" s="86"/>
      <x:c r="H1276" s="86"/>
      <x:c r="I1276" s="86"/>
      <x:c r="J1276" s="82" t="str">
        <x:f>IF(C1276="","Choose position",IF(COUNT(E1276:I1276)&lt;5,"",IF(OR(MIN(E1276:I1276)&lt;0.1,MAX(E1276:I1276)&gt;10),"Invalid score",IF(INDEX('Position_Rubric'!$H$6:$H$14,M1276)&lt;&gt;1,"Check weights",ROUND(E1276*INDEX('Position_Rubric'!$C$6:$C$14,M1276)+F1276*INDEX('Position_Rubric'!$D$6:$D$14,M1276)+G1276*INDEX('Position_Rubric'!$E$6:$E$14,M1276)+H1276*INDEX('Position_Rubric'!$F$6:$F$14,M1276)+I1276*INDEX('Position_Rubric'!$G$6:$G$14,M1276),1)))))</x:f>
        <x:v>Choose position</x:v>
      </x:c>
      <x:c r="K1276" s="82" t="str">
        <x:f>IF(AND(ISNUMBER(J1276),ISNUMBER(D1276)),J1276-D1276,"")</x:f>
      </x:c>
      <x:c r="L1276" s="69" t="str">
        <x:f>IF(COUNT(E1276:I1276)&lt;5,"Needs component scores",IF(ISNUMBER(J1276),"Calculated",J1276))</x:f>
        <x:v>Needs component scores</x:v>
      </x:c>
      <x:c r="M1276" s="69" t="str">
        <x:f>IF(C1276="","",MATCH(C1276,'Position_Rubric'!$A$6:$A$14,0))</x:f>
      </x:c>
      <x:c r="N1276" s="69" t="str"/>
    </x:row>
    <x:row r="1277" ht="25" customHeight="1">
      <x:c r="A1277" s="69" t="str">
        <x:v>summer-S26-0804</x:v>
      </x:c>
      <x:c r="B1277" s="69" t="str">
        <x:v>Franco Mastantuono</x:v>
      </x:c>
      <x:c r="C1277" s="69"/>
      <x:c r="D1277" s="82" t="str">
        <x:f>IF(ISNUMBER('Transfer_Ratings'!K1277),'Transfer_Ratings'!K1277,"")</x:f>
      </x:c>
      <x:c r="E1277" s="86"/>
      <x:c r="F1277" s="86"/>
      <x:c r="G1277" s="86"/>
      <x:c r="H1277" s="86"/>
      <x:c r="I1277" s="86"/>
      <x:c r="J1277" s="82" t="str">
        <x:f>IF(C1277="","Choose position",IF(COUNT(E1277:I1277)&lt;5,"",IF(OR(MIN(E1277:I1277)&lt;0.1,MAX(E1277:I1277)&gt;10),"Invalid score",IF(INDEX('Position_Rubric'!$H$6:$H$14,M1277)&lt;&gt;1,"Check weights",ROUND(E1277*INDEX('Position_Rubric'!$C$6:$C$14,M1277)+F1277*INDEX('Position_Rubric'!$D$6:$D$14,M1277)+G1277*INDEX('Position_Rubric'!$E$6:$E$14,M1277)+H1277*INDEX('Position_Rubric'!$F$6:$F$14,M1277)+I1277*INDEX('Position_Rubric'!$G$6:$G$14,M1277),1)))))</x:f>
        <x:v>Choose position</x:v>
      </x:c>
      <x:c r="K1277" s="82" t="str">
        <x:f>IF(AND(ISNUMBER(J1277),ISNUMBER(D1277)),J1277-D1277,"")</x:f>
      </x:c>
      <x:c r="L1277" s="69" t="str">
        <x:f>IF(COUNT(E1277:I1277)&lt;5,"Needs component scores",IF(ISNUMBER(J1277),"Calculated",J1277))</x:f>
        <x:v>Needs component scores</x:v>
      </x:c>
      <x:c r="M1277" s="69" t="str">
        <x:f>IF(C1277="","",MATCH(C1277,'Position_Rubric'!$A$6:$A$14,0))</x:f>
      </x:c>
      <x:c r="N1277" s="69" t="str"/>
    </x:row>
    <x:row r="1278" ht="25" customHeight="1">
      <x:c r="A1278" s="69" t="str">
        <x:v>summer-S26-0805</x:v>
      </x:c>
      <x:c r="B1278" s="69" t="str">
        <x:v>Takehiro Tomiyasu</x:v>
      </x:c>
      <x:c r="C1278" s="69"/>
      <x:c r="D1278" s="82" t="str">
        <x:f>IF(ISNUMBER('Transfer_Ratings'!K1278),'Transfer_Ratings'!K1278,"")</x:f>
      </x:c>
      <x:c r="E1278" s="86"/>
      <x:c r="F1278" s="86"/>
      <x:c r="G1278" s="86"/>
      <x:c r="H1278" s="86"/>
      <x:c r="I1278" s="86"/>
      <x:c r="J1278" s="82" t="str">
        <x:f>IF(C1278="","Choose position",IF(COUNT(E1278:I1278)&lt;5,"",IF(OR(MIN(E1278:I1278)&lt;0.1,MAX(E1278:I1278)&gt;10),"Invalid score",IF(INDEX('Position_Rubric'!$H$6:$H$14,M1278)&lt;&gt;1,"Check weights",ROUND(E1278*INDEX('Position_Rubric'!$C$6:$C$14,M1278)+F1278*INDEX('Position_Rubric'!$D$6:$D$14,M1278)+G1278*INDEX('Position_Rubric'!$E$6:$E$14,M1278)+H1278*INDEX('Position_Rubric'!$F$6:$F$14,M1278)+I1278*INDEX('Position_Rubric'!$G$6:$G$14,M1278),1)))))</x:f>
        <x:v>Choose position</x:v>
      </x:c>
      <x:c r="K1278" s="82" t="str">
        <x:f>IF(AND(ISNUMBER(J1278),ISNUMBER(D1278)),J1278-D1278,"")</x:f>
      </x:c>
      <x:c r="L1278" s="69" t="str">
        <x:f>IF(COUNT(E1278:I1278)&lt;5,"Needs component scores",IF(ISNUMBER(J1278),"Calculated",J1278))</x:f>
        <x:v>Needs component scores</x:v>
      </x:c>
      <x:c r="M1278" s="69" t="str">
        <x:f>IF(C1278="","",MATCH(C1278,'Position_Rubric'!$A$6:$A$14,0))</x:f>
      </x:c>
      <x:c r="N1278" s="69" t="str"/>
    </x:row>
    <x:row r="1279" ht="25" customHeight="1">
      <x:c r="A1279" s="69" t="str">
        <x:v>summer-S26-0806</x:v>
      </x:c>
      <x:c r="B1279" s="69" t="str">
        <x:v>Sonny Aljofree</x:v>
      </x:c>
      <x:c r="C1279" s="69"/>
      <x:c r="D1279" s="82" t="str">
        <x:f>IF(ISNUMBER('Transfer_Ratings'!K1279),'Transfer_Ratings'!K1279,"")</x:f>
      </x:c>
      <x:c r="E1279" s="86"/>
      <x:c r="F1279" s="86"/>
      <x:c r="G1279" s="86"/>
      <x:c r="H1279" s="86"/>
      <x:c r="I1279" s="86"/>
      <x:c r="J1279" s="82" t="str">
        <x:f>IF(C1279="","Choose position",IF(COUNT(E1279:I1279)&lt;5,"",IF(OR(MIN(E1279:I1279)&lt;0.1,MAX(E1279:I1279)&gt;10),"Invalid score",IF(INDEX('Position_Rubric'!$H$6:$H$14,M1279)&lt;&gt;1,"Check weights",ROUND(E1279*INDEX('Position_Rubric'!$C$6:$C$14,M1279)+F1279*INDEX('Position_Rubric'!$D$6:$D$14,M1279)+G1279*INDEX('Position_Rubric'!$E$6:$E$14,M1279)+H1279*INDEX('Position_Rubric'!$F$6:$F$14,M1279)+I1279*INDEX('Position_Rubric'!$G$6:$G$14,M1279),1)))))</x:f>
        <x:v>Choose position</x:v>
      </x:c>
      <x:c r="K1279" s="82" t="str">
        <x:f>IF(AND(ISNUMBER(J1279),ISNUMBER(D1279)),J1279-D1279,"")</x:f>
      </x:c>
      <x:c r="L1279" s="69" t="str">
        <x:f>IF(COUNT(E1279:I1279)&lt;5,"Needs component scores",IF(ISNUMBER(J1279),"Calculated",J1279))</x:f>
        <x:v>Needs component scores</x:v>
      </x:c>
      <x:c r="M1279" s="69" t="str">
        <x:f>IF(C1279="","",MATCH(C1279,'Position_Rubric'!$A$6:$A$14,0))</x:f>
      </x:c>
      <x:c r="N1279" s="69" t="str"/>
    </x:row>
    <x:row r="1280" ht="25" customHeight="1">
      <x:c r="A1280" s="69" t="str">
        <x:v>summer-S26-0807</x:v>
      </x:c>
      <x:c r="B1280" s="69" t="str">
        <x:v>Junior Dina Ebimbe</x:v>
      </x:c>
      <x:c r="C1280" s="69"/>
      <x:c r="D1280" s="82" t="str">
        <x:f>IF(ISNUMBER('Transfer_Ratings'!K1280),'Transfer_Ratings'!K1280,"")</x:f>
      </x:c>
      <x:c r="E1280" s="86"/>
      <x:c r="F1280" s="86"/>
      <x:c r="G1280" s="86"/>
      <x:c r="H1280" s="86"/>
      <x:c r="I1280" s="86"/>
      <x:c r="J1280" s="82" t="str">
        <x:f>IF(C1280="","Choose position",IF(COUNT(E1280:I1280)&lt;5,"",IF(OR(MIN(E1280:I1280)&lt;0.1,MAX(E1280:I1280)&gt;10),"Invalid score",IF(INDEX('Position_Rubric'!$H$6:$H$14,M1280)&lt;&gt;1,"Check weights",ROUND(E1280*INDEX('Position_Rubric'!$C$6:$C$14,M1280)+F1280*INDEX('Position_Rubric'!$D$6:$D$14,M1280)+G1280*INDEX('Position_Rubric'!$E$6:$E$14,M1280)+H1280*INDEX('Position_Rubric'!$F$6:$F$14,M1280)+I1280*INDEX('Position_Rubric'!$G$6:$G$14,M1280),1)))))</x:f>
        <x:v>Choose position</x:v>
      </x:c>
      <x:c r="K1280" s="82" t="str">
        <x:f>IF(AND(ISNUMBER(J1280),ISNUMBER(D1280)),J1280-D1280,"")</x:f>
      </x:c>
      <x:c r="L1280" s="69" t="str">
        <x:f>IF(COUNT(E1280:I1280)&lt;5,"Needs component scores",IF(ISNUMBER(J1280),"Calculated",J1280))</x:f>
        <x:v>Needs component scores</x:v>
      </x:c>
      <x:c r="M1280" s="69" t="str">
        <x:f>IF(C1280="","",MATCH(C1280,'Position_Rubric'!$A$6:$A$14,0))</x:f>
      </x:c>
      <x:c r="N1280" s="69" t="str"/>
    </x:row>
    <x:row r="1281" ht="25" customHeight="1">
      <x:c r="A1281" s="69" t="str">
        <x:v>summer-S26-0808</x:v>
      </x:c>
      <x:c r="B1281" s="69" t="str">
        <x:v>Gil Neves</x:v>
      </x:c>
      <x:c r="C1281" s="69"/>
      <x:c r="D1281" s="82" t="str">
        <x:f>IF(ISNUMBER('Transfer_Ratings'!K1281),'Transfer_Ratings'!K1281,"")</x:f>
      </x:c>
      <x:c r="E1281" s="86"/>
      <x:c r="F1281" s="86"/>
      <x:c r="G1281" s="86"/>
      <x:c r="H1281" s="86"/>
      <x:c r="I1281" s="86"/>
      <x:c r="J1281" s="82" t="str">
        <x:f>IF(C1281="","Choose position",IF(COUNT(E1281:I1281)&lt;5,"",IF(OR(MIN(E1281:I1281)&lt;0.1,MAX(E1281:I1281)&gt;10),"Invalid score",IF(INDEX('Position_Rubric'!$H$6:$H$14,M1281)&lt;&gt;1,"Check weights",ROUND(E1281*INDEX('Position_Rubric'!$C$6:$C$14,M1281)+F1281*INDEX('Position_Rubric'!$D$6:$D$14,M1281)+G1281*INDEX('Position_Rubric'!$E$6:$E$14,M1281)+H1281*INDEX('Position_Rubric'!$F$6:$F$14,M1281)+I1281*INDEX('Position_Rubric'!$G$6:$G$14,M1281),1)))))</x:f>
        <x:v>Choose position</x:v>
      </x:c>
      <x:c r="K1281" s="82" t="str">
        <x:f>IF(AND(ISNUMBER(J1281),ISNUMBER(D1281)),J1281-D1281,"")</x:f>
      </x:c>
      <x:c r="L1281" s="69" t="str">
        <x:f>IF(COUNT(E1281:I1281)&lt;5,"Needs component scores",IF(ISNUMBER(J1281),"Calculated",J1281))</x:f>
        <x:v>Needs component scores</x:v>
      </x:c>
      <x:c r="M1281" s="69" t="str">
        <x:f>IF(C1281="","",MATCH(C1281,'Position_Rubric'!$A$6:$A$14,0))</x:f>
      </x:c>
      <x:c r="N1281" s="69" t="str"/>
    </x:row>
    <x:row r="1282" ht="25" customHeight="1">
      <x:c r="A1282" s="69" t="str">
        <x:v>summer-S26-0810</x:v>
      </x:c>
      <x:c r="B1282" s="69" t="str">
        <x:v>Saïdou Sow</x:v>
      </x:c>
      <x:c r="C1282" s="69"/>
      <x:c r="D1282" s="82" t="str">
        <x:f>IF(ISNUMBER('Transfer_Ratings'!K1282),'Transfer_Ratings'!K1282,"")</x:f>
      </x:c>
      <x:c r="E1282" s="86"/>
      <x:c r="F1282" s="86"/>
      <x:c r="G1282" s="86"/>
      <x:c r="H1282" s="86"/>
      <x:c r="I1282" s="86"/>
      <x:c r="J1282" s="82" t="str">
        <x:f>IF(C1282="","Choose position",IF(COUNT(E1282:I1282)&lt;5,"",IF(OR(MIN(E1282:I1282)&lt;0.1,MAX(E1282:I1282)&gt;10),"Invalid score",IF(INDEX('Position_Rubric'!$H$6:$H$14,M1282)&lt;&gt;1,"Check weights",ROUND(E1282*INDEX('Position_Rubric'!$C$6:$C$14,M1282)+F1282*INDEX('Position_Rubric'!$D$6:$D$14,M1282)+G1282*INDEX('Position_Rubric'!$E$6:$E$14,M1282)+H1282*INDEX('Position_Rubric'!$F$6:$F$14,M1282)+I1282*INDEX('Position_Rubric'!$G$6:$G$14,M1282),1)))))</x:f>
        <x:v>Choose position</x:v>
      </x:c>
      <x:c r="K1282" s="82" t="str">
        <x:f>IF(AND(ISNUMBER(J1282),ISNUMBER(D1282)),J1282-D1282,"")</x:f>
      </x:c>
      <x:c r="L1282" s="69" t="str">
        <x:f>IF(COUNT(E1282:I1282)&lt;5,"Needs component scores",IF(ISNUMBER(J1282),"Calculated",J1282))</x:f>
        <x:v>Needs component scores</x:v>
      </x:c>
      <x:c r="M1282" s="69" t="str">
        <x:f>IF(C1282="","",MATCH(C1282,'Position_Rubric'!$A$6:$A$14,0))</x:f>
      </x:c>
      <x:c r="N1282" s="69" t="str"/>
    </x:row>
    <x:row r="1283" ht="25" customHeight="1">
      <x:c r="A1283" s="69" t="str">
        <x:v>summer-S26-0811</x:v>
      </x:c>
      <x:c r="B1283" s="69" t="str">
        <x:v>Jens Hjertø-Dahl</x:v>
      </x:c>
      <x:c r="C1283" s="69"/>
      <x:c r="D1283" s="82" t="str">
        <x:f>IF(ISNUMBER('Transfer_Ratings'!K1283),'Transfer_Ratings'!K1283,"")</x:f>
      </x:c>
      <x:c r="E1283" s="86"/>
      <x:c r="F1283" s="86"/>
      <x:c r="G1283" s="86"/>
      <x:c r="H1283" s="86"/>
      <x:c r="I1283" s="86"/>
      <x:c r="J1283" s="82" t="str">
        <x:f>IF(C1283="","Choose position",IF(COUNT(E1283:I1283)&lt;5,"",IF(OR(MIN(E1283:I1283)&lt;0.1,MAX(E1283:I1283)&gt;10),"Invalid score",IF(INDEX('Position_Rubric'!$H$6:$H$14,M1283)&lt;&gt;1,"Check weights",ROUND(E1283*INDEX('Position_Rubric'!$C$6:$C$14,M1283)+F1283*INDEX('Position_Rubric'!$D$6:$D$14,M1283)+G1283*INDEX('Position_Rubric'!$E$6:$E$14,M1283)+H1283*INDEX('Position_Rubric'!$F$6:$F$14,M1283)+I1283*INDEX('Position_Rubric'!$G$6:$G$14,M1283),1)))))</x:f>
        <x:v>Choose position</x:v>
      </x:c>
      <x:c r="K1283" s="82" t="str">
        <x:f>IF(AND(ISNUMBER(J1283),ISNUMBER(D1283)),J1283-D1283,"")</x:f>
      </x:c>
      <x:c r="L1283" s="69" t="str">
        <x:f>IF(COUNT(E1283:I1283)&lt;5,"Needs component scores",IF(ISNUMBER(J1283),"Calculated",J1283))</x:f>
        <x:v>Needs component scores</x:v>
      </x:c>
      <x:c r="M1283" s="69" t="str">
        <x:f>IF(C1283="","",MATCH(C1283,'Position_Rubric'!$A$6:$A$14,0))</x:f>
      </x:c>
      <x:c r="N1283" s="69" t="str"/>
    </x:row>
    <x:row r="1284" ht="25" customHeight="1">
      <x:c r="A1284" s="69" t="str">
        <x:v>summer-S26-0812</x:v>
      </x:c>
      <x:c r="B1284" s="69" t="str">
        <x:v>Gabriele Conti</x:v>
      </x:c>
      <x:c r="C1284" s="69"/>
      <x:c r="D1284" s="82" t="str">
        <x:f>IF(ISNUMBER('Transfer_Ratings'!K1284),'Transfer_Ratings'!K1284,"")</x:f>
      </x:c>
      <x:c r="E1284" s="86"/>
      <x:c r="F1284" s="86"/>
      <x:c r="G1284" s="86"/>
      <x:c r="H1284" s="86"/>
      <x:c r="I1284" s="86"/>
      <x:c r="J1284" s="82" t="str">
        <x:f>IF(C1284="","Choose position",IF(COUNT(E1284:I1284)&lt;5,"",IF(OR(MIN(E1284:I1284)&lt;0.1,MAX(E1284:I1284)&gt;10),"Invalid score",IF(INDEX('Position_Rubric'!$H$6:$H$14,M1284)&lt;&gt;1,"Check weights",ROUND(E1284*INDEX('Position_Rubric'!$C$6:$C$14,M1284)+F1284*INDEX('Position_Rubric'!$D$6:$D$14,M1284)+G1284*INDEX('Position_Rubric'!$E$6:$E$14,M1284)+H1284*INDEX('Position_Rubric'!$F$6:$F$14,M1284)+I1284*INDEX('Position_Rubric'!$G$6:$G$14,M1284),1)))))</x:f>
        <x:v>Choose position</x:v>
      </x:c>
      <x:c r="K1284" s="82" t="str">
        <x:f>IF(AND(ISNUMBER(J1284),ISNUMBER(D1284)),J1284-D1284,"")</x:f>
      </x:c>
      <x:c r="L1284" s="69" t="str">
        <x:f>IF(COUNT(E1284:I1284)&lt;5,"Needs component scores",IF(ISNUMBER(J1284),"Calculated",J1284))</x:f>
        <x:v>Needs component scores</x:v>
      </x:c>
      <x:c r="M1284" s="69" t="str">
        <x:f>IF(C1284="","",MATCH(C1284,'Position_Rubric'!$A$6:$A$14,0))</x:f>
      </x:c>
      <x:c r="N1284" s="69" t="str"/>
    </x:row>
    <x:row r="1285" ht="25" customHeight="1">
      <x:c r="A1285" s="69" t="str">
        <x:v>summer-S26-0813</x:v>
      </x:c>
      <x:c r="B1285" s="69" t="str">
        <x:v>Dimitar Papazov</x:v>
      </x:c>
      <x:c r="C1285" s="69"/>
      <x:c r="D1285" s="82" t="str">
        <x:f>IF(ISNUMBER('Transfer_Ratings'!K1285),'Transfer_Ratings'!K1285,"")</x:f>
      </x:c>
      <x:c r="E1285" s="86"/>
      <x:c r="F1285" s="86"/>
      <x:c r="G1285" s="86"/>
      <x:c r="H1285" s="86"/>
      <x:c r="I1285" s="86"/>
      <x:c r="J1285" s="82" t="str">
        <x:f>IF(C1285="","Choose position",IF(COUNT(E1285:I1285)&lt;5,"",IF(OR(MIN(E1285:I1285)&lt;0.1,MAX(E1285:I1285)&gt;10),"Invalid score",IF(INDEX('Position_Rubric'!$H$6:$H$14,M1285)&lt;&gt;1,"Check weights",ROUND(E1285*INDEX('Position_Rubric'!$C$6:$C$14,M1285)+F1285*INDEX('Position_Rubric'!$D$6:$D$14,M1285)+G1285*INDEX('Position_Rubric'!$E$6:$E$14,M1285)+H1285*INDEX('Position_Rubric'!$F$6:$F$14,M1285)+I1285*INDEX('Position_Rubric'!$G$6:$G$14,M1285),1)))))</x:f>
        <x:v>Choose position</x:v>
      </x:c>
      <x:c r="K1285" s="82" t="str">
        <x:f>IF(AND(ISNUMBER(J1285),ISNUMBER(D1285)),J1285-D1285,"")</x:f>
      </x:c>
      <x:c r="L1285" s="69" t="str">
        <x:f>IF(COUNT(E1285:I1285)&lt;5,"Needs component scores",IF(ISNUMBER(J1285),"Calculated",J1285))</x:f>
        <x:v>Needs component scores</x:v>
      </x:c>
      <x:c r="M1285" s="69" t="str">
        <x:f>IF(C1285="","",MATCH(C1285,'Position_Rubric'!$A$6:$A$14,0))</x:f>
      </x:c>
      <x:c r="N1285" s="69" t="str"/>
    </x:row>
    <x:row r="1286" ht="25" customHeight="1">
      <x:c r="A1286" s="69" t="str">
        <x:v>summer-S26-0815</x:v>
      </x:c>
      <x:c r="B1286" s="69" t="str">
        <x:v>Davide Veroli</x:v>
      </x:c>
      <x:c r="C1286" s="69"/>
      <x:c r="D1286" s="82" t="str">
        <x:f>IF(ISNUMBER('Transfer_Ratings'!K1286),'Transfer_Ratings'!K1286,"")</x:f>
      </x:c>
      <x:c r="E1286" s="86"/>
      <x:c r="F1286" s="86"/>
      <x:c r="G1286" s="86"/>
      <x:c r="H1286" s="86"/>
      <x:c r="I1286" s="86"/>
      <x:c r="J1286" s="82" t="str">
        <x:f>IF(C1286="","Choose position",IF(COUNT(E1286:I1286)&lt;5,"",IF(OR(MIN(E1286:I1286)&lt;0.1,MAX(E1286:I1286)&gt;10),"Invalid score",IF(INDEX('Position_Rubric'!$H$6:$H$14,M1286)&lt;&gt;1,"Check weights",ROUND(E1286*INDEX('Position_Rubric'!$C$6:$C$14,M1286)+F1286*INDEX('Position_Rubric'!$D$6:$D$14,M1286)+G1286*INDEX('Position_Rubric'!$E$6:$E$14,M1286)+H1286*INDEX('Position_Rubric'!$F$6:$F$14,M1286)+I1286*INDEX('Position_Rubric'!$G$6:$G$14,M1286),1)))))</x:f>
        <x:v>Choose position</x:v>
      </x:c>
      <x:c r="K1286" s="82" t="str">
        <x:f>IF(AND(ISNUMBER(J1286),ISNUMBER(D1286)),J1286-D1286,"")</x:f>
      </x:c>
      <x:c r="L1286" s="69" t="str">
        <x:f>IF(COUNT(E1286:I1286)&lt;5,"Needs component scores",IF(ISNUMBER(J1286),"Calculated",J1286))</x:f>
        <x:v>Needs component scores</x:v>
      </x:c>
      <x:c r="M1286" s="69" t="str">
        <x:f>IF(C1286="","",MATCH(C1286,'Position_Rubric'!$A$6:$A$14,0))</x:f>
      </x:c>
      <x:c r="N1286" s="69" t="str"/>
    </x:row>
    <x:row r="1287" ht="25" customHeight="1">
      <x:c r="A1287" s="69" t="str">
        <x:v>summer-S26-0816</x:v>
      </x:c>
      <x:c r="B1287" s="69" t="str">
        <x:v>Coli Saco</x:v>
      </x:c>
      <x:c r="C1287" s="69"/>
      <x:c r="D1287" s="82" t="str">
        <x:f>IF(ISNUMBER('Transfer_Ratings'!K1287),'Transfer_Ratings'!K1287,"")</x:f>
      </x:c>
      <x:c r="E1287" s="86"/>
      <x:c r="F1287" s="86"/>
      <x:c r="G1287" s="86"/>
      <x:c r="H1287" s="86"/>
      <x:c r="I1287" s="86"/>
      <x:c r="J1287" s="82" t="str">
        <x:f>IF(C1287="","Choose position",IF(COUNT(E1287:I1287)&lt;5,"",IF(OR(MIN(E1287:I1287)&lt;0.1,MAX(E1287:I1287)&gt;10),"Invalid score",IF(INDEX('Position_Rubric'!$H$6:$H$14,M1287)&lt;&gt;1,"Check weights",ROUND(E1287*INDEX('Position_Rubric'!$C$6:$C$14,M1287)+F1287*INDEX('Position_Rubric'!$D$6:$D$14,M1287)+G1287*INDEX('Position_Rubric'!$E$6:$E$14,M1287)+H1287*INDEX('Position_Rubric'!$F$6:$F$14,M1287)+I1287*INDEX('Position_Rubric'!$G$6:$G$14,M1287),1)))))</x:f>
        <x:v>Choose position</x:v>
      </x:c>
      <x:c r="K1287" s="82" t="str">
        <x:f>IF(AND(ISNUMBER(J1287),ISNUMBER(D1287)),J1287-D1287,"")</x:f>
      </x:c>
      <x:c r="L1287" s="69" t="str">
        <x:f>IF(COUNT(E1287:I1287)&lt;5,"Needs component scores",IF(ISNUMBER(J1287),"Calculated",J1287))</x:f>
        <x:v>Needs component scores</x:v>
      </x:c>
      <x:c r="M1287" s="69" t="str">
        <x:f>IF(C1287="","",MATCH(C1287,'Position_Rubric'!$A$6:$A$14,0))</x:f>
      </x:c>
      <x:c r="N1287" s="69" t="str"/>
    </x:row>
    <x:row r="1288" ht="25" customHeight="1">
      <x:c r="A1288" s="69" t="str">
        <x:v>summer-S26-0817</x:v>
      </x:c>
      <x:c r="B1288" s="69" t="str">
        <x:v>Abdelhamid Sabiri</x:v>
      </x:c>
      <x:c r="C1288" s="69"/>
      <x:c r="D1288" s="82" t="str">
        <x:f>IF(ISNUMBER('Transfer_Ratings'!K1288),'Transfer_Ratings'!K1288,"")</x:f>
      </x:c>
      <x:c r="E1288" s="86"/>
      <x:c r="F1288" s="86"/>
      <x:c r="G1288" s="86"/>
      <x:c r="H1288" s="86"/>
      <x:c r="I1288" s="86"/>
      <x:c r="J1288" s="82" t="str">
        <x:f>IF(C1288="","Choose position",IF(COUNT(E1288:I1288)&lt;5,"",IF(OR(MIN(E1288:I1288)&lt;0.1,MAX(E1288:I1288)&gt;10),"Invalid score",IF(INDEX('Position_Rubric'!$H$6:$H$14,M1288)&lt;&gt;1,"Check weights",ROUND(E1288*INDEX('Position_Rubric'!$C$6:$C$14,M1288)+F1288*INDEX('Position_Rubric'!$D$6:$D$14,M1288)+G1288*INDEX('Position_Rubric'!$E$6:$E$14,M1288)+H1288*INDEX('Position_Rubric'!$F$6:$F$14,M1288)+I1288*INDEX('Position_Rubric'!$G$6:$G$14,M1288),1)))))</x:f>
        <x:v>Choose position</x:v>
      </x:c>
      <x:c r="K1288" s="82" t="str">
        <x:f>IF(AND(ISNUMBER(J1288),ISNUMBER(D1288)),J1288-D1288,"")</x:f>
      </x:c>
      <x:c r="L1288" s="69" t="str">
        <x:f>IF(COUNT(E1288:I1288)&lt;5,"Needs component scores",IF(ISNUMBER(J1288),"Calculated",J1288))</x:f>
        <x:v>Needs component scores</x:v>
      </x:c>
      <x:c r="M1288" s="69" t="str">
        <x:f>IF(C1288="","",MATCH(C1288,'Position_Rubric'!$A$6:$A$14,0))</x:f>
      </x:c>
      <x:c r="N1288" s="69" t="str"/>
    </x:row>
    <x:row r="1289" ht="25" customHeight="1">
      <x:c r="A1289" s="69" t="str">
        <x:v>summer-S26-0818</x:v>
      </x:c>
      <x:c r="B1289" s="69" t="str">
        <x:v>Odysseas Vlachodimos</x:v>
      </x:c>
      <x:c r="C1289" s="69" t="str">
        <x:v>GK</x:v>
      </x:c>
      <x:c r="D1289" s="82" t="str">
        <x:f>IF(ISNUMBER('Transfer_Ratings'!K1289),'Transfer_Ratings'!K1289,"")</x:f>
      </x:c>
      <x:c r="E1289" s="86"/>
      <x:c r="F1289" s="86"/>
      <x:c r="G1289" s="86"/>
      <x:c r="H1289" s="86"/>
      <x:c r="I1289" s="86"/>
      <x:c r="J1289" s="82" t="str">
        <x:f>IF(C1289="","Choose position",IF(COUNT(E1289:I1289)&lt;5,"",IF(OR(MIN(E1289:I1289)&lt;0.1,MAX(E1289:I1289)&gt;10),"Invalid score",IF(INDEX('Position_Rubric'!$H$6:$H$14,M1289)&lt;&gt;1,"Check weights",ROUND(E1289*INDEX('Position_Rubric'!$C$6:$C$14,M1289)+F1289*INDEX('Position_Rubric'!$D$6:$D$14,M1289)+G1289*INDEX('Position_Rubric'!$E$6:$E$14,M1289)+H1289*INDEX('Position_Rubric'!$F$6:$F$14,M1289)+I1289*INDEX('Position_Rubric'!$G$6:$G$14,M1289),1)))))</x:f>
      </x:c>
      <x:c r="K1289" s="82" t="str">
        <x:f>IF(AND(ISNUMBER(J1289),ISNUMBER(D1289)),J1289-D1289,"")</x:f>
      </x:c>
      <x:c r="L1289" s="69" t="str">
        <x:f>IF(COUNT(E1289:I1289)&lt;5,"Needs component scores",IF(ISNUMBER(J1289),"Calculated",J1289))</x:f>
        <x:v>Needs component scores</x:v>
      </x:c>
      <x:c r="M1289" s="69" t="n">
        <x:f>IF(C1289="","",MATCH(C1289,'Position_Rubric'!$A$6:$A$14,0))</x:f>
        <x:v>9</x:v>
      </x:c>
      <x:c r="N1289" s="69" t="str"/>
    </x:row>
    <x:row r="1290" ht="25" customHeight="1">
      <x:c r="A1290" s="69" t="str">
        <x:v>summer-S26-0820</x:v>
      </x:c>
      <x:c r="B1290" s="69" t="str">
        <x:v>André Onana</x:v>
      </x:c>
      <x:c r="C1290" s="69" t="str">
        <x:v>GK</x:v>
      </x:c>
      <x:c r="D1290" s="82" t="str">
        <x:f>IF(ISNUMBER('Transfer_Ratings'!K1290),'Transfer_Ratings'!K1290,"")</x:f>
      </x:c>
      <x:c r="E1290" s="86"/>
      <x:c r="F1290" s="86"/>
      <x:c r="G1290" s="86"/>
      <x:c r="H1290" s="86"/>
      <x:c r="I1290" s="86"/>
      <x:c r="J1290" s="82" t="str">
        <x:f>IF(C1290="","Choose position",IF(COUNT(E1290:I1290)&lt;5,"",IF(OR(MIN(E1290:I1290)&lt;0.1,MAX(E1290:I1290)&gt;10),"Invalid score",IF(INDEX('Position_Rubric'!$H$6:$H$14,M1290)&lt;&gt;1,"Check weights",ROUND(E1290*INDEX('Position_Rubric'!$C$6:$C$14,M1290)+F1290*INDEX('Position_Rubric'!$D$6:$D$14,M1290)+G1290*INDEX('Position_Rubric'!$E$6:$E$14,M1290)+H1290*INDEX('Position_Rubric'!$F$6:$F$14,M1290)+I1290*INDEX('Position_Rubric'!$G$6:$G$14,M1290),1)))))</x:f>
      </x:c>
      <x:c r="K1290" s="82" t="str">
        <x:f>IF(AND(ISNUMBER(J1290),ISNUMBER(D1290)),J1290-D1290,"")</x:f>
      </x:c>
      <x:c r="L1290" s="69" t="str">
        <x:f>IF(COUNT(E1290:I1290)&lt;5,"Needs component scores",IF(ISNUMBER(J1290),"Calculated",J1290))</x:f>
        <x:v>Needs component scores</x:v>
      </x:c>
      <x:c r="M1290" s="69" t="n">
        <x:f>IF(C1290="","",MATCH(C1290,'Position_Rubric'!$A$6:$A$14,0))</x:f>
        <x:v>9</x:v>
      </x:c>
      <x:c r="N1290" s="69" t="str"/>
    </x:row>
    <x:row r="1291" ht="25" customHeight="1">
      <x:c r="A1291" s="69" t="str">
        <x:v>summer-S26-0821</x:v>
      </x:c>
      <x:c r="B1291" s="69" t="str">
        <x:v>Pierce Charles</x:v>
      </x:c>
      <x:c r="C1291" s="69" t="str">
        <x:v>GK</x:v>
      </x:c>
      <x:c r="D1291" s="82" t="str">
        <x:f>IF(ISNUMBER('Transfer_Ratings'!K1291),'Transfer_Ratings'!K1291,"")</x:f>
      </x:c>
      <x:c r="E1291" s="86"/>
      <x:c r="F1291" s="86"/>
      <x:c r="G1291" s="86"/>
      <x:c r="H1291" s="86"/>
      <x:c r="I1291" s="86"/>
      <x:c r="J1291" s="82" t="str">
        <x:f>IF(C1291="","Choose position",IF(COUNT(E1291:I1291)&lt;5,"",IF(OR(MIN(E1291:I1291)&lt;0.1,MAX(E1291:I1291)&gt;10),"Invalid score",IF(INDEX('Position_Rubric'!$H$6:$H$14,M1291)&lt;&gt;1,"Check weights",ROUND(E1291*INDEX('Position_Rubric'!$C$6:$C$14,M1291)+F1291*INDEX('Position_Rubric'!$D$6:$D$14,M1291)+G1291*INDEX('Position_Rubric'!$E$6:$E$14,M1291)+H1291*INDEX('Position_Rubric'!$F$6:$F$14,M1291)+I1291*INDEX('Position_Rubric'!$G$6:$G$14,M1291),1)))))</x:f>
      </x:c>
      <x:c r="K1291" s="82" t="str">
        <x:f>IF(AND(ISNUMBER(J1291),ISNUMBER(D1291)),J1291-D1291,"")</x:f>
      </x:c>
      <x:c r="L1291" s="69" t="str">
        <x:f>IF(COUNT(E1291:I1291)&lt;5,"Needs component scores",IF(ISNUMBER(J1291),"Calculated",J1291))</x:f>
        <x:v>Needs component scores</x:v>
      </x:c>
      <x:c r="M1291" s="69" t="n">
        <x:f>IF(C1291="","",MATCH(C1291,'Position_Rubric'!$A$6:$A$14,0))</x:f>
        <x:v>9</x:v>
      </x:c>
      <x:c r="N1291" s="69" t="str"/>
    </x:row>
    <x:row r="1292" ht="25" customHeight="1">
      <x:c r="A1292" s="69" t="str">
        <x:v>summer-S26-0822</x:v>
      </x:c>
      <x:c r="B1292" s="69" t="str">
        <x:v>Cole Ramsey</x:v>
      </x:c>
      <x:c r="C1292" s="69"/>
      <x:c r="D1292" s="82" t="str">
        <x:f>IF(ISNUMBER('Transfer_Ratings'!K1292),'Transfer_Ratings'!K1292,"")</x:f>
      </x:c>
      <x:c r="E1292" s="86"/>
      <x:c r="F1292" s="86"/>
      <x:c r="G1292" s="86"/>
      <x:c r="H1292" s="86"/>
      <x:c r="I1292" s="86"/>
      <x:c r="J1292" s="82" t="str">
        <x:f>IF(C1292="","Choose position",IF(COUNT(E1292:I1292)&lt;5,"",IF(OR(MIN(E1292:I1292)&lt;0.1,MAX(E1292:I1292)&gt;10),"Invalid score",IF(INDEX('Position_Rubric'!$H$6:$H$14,M1292)&lt;&gt;1,"Check weights",ROUND(E1292*INDEX('Position_Rubric'!$C$6:$C$14,M1292)+F1292*INDEX('Position_Rubric'!$D$6:$D$14,M1292)+G1292*INDEX('Position_Rubric'!$E$6:$E$14,M1292)+H1292*INDEX('Position_Rubric'!$F$6:$F$14,M1292)+I1292*INDEX('Position_Rubric'!$G$6:$G$14,M1292),1)))))</x:f>
        <x:v>Choose position</x:v>
      </x:c>
      <x:c r="K1292" s="82" t="str">
        <x:f>IF(AND(ISNUMBER(J1292),ISNUMBER(D1292)),J1292-D1292,"")</x:f>
      </x:c>
      <x:c r="L1292" s="69" t="str">
        <x:f>IF(COUNT(E1292:I1292)&lt;5,"Needs component scores",IF(ISNUMBER(J1292),"Calculated",J1292))</x:f>
        <x:v>Needs component scores</x:v>
      </x:c>
      <x:c r="M1292" s="69" t="str">
        <x:f>IF(C1292="","",MATCH(C1292,'Position_Rubric'!$A$6:$A$14,0))</x:f>
      </x:c>
      <x:c r="N1292" s="69" t="str"/>
    </x:row>
    <x:row r="1293" ht="25" customHeight="1">
      <x:c r="A1293" s="69" t="str">
        <x:v>summer-S26-0823</x:v>
      </x:c>
      <x:c r="B1293" s="69" t="str">
        <x:v>Luca Gunter</x:v>
      </x:c>
      <x:c r="C1293" s="69" t="str">
        <x:v>GK</x:v>
      </x:c>
      <x:c r="D1293" s="82" t="str">
        <x:f>IF(ISNUMBER('Transfer_Ratings'!K1293),'Transfer_Ratings'!K1293,"")</x:f>
      </x:c>
      <x:c r="E1293" s="86"/>
      <x:c r="F1293" s="86"/>
      <x:c r="G1293" s="86"/>
      <x:c r="H1293" s="86"/>
      <x:c r="I1293" s="86"/>
      <x:c r="J1293" s="82" t="str">
        <x:f>IF(C1293="","Choose position",IF(COUNT(E1293:I1293)&lt;5,"",IF(OR(MIN(E1293:I1293)&lt;0.1,MAX(E1293:I1293)&gt;10),"Invalid score",IF(INDEX('Position_Rubric'!$H$6:$H$14,M1293)&lt;&gt;1,"Check weights",ROUND(E1293*INDEX('Position_Rubric'!$C$6:$C$14,M1293)+F1293*INDEX('Position_Rubric'!$D$6:$D$14,M1293)+G1293*INDEX('Position_Rubric'!$E$6:$E$14,M1293)+H1293*INDEX('Position_Rubric'!$F$6:$F$14,M1293)+I1293*INDEX('Position_Rubric'!$G$6:$G$14,M1293),1)))))</x:f>
      </x:c>
      <x:c r="K1293" s="82" t="str">
        <x:f>IF(AND(ISNUMBER(J1293),ISNUMBER(D1293)),J1293-D1293,"")</x:f>
      </x:c>
      <x:c r="L1293" s="69" t="str">
        <x:f>IF(COUNT(E1293:I1293)&lt;5,"Needs component scores",IF(ISNUMBER(J1293),"Calculated",J1293))</x:f>
        <x:v>Needs component scores</x:v>
      </x:c>
      <x:c r="M1293" s="69" t="n">
        <x:f>IF(C1293="","",MATCH(C1293,'Position_Rubric'!$A$6:$A$14,0))</x:f>
        <x:v>9</x:v>
      </x:c>
      <x:c r="N1293" s="69" t="str"/>
    </x:row>
    <x:row r="1294" ht="25" customHeight="1">
      <x:c r="A1294" s="69" t="str">
        <x:v>summer-S26-0825</x:v>
      </x:c>
      <x:c r="B1294" s="69" t="str">
        <x:v>Travis Hernes</x:v>
      </x:c>
      <x:c r="C1294" s="69"/>
      <x:c r="D1294" s="82" t="str">
        <x:f>IF(ISNUMBER('Transfer_Ratings'!K1294),'Transfer_Ratings'!K1294,"")</x:f>
      </x:c>
      <x:c r="E1294" s="86"/>
      <x:c r="F1294" s="86"/>
      <x:c r="G1294" s="86"/>
      <x:c r="H1294" s="86"/>
      <x:c r="I1294" s="86"/>
      <x:c r="J1294" s="82" t="str">
        <x:f>IF(C1294="","Choose position",IF(COUNT(E1294:I1294)&lt;5,"",IF(OR(MIN(E1294:I1294)&lt;0.1,MAX(E1294:I1294)&gt;10),"Invalid score",IF(INDEX('Position_Rubric'!$H$6:$H$14,M1294)&lt;&gt;1,"Check weights",ROUND(E1294*INDEX('Position_Rubric'!$C$6:$C$14,M1294)+F1294*INDEX('Position_Rubric'!$D$6:$D$14,M1294)+G1294*INDEX('Position_Rubric'!$E$6:$E$14,M1294)+H1294*INDEX('Position_Rubric'!$F$6:$F$14,M1294)+I1294*INDEX('Position_Rubric'!$G$6:$G$14,M1294),1)))))</x:f>
        <x:v>Choose position</x:v>
      </x:c>
      <x:c r="K1294" s="82" t="str">
        <x:f>IF(AND(ISNUMBER(J1294),ISNUMBER(D1294)),J1294-D1294,"")</x:f>
      </x:c>
      <x:c r="L1294" s="69" t="str">
        <x:f>IF(COUNT(E1294:I1294)&lt;5,"Needs component scores",IF(ISNUMBER(J1294),"Calculated",J1294))</x:f>
        <x:v>Needs component scores</x:v>
      </x:c>
      <x:c r="M1294" s="69" t="str">
        <x:f>IF(C1294="","",MATCH(C1294,'Position_Rubric'!$A$6:$A$14,0))</x:f>
      </x:c>
      <x:c r="N1294" s="69" t="str"/>
    </x:row>
    <x:row r="1295" ht="25" customHeight="1">
      <x:c r="A1295" s="69" t="str">
        <x:v>summer-S26-0826</x:v>
      </x:c>
      <x:c r="B1295" s="69" t="str">
        <x:v>Aidon Shehu</x:v>
      </x:c>
      <x:c r="C1295" s="69"/>
      <x:c r="D1295" s="82" t="str">
        <x:f>IF(ISNUMBER('Transfer_Ratings'!K1295),'Transfer_Ratings'!K1295,"")</x:f>
      </x:c>
      <x:c r="E1295" s="86"/>
      <x:c r="F1295" s="86"/>
      <x:c r="G1295" s="86"/>
      <x:c r="H1295" s="86"/>
      <x:c r="I1295" s="86"/>
      <x:c r="J1295" s="82" t="str">
        <x:f>IF(C1295="","Choose position",IF(COUNT(E1295:I1295)&lt;5,"",IF(OR(MIN(E1295:I1295)&lt;0.1,MAX(E1295:I1295)&gt;10),"Invalid score",IF(INDEX('Position_Rubric'!$H$6:$H$14,M1295)&lt;&gt;1,"Check weights",ROUND(E1295*INDEX('Position_Rubric'!$C$6:$C$14,M1295)+F1295*INDEX('Position_Rubric'!$D$6:$D$14,M1295)+G1295*INDEX('Position_Rubric'!$E$6:$E$14,M1295)+H1295*INDEX('Position_Rubric'!$F$6:$F$14,M1295)+I1295*INDEX('Position_Rubric'!$G$6:$G$14,M1295),1)))))</x:f>
        <x:v>Choose position</x:v>
      </x:c>
      <x:c r="K1295" s="82" t="str">
        <x:f>IF(AND(ISNUMBER(J1295),ISNUMBER(D1295)),J1295-D1295,"")</x:f>
      </x:c>
      <x:c r="L1295" s="69" t="str">
        <x:f>IF(COUNT(E1295:I1295)&lt;5,"Needs component scores",IF(ISNUMBER(J1295),"Calculated",J1295))</x:f>
        <x:v>Needs component scores</x:v>
      </x:c>
      <x:c r="M1295" s="69" t="str">
        <x:f>IF(C1295="","",MATCH(C1295,'Position_Rubric'!$A$6:$A$14,0))</x:f>
      </x:c>
      <x:c r="N1295" s="69" t="str"/>
    </x:row>
    <x:row r="1296" ht="25" customHeight="1">
      <x:c r="A1296" s="69" t="str">
        <x:v>summer-S26-0827</x:v>
      </x:c>
      <x:c r="B1296" s="69" t="str">
        <x:v>Ben Robinson</x:v>
      </x:c>
      <x:c r="C1296" s="69"/>
      <x:c r="D1296" s="82" t="str">
        <x:f>IF(ISNUMBER('Transfer_Ratings'!K1296),'Transfer_Ratings'!K1296,"")</x:f>
      </x:c>
      <x:c r="E1296" s="86"/>
      <x:c r="F1296" s="86"/>
      <x:c r="G1296" s="86"/>
      <x:c r="H1296" s="86"/>
      <x:c r="I1296" s="86"/>
      <x:c r="J1296" s="82" t="str">
        <x:f>IF(C1296="","Choose position",IF(COUNT(E1296:I1296)&lt;5,"",IF(OR(MIN(E1296:I1296)&lt;0.1,MAX(E1296:I1296)&gt;10),"Invalid score",IF(INDEX('Position_Rubric'!$H$6:$H$14,M1296)&lt;&gt;1,"Check weights",ROUND(E1296*INDEX('Position_Rubric'!$C$6:$C$14,M1296)+F1296*INDEX('Position_Rubric'!$D$6:$D$14,M1296)+G1296*INDEX('Position_Rubric'!$E$6:$E$14,M1296)+H1296*INDEX('Position_Rubric'!$F$6:$F$14,M1296)+I1296*INDEX('Position_Rubric'!$G$6:$G$14,M1296),1)))))</x:f>
        <x:v>Choose position</x:v>
      </x:c>
      <x:c r="K1296" s="82" t="str">
        <x:f>IF(AND(ISNUMBER(J1296),ISNUMBER(D1296)),J1296-D1296,"")</x:f>
      </x:c>
      <x:c r="L1296" s="69" t="str">
        <x:f>IF(COUNT(E1296:I1296)&lt;5,"Needs component scores",IF(ISNUMBER(J1296),"Calculated",J1296))</x:f>
        <x:v>Needs component scores</x:v>
      </x:c>
      <x:c r="M1296" s="69" t="str">
        <x:f>IF(C1296="","",MATCH(C1296,'Position_Rubric'!$A$6:$A$14,0))</x:f>
      </x:c>
      <x:c r="N1296" s="69" t="str"/>
    </x:row>
    <x:row r="1297" ht="25" customHeight="1">
      <x:c r="A1297" s="69" t="str">
        <x:v>summer-S26-0828</x:v>
      </x:c>
      <x:c r="B1297" s="69" t="str">
        <x:v>Caleb Yirenkyi</x:v>
      </x:c>
      <x:c r="C1297" s="69"/>
      <x:c r="D1297" s="82" t="str">
        <x:f>IF(ISNUMBER('Transfer_Ratings'!K1297),'Transfer_Ratings'!K1297,"")</x:f>
      </x:c>
      <x:c r="E1297" s="86"/>
      <x:c r="F1297" s="86"/>
      <x:c r="G1297" s="86"/>
      <x:c r="H1297" s="86"/>
      <x:c r="I1297" s="86"/>
      <x:c r="J1297" s="82" t="str">
        <x:f>IF(C1297="","Choose position",IF(COUNT(E1297:I1297)&lt;5,"",IF(OR(MIN(E1297:I1297)&lt;0.1,MAX(E1297:I1297)&gt;10),"Invalid score",IF(INDEX('Position_Rubric'!$H$6:$H$14,M1297)&lt;&gt;1,"Check weights",ROUND(E1297*INDEX('Position_Rubric'!$C$6:$C$14,M1297)+F1297*INDEX('Position_Rubric'!$D$6:$D$14,M1297)+G1297*INDEX('Position_Rubric'!$E$6:$E$14,M1297)+H1297*INDEX('Position_Rubric'!$F$6:$F$14,M1297)+I1297*INDEX('Position_Rubric'!$G$6:$G$14,M1297),1)))))</x:f>
        <x:v>Choose position</x:v>
      </x:c>
      <x:c r="K1297" s="82" t="str">
        <x:f>IF(AND(ISNUMBER(J1297),ISNUMBER(D1297)),J1297-D1297,"")</x:f>
      </x:c>
      <x:c r="L1297" s="69" t="str">
        <x:f>IF(COUNT(E1297:I1297)&lt;5,"Needs component scores",IF(ISNUMBER(J1297),"Calculated",J1297))</x:f>
        <x:v>Needs component scores</x:v>
      </x:c>
      <x:c r="M1297" s="69" t="str">
        <x:f>IF(C1297="","",MATCH(C1297,'Position_Rubric'!$A$6:$A$14,0))</x:f>
      </x:c>
      <x:c r="N1297" s="69" t="str"/>
    </x:row>
    <x:row r="1298" ht="25" customHeight="1">
      <x:c r="A1298" s="69" t="str">
        <x:v>summer-S26-0829</x:v>
      </x:c>
      <x:c r="B1298" s="69" t="str">
        <x:v>Reiss Russell-Denny</x:v>
      </x:c>
      <x:c r="C1298" s="69"/>
      <x:c r="D1298" s="82" t="str">
        <x:f>IF(ISNUMBER('Transfer_Ratings'!K1298),'Transfer_Ratings'!K1298,"")</x:f>
      </x:c>
      <x:c r="E1298" s="86"/>
      <x:c r="F1298" s="86"/>
      <x:c r="G1298" s="86"/>
      <x:c r="H1298" s="86"/>
      <x:c r="I1298" s="86"/>
      <x:c r="J1298" s="82" t="str">
        <x:f>IF(C1298="","Choose position",IF(COUNT(E1298:I1298)&lt;5,"",IF(OR(MIN(E1298:I1298)&lt;0.1,MAX(E1298:I1298)&gt;10),"Invalid score",IF(INDEX('Position_Rubric'!$H$6:$H$14,M1298)&lt;&gt;1,"Check weights",ROUND(E1298*INDEX('Position_Rubric'!$C$6:$C$14,M1298)+F1298*INDEX('Position_Rubric'!$D$6:$D$14,M1298)+G1298*INDEX('Position_Rubric'!$E$6:$E$14,M1298)+H1298*INDEX('Position_Rubric'!$F$6:$F$14,M1298)+I1298*INDEX('Position_Rubric'!$G$6:$G$14,M1298),1)))))</x:f>
        <x:v>Choose position</x:v>
      </x:c>
      <x:c r="K1298" s="82" t="str">
        <x:f>IF(AND(ISNUMBER(J1298),ISNUMBER(D1298)),J1298-D1298,"")</x:f>
      </x:c>
      <x:c r="L1298" s="69" t="str">
        <x:f>IF(COUNT(E1298:I1298)&lt;5,"Needs component scores",IF(ISNUMBER(J1298),"Calculated",J1298))</x:f>
        <x:v>Needs component scores</x:v>
      </x:c>
      <x:c r="M1298" s="69" t="str">
        <x:f>IF(C1298="","",MATCH(C1298,'Position_Rubric'!$A$6:$A$14,0))</x:f>
      </x:c>
      <x:c r="N1298" s="69" t="str"/>
    </x:row>
    <x:row r="1299" ht="25" customHeight="1">
      <x:c r="A1299" s="69" t="str">
        <x:v>summer-S26-0831</x:v>
      </x:c>
      <x:c r="B1299" s="69" t="str">
        <x:v>Edgar Alcañiz</x:v>
      </x:c>
      <x:c r="C1299" s="69"/>
      <x:c r="D1299" s="82" t="str">
        <x:f>IF(ISNUMBER('Transfer_Ratings'!K1299),'Transfer_Ratings'!K1299,"")</x:f>
      </x:c>
      <x:c r="E1299" s="86"/>
      <x:c r="F1299" s="86"/>
      <x:c r="G1299" s="86"/>
      <x:c r="H1299" s="86"/>
      <x:c r="I1299" s="86"/>
      <x:c r="J1299" s="82" t="str">
        <x:f>IF(C1299="","Choose position",IF(COUNT(E1299:I1299)&lt;5,"",IF(OR(MIN(E1299:I1299)&lt;0.1,MAX(E1299:I1299)&gt;10),"Invalid score",IF(INDEX('Position_Rubric'!$H$6:$H$14,M1299)&lt;&gt;1,"Check weights",ROUND(E1299*INDEX('Position_Rubric'!$C$6:$C$14,M1299)+F1299*INDEX('Position_Rubric'!$D$6:$D$14,M1299)+G1299*INDEX('Position_Rubric'!$E$6:$E$14,M1299)+H1299*INDEX('Position_Rubric'!$F$6:$F$14,M1299)+I1299*INDEX('Position_Rubric'!$G$6:$G$14,M1299),1)))))</x:f>
        <x:v>Choose position</x:v>
      </x:c>
      <x:c r="K1299" s="82" t="str">
        <x:f>IF(AND(ISNUMBER(J1299),ISNUMBER(D1299)),J1299-D1299,"")</x:f>
      </x:c>
      <x:c r="L1299" s="69" t="str">
        <x:f>IF(COUNT(E1299:I1299)&lt;5,"Needs component scores",IF(ISNUMBER(J1299),"Calculated",J1299))</x:f>
        <x:v>Needs component scores</x:v>
      </x:c>
      <x:c r="M1299" s="69" t="str">
        <x:f>IF(C1299="","",MATCH(C1299,'Position_Rubric'!$A$6:$A$14,0))</x:f>
      </x:c>
      <x:c r="N1299" s="69" t="str"/>
    </x:row>
    <x:row r="1300" ht="25" customHeight="1">
      <x:c r="A1300" s="69" t="str">
        <x:v>summer-S26-0832</x:v>
      </x:c>
      <x:c r="B1300" s="69" t="str">
        <x:v>Finley Barbrook</x:v>
      </x:c>
      <x:c r="C1300" s="69"/>
      <x:c r="D1300" s="82" t="str">
        <x:f>IF(ISNUMBER('Transfer_Ratings'!K1300),'Transfer_Ratings'!K1300,"")</x:f>
      </x:c>
      <x:c r="E1300" s="86"/>
      <x:c r="F1300" s="86"/>
      <x:c r="G1300" s="86"/>
      <x:c r="H1300" s="86"/>
      <x:c r="I1300" s="86"/>
      <x:c r="J1300" s="82" t="str">
        <x:f>IF(C1300="","Choose position",IF(COUNT(E1300:I1300)&lt;5,"",IF(OR(MIN(E1300:I1300)&lt;0.1,MAX(E1300:I1300)&gt;10),"Invalid score",IF(INDEX('Position_Rubric'!$H$6:$H$14,M1300)&lt;&gt;1,"Check weights",ROUND(E1300*INDEX('Position_Rubric'!$C$6:$C$14,M1300)+F1300*INDEX('Position_Rubric'!$D$6:$D$14,M1300)+G1300*INDEX('Position_Rubric'!$E$6:$E$14,M1300)+H1300*INDEX('Position_Rubric'!$F$6:$F$14,M1300)+I1300*INDEX('Position_Rubric'!$G$6:$G$14,M1300),1)))))</x:f>
        <x:v>Choose position</x:v>
      </x:c>
      <x:c r="K1300" s="82" t="str">
        <x:f>IF(AND(ISNUMBER(J1300),ISNUMBER(D1300)),J1300-D1300,"")</x:f>
      </x:c>
      <x:c r="L1300" s="69" t="str">
        <x:f>IF(COUNT(E1300:I1300)&lt;5,"Needs component scores",IF(ISNUMBER(J1300),"Calculated",J1300))</x:f>
        <x:v>Needs component scores</x:v>
      </x:c>
      <x:c r="M1300" s="69" t="str">
        <x:f>IF(C1300="","",MATCH(C1300,'Position_Rubric'!$A$6:$A$14,0))</x:f>
      </x:c>
      <x:c r="N1300" s="69" t="str"/>
    </x:row>
    <x:row r="1301" ht="25" customHeight="1">
      <x:c r="A1301" s="69" t="str">
        <x:v>summer-S26-0833</x:v>
      </x:c>
      <x:c r="B1301" s="69" t="str">
        <x:v>Miguel Auría</x:v>
      </x:c>
      <x:c r="C1301" s="69"/>
      <x:c r="D1301" s="82" t="str">
        <x:f>IF(ISNUMBER('Transfer_Ratings'!K1301),'Transfer_Ratings'!K1301,"")</x:f>
      </x:c>
      <x:c r="E1301" s="86"/>
      <x:c r="F1301" s="86"/>
      <x:c r="G1301" s="86"/>
      <x:c r="H1301" s="86"/>
      <x:c r="I1301" s="86"/>
      <x:c r="J1301" s="82" t="str">
        <x:f>IF(C1301="","Choose position",IF(COUNT(E1301:I1301)&lt;5,"",IF(OR(MIN(E1301:I1301)&lt;0.1,MAX(E1301:I1301)&gt;10),"Invalid score",IF(INDEX('Position_Rubric'!$H$6:$H$14,M1301)&lt;&gt;1,"Check weights",ROUND(E1301*INDEX('Position_Rubric'!$C$6:$C$14,M1301)+F1301*INDEX('Position_Rubric'!$D$6:$D$14,M1301)+G1301*INDEX('Position_Rubric'!$E$6:$E$14,M1301)+H1301*INDEX('Position_Rubric'!$F$6:$F$14,M1301)+I1301*INDEX('Position_Rubric'!$G$6:$G$14,M1301),1)))))</x:f>
        <x:v>Choose position</x:v>
      </x:c>
      <x:c r="K1301" s="82" t="str">
        <x:f>IF(AND(ISNUMBER(J1301),ISNUMBER(D1301)),J1301-D1301,"")</x:f>
      </x:c>
      <x:c r="L1301" s="69" t="str">
        <x:f>IF(COUNT(E1301:I1301)&lt;5,"Needs component scores",IF(ISNUMBER(J1301),"Calculated",J1301))</x:f>
        <x:v>Needs component scores</x:v>
      </x:c>
      <x:c r="M1301" s="69" t="str">
        <x:f>IF(C1301="","",MATCH(C1301,'Position_Rubric'!$A$6:$A$14,0))</x:f>
      </x:c>
      <x:c r="N1301" s="69" t="str"/>
    </x:row>
    <x:row r="1302" ht="25" customHeight="1">
      <x:c r="A1302" s="69" t="str">
        <x:v>summer-S26-0837</x:v>
      </x:c>
      <x:c r="B1302" s="69" t="str">
        <x:v>Facundo Buonanotte</x:v>
      </x:c>
      <x:c r="C1302" s="69"/>
      <x:c r="D1302" s="82" t="str">
        <x:f>IF(ISNUMBER('Transfer_Ratings'!K1302),'Transfer_Ratings'!K1302,"")</x:f>
      </x:c>
      <x:c r="E1302" s="86"/>
      <x:c r="F1302" s="86"/>
      <x:c r="G1302" s="86"/>
      <x:c r="H1302" s="86"/>
      <x:c r="I1302" s="86"/>
      <x:c r="J1302" s="82" t="str">
        <x:f>IF(C1302="","Choose position",IF(COUNT(E1302:I1302)&lt;5,"",IF(OR(MIN(E1302:I1302)&lt;0.1,MAX(E1302:I1302)&gt;10),"Invalid score",IF(INDEX('Position_Rubric'!$H$6:$H$14,M1302)&lt;&gt;1,"Check weights",ROUND(E1302*INDEX('Position_Rubric'!$C$6:$C$14,M1302)+F1302*INDEX('Position_Rubric'!$D$6:$D$14,M1302)+G1302*INDEX('Position_Rubric'!$E$6:$E$14,M1302)+H1302*INDEX('Position_Rubric'!$F$6:$F$14,M1302)+I1302*INDEX('Position_Rubric'!$G$6:$G$14,M1302),1)))))</x:f>
        <x:v>Choose position</x:v>
      </x:c>
      <x:c r="K1302" s="82" t="str">
        <x:f>IF(AND(ISNUMBER(J1302),ISNUMBER(D1302)),J1302-D1302,"")</x:f>
      </x:c>
      <x:c r="L1302" s="69" t="str">
        <x:f>IF(COUNT(E1302:I1302)&lt;5,"Needs component scores",IF(ISNUMBER(J1302),"Calculated",J1302))</x:f>
        <x:v>Needs component scores</x:v>
      </x:c>
      <x:c r="M1302" s="69" t="str">
        <x:f>IF(C1302="","",MATCH(C1302,'Position_Rubric'!$A$6:$A$14,0))</x:f>
      </x:c>
      <x:c r="N1302" s="69" t="str"/>
    </x:row>
    <x:row r="1303" ht="25" customHeight="1">
      <x:c r="A1303" s="69" t="str">
        <x:v>summer-S26-0838</x:v>
      </x:c>
      <x:c r="B1303" s="69" t="str">
        <x:v>Daouda Traoré</x:v>
      </x:c>
      <x:c r="C1303" s="69"/>
      <x:c r="D1303" s="82" t="str">
        <x:f>IF(ISNUMBER('Transfer_Ratings'!K1303),'Transfer_Ratings'!K1303,"")</x:f>
      </x:c>
      <x:c r="E1303" s="86"/>
      <x:c r="F1303" s="86"/>
      <x:c r="G1303" s="86"/>
      <x:c r="H1303" s="86"/>
      <x:c r="I1303" s="86"/>
      <x:c r="J1303" s="82" t="str">
        <x:f>IF(C1303="","Choose position",IF(COUNT(E1303:I1303)&lt;5,"",IF(OR(MIN(E1303:I1303)&lt;0.1,MAX(E1303:I1303)&gt;10),"Invalid score",IF(INDEX('Position_Rubric'!$H$6:$H$14,M1303)&lt;&gt;1,"Check weights",ROUND(E1303*INDEX('Position_Rubric'!$C$6:$C$14,M1303)+F1303*INDEX('Position_Rubric'!$D$6:$D$14,M1303)+G1303*INDEX('Position_Rubric'!$E$6:$E$14,M1303)+H1303*INDEX('Position_Rubric'!$F$6:$F$14,M1303)+I1303*INDEX('Position_Rubric'!$G$6:$G$14,M1303),1)))))</x:f>
        <x:v>Choose position</x:v>
      </x:c>
      <x:c r="K1303" s="82" t="str">
        <x:f>IF(AND(ISNUMBER(J1303),ISNUMBER(D1303)),J1303-D1303,"")</x:f>
      </x:c>
      <x:c r="L1303" s="69" t="str">
        <x:f>IF(COUNT(E1303:I1303)&lt;5,"Needs component scores",IF(ISNUMBER(J1303),"Calculated",J1303))</x:f>
        <x:v>Needs component scores</x:v>
      </x:c>
      <x:c r="M1303" s="69" t="str">
        <x:f>IF(C1303="","",MATCH(C1303,'Position_Rubric'!$A$6:$A$14,0))</x:f>
      </x:c>
      <x:c r="N1303" s="69" t="str"/>
    </x:row>
    <x:row r="1304" ht="25" customHeight="1">
      <x:c r="A1304" s="69" t="str">
        <x:v>summer-S26-0840</x:v>
      </x:c>
      <x:c r="B1304" s="69" t="str">
        <x:v>Maghnes Akliouche</x:v>
      </x:c>
      <x:c r="C1304" s="69"/>
      <x:c r="D1304" s="82" t="str">
        <x:f>IF(ISNUMBER('Transfer_Ratings'!K1304),'Transfer_Ratings'!K1304,"")</x:f>
      </x:c>
      <x:c r="E1304" s="86"/>
      <x:c r="F1304" s="86"/>
      <x:c r="G1304" s="86"/>
      <x:c r="H1304" s="86"/>
      <x:c r="I1304" s="86"/>
      <x:c r="J1304" s="82" t="str">
        <x:f>IF(C1304="","Choose position",IF(COUNT(E1304:I1304)&lt;5,"",IF(OR(MIN(E1304:I1304)&lt;0.1,MAX(E1304:I1304)&gt;10),"Invalid score",IF(INDEX('Position_Rubric'!$H$6:$H$14,M1304)&lt;&gt;1,"Check weights",ROUND(E1304*INDEX('Position_Rubric'!$C$6:$C$14,M1304)+F1304*INDEX('Position_Rubric'!$D$6:$D$14,M1304)+G1304*INDEX('Position_Rubric'!$E$6:$E$14,M1304)+H1304*INDEX('Position_Rubric'!$F$6:$F$14,M1304)+I1304*INDEX('Position_Rubric'!$G$6:$G$14,M1304),1)))))</x:f>
        <x:v>Choose position</x:v>
      </x:c>
      <x:c r="K1304" s="82" t="str">
        <x:f>IF(AND(ISNUMBER(J1304),ISNUMBER(D1304)),J1304-D1304,"")</x:f>
      </x:c>
      <x:c r="L1304" s="69" t="str">
        <x:f>IF(COUNT(E1304:I1304)&lt;5,"Needs component scores",IF(ISNUMBER(J1304),"Calculated",J1304))</x:f>
        <x:v>Needs component scores</x:v>
      </x:c>
      <x:c r="M1304" s="69" t="str">
        <x:f>IF(C1304="","",MATCH(C1304,'Position_Rubric'!$A$6:$A$14,0))</x:f>
      </x:c>
      <x:c r="N1304" s="69" t="str"/>
    </x:row>
    <x:row r="1305" ht="25" customHeight="1">
      <x:c r="A1305" s="69" t="str">
        <x:v>summer-S26-0844</x:v>
      </x:c>
      <x:c r="B1305" s="69" t="str">
        <x:v>Marash Kumbulla</x:v>
      </x:c>
      <x:c r="C1305" s="69"/>
      <x:c r="D1305" s="82" t="str">
        <x:f>IF(ISNUMBER('Transfer_Ratings'!K1305),'Transfer_Ratings'!K1305,"")</x:f>
      </x:c>
      <x:c r="E1305" s="86"/>
      <x:c r="F1305" s="86"/>
      <x:c r="G1305" s="86"/>
      <x:c r="H1305" s="86"/>
      <x:c r="I1305" s="86"/>
      <x:c r="J1305" s="82" t="str">
        <x:f>IF(C1305="","Choose position",IF(COUNT(E1305:I1305)&lt;5,"",IF(OR(MIN(E1305:I1305)&lt;0.1,MAX(E1305:I1305)&gt;10),"Invalid score",IF(INDEX('Position_Rubric'!$H$6:$H$14,M1305)&lt;&gt;1,"Check weights",ROUND(E1305*INDEX('Position_Rubric'!$C$6:$C$14,M1305)+F1305*INDEX('Position_Rubric'!$D$6:$D$14,M1305)+G1305*INDEX('Position_Rubric'!$E$6:$E$14,M1305)+H1305*INDEX('Position_Rubric'!$F$6:$F$14,M1305)+I1305*INDEX('Position_Rubric'!$G$6:$G$14,M1305),1)))))</x:f>
        <x:v>Choose position</x:v>
      </x:c>
      <x:c r="K1305" s="82" t="str">
        <x:f>IF(AND(ISNUMBER(J1305),ISNUMBER(D1305)),J1305-D1305,"")</x:f>
      </x:c>
      <x:c r="L1305" s="69" t="str">
        <x:f>IF(COUNT(E1305:I1305)&lt;5,"Needs component scores",IF(ISNUMBER(J1305),"Calculated",J1305))</x:f>
        <x:v>Needs component scores</x:v>
      </x:c>
      <x:c r="M1305" s="69" t="str">
        <x:f>IF(C1305="","",MATCH(C1305,'Position_Rubric'!$A$6:$A$14,0))</x:f>
      </x:c>
      <x:c r="N1305" s="69" t="str"/>
    </x:row>
    <x:row r="1306" ht="25" customHeight="1">
      <x:c r="A1306" s="69" t="str">
        <x:v>summer-S26-0845</x:v>
      </x:c>
      <x:c r="B1306" s="69" t="str">
        <x:v>Nicolás Valentini</x:v>
      </x:c>
      <x:c r="C1306" s="69"/>
      <x:c r="D1306" s="82" t="str">
        <x:f>IF(ISNUMBER('Transfer_Ratings'!K1306),'Transfer_Ratings'!K1306,"")</x:f>
      </x:c>
      <x:c r="E1306" s="86"/>
      <x:c r="F1306" s="86"/>
      <x:c r="G1306" s="86"/>
      <x:c r="H1306" s="86"/>
      <x:c r="I1306" s="86"/>
      <x:c r="J1306" s="82" t="str">
        <x:f>IF(C1306="","Choose position",IF(COUNT(E1306:I1306)&lt;5,"",IF(OR(MIN(E1306:I1306)&lt;0.1,MAX(E1306:I1306)&gt;10),"Invalid score",IF(INDEX('Position_Rubric'!$H$6:$H$14,M1306)&lt;&gt;1,"Check weights",ROUND(E1306*INDEX('Position_Rubric'!$C$6:$C$14,M1306)+F1306*INDEX('Position_Rubric'!$D$6:$D$14,M1306)+G1306*INDEX('Position_Rubric'!$E$6:$E$14,M1306)+H1306*INDEX('Position_Rubric'!$F$6:$F$14,M1306)+I1306*INDEX('Position_Rubric'!$G$6:$G$14,M1306),1)))))</x:f>
        <x:v>Choose position</x:v>
      </x:c>
      <x:c r="K1306" s="82" t="str">
        <x:f>IF(AND(ISNUMBER(J1306),ISNUMBER(D1306)),J1306-D1306,"")</x:f>
      </x:c>
      <x:c r="L1306" s="69" t="str">
        <x:f>IF(COUNT(E1306:I1306)&lt;5,"Needs component scores",IF(ISNUMBER(J1306),"Calculated",J1306))</x:f>
        <x:v>Needs component scores</x:v>
      </x:c>
      <x:c r="M1306" s="69" t="str">
        <x:f>IF(C1306="","",MATCH(C1306,'Position_Rubric'!$A$6:$A$14,0))</x:f>
      </x:c>
      <x:c r="N1306" s="69" t="str"/>
    </x:row>
    <x:row r="1307" ht="25" customHeight="1">
      <x:c r="A1307" s="69" t="str">
        <x:v>summer-S26-0846</x:v>
      </x:c>
      <x:c r="B1307" s="69" t="str">
        <x:v>Alexis Olmedo</x:v>
      </x:c>
      <x:c r="C1307" s="69"/>
      <x:c r="D1307" s="82" t="str">
        <x:f>IF(ISNUMBER('Transfer_Ratings'!K1307),'Transfer_Ratings'!K1307,"")</x:f>
      </x:c>
      <x:c r="E1307" s="86"/>
      <x:c r="F1307" s="86"/>
      <x:c r="G1307" s="86"/>
      <x:c r="H1307" s="86"/>
      <x:c r="I1307" s="86"/>
      <x:c r="J1307" s="82" t="str">
        <x:f>IF(C1307="","Choose position",IF(COUNT(E1307:I1307)&lt;5,"",IF(OR(MIN(E1307:I1307)&lt;0.1,MAX(E1307:I1307)&gt;10),"Invalid score",IF(INDEX('Position_Rubric'!$H$6:$H$14,M1307)&lt;&gt;1,"Check weights",ROUND(E1307*INDEX('Position_Rubric'!$C$6:$C$14,M1307)+F1307*INDEX('Position_Rubric'!$D$6:$D$14,M1307)+G1307*INDEX('Position_Rubric'!$E$6:$E$14,M1307)+H1307*INDEX('Position_Rubric'!$F$6:$F$14,M1307)+I1307*INDEX('Position_Rubric'!$G$6:$G$14,M1307),1)))))</x:f>
        <x:v>Choose position</x:v>
      </x:c>
      <x:c r="K1307" s="82" t="str">
        <x:f>IF(AND(ISNUMBER(J1307),ISNUMBER(D1307)),J1307-D1307,"")</x:f>
      </x:c>
      <x:c r="L1307" s="69" t="str">
        <x:f>IF(COUNT(E1307:I1307)&lt;5,"Needs component scores",IF(ISNUMBER(J1307),"Calculated",J1307))</x:f>
        <x:v>Needs component scores</x:v>
      </x:c>
      <x:c r="M1307" s="69" t="str">
        <x:f>IF(C1307="","",MATCH(C1307,'Position_Rubric'!$A$6:$A$14,0))</x:f>
      </x:c>
      <x:c r="N1307" s="69" t="str"/>
    </x:row>
    <x:row r="1308" ht="25" customHeight="1">
      <x:c r="A1308" s="69" t="str">
        <x:v>summer-S26-0847</x:v>
      </x:c>
      <x:c r="B1308" s="69" t="str">
        <x:v>Radek Vitek</x:v>
      </x:c>
      <x:c r="C1308" s="69" t="str">
        <x:v>GK</x:v>
      </x:c>
      <x:c r="D1308" s="82" t="str">
        <x:f>IF(ISNUMBER('Transfer_Ratings'!K1308),'Transfer_Ratings'!K1308,"")</x:f>
      </x:c>
      <x:c r="E1308" s="86"/>
      <x:c r="F1308" s="86"/>
      <x:c r="G1308" s="86"/>
      <x:c r="H1308" s="86"/>
      <x:c r="I1308" s="86"/>
      <x:c r="J1308" s="82" t="str">
        <x:f>IF(C1308="","Choose position",IF(COUNT(E1308:I1308)&lt;5,"",IF(OR(MIN(E1308:I1308)&lt;0.1,MAX(E1308:I1308)&gt;10),"Invalid score",IF(INDEX('Position_Rubric'!$H$6:$H$14,M1308)&lt;&gt;1,"Check weights",ROUND(E1308*INDEX('Position_Rubric'!$C$6:$C$14,M1308)+F1308*INDEX('Position_Rubric'!$D$6:$D$14,M1308)+G1308*INDEX('Position_Rubric'!$E$6:$E$14,M1308)+H1308*INDEX('Position_Rubric'!$F$6:$F$14,M1308)+I1308*INDEX('Position_Rubric'!$G$6:$G$14,M1308),1)))))</x:f>
      </x:c>
      <x:c r="K1308" s="82" t="str">
        <x:f>IF(AND(ISNUMBER(J1308),ISNUMBER(D1308)),J1308-D1308,"")</x:f>
      </x:c>
      <x:c r="L1308" s="69" t="str">
        <x:f>IF(COUNT(E1308:I1308)&lt;5,"Needs component scores",IF(ISNUMBER(J1308),"Calculated",J1308))</x:f>
        <x:v>Needs component scores</x:v>
      </x:c>
      <x:c r="M1308" s="69" t="n">
        <x:f>IF(C1308="","",MATCH(C1308,'Position_Rubric'!$A$6:$A$14,0))</x:f>
        <x:v>9</x:v>
      </x:c>
      <x:c r="N1308" s="69" t="str"/>
    </x:row>
    <x:row r="1309" ht="25" customHeight="1">
      <x:c r="A1309" s="69" t="str">
        <x:v>summer-S26-0849</x:v>
      </x:c>
      <x:c r="B1309" s="69" t="str">
        <x:v>Thiago Almada</x:v>
      </x:c>
      <x:c r="C1309" s="69"/>
      <x:c r="D1309" s="82" t="str">
        <x:f>IF(ISNUMBER('Transfer_Ratings'!K1309),'Transfer_Ratings'!K1309,"")</x:f>
      </x:c>
      <x:c r="E1309" s="86"/>
      <x:c r="F1309" s="86"/>
      <x:c r="G1309" s="86"/>
      <x:c r="H1309" s="86"/>
      <x:c r="I1309" s="86"/>
      <x:c r="J1309" s="82" t="str">
        <x:f>IF(C1309="","Choose position",IF(COUNT(E1309:I1309)&lt;5,"",IF(OR(MIN(E1309:I1309)&lt;0.1,MAX(E1309:I1309)&gt;10),"Invalid score",IF(INDEX('Position_Rubric'!$H$6:$H$14,M1309)&lt;&gt;1,"Check weights",ROUND(E1309*INDEX('Position_Rubric'!$C$6:$C$14,M1309)+F1309*INDEX('Position_Rubric'!$D$6:$D$14,M1309)+G1309*INDEX('Position_Rubric'!$E$6:$E$14,M1309)+H1309*INDEX('Position_Rubric'!$F$6:$F$14,M1309)+I1309*INDEX('Position_Rubric'!$G$6:$G$14,M1309),1)))))</x:f>
        <x:v>Choose position</x:v>
      </x:c>
      <x:c r="K1309" s="82" t="str">
        <x:f>IF(AND(ISNUMBER(J1309),ISNUMBER(D1309)),J1309-D1309,"")</x:f>
      </x:c>
      <x:c r="L1309" s="69" t="str">
        <x:f>IF(COUNT(E1309:I1309)&lt;5,"Needs component scores",IF(ISNUMBER(J1309),"Calculated",J1309))</x:f>
        <x:v>Needs component scores</x:v>
      </x:c>
      <x:c r="M1309" s="69" t="str">
        <x:f>IF(C1309="","",MATCH(C1309,'Position_Rubric'!$A$6:$A$14,0))</x:f>
      </x:c>
      <x:c r="N1309" s="69" t="str"/>
    </x:row>
    <x:row r="1310" ht="25" customHeight="1">
      <x:c r="A1310" s="69" t="str">
        <x:v>summer-S26-0855</x:v>
      </x:c>
      <x:c r="B1310" s="69" t="str">
        <x:v>Sergi Roberto</x:v>
      </x:c>
      <x:c r="C1310" s="69"/>
      <x:c r="D1310" s="82" t="str">
        <x:f>IF(ISNUMBER('Transfer_Ratings'!K1310),'Transfer_Ratings'!K1310,"")</x:f>
      </x:c>
      <x:c r="E1310" s="86"/>
      <x:c r="F1310" s="86"/>
      <x:c r="G1310" s="86"/>
      <x:c r="H1310" s="86"/>
      <x:c r="I1310" s="86"/>
      <x:c r="J1310" s="82" t="str">
        <x:f>IF(C1310="","Choose position",IF(COUNT(E1310:I1310)&lt;5,"",IF(OR(MIN(E1310:I1310)&lt;0.1,MAX(E1310:I1310)&gt;10),"Invalid score",IF(INDEX('Position_Rubric'!$H$6:$H$14,M1310)&lt;&gt;1,"Check weights",ROUND(E1310*INDEX('Position_Rubric'!$C$6:$C$14,M1310)+F1310*INDEX('Position_Rubric'!$D$6:$D$14,M1310)+G1310*INDEX('Position_Rubric'!$E$6:$E$14,M1310)+H1310*INDEX('Position_Rubric'!$F$6:$F$14,M1310)+I1310*INDEX('Position_Rubric'!$G$6:$G$14,M1310),1)))))</x:f>
        <x:v>Choose position</x:v>
      </x:c>
      <x:c r="K1310" s="82" t="str">
        <x:f>IF(AND(ISNUMBER(J1310),ISNUMBER(D1310)),J1310-D1310,"")</x:f>
      </x:c>
      <x:c r="L1310" s="69" t="str">
        <x:f>IF(COUNT(E1310:I1310)&lt;5,"Needs component scores",IF(ISNUMBER(J1310),"Calculated",J1310))</x:f>
        <x:v>Needs component scores</x:v>
      </x:c>
      <x:c r="M1310" s="69" t="str">
        <x:f>IF(C1310="","",MATCH(C1310,'Position_Rubric'!$A$6:$A$14,0))</x:f>
      </x:c>
      <x:c r="N1310" s="69" t="str"/>
    </x:row>
    <x:row r="1311" ht="25" customHeight="1">
      <x:c r="A1311" s="69" t="str">
        <x:v>summer-S26-0857</x:v>
      </x:c>
      <x:c r="B1311" s="69" t="str">
        <x:v>Mauro Zalazar</x:v>
      </x:c>
      <x:c r="C1311" s="69"/>
      <x:c r="D1311" s="82" t="str">
        <x:f>IF(ISNUMBER('Transfer_Ratings'!K1311),'Transfer_Ratings'!K1311,"")</x:f>
      </x:c>
      <x:c r="E1311" s="86"/>
      <x:c r="F1311" s="86"/>
      <x:c r="G1311" s="86"/>
      <x:c r="H1311" s="86"/>
      <x:c r="I1311" s="86"/>
      <x:c r="J1311" s="82" t="str">
        <x:f>IF(C1311="","Choose position",IF(COUNT(E1311:I1311)&lt;5,"",IF(OR(MIN(E1311:I1311)&lt;0.1,MAX(E1311:I1311)&gt;10),"Invalid score",IF(INDEX('Position_Rubric'!$H$6:$H$14,M1311)&lt;&gt;1,"Check weights",ROUND(E1311*INDEX('Position_Rubric'!$C$6:$C$14,M1311)+F1311*INDEX('Position_Rubric'!$D$6:$D$14,M1311)+G1311*INDEX('Position_Rubric'!$E$6:$E$14,M1311)+H1311*INDEX('Position_Rubric'!$F$6:$F$14,M1311)+I1311*INDEX('Position_Rubric'!$G$6:$G$14,M1311),1)))))</x:f>
        <x:v>Choose position</x:v>
      </x:c>
      <x:c r="K1311" s="82" t="str">
        <x:f>IF(AND(ISNUMBER(J1311),ISNUMBER(D1311)),J1311-D1311,"")</x:f>
      </x:c>
      <x:c r="L1311" s="69" t="str">
        <x:f>IF(COUNT(E1311:I1311)&lt;5,"Needs component scores",IF(ISNUMBER(J1311),"Calculated",J1311))</x:f>
        <x:v>Needs component scores</x:v>
      </x:c>
      <x:c r="M1311" s="69" t="str">
        <x:f>IF(C1311="","",MATCH(C1311,'Position_Rubric'!$A$6:$A$14,0))</x:f>
      </x:c>
      <x:c r="N1311" s="69" t="str"/>
    </x:row>
    <x:row r="1312" ht="25" customHeight="1">
      <x:c r="A1312" s="69" t="str">
        <x:v>summer-S26-0858</x:v>
      </x:c>
      <x:c r="B1312" s="69" t="str">
        <x:v>Daniel Maldini</x:v>
      </x:c>
      <x:c r="C1312" s="69"/>
      <x:c r="D1312" s="82" t="str">
        <x:f>IF(ISNUMBER('Transfer_Ratings'!K1312),'Transfer_Ratings'!K1312,"")</x:f>
      </x:c>
      <x:c r="E1312" s="86"/>
      <x:c r="F1312" s="86"/>
      <x:c r="G1312" s="86"/>
      <x:c r="H1312" s="86"/>
      <x:c r="I1312" s="86"/>
      <x:c r="J1312" s="82" t="str">
        <x:f>IF(C1312="","Choose position",IF(COUNT(E1312:I1312)&lt;5,"",IF(OR(MIN(E1312:I1312)&lt;0.1,MAX(E1312:I1312)&gt;10),"Invalid score",IF(INDEX('Position_Rubric'!$H$6:$H$14,M1312)&lt;&gt;1,"Check weights",ROUND(E1312*INDEX('Position_Rubric'!$C$6:$C$14,M1312)+F1312*INDEX('Position_Rubric'!$D$6:$D$14,M1312)+G1312*INDEX('Position_Rubric'!$E$6:$E$14,M1312)+H1312*INDEX('Position_Rubric'!$F$6:$F$14,M1312)+I1312*INDEX('Position_Rubric'!$G$6:$G$14,M1312),1)))))</x:f>
        <x:v>Choose position</x:v>
      </x:c>
      <x:c r="K1312" s="82" t="str">
        <x:f>IF(AND(ISNUMBER(J1312),ISNUMBER(D1312)),J1312-D1312,"")</x:f>
      </x:c>
      <x:c r="L1312" s="69" t="str">
        <x:f>IF(COUNT(E1312:I1312)&lt;5,"Needs component scores",IF(ISNUMBER(J1312),"Calculated",J1312))</x:f>
        <x:v>Needs component scores</x:v>
      </x:c>
      <x:c r="M1312" s="69" t="str">
        <x:f>IF(C1312="","",MATCH(C1312,'Position_Rubric'!$A$6:$A$14,0))</x:f>
      </x:c>
      <x:c r="N1312" s="69" t="str"/>
    </x:row>
    <x:row r="1313" ht="25" customHeight="1">
      <x:c r="A1313" s="69" t="str">
        <x:v>summer-S26-0860</x:v>
      </x:c>
      <x:c r="B1313" s="69" t="str">
        <x:v>Ahmed Sidibé</x:v>
      </x:c>
      <x:c r="C1313" s="69"/>
      <x:c r="D1313" s="82" t="str">
        <x:f>IF(ISNUMBER('Transfer_Ratings'!K1313),'Transfer_Ratings'!K1313,"")</x:f>
      </x:c>
      <x:c r="E1313" s="86"/>
      <x:c r="F1313" s="86"/>
      <x:c r="G1313" s="86"/>
      <x:c r="H1313" s="86"/>
      <x:c r="I1313" s="86"/>
      <x:c r="J1313" s="82" t="str">
        <x:f>IF(C1313="","Choose position",IF(COUNT(E1313:I1313)&lt;5,"",IF(OR(MIN(E1313:I1313)&lt;0.1,MAX(E1313:I1313)&gt;10),"Invalid score",IF(INDEX('Position_Rubric'!$H$6:$H$14,M1313)&lt;&gt;1,"Check weights",ROUND(E1313*INDEX('Position_Rubric'!$C$6:$C$14,M1313)+F1313*INDEX('Position_Rubric'!$D$6:$D$14,M1313)+G1313*INDEX('Position_Rubric'!$E$6:$E$14,M1313)+H1313*INDEX('Position_Rubric'!$F$6:$F$14,M1313)+I1313*INDEX('Position_Rubric'!$G$6:$G$14,M1313),1)))))</x:f>
        <x:v>Choose position</x:v>
      </x:c>
      <x:c r="K1313" s="82" t="str">
        <x:f>IF(AND(ISNUMBER(J1313),ISNUMBER(D1313)),J1313-D1313,"")</x:f>
      </x:c>
      <x:c r="L1313" s="69" t="str">
        <x:f>IF(COUNT(E1313:I1313)&lt;5,"Needs component scores",IF(ISNUMBER(J1313),"Calculated",J1313))</x:f>
        <x:v>Needs component scores</x:v>
      </x:c>
      <x:c r="M1313" s="69" t="str">
        <x:f>IF(C1313="","",MATCH(C1313,'Position_Rubric'!$A$6:$A$14,0))</x:f>
      </x:c>
      <x:c r="N1313" s="69" t="str"/>
    </x:row>
    <x:row r="1314" ht="25" customHeight="1">
      <x:c r="A1314" s="69" t="str">
        <x:v>summer-S26-0861</x:v>
      </x:c>
      <x:c r="B1314" s="69" t="str">
        <x:v>Bjarki Bjarkason</x:v>
      </x:c>
      <x:c r="C1314" s="69"/>
      <x:c r="D1314" s="82" t="str">
        <x:f>IF(ISNUMBER('Transfer_Ratings'!K1314),'Transfer_Ratings'!K1314,"")</x:f>
      </x:c>
      <x:c r="E1314" s="86"/>
      <x:c r="F1314" s="86"/>
      <x:c r="G1314" s="86"/>
      <x:c r="H1314" s="86"/>
      <x:c r="I1314" s="86"/>
      <x:c r="J1314" s="82" t="str">
        <x:f>IF(C1314="","Choose position",IF(COUNT(E1314:I1314)&lt;5,"",IF(OR(MIN(E1314:I1314)&lt;0.1,MAX(E1314:I1314)&gt;10),"Invalid score",IF(INDEX('Position_Rubric'!$H$6:$H$14,M1314)&lt;&gt;1,"Check weights",ROUND(E1314*INDEX('Position_Rubric'!$C$6:$C$14,M1314)+F1314*INDEX('Position_Rubric'!$D$6:$D$14,M1314)+G1314*INDEX('Position_Rubric'!$E$6:$E$14,M1314)+H1314*INDEX('Position_Rubric'!$F$6:$F$14,M1314)+I1314*INDEX('Position_Rubric'!$G$6:$G$14,M1314),1)))))</x:f>
        <x:v>Choose position</x:v>
      </x:c>
      <x:c r="K1314" s="82" t="str">
        <x:f>IF(AND(ISNUMBER(J1314),ISNUMBER(D1314)),J1314-D1314,"")</x:f>
      </x:c>
      <x:c r="L1314" s="69" t="str">
        <x:f>IF(COUNT(E1314:I1314)&lt;5,"Needs component scores",IF(ISNUMBER(J1314),"Calculated",J1314))</x:f>
        <x:v>Needs component scores</x:v>
      </x:c>
      <x:c r="M1314" s="69" t="str">
        <x:f>IF(C1314="","",MATCH(C1314,'Position_Rubric'!$A$6:$A$14,0))</x:f>
      </x:c>
      <x:c r="N1314" s="69" t="str"/>
    </x:row>
    <x:row r="1315" ht="25" customHeight="1">
      <x:c r="A1315" s="69" t="str">
        <x:v>summer-S26-0863</x:v>
      </x:c>
      <x:c r="B1315" s="69" t="str">
        <x:v>Elliot Stroud</x:v>
      </x:c>
      <x:c r="C1315" s="69"/>
      <x:c r="D1315" s="82" t="str">
        <x:f>IF(ISNUMBER('Transfer_Ratings'!K1315),'Transfer_Ratings'!K1315,"")</x:f>
      </x:c>
      <x:c r="E1315" s="86"/>
      <x:c r="F1315" s="86"/>
      <x:c r="G1315" s="86"/>
      <x:c r="H1315" s="86"/>
      <x:c r="I1315" s="86"/>
      <x:c r="J1315" s="82" t="str">
        <x:f>IF(C1315="","Choose position",IF(COUNT(E1315:I1315)&lt;5,"",IF(OR(MIN(E1315:I1315)&lt;0.1,MAX(E1315:I1315)&gt;10),"Invalid score",IF(INDEX('Position_Rubric'!$H$6:$H$14,M1315)&lt;&gt;1,"Check weights",ROUND(E1315*INDEX('Position_Rubric'!$C$6:$C$14,M1315)+F1315*INDEX('Position_Rubric'!$D$6:$D$14,M1315)+G1315*INDEX('Position_Rubric'!$E$6:$E$14,M1315)+H1315*INDEX('Position_Rubric'!$F$6:$F$14,M1315)+I1315*INDEX('Position_Rubric'!$G$6:$G$14,M1315),1)))))</x:f>
        <x:v>Choose position</x:v>
      </x:c>
      <x:c r="K1315" s="82" t="str">
        <x:f>IF(AND(ISNUMBER(J1315),ISNUMBER(D1315)),J1315-D1315,"")</x:f>
      </x:c>
      <x:c r="L1315" s="69" t="str">
        <x:f>IF(COUNT(E1315:I1315)&lt;5,"Needs component scores",IF(ISNUMBER(J1315),"Calculated",J1315))</x:f>
        <x:v>Needs component scores</x:v>
      </x:c>
      <x:c r="M1315" s="69" t="str">
        <x:f>IF(C1315="","",MATCH(C1315,'Position_Rubric'!$A$6:$A$14,0))</x:f>
      </x:c>
      <x:c r="N1315" s="69" t="str"/>
    </x:row>
    <x:row r="1316" ht="25" customHeight="1">
      <x:c r="A1316" s="69" t="str">
        <x:v>summer-S26-0864</x:v>
      </x:c>
      <x:c r="B1316" s="69" t="str">
        <x:v>Trevoh Chalobah</x:v>
      </x:c>
      <x:c r="C1316" s="69"/>
      <x:c r="D1316" s="82" t="str">
        <x:f>IF(ISNUMBER('Transfer_Ratings'!K1316),'Transfer_Ratings'!K1316,"")</x:f>
      </x:c>
      <x:c r="E1316" s="86"/>
      <x:c r="F1316" s="86"/>
      <x:c r="G1316" s="86"/>
      <x:c r="H1316" s="86"/>
      <x:c r="I1316" s="86"/>
      <x:c r="J1316" s="82" t="str">
        <x:f>IF(C1316="","Choose position",IF(COUNT(E1316:I1316)&lt;5,"",IF(OR(MIN(E1316:I1316)&lt;0.1,MAX(E1316:I1316)&gt;10),"Invalid score",IF(INDEX('Position_Rubric'!$H$6:$H$14,M1316)&lt;&gt;1,"Check weights",ROUND(E1316*INDEX('Position_Rubric'!$C$6:$C$14,M1316)+F1316*INDEX('Position_Rubric'!$D$6:$D$14,M1316)+G1316*INDEX('Position_Rubric'!$E$6:$E$14,M1316)+H1316*INDEX('Position_Rubric'!$F$6:$F$14,M1316)+I1316*INDEX('Position_Rubric'!$G$6:$G$14,M1316),1)))))</x:f>
        <x:v>Choose position</x:v>
      </x:c>
      <x:c r="K1316" s="82" t="str">
        <x:f>IF(AND(ISNUMBER(J1316),ISNUMBER(D1316)),J1316-D1316,"")</x:f>
      </x:c>
      <x:c r="L1316" s="69" t="str">
        <x:f>IF(COUNT(E1316:I1316)&lt;5,"Needs component scores",IF(ISNUMBER(J1316),"Calculated",J1316))</x:f>
        <x:v>Needs component scores</x:v>
      </x:c>
      <x:c r="M1316" s="69" t="str">
        <x:f>IF(C1316="","",MATCH(C1316,'Position_Rubric'!$A$6:$A$14,0))</x:f>
      </x:c>
      <x:c r="N1316" s="69" t="str"/>
    </x:row>
    <x:row r="1317" ht="25" customHeight="1">
      <x:c r="A1317" s="69" t="str">
        <x:v>summer-S26-0865</x:v>
      </x:c>
      <x:c r="B1317" s="69" t="str">
        <x:v>Lucas Digne</x:v>
      </x:c>
      <x:c r="C1317" s="69"/>
      <x:c r="D1317" s="82" t="str">
        <x:f>IF(ISNUMBER('Transfer_Ratings'!K1317),'Transfer_Ratings'!K1317,"")</x:f>
      </x:c>
      <x:c r="E1317" s="86"/>
      <x:c r="F1317" s="86"/>
      <x:c r="G1317" s="86"/>
      <x:c r="H1317" s="86"/>
      <x:c r="I1317" s="86"/>
      <x:c r="J1317" s="82" t="str">
        <x:f>IF(C1317="","Choose position",IF(COUNT(E1317:I1317)&lt;5,"",IF(OR(MIN(E1317:I1317)&lt;0.1,MAX(E1317:I1317)&gt;10),"Invalid score",IF(INDEX('Position_Rubric'!$H$6:$H$14,M1317)&lt;&gt;1,"Check weights",ROUND(E1317*INDEX('Position_Rubric'!$C$6:$C$14,M1317)+F1317*INDEX('Position_Rubric'!$D$6:$D$14,M1317)+G1317*INDEX('Position_Rubric'!$E$6:$E$14,M1317)+H1317*INDEX('Position_Rubric'!$F$6:$F$14,M1317)+I1317*INDEX('Position_Rubric'!$G$6:$G$14,M1317),1)))))</x:f>
        <x:v>Choose position</x:v>
      </x:c>
      <x:c r="K1317" s="82" t="str">
        <x:f>IF(AND(ISNUMBER(J1317),ISNUMBER(D1317)),J1317-D1317,"")</x:f>
      </x:c>
      <x:c r="L1317" s="69" t="str">
        <x:f>IF(COUNT(E1317:I1317)&lt;5,"Needs component scores",IF(ISNUMBER(J1317),"Calculated",J1317))</x:f>
        <x:v>Needs component scores</x:v>
      </x:c>
      <x:c r="M1317" s="69" t="str">
        <x:f>IF(C1317="","",MATCH(C1317,'Position_Rubric'!$A$6:$A$14,0))</x:f>
      </x:c>
      <x:c r="N1317" s="69" t="str"/>
    </x:row>
    <x:row r="1318" ht="25" customHeight="1">
      <x:c r="A1318" s="69" t="str">
        <x:v>summer-S26-0870</x:v>
      </x:c>
      <x:c r="B1318" s="69" t="str">
        <x:v>Bara Sapoko Ndiaye</x:v>
      </x:c>
      <x:c r="C1318" s="69"/>
      <x:c r="D1318" s="82" t="str">
        <x:f>IF(ISNUMBER('Transfer_Ratings'!K1318),'Transfer_Ratings'!K1318,"")</x:f>
      </x:c>
      <x:c r="E1318" s="86"/>
      <x:c r="F1318" s="86"/>
      <x:c r="G1318" s="86"/>
      <x:c r="H1318" s="86"/>
      <x:c r="I1318" s="86"/>
      <x:c r="J1318" s="82" t="str">
        <x:f>IF(C1318="","Choose position",IF(COUNT(E1318:I1318)&lt;5,"",IF(OR(MIN(E1318:I1318)&lt;0.1,MAX(E1318:I1318)&gt;10),"Invalid score",IF(INDEX('Position_Rubric'!$H$6:$H$14,M1318)&lt;&gt;1,"Check weights",ROUND(E1318*INDEX('Position_Rubric'!$C$6:$C$14,M1318)+F1318*INDEX('Position_Rubric'!$D$6:$D$14,M1318)+G1318*INDEX('Position_Rubric'!$E$6:$E$14,M1318)+H1318*INDEX('Position_Rubric'!$F$6:$F$14,M1318)+I1318*INDEX('Position_Rubric'!$G$6:$G$14,M1318),1)))))</x:f>
        <x:v>Choose position</x:v>
      </x:c>
      <x:c r="K1318" s="82" t="str">
        <x:f>IF(AND(ISNUMBER(J1318),ISNUMBER(D1318)),J1318-D1318,"")</x:f>
      </x:c>
      <x:c r="L1318" s="69" t="str">
        <x:f>IF(COUNT(E1318:I1318)&lt;5,"Needs component scores",IF(ISNUMBER(J1318),"Calculated",J1318))</x:f>
        <x:v>Needs component scores</x:v>
      </x:c>
      <x:c r="M1318" s="69" t="str">
        <x:f>IF(C1318="","",MATCH(C1318,'Position_Rubric'!$A$6:$A$14,0))</x:f>
      </x:c>
      <x:c r="N1318" s="69" t="str"/>
    </x:row>
    <x:row r="1319" ht="25" customHeight="1">
      <x:c r="A1319" s="69" t="str">
        <x:v>summer-S26-0872</x:v>
      </x:c>
      <x:c r="B1319" s="69" t="str">
        <x:v>Patrizio Masini</x:v>
      </x:c>
      <x:c r="C1319" s="69"/>
      <x:c r="D1319" s="82" t="str">
        <x:f>IF(ISNUMBER('Transfer_Ratings'!K1319),'Transfer_Ratings'!K1319,"")</x:f>
      </x:c>
      <x:c r="E1319" s="86"/>
      <x:c r="F1319" s="86"/>
      <x:c r="G1319" s="86"/>
      <x:c r="H1319" s="86"/>
      <x:c r="I1319" s="86"/>
      <x:c r="J1319" s="82" t="str">
        <x:f>IF(C1319="","Choose position",IF(COUNT(E1319:I1319)&lt;5,"",IF(OR(MIN(E1319:I1319)&lt;0.1,MAX(E1319:I1319)&gt;10),"Invalid score",IF(INDEX('Position_Rubric'!$H$6:$H$14,M1319)&lt;&gt;1,"Check weights",ROUND(E1319*INDEX('Position_Rubric'!$C$6:$C$14,M1319)+F1319*INDEX('Position_Rubric'!$D$6:$D$14,M1319)+G1319*INDEX('Position_Rubric'!$E$6:$E$14,M1319)+H1319*INDEX('Position_Rubric'!$F$6:$F$14,M1319)+I1319*INDEX('Position_Rubric'!$G$6:$G$14,M1319),1)))))</x:f>
        <x:v>Choose position</x:v>
      </x:c>
      <x:c r="K1319" s="82" t="str">
        <x:f>IF(AND(ISNUMBER(J1319),ISNUMBER(D1319)),J1319-D1319,"")</x:f>
      </x:c>
      <x:c r="L1319" s="69" t="str">
        <x:f>IF(COUNT(E1319:I1319)&lt;5,"Needs component scores",IF(ISNUMBER(J1319),"Calculated",J1319))</x:f>
        <x:v>Needs component scores</x:v>
      </x:c>
      <x:c r="M1319" s="69" t="str">
        <x:f>IF(C1319="","",MATCH(C1319,'Position_Rubric'!$A$6:$A$14,0))</x:f>
      </x:c>
      <x:c r="N1319" s="69" t="str"/>
    </x:row>
    <x:row r="1320" ht="25" customHeight="1">
      <x:c r="A1320" s="69" t="str">
        <x:v>summer-S26-0874</x:v>
      </x:c>
      <x:c r="B1320" s="69" t="str">
        <x:v>Ronald Araújo</x:v>
      </x:c>
      <x:c r="C1320" s="69"/>
      <x:c r="D1320" s="82" t="str">
        <x:f>IF(ISNUMBER('Transfer_Ratings'!K1320),'Transfer_Ratings'!K1320,"")</x:f>
      </x:c>
      <x:c r="E1320" s="86"/>
      <x:c r="F1320" s="86"/>
      <x:c r="G1320" s="86"/>
      <x:c r="H1320" s="86"/>
      <x:c r="I1320" s="86"/>
      <x:c r="J1320" s="82" t="str">
        <x:f>IF(C1320="","Choose position",IF(COUNT(E1320:I1320)&lt;5,"",IF(OR(MIN(E1320:I1320)&lt;0.1,MAX(E1320:I1320)&gt;10),"Invalid score",IF(INDEX('Position_Rubric'!$H$6:$H$14,M1320)&lt;&gt;1,"Check weights",ROUND(E1320*INDEX('Position_Rubric'!$C$6:$C$14,M1320)+F1320*INDEX('Position_Rubric'!$D$6:$D$14,M1320)+G1320*INDEX('Position_Rubric'!$E$6:$E$14,M1320)+H1320*INDEX('Position_Rubric'!$F$6:$F$14,M1320)+I1320*INDEX('Position_Rubric'!$G$6:$G$14,M1320),1)))))</x:f>
        <x:v>Choose position</x:v>
      </x:c>
      <x:c r="K1320" s="82" t="str">
        <x:f>IF(AND(ISNUMBER(J1320),ISNUMBER(D1320)),J1320-D1320,"")</x:f>
      </x:c>
      <x:c r="L1320" s="69" t="str">
        <x:f>IF(COUNT(E1320:I1320)&lt;5,"Needs component scores",IF(ISNUMBER(J1320),"Calculated",J1320))</x:f>
        <x:v>Needs component scores</x:v>
      </x:c>
      <x:c r="M1320" s="69" t="str">
        <x:f>IF(C1320="","",MATCH(C1320,'Position_Rubric'!$A$6:$A$14,0))</x:f>
      </x:c>
      <x:c r="N1320" s="69" t="str"/>
    </x:row>
    <x:row r="1321" ht="25" customHeight="1">
      <x:c r="A1321" s="69" t="str">
        <x:v>summer-S26-0876</x:v>
      </x:c>
      <x:c r="B1321" s="69" t="str">
        <x:v>Giuseppe Aurelio</x:v>
      </x:c>
      <x:c r="C1321" s="69"/>
      <x:c r="D1321" s="82" t="str">
        <x:f>IF(ISNUMBER('Transfer_Ratings'!K1321),'Transfer_Ratings'!K1321,"")</x:f>
      </x:c>
      <x:c r="E1321" s="86"/>
      <x:c r="F1321" s="86"/>
      <x:c r="G1321" s="86"/>
      <x:c r="H1321" s="86"/>
      <x:c r="I1321" s="86"/>
      <x:c r="J1321" s="82" t="str">
        <x:f>IF(C1321="","Choose position",IF(COUNT(E1321:I1321)&lt;5,"",IF(OR(MIN(E1321:I1321)&lt;0.1,MAX(E1321:I1321)&gt;10),"Invalid score",IF(INDEX('Position_Rubric'!$H$6:$H$14,M1321)&lt;&gt;1,"Check weights",ROUND(E1321*INDEX('Position_Rubric'!$C$6:$C$14,M1321)+F1321*INDEX('Position_Rubric'!$D$6:$D$14,M1321)+G1321*INDEX('Position_Rubric'!$E$6:$E$14,M1321)+H1321*INDEX('Position_Rubric'!$F$6:$F$14,M1321)+I1321*INDEX('Position_Rubric'!$G$6:$G$14,M1321),1)))))</x:f>
        <x:v>Choose position</x:v>
      </x:c>
      <x:c r="K1321" s="82" t="str">
        <x:f>IF(AND(ISNUMBER(J1321),ISNUMBER(D1321)),J1321-D1321,"")</x:f>
      </x:c>
      <x:c r="L1321" s="69" t="str">
        <x:f>IF(COUNT(E1321:I1321)&lt;5,"Needs component scores",IF(ISNUMBER(J1321),"Calculated",J1321))</x:f>
        <x:v>Needs component scores</x:v>
      </x:c>
      <x:c r="M1321" s="69" t="str">
        <x:f>IF(C1321="","",MATCH(C1321,'Position_Rubric'!$A$6:$A$14,0))</x:f>
      </x:c>
      <x:c r="N1321" s="69" t="str"/>
    </x:row>
    <x:row r="1322" ht="25" customHeight="1">
      <x:c r="A1322" s="69" t="str">
        <x:v>summer-S26-0878</x:v>
      </x:c>
      <x:c r="B1322" s="69" t="str">
        <x:v>Arthur Masuaku</x:v>
      </x:c>
      <x:c r="C1322" s="69"/>
      <x:c r="D1322" s="82" t="str">
        <x:f>IF(ISNUMBER('Transfer_Ratings'!K1322),'Transfer_Ratings'!K1322,"")</x:f>
      </x:c>
      <x:c r="E1322" s="86"/>
      <x:c r="F1322" s="86"/>
      <x:c r="G1322" s="86"/>
      <x:c r="H1322" s="86"/>
      <x:c r="I1322" s="86"/>
      <x:c r="J1322" s="82" t="str">
        <x:f>IF(C1322="","Choose position",IF(COUNT(E1322:I1322)&lt;5,"",IF(OR(MIN(E1322:I1322)&lt;0.1,MAX(E1322:I1322)&gt;10),"Invalid score",IF(INDEX('Position_Rubric'!$H$6:$H$14,M1322)&lt;&gt;1,"Check weights",ROUND(E1322*INDEX('Position_Rubric'!$C$6:$C$14,M1322)+F1322*INDEX('Position_Rubric'!$D$6:$D$14,M1322)+G1322*INDEX('Position_Rubric'!$E$6:$E$14,M1322)+H1322*INDEX('Position_Rubric'!$F$6:$F$14,M1322)+I1322*INDEX('Position_Rubric'!$G$6:$G$14,M1322),1)))))</x:f>
        <x:v>Choose position</x:v>
      </x:c>
      <x:c r="K1322" s="82" t="str">
        <x:f>IF(AND(ISNUMBER(J1322),ISNUMBER(D1322)),J1322-D1322,"")</x:f>
      </x:c>
      <x:c r="L1322" s="69" t="str">
        <x:f>IF(COUNT(E1322:I1322)&lt;5,"Needs component scores",IF(ISNUMBER(J1322),"Calculated",J1322))</x:f>
        <x:v>Needs component scores</x:v>
      </x:c>
      <x:c r="M1322" s="69" t="str">
        <x:f>IF(C1322="","",MATCH(C1322,'Position_Rubric'!$A$6:$A$14,0))</x:f>
      </x:c>
      <x:c r="N1322" s="69" t="str"/>
    </x:row>
    <x:row r="1323" ht="25" customHeight="1">
      <x:c r="A1323" s="69" t="str">
        <x:v>summer-S26-0879</x:v>
      </x:c>
      <x:c r="B1323" s="69" t="str">
        <x:v>Julen Agirrezabala</x:v>
      </x:c>
      <x:c r="C1323" s="69" t="str">
        <x:v>GK</x:v>
      </x:c>
      <x:c r="D1323" s="82" t="str">
        <x:f>IF(ISNUMBER('Transfer_Ratings'!K1323),'Transfer_Ratings'!K1323,"")</x:f>
      </x:c>
      <x:c r="E1323" s="86"/>
      <x:c r="F1323" s="86"/>
      <x:c r="G1323" s="86"/>
      <x:c r="H1323" s="86"/>
      <x:c r="I1323" s="86"/>
      <x:c r="J1323" s="82" t="str">
        <x:f>IF(C1323="","Choose position",IF(COUNT(E1323:I1323)&lt;5,"",IF(OR(MIN(E1323:I1323)&lt;0.1,MAX(E1323:I1323)&gt;10),"Invalid score",IF(INDEX('Position_Rubric'!$H$6:$H$14,M1323)&lt;&gt;1,"Check weights",ROUND(E1323*INDEX('Position_Rubric'!$C$6:$C$14,M1323)+F1323*INDEX('Position_Rubric'!$D$6:$D$14,M1323)+G1323*INDEX('Position_Rubric'!$E$6:$E$14,M1323)+H1323*INDEX('Position_Rubric'!$F$6:$F$14,M1323)+I1323*INDEX('Position_Rubric'!$G$6:$G$14,M1323),1)))))</x:f>
      </x:c>
      <x:c r="K1323" s="82" t="str">
        <x:f>IF(AND(ISNUMBER(J1323),ISNUMBER(D1323)),J1323-D1323,"")</x:f>
      </x:c>
      <x:c r="L1323" s="69" t="str">
        <x:f>IF(COUNT(E1323:I1323)&lt;5,"Needs component scores",IF(ISNUMBER(J1323),"Calculated",J1323))</x:f>
        <x:v>Needs component scores</x:v>
      </x:c>
      <x:c r="M1323" s="69" t="n">
        <x:f>IF(C1323="","",MATCH(C1323,'Position_Rubric'!$A$6:$A$14,0))</x:f>
        <x:v>9</x:v>
      </x:c>
      <x:c r="N1323" s="69" t="str"/>
    </x:row>
    <x:row r="1324" ht="25" customHeight="1">
      <x:c r="A1324" s="69" t="str">
        <x:v>summer-S26-0880</x:v>
      </x:c>
      <x:c r="B1324" s="69" t="str">
        <x:v>Joan Jordán</x:v>
      </x:c>
      <x:c r="C1324" s="69"/>
      <x:c r="D1324" s="82" t="str">
        <x:f>IF(ISNUMBER('Transfer_Ratings'!K1324),'Transfer_Ratings'!K1324,"")</x:f>
      </x:c>
      <x:c r="E1324" s="86"/>
      <x:c r="F1324" s="86"/>
      <x:c r="G1324" s="86"/>
      <x:c r="H1324" s="86"/>
      <x:c r="I1324" s="86"/>
      <x:c r="J1324" s="82" t="str">
        <x:f>IF(C1324="","Choose position",IF(COUNT(E1324:I1324)&lt;5,"",IF(OR(MIN(E1324:I1324)&lt;0.1,MAX(E1324:I1324)&gt;10),"Invalid score",IF(INDEX('Position_Rubric'!$H$6:$H$14,M1324)&lt;&gt;1,"Check weights",ROUND(E1324*INDEX('Position_Rubric'!$C$6:$C$14,M1324)+F1324*INDEX('Position_Rubric'!$D$6:$D$14,M1324)+G1324*INDEX('Position_Rubric'!$E$6:$E$14,M1324)+H1324*INDEX('Position_Rubric'!$F$6:$F$14,M1324)+I1324*INDEX('Position_Rubric'!$G$6:$G$14,M1324),1)))))</x:f>
        <x:v>Choose position</x:v>
      </x:c>
      <x:c r="K1324" s="82" t="str">
        <x:f>IF(AND(ISNUMBER(J1324),ISNUMBER(D1324)),J1324-D1324,"")</x:f>
      </x:c>
      <x:c r="L1324" s="69" t="str">
        <x:f>IF(COUNT(E1324:I1324)&lt;5,"Needs component scores",IF(ISNUMBER(J1324),"Calculated",J1324))</x:f>
        <x:v>Needs component scores</x:v>
      </x:c>
      <x:c r="M1324" s="69" t="str">
        <x:f>IF(C1324="","",MATCH(C1324,'Position_Rubric'!$A$6:$A$14,0))</x:f>
      </x:c>
      <x:c r="N1324" s="69" t="str"/>
    </x:row>
    <x:row r="1325" ht="25" customHeight="1">
      <x:c r="A1325" s="69" t="str">
        <x:v>summer-S26-0881</x:v>
      </x:c>
      <x:c r="B1325" s="69" t="str">
        <x:v>Alberto Flores</x:v>
      </x:c>
      <x:c r="C1325" s="69" t="str">
        <x:v>GK</x:v>
      </x:c>
      <x:c r="D1325" s="82" t="str">
        <x:f>IF(ISNUMBER('Transfer_Ratings'!K1325),'Transfer_Ratings'!K1325,"")</x:f>
      </x:c>
      <x:c r="E1325" s="86"/>
      <x:c r="F1325" s="86"/>
      <x:c r="G1325" s="86"/>
      <x:c r="H1325" s="86"/>
      <x:c r="I1325" s="86"/>
      <x:c r="J1325" s="82" t="str">
        <x:f>IF(C1325="","Choose position",IF(COUNT(E1325:I1325)&lt;5,"",IF(OR(MIN(E1325:I1325)&lt;0.1,MAX(E1325:I1325)&gt;10),"Invalid score",IF(INDEX('Position_Rubric'!$H$6:$H$14,M1325)&lt;&gt;1,"Check weights",ROUND(E1325*INDEX('Position_Rubric'!$C$6:$C$14,M1325)+F1325*INDEX('Position_Rubric'!$D$6:$D$14,M1325)+G1325*INDEX('Position_Rubric'!$E$6:$E$14,M1325)+H1325*INDEX('Position_Rubric'!$F$6:$F$14,M1325)+I1325*INDEX('Position_Rubric'!$G$6:$G$14,M1325),1)))))</x:f>
      </x:c>
      <x:c r="K1325" s="82" t="str">
        <x:f>IF(AND(ISNUMBER(J1325),ISNUMBER(D1325)),J1325-D1325,"")</x:f>
      </x:c>
      <x:c r="L1325" s="69" t="str">
        <x:f>IF(COUNT(E1325:I1325)&lt;5,"Needs component scores",IF(ISNUMBER(J1325),"Calculated",J1325))</x:f>
        <x:v>Needs component scores</x:v>
      </x:c>
      <x:c r="M1325" s="69" t="n">
        <x:f>IF(C1325="","",MATCH(C1325,'Position_Rubric'!$A$6:$A$14,0))</x:f>
        <x:v>9</x:v>
      </x:c>
      <x:c r="N1325" s="69" t="str"/>
    </x:row>
    <x:row r="1326" ht="25" customHeight="1">
      <x:c r="A1326" s="69" t="str">
        <x:v>summer-S26-0882</x:v>
      </x:c>
      <x:c r="B1326" s="69" t="str">
        <x:v>Giovanni Bonfanti</x:v>
      </x:c>
      <x:c r="C1326" s="69"/>
      <x:c r="D1326" s="82" t="str">
        <x:f>IF(ISNUMBER('Transfer_Ratings'!K1326),'Transfer_Ratings'!K1326,"")</x:f>
      </x:c>
      <x:c r="E1326" s="86"/>
      <x:c r="F1326" s="86"/>
      <x:c r="G1326" s="86"/>
      <x:c r="H1326" s="86"/>
      <x:c r="I1326" s="86"/>
      <x:c r="J1326" s="82" t="str">
        <x:f>IF(C1326="","Choose position",IF(COUNT(E1326:I1326)&lt;5,"",IF(OR(MIN(E1326:I1326)&lt;0.1,MAX(E1326:I1326)&gt;10),"Invalid score",IF(INDEX('Position_Rubric'!$H$6:$H$14,M1326)&lt;&gt;1,"Check weights",ROUND(E1326*INDEX('Position_Rubric'!$C$6:$C$14,M1326)+F1326*INDEX('Position_Rubric'!$D$6:$D$14,M1326)+G1326*INDEX('Position_Rubric'!$E$6:$E$14,M1326)+H1326*INDEX('Position_Rubric'!$F$6:$F$14,M1326)+I1326*INDEX('Position_Rubric'!$G$6:$G$14,M1326),1)))))</x:f>
        <x:v>Choose position</x:v>
      </x:c>
      <x:c r="K1326" s="82" t="str">
        <x:f>IF(AND(ISNUMBER(J1326),ISNUMBER(D1326)),J1326-D1326,"")</x:f>
      </x:c>
      <x:c r="L1326" s="69" t="str">
        <x:f>IF(COUNT(E1326:I1326)&lt;5,"Needs component scores",IF(ISNUMBER(J1326),"Calculated",J1326))</x:f>
        <x:v>Needs component scores</x:v>
      </x:c>
      <x:c r="M1326" s="69" t="str">
        <x:f>IF(C1326="","",MATCH(C1326,'Position_Rubric'!$A$6:$A$14,0))</x:f>
      </x:c>
      <x:c r="N1326" s="69" t="str"/>
    </x:row>
    <x:row r="1327" ht="25" customHeight="1">
      <x:c r="A1327" s="69" t="str">
        <x:v>summer-S26-0883</x:v>
      </x:c>
      <x:c r="B1327" s="69" t="str">
        <x:v>Ousmane Diomande</x:v>
      </x:c>
      <x:c r="C1327" s="69"/>
      <x:c r="D1327" s="82" t="str">
        <x:f>IF(ISNUMBER('Transfer_Ratings'!K1327),'Transfer_Ratings'!K1327,"")</x:f>
      </x:c>
      <x:c r="E1327" s="86"/>
      <x:c r="F1327" s="86"/>
      <x:c r="G1327" s="86"/>
      <x:c r="H1327" s="86"/>
      <x:c r="I1327" s="86"/>
      <x:c r="J1327" s="82" t="str">
        <x:f>IF(C1327="","Choose position",IF(COUNT(E1327:I1327)&lt;5,"",IF(OR(MIN(E1327:I1327)&lt;0.1,MAX(E1327:I1327)&gt;10),"Invalid score",IF(INDEX('Position_Rubric'!$H$6:$H$14,M1327)&lt;&gt;1,"Check weights",ROUND(E1327*INDEX('Position_Rubric'!$C$6:$C$14,M1327)+F1327*INDEX('Position_Rubric'!$D$6:$D$14,M1327)+G1327*INDEX('Position_Rubric'!$E$6:$E$14,M1327)+H1327*INDEX('Position_Rubric'!$F$6:$F$14,M1327)+I1327*INDEX('Position_Rubric'!$G$6:$G$14,M1327),1)))))</x:f>
        <x:v>Choose position</x:v>
      </x:c>
      <x:c r="K1327" s="82" t="str">
        <x:f>IF(AND(ISNUMBER(J1327),ISNUMBER(D1327)),J1327-D1327,"")</x:f>
      </x:c>
      <x:c r="L1327" s="69" t="str">
        <x:f>IF(COUNT(E1327:I1327)&lt;5,"Needs component scores",IF(ISNUMBER(J1327),"Calculated",J1327))</x:f>
        <x:v>Needs component scores</x:v>
      </x:c>
      <x:c r="M1327" s="69" t="str">
        <x:f>IF(C1327="","",MATCH(C1327,'Position_Rubric'!$A$6:$A$14,0))</x:f>
      </x:c>
      <x:c r="N1327" s="69" t="str"/>
    </x:row>
    <x:row r="1328" ht="25" customHeight="1">
      <x:c r="A1328" s="69" t="str">
        <x:v>summer-S26-0885</x:v>
      </x:c>
      <x:c r="B1328" s="69" t="str">
        <x:v>Filip Jörgensen</x:v>
      </x:c>
      <x:c r="C1328" s="69" t="str">
        <x:v>GK</x:v>
      </x:c>
      <x:c r="D1328" s="82" t="str">
        <x:f>IF(ISNUMBER('Transfer_Ratings'!K1328),'Transfer_Ratings'!K1328,"")</x:f>
      </x:c>
      <x:c r="E1328" s="86"/>
      <x:c r="F1328" s="86"/>
      <x:c r="G1328" s="86"/>
      <x:c r="H1328" s="86"/>
      <x:c r="I1328" s="86"/>
      <x:c r="J1328" s="82" t="str">
        <x:f>IF(C1328="","Choose position",IF(COUNT(E1328:I1328)&lt;5,"",IF(OR(MIN(E1328:I1328)&lt;0.1,MAX(E1328:I1328)&gt;10),"Invalid score",IF(INDEX('Position_Rubric'!$H$6:$H$14,M1328)&lt;&gt;1,"Check weights",ROUND(E1328*INDEX('Position_Rubric'!$C$6:$C$14,M1328)+F1328*INDEX('Position_Rubric'!$D$6:$D$14,M1328)+G1328*INDEX('Position_Rubric'!$E$6:$E$14,M1328)+H1328*INDEX('Position_Rubric'!$F$6:$F$14,M1328)+I1328*INDEX('Position_Rubric'!$G$6:$G$14,M1328),1)))))</x:f>
      </x:c>
      <x:c r="K1328" s="82" t="str">
        <x:f>IF(AND(ISNUMBER(J1328),ISNUMBER(D1328)),J1328-D1328,"")</x:f>
      </x:c>
      <x:c r="L1328" s="69" t="str">
        <x:f>IF(COUNT(E1328:I1328)&lt;5,"Needs component scores",IF(ISNUMBER(J1328),"Calculated",J1328))</x:f>
        <x:v>Needs component scores</x:v>
      </x:c>
      <x:c r="M1328" s="69" t="n">
        <x:f>IF(C1328="","",MATCH(C1328,'Position_Rubric'!$A$6:$A$14,0))</x:f>
        <x:v>9</x:v>
      </x:c>
      <x:c r="N1328" s="69" t="str"/>
    </x:row>
    <x:row r="1329" ht="25" customHeight="1">
      <x:c r="A1329" s="69" t="str">
        <x:v>summer-S26-0888</x:v>
      </x:c>
      <x:c r="B1329" s="69" t="str">
        <x:v>Alex Murphy</x:v>
      </x:c>
      <x:c r="C1329" s="69"/>
      <x:c r="D1329" s="82" t="str">
        <x:f>IF(ISNUMBER('Transfer_Ratings'!K1329),'Transfer_Ratings'!K1329,"")</x:f>
      </x:c>
      <x:c r="E1329" s="86"/>
      <x:c r="F1329" s="86"/>
      <x:c r="G1329" s="86"/>
      <x:c r="H1329" s="86"/>
      <x:c r="I1329" s="86"/>
      <x:c r="J1329" s="82" t="str">
        <x:f>IF(C1329="","Choose position",IF(COUNT(E1329:I1329)&lt;5,"",IF(OR(MIN(E1329:I1329)&lt;0.1,MAX(E1329:I1329)&gt;10),"Invalid score",IF(INDEX('Position_Rubric'!$H$6:$H$14,M1329)&lt;&gt;1,"Check weights",ROUND(E1329*INDEX('Position_Rubric'!$C$6:$C$14,M1329)+F1329*INDEX('Position_Rubric'!$D$6:$D$14,M1329)+G1329*INDEX('Position_Rubric'!$E$6:$E$14,M1329)+H1329*INDEX('Position_Rubric'!$F$6:$F$14,M1329)+I1329*INDEX('Position_Rubric'!$G$6:$G$14,M1329),1)))))</x:f>
        <x:v>Choose position</x:v>
      </x:c>
      <x:c r="K1329" s="82" t="str">
        <x:f>IF(AND(ISNUMBER(J1329),ISNUMBER(D1329)),J1329-D1329,"")</x:f>
      </x:c>
      <x:c r="L1329" s="69" t="str">
        <x:f>IF(COUNT(E1329:I1329)&lt;5,"Needs component scores",IF(ISNUMBER(J1329),"Calculated",J1329))</x:f>
        <x:v>Needs component scores</x:v>
      </x:c>
      <x:c r="M1329" s="69" t="str">
        <x:f>IF(C1329="","",MATCH(C1329,'Position_Rubric'!$A$6:$A$14,0))</x:f>
      </x:c>
      <x:c r="N1329" s="69" t="str"/>
    </x:row>
    <x:row r="1330" ht="25" customHeight="1">
      <x:c r="A1330" s="69" t="str">
        <x:v>summer-S26-0890</x:v>
      </x:c>
      <x:c r="B1330" s="69" t="str">
        <x:v>Berat Djimsiti</x:v>
      </x:c>
      <x:c r="C1330" s="69"/>
      <x:c r="D1330" s="82" t="str">
        <x:f>IF(ISNUMBER('Transfer_Ratings'!K1330),'Transfer_Ratings'!K1330,"")</x:f>
      </x:c>
      <x:c r="E1330" s="86"/>
      <x:c r="F1330" s="86"/>
      <x:c r="G1330" s="86"/>
      <x:c r="H1330" s="86"/>
      <x:c r="I1330" s="86"/>
      <x:c r="J1330" s="82" t="str">
        <x:f>IF(C1330="","Choose position",IF(COUNT(E1330:I1330)&lt;5,"",IF(OR(MIN(E1330:I1330)&lt;0.1,MAX(E1330:I1330)&gt;10),"Invalid score",IF(INDEX('Position_Rubric'!$H$6:$H$14,M1330)&lt;&gt;1,"Check weights",ROUND(E1330*INDEX('Position_Rubric'!$C$6:$C$14,M1330)+F1330*INDEX('Position_Rubric'!$D$6:$D$14,M1330)+G1330*INDEX('Position_Rubric'!$E$6:$E$14,M1330)+H1330*INDEX('Position_Rubric'!$F$6:$F$14,M1330)+I1330*INDEX('Position_Rubric'!$G$6:$G$14,M1330),1)))))</x:f>
        <x:v>Choose position</x:v>
      </x:c>
      <x:c r="K1330" s="82" t="str">
        <x:f>IF(AND(ISNUMBER(J1330),ISNUMBER(D1330)),J1330-D1330,"")</x:f>
      </x:c>
      <x:c r="L1330" s="69" t="str">
        <x:f>IF(COUNT(E1330:I1330)&lt;5,"Needs component scores",IF(ISNUMBER(J1330),"Calculated",J1330))</x:f>
        <x:v>Needs component scores</x:v>
      </x:c>
      <x:c r="M1330" s="69" t="str">
        <x:f>IF(C1330="","",MATCH(C1330,'Position_Rubric'!$A$6:$A$14,0))</x:f>
      </x:c>
      <x:c r="N1330" s="69" t="str"/>
    </x:row>
    <x:row r="1331" ht="25" customHeight="1">
      <x:c r="A1331" s="69" t="str">
        <x:v>summer-S26-0892</x:v>
      </x:c>
      <x:c r="B1331" s="69" t="str">
        <x:v>Carlos Domínguez</x:v>
      </x:c>
      <x:c r="C1331" s="69"/>
      <x:c r="D1331" s="82" t="str">
        <x:f>IF(ISNUMBER('Transfer_Ratings'!K1331),'Transfer_Ratings'!K1331,"")</x:f>
      </x:c>
      <x:c r="E1331" s="86"/>
      <x:c r="F1331" s="86"/>
      <x:c r="G1331" s="86"/>
      <x:c r="H1331" s="86"/>
      <x:c r="I1331" s="86"/>
      <x:c r="J1331" s="82" t="str">
        <x:f>IF(C1331="","Choose position",IF(COUNT(E1331:I1331)&lt;5,"",IF(OR(MIN(E1331:I1331)&lt;0.1,MAX(E1331:I1331)&gt;10),"Invalid score",IF(INDEX('Position_Rubric'!$H$6:$H$14,M1331)&lt;&gt;1,"Check weights",ROUND(E1331*INDEX('Position_Rubric'!$C$6:$C$14,M1331)+F1331*INDEX('Position_Rubric'!$D$6:$D$14,M1331)+G1331*INDEX('Position_Rubric'!$E$6:$E$14,M1331)+H1331*INDEX('Position_Rubric'!$F$6:$F$14,M1331)+I1331*INDEX('Position_Rubric'!$G$6:$G$14,M1331),1)))))</x:f>
        <x:v>Choose position</x:v>
      </x:c>
      <x:c r="K1331" s="82" t="str">
        <x:f>IF(AND(ISNUMBER(J1331),ISNUMBER(D1331)),J1331-D1331,"")</x:f>
      </x:c>
      <x:c r="L1331" s="69" t="str">
        <x:f>IF(COUNT(E1331:I1331)&lt;5,"Needs component scores",IF(ISNUMBER(J1331),"Calculated",J1331))</x:f>
        <x:v>Needs component scores</x:v>
      </x:c>
      <x:c r="M1331" s="69" t="str">
        <x:f>IF(C1331="","",MATCH(C1331,'Position_Rubric'!$A$6:$A$14,0))</x:f>
      </x:c>
      <x:c r="N1331" s="69" t="str"/>
    </x:row>
    <x:row r="1332" ht="25" customHeight="1">
      <x:c r="A1332" s="69" t="str">
        <x:v>summer-S26-0894</x:v>
      </x:c>
      <x:c r="B1332" s="69" t="str">
        <x:v>Ishé Samuels-Smith</x:v>
      </x:c>
      <x:c r="C1332" s="69"/>
      <x:c r="D1332" s="82" t="str">
        <x:f>IF(ISNUMBER('Transfer_Ratings'!K1332),'Transfer_Ratings'!K1332,"")</x:f>
      </x:c>
      <x:c r="E1332" s="86"/>
      <x:c r="F1332" s="86"/>
      <x:c r="G1332" s="86"/>
      <x:c r="H1332" s="86"/>
      <x:c r="I1332" s="86"/>
      <x:c r="J1332" s="82" t="str">
        <x:f>IF(C1332="","Choose position",IF(COUNT(E1332:I1332)&lt;5,"",IF(OR(MIN(E1332:I1332)&lt;0.1,MAX(E1332:I1332)&gt;10),"Invalid score",IF(INDEX('Position_Rubric'!$H$6:$H$14,M1332)&lt;&gt;1,"Check weights",ROUND(E1332*INDEX('Position_Rubric'!$C$6:$C$14,M1332)+F1332*INDEX('Position_Rubric'!$D$6:$D$14,M1332)+G1332*INDEX('Position_Rubric'!$E$6:$E$14,M1332)+H1332*INDEX('Position_Rubric'!$F$6:$F$14,M1332)+I1332*INDEX('Position_Rubric'!$G$6:$G$14,M1332),1)))))</x:f>
        <x:v>Choose position</x:v>
      </x:c>
      <x:c r="K1332" s="82" t="str">
        <x:f>IF(AND(ISNUMBER(J1332),ISNUMBER(D1332)),J1332-D1332,"")</x:f>
      </x:c>
      <x:c r="L1332" s="69" t="str">
        <x:f>IF(COUNT(E1332:I1332)&lt;5,"Needs component scores",IF(ISNUMBER(J1332),"Calculated",J1332))</x:f>
        <x:v>Needs component scores</x:v>
      </x:c>
      <x:c r="M1332" s="69" t="str">
        <x:f>IF(C1332="","",MATCH(C1332,'Position_Rubric'!$A$6:$A$14,0))</x:f>
      </x:c>
      <x:c r="N1332" s="69" t="str"/>
    </x:row>
    <x:row r="1333" ht="25" customHeight="1">
      <x:c r="A1333" s="69" t="str">
        <x:v>summer-S26-0895</x:v>
      </x:c>
      <x:c r="B1333" s="69" t="str">
        <x:v>Roman Dixon</x:v>
      </x:c>
      <x:c r="C1333" s="69"/>
      <x:c r="D1333" s="82" t="str">
        <x:f>IF(ISNUMBER('Transfer_Ratings'!K1333),'Transfer_Ratings'!K1333,"")</x:f>
      </x:c>
      <x:c r="E1333" s="86"/>
      <x:c r="F1333" s="86"/>
      <x:c r="G1333" s="86"/>
      <x:c r="H1333" s="86"/>
      <x:c r="I1333" s="86"/>
      <x:c r="J1333" s="82" t="str">
        <x:f>IF(C1333="","Choose position",IF(COUNT(E1333:I1333)&lt;5,"",IF(OR(MIN(E1333:I1333)&lt;0.1,MAX(E1333:I1333)&gt;10),"Invalid score",IF(INDEX('Position_Rubric'!$H$6:$H$14,M1333)&lt;&gt;1,"Check weights",ROUND(E1333*INDEX('Position_Rubric'!$C$6:$C$14,M1333)+F1333*INDEX('Position_Rubric'!$D$6:$D$14,M1333)+G1333*INDEX('Position_Rubric'!$E$6:$E$14,M1333)+H1333*INDEX('Position_Rubric'!$F$6:$F$14,M1333)+I1333*INDEX('Position_Rubric'!$G$6:$G$14,M1333),1)))))</x:f>
        <x:v>Choose position</x:v>
      </x:c>
      <x:c r="K1333" s="82" t="str">
        <x:f>IF(AND(ISNUMBER(J1333),ISNUMBER(D1333)),J1333-D1333,"")</x:f>
      </x:c>
      <x:c r="L1333" s="69" t="str">
        <x:f>IF(COUNT(E1333:I1333)&lt;5,"Needs component scores",IF(ISNUMBER(J1333),"Calculated",J1333))</x:f>
        <x:v>Needs component scores</x:v>
      </x:c>
      <x:c r="M1333" s="69" t="str">
        <x:f>IF(C1333="","",MATCH(C1333,'Position_Rubric'!$A$6:$A$14,0))</x:f>
      </x:c>
      <x:c r="N1333" s="69" t="str"/>
    </x:row>
    <x:row r="1334" ht="25" customHeight="1">
      <x:c r="A1334" s="69" t="str">
        <x:v>summer-S26-0896</x:v>
      </x:c>
      <x:c r="B1334" s="69" t="str">
        <x:v>Facundo Medina</x:v>
      </x:c>
      <x:c r="C1334" s="69"/>
      <x:c r="D1334" s="82" t="str">
        <x:f>IF(ISNUMBER('Transfer_Ratings'!K1334),'Transfer_Ratings'!K1334,"")</x:f>
      </x:c>
      <x:c r="E1334" s="86"/>
      <x:c r="F1334" s="86"/>
      <x:c r="G1334" s="86"/>
      <x:c r="H1334" s="86"/>
      <x:c r="I1334" s="86"/>
      <x:c r="J1334" s="82" t="str">
        <x:f>IF(C1334="","Choose position",IF(COUNT(E1334:I1334)&lt;5,"",IF(OR(MIN(E1334:I1334)&lt;0.1,MAX(E1334:I1334)&gt;10),"Invalid score",IF(INDEX('Position_Rubric'!$H$6:$H$14,M1334)&lt;&gt;1,"Check weights",ROUND(E1334*INDEX('Position_Rubric'!$C$6:$C$14,M1334)+F1334*INDEX('Position_Rubric'!$D$6:$D$14,M1334)+G1334*INDEX('Position_Rubric'!$E$6:$E$14,M1334)+H1334*INDEX('Position_Rubric'!$F$6:$F$14,M1334)+I1334*INDEX('Position_Rubric'!$G$6:$G$14,M1334),1)))))</x:f>
        <x:v>Choose position</x:v>
      </x:c>
      <x:c r="K1334" s="82" t="str">
        <x:f>IF(AND(ISNUMBER(J1334),ISNUMBER(D1334)),J1334-D1334,"")</x:f>
      </x:c>
      <x:c r="L1334" s="69" t="str">
        <x:f>IF(COUNT(E1334:I1334)&lt;5,"Needs component scores",IF(ISNUMBER(J1334),"Calculated",J1334))</x:f>
        <x:v>Needs component scores</x:v>
      </x:c>
      <x:c r="M1334" s="69" t="str">
        <x:f>IF(C1334="","",MATCH(C1334,'Position_Rubric'!$A$6:$A$14,0))</x:f>
      </x:c>
      <x:c r="N1334" s="69" t="str"/>
    </x:row>
    <x:row r="1335" ht="25" customHeight="1">
      <x:c r="A1335" s="69" t="str">
        <x:v>summer-S26-0899</x:v>
      </x:c>
      <x:c r="B1335" s="69" t="str">
        <x:v>Gerónimo Rulli</x:v>
      </x:c>
      <x:c r="C1335" s="69" t="str">
        <x:v>GK</x:v>
      </x:c>
      <x:c r="D1335" s="82" t="str">
        <x:f>IF(ISNUMBER('Transfer_Ratings'!K1335),'Transfer_Ratings'!K1335,"")</x:f>
      </x:c>
      <x:c r="E1335" s="86"/>
      <x:c r="F1335" s="86"/>
      <x:c r="G1335" s="86"/>
      <x:c r="H1335" s="86"/>
      <x:c r="I1335" s="86"/>
      <x:c r="J1335" s="82" t="str">
        <x:f>IF(C1335="","Choose position",IF(COUNT(E1335:I1335)&lt;5,"",IF(OR(MIN(E1335:I1335)&lt;0.1,MAX(E1335:I1335)&gt;10),"Invalid score",IF(INDEX('Position_Rubric'!$H$6:$H$14,M1335)&lt;&gt;1,"Check weights",ROUND(E1335*INDEX('Position_Rubric'!$C$6:$C$14,M1335)+F1335*INDEX('Position_Rubric'!$D$6:$D$14,M1335)+G1335*INDEX('Position_Rubric'!$E$6:$E$14,M1335)+H1335*INDEX('Position_Rubric'!$F$6:$F$14,M1335)+I1335*INDEX('Position_Rubric'!$G$6:$G$14,M1335),1)))))</x:f>
      </x:c>
      <x:c r="K1335" s="82" t="str">
        <x:f>IF(AND(ISNUMBER(J1335),ISNUMBER(D1335)),J1335-D1335,"")</x:f>
      </x:c>
      <x:c r="L1335" s="69" t="str">
        <x:f>IF(COUNT(E1335:I1335)&lt;5,"Needs component scores",IF(ISNUMBER(J1335),"Calculated",J1335))</x:f>
        <x:v>Needs component scores</x:v>
      </x:c>
      <x:c r="M1335" s="69" t="n">
        <x:f>IF(C1335="","",MATCH(C1335,'Position_Rubric'!$A$6:$A$14,0))</x:f>
        <x:v>9</x:v>
      </x:c>
      <x:c r="N1335" s="69" t="str"/>
    </x:row>
    <x:row r="1336" ht="25" customHeight="1">
      <x:c r="A1336" s="69" t="str">
        <x:v>summer-S26-0900</x:v>
      </x:c>
      <x:c r="B1336" s="69" t="str">
        <x:v>Pep Chavarría</x:v>
      </x:c>
      <x:c r="C1336" s="69"/>
      <x:c r="D1336" s="82" t="str">
        <x:f>IF(ISNUMBER('Transfer_Ratings'!K1336),'Transfer_Ratings'!K1336,"")</x:f>
      </x:c>
      <x:c r="E1336" s="86"/>
      <x:c r="F1336" s="86"/>
      <x:c r="G1336" s="86"/>
      <x:c r="H1336" s="86"/>
      <x:c r="I1336" s="86"/>
      <x:c r="J1336" s="82" t="str">
        <x:f>IF(C1336="","Choose position",IF(COUNT(E1336:I1336)&lt;5,"",IF(OR(MIN(E1336:I1336)&lt;0.1,MAX(E1336:I1336)&gt;10),"Invalid score",IF(INDEX('Position_Rubric'!$H$6:$H$14,M1336)&lt;&gt;1,"Check weights",ROUND(E1336*INDEX('Position_Rubric'!$C$6:$C$14,M1336)+F1336*INDEX('Position_Rubric'!$D$6:$D$14,M1336)+G1336*INDEX('Position_Rubric'!$E$6:$E$14,M1336)+H1336*INDEX('Position_Rubric'!$F$6:$F$14,M1336)+I1336*INDEX('Position_Rubric'!$G$6:$G$14,M1336),1)))))</x:f>
        <x:v>Choose position</x:v>
      </x:c>
      <x:c r="K1336" s="82" t="str">
        <x:f>IF(AND(ISNUMBER(J1336),ISNUMBER(D1336)),J1336-D1336,"")</x:f>
      </x:c>
      <x:c r="L1336" s="69" t="str">
        <x:f>IF(COUNT(E1336:I1336)&lt;5,"Needs component scores",IF(ISNUMBER(J1336),"Calculated",J1336))</x:f>
        <x:v>Needs component scores</x:v>
      </x:c>
      <x:c r="M1336" s="69" t="str">
        <x:f>IF(C1336="","",MATCH(C1336,'Position_Rubric'!$A$6:$A$14,0))</x:f>
      </x:c>
      <x:c r="N1336" s="69" t="str"/>
    </x:row>
    <x:row r="1337" ht="25" customHeight="1">
      <x:c r="A1337" s="69" t="str">
        <x:v>summer-S26-0901</x:v>
      </x:c>
      <x:c r="B1337" s="69" t="str">
        <x:v>Gautier Lloris</x:v>
      </x:c>
      <x:c r="C1337" s="69"/>
      <x:c r="D1337" s="82" t="str">
        <x:f>IF(ISNUMBER('Transfer_Ratings'!K1337),'Transfer_Ratings'!K1337,"")</x:f>
      </x:c>
      <x:c r="E1337" s="86"/>
      <x:c r="F1337" s="86"/>
      <x:c r="G1337" s="86"/>
      <x:c r="H1337" s="86"/>
      <x:c r="I1337" s="86"/>
      <x:c r="J1337" s="82" t="str">
        <x:f>IF(C1337="","Choose position",IF(COUNT(E1337:I1337)&lt;5,"",IF(OR(MIN(E1337:I1337)&lt;0.1,MAX(E1337:I1337)&gt;10),"Invalid score",IF(INDEX('Position_Rubric'!$H$6:$H$14,M1337)&lt;&gt;1,"Check weights",ROUND(E1337*INDEX('Position_Rubric'!$C$6:$C$14,M1337)+F1337*INDEX('Position_Rubric'!$D$6:$D$14,M1337)+G1337*INDEX('Position_Rubric'!$E$6:$E$14,M1337)+H1337*INDEX('Position_Rubric'!$F$6:$F$14,M1337)+I1337*INDEX('Position_Rubric'!$G$6:$G$14,M1337),1)))))</x:f>
        <x:v>Choose position</x:v>
      </x:c>
      <x:c r="K1337" s="82" t="str">
        <x:f>IF(AND(ISNUMBER(J1337),ISNUMBER(D1337)),J1337-D1337,"")</x:f>
      </x:c>
      <x:c r="L1337" s="69" t="str">
        <x:f>IF(COUNT(E1337:I1337)&lt;5,"Needs component scores",IF(ISNUMBER(J1337),"Calculated",J1337))</x:f>
        <x:v>Needs component scores</x:v>
      </x:c>
      <x:c r="M1337" s="69" t="str">
        <x:f>IF(C1337="","",MATCH(C1337,'Position_Rubric'!$A$6:$A$14,0))</x:f>
      </x:c>
      <x:c r="N1337" s="69" t="str"/>
    </x:row>
    <x:row r="1338" ht="25" customHeight="1">
      <x:c r="A1338" s="69" t="str">
        <x:v>summer-S26-0903</x:v>
      </x:c>
      <x:c r="B1338" s="69" t="str">
        <x:v>Diego Rico</x:v>
      </x:c>
      <x:c r="C1338" s="69"/>
      <x:c r="D1338" s="82" t="str">
        <x:f>IF(ISNUMBER('Transfer_Ratings'!K1338),'Transfer_Ratings'!K1338,"")</x:f>
      </x:c>
      <x:c r="E1338" s="86"/>
      <x:c r="F1338" s="86"/>
      <x:c r="G1338" s="86"/>
      <x:c r="H1338" s="86"/>
      <x:c r="I1338" s="86"/>
      <x:c r="J1338" s="82" t="str">
        <x:f>IF(C1338="","Choose position",IF(COUNT(E1338:I1338)&lt;5,"",IF(OR(MIN(E1338:I1338)&lt;0.1,MAX(E1338:I1338)&gt;10),"Invalid score",IF(INDEX('Position_Rubric'!$H$6:$H$14,M1338)&lt;&gt;1,"Check weights",ROUND(E1338*INDEX('Position_Rubric'!$C$6:$C$14,M1338)+F1338*INDEX('Position_Rubric'!$D$6:$D$14,M1338)+G1338*INDEX('Position_Rubric'!$E$6:$E$14,M1338)+H1338*INDEX('Position_Rubric'!$F$6:$F$14,M1338)+I1338*INDEX('Position_Rubric'!$G$6:$G$14,M1338),1)))))</x:f>
        <x:v>Choose position</x:v>
      </x:c>
      <x:c r="K1338" s="82" t="str">
        <x:f>IF(AND(ISNUMBER(J1338),ISNUMBER(D1338)),J1338-D1338,"")</x:f>
      </x:c>
      <x:c r="L1338" s="69" t="str">
        <x:f>IF(COUNT(E1338:I1338)&lt;5,"Needs component scores",IF(ISNUMBER(J1338),"Calculated",J1338))</x:f>
        <x:v>Needs component scores</x:v>
      </x:c>
      <x:c r="M1338" s="69" t="str">
        <x:f>IF(C1338="","",MATCH(C1338,'Position_Rubric'!$A$6:$A$14,0))</x:f>
      </x:c>
      <x:c r="N1338" s="69" t="str"/>
    </x:row>
    <x:row r="1339" ht="25" customHeight="1">
      <x:c r="A1339" s="69" t="str">
        <x:v>summer-S26-0904</x:v>
      </x:c>
      <x:c r="B1339" s="69" t="str">
        <x:v>Gustavo Hamer</x:v>
      </x:c>
      <x:c r="C1339" s="69"/>
      <x:c r="D1339" s="82" t="str">
        <x:f>IF(ISNUMBER('Transfer_Ratings'!K1339),'Transfer_Ratings'!K1339,"")</x:f>
      </x:c>
      <x:c r="E1339" s="86"/>
      <x:c r="F1339" s="86"/>
      <x:c r="G1339" s="86"/>
      <x:c r="H1339" s="86"/>
      <x:c r="I1339" s="86"/>
      <x:c r="J1339" s="82" t="str">
        <x:f>IF(C1339="","Choose position",IF(COUNT(E1339:I1339)&lt;5,"",IF(OR(MIN(E1339:I1339)&lt;0.1,MAX(E1339:I1339)&gt;10),"Invalid score",IF(INDEX('Position_Rubric'!$H$6:$H$14,M1339)&lt;&gt;1,"Check weights",ROUND(E1339*INDEX('Position_Rubric'!$C$6:$C$14,M1339)+F1339*INDEX('Position_Rubric'!$D$6:$D$14,M1339)+G1339*INDEX('Position_Rubric'!$E$6:$E$14,M1339)+H1339*INDEX('Position_Rubric'!$F$6:$F$14,M1339)+I1339*INDEX('Position_Rubric'!$G$6:$G$14,M1339),1)))))</x:f>
        <x:v>Choose position</x:v>
      </x:c>
      <x:c r="K1339" s="82" t="str">
        <x:f>IF(AND(ISNUMBER(J1339),ISNUMBER(D1339)),J1339-D1339,"")</x:f>
      </x:c>
      <x:c r="L1339" s="69" t="str">
        <x:f>IF(COUNT(E1339:I1339)&lt;5,"Needs component scores",IF(ISNUMBER(J1339),"Calculated",J1339))</x:f>
        <x:v>Needs component scores</x:v>
      </x:c>
      <x:c r="M1339" s="69" t="str">
        <x:f>IF(C1339="","",MATCH(C1339,'Position_Rubric'!$A$6:$A$14,0))</x:f>
      </x:c>
      <x:c r="N1339" s="69" t="str"/>
    </x:row>
    <x:row r="1340" ht="25" customHeight="1">
      <x:c r="A1340" s="69" t="str">
        <x:v>summer-S26-0905</x:v>
      </x:c>
      <x:c r="B1340" s="69" t="str">
        <x:v>Nahuel Molina</x:v>
      </x:c>
      <x:c r="C1340" s="69"/>
      <x:c r="D1340" s="82" t="str">
        <x:f>IF(ISNUMBER('Transfer_Ratings'!K1340),'Transfer_Ratings'!K1340,"")</x:f>
      </x:c>
      <x:c r="E1340" s="86"/>
      <x:c r="F1340" s="86"/>
      <x:c r="G1340" s="86"/>
      <x:c r="H1340" s="86"/>
      <x:c r="I1340" s="86"/>
      <x:c r="J1340" s="82" t="str">
        <x:f>IF(C1340="","Choose position",IF(COUNT(E1340:I1340)&lt;5,"",IF(OR(MIN(E1340:I1340)&lt;0.1,MAX(E1340:I1340)&gt;10),"Invalid score",IF(INDEX('Position_Rubric'!$H$6:$H$14,M1340)&lt;&gt;1,"Check weights",ROUND(E1340*INDEX('Position_Rubric'!$C$6:$C$14,M1340)+F1340*INDEX('Position_Rubric'!$D$6:$D$14,M1340)+G1340*INDEX('Position_Rubric'!$E$6:$E$14,M1340)+H1340*INDEX('Position_Rubric'!$F$6:$F$14,M1340)+I1340*INDEX('Position_Rubric'!$G$6:$G$14,M1340),1)))))</x:f>
        <x:v>Choose position</x:v>
      </x:c>
      <x:c r="K1340" s="82" t="str">
        <x:f>IF(AND(ISNUMBER(J1340),ISNUMBER(D1340)),J1340-D1340,"")</x:f>
      </x:c>
      <x:c r="L1340" s="69" t="str">
        <x:f>IF(COUNT(E1340:I1340)&lt;5,"Needs component scores",IF(ISNUMBER(J1340),"Calculated",J1340))</x:f>
        <x:v>Needs component scores</x:v>
      </x:c>
      <x:c r="M1340" s="69" t="str">
        <x:f>IF(C1340="","",MATCH(C1340,'Position_Rubric'!$A$6:$A$14,0))</x:f>
      </x:c>
      <x:c r="N1340" s="69" t="str"/>
    </x:row>
    <x:row r="1341" ht="25" customHeight="1">
      <x:c r="A1341" s="69" t="str">
        <x:v>summer-S26-0906</x:v>
      </x:c>
      <x:c r="B1341" s="69" t="str">
        <x:v>Stefan Posch</x:v>
      </x:c>
      <x:c r="C1341" s="69"/>
      <x:c r="D1341" s="82" t="str">
        <x:f>IF(ISNUMBER('Transfer_Ratings'!K1341),'Transfer_Ratings'!K1341,"")</x:f>
      </x:c>
      <x:c r="E1341" s="86"/>
      <x:c r="F1341" s="86"/>
      <x:c r="G1341" s="86"/>
      <x:c r="H1341" s="86"/>
      <x:c r="I1341" s="86"/>
      <x:c r="J1341" s="82" t="str">
        <x:f>IF(C1341="","Choose position",IF(COUNT(E1341:I1341)&lt;5,"",IF(OR(MIN(E1341:I1341)&lt;0.1,MAX(E1341:I1341)&gt;10),"Invalid score",IF(INDEX('Position_Rubric'!$H$6:$H$14,M1341)&lt;&gt;1,"Check weights",ROUND(E1341*INDEX('Position_Rubric'!$C$6:$C$14,M1341)+F1341*INDEX('Position_Rubric'!$D$6:$D$14,M1341)+G1341*INDEX('Position_Rubric'!$E$6:$E$14,M1341)+H1341*INDEX('Position_Rubric'!$F$6:$F$14,M1341)+I1341*INDEX('Position_Rubric'!$G$6:$G$14,M1341),1)))))</x:f>
        <x:v>Choose position</x:v>
      </x:c>
      <x:c r="K1341" s="82" t="str">
        <x:f>IF(AND(ISNUMBER(J1341),ISNUMBER(D1341)),J1341-D1341,"")</x:f>
      </x:c>
      <x:c r="L1341" s="69" t="str">
        <x:f>IF(COUNT(E1341:I1341)&lt;5,"Needs component scores",IF(ISNUMBER(J1341),"Calculated",J1341))</x:f>
        <x:v>Needs component scores</x:v>
      </x:c>
      <x:c r="M1341" s="69" t="str">
        <x:f>IF(C1341="","",MATCH(C1341,'Position_Rubric'!$A$6:$A$14,0))</x:f>
      </x:c>
      <x:c r="N1341" s="69" t="str"/>
    </x:row>
    <x:row r="1342" ht="25" customHeight="1">
      <x:c r="A1342" s="69" t="str">
        <x:v>summer-S26-0907</x:v>
      </x:c>
      <x:c r="B1342" s="69" t="str">
        <x:v>Lucas Herrington</x:v>
      </x:c>
      <x:c r="C1342" s="69"/>
      <x:c r="D1342" s="82" t="str">
        <x:f>IF(ISNUMBER('Transfer_Ratings'!K1342),'Transfer_Ratings'!K1342,"")</x:f>
      </x:c>
      <x:c r="E1342" s="86"/>
      <x:c r="F1342" s="86"/>
      <x:c r="G1342" s="86"/>
      <x:c r="H1342" s="86"/>
      <x:c r="I1342" s="86"/>
      <x:c r="J1342" s="82" t="str">
        <x:f>IF(C1342="","Choose position",IF(COUNT(E1342:I1342)&lt;5,"",IF(OR(MIN(E1342:I1342)&lt;0.1,MAX(E1342:I1342)&gt;10),"Invalid score",IF(INDEX('Position_Rubric'!$H$6:$H$14,M1342)&lt;&gt;1,"Check weights",ROUND(E1342*INDEX('Position_Rubric'!$C$6:$C$14,M1342)+F1342*INDEX('Position_Rubric'!$D$6:$D$14,M1342)+G1342*INDEX('Position_Rubric'!$E$6:$E$14,M1342)+H1342*INDEX('Position_Rubric'!$F$6:$F$14,M1342)+I1342*INDEX('Position_Rubric'!$G$6:$G$14,M1342),1)))))</x:f>
        <x:v>Choose position</x:v>
      </x:c>
      <x:c r="K1342" s="82" t="str">
        <x:f>IF(AND(ISNUMBER(J1342),ISNUMBER(D1342)),J1342-D1342,"")</x:f>
      </x:c>
      <x:c r="L1342" s="69" t="str">
        <x:f>IF(COUNT(E1342:I1342)&lt;5,"Needs component scores",IF(ISNUMBER(J1342),"Calculated",J1342))</x:f>
        <x:v>Needs component scores</x:v>
      </x:c>
      <x:c r="M1342" s="69" t="str">
        <x:f>IF(C1342="","",MATCH(C1342,'Position_Rubric'!$A$6:$A$14,0))</x:f>
      </x:c>
      <x:c r="N1342" s="69" t="str"/>
    </x:row>
    <x:row r="1343" ht="25" customHeight="1">
      <x:c r="A1343" s="69" t="str">
        <x:v>summer-S26-0909</x:v>
      </x:c>
      <x:c r="B1343" s="69" t="str">
        <x:v>Nobel Mendy</x:v>
      </x:c>
      <x:c r="C1343" s="69"/>
      <x:c r="D1343" s="82" t="str">
        <x:f>IF(ISNUMBER('Transfer_Ratings'!K1343),'Transfer_Ratings'!K1343,"")</x:f>
      </x:c>
      <x:c r="E1343" s="86"/>
      <x:c r="F1343" s="86"/>
      <x:c r="G1343" s="86"/>
      <x:c r="H1343" s="86"/>
      <x:c r="I1343" s="86"/>
      <x:c r="J1343" s="82" t="str">
        <x:f>IF(C1343="","Choose position",IF(COUNT(E1343:I1343)&lt;5,"",IF(OR(MIN(E1343:I1343)&lt;0.1,MAX(E1343:I1343)&gt;10),"Invalid score",IF(INDEX('Position_Rubric'!$H$6:$H$14,M1343)&lt;&gt;1,"Check weights",ROUND(E1343*INDEX('Position_Rubric'!$C$6:$C$14,M1343)+F1343*INDEX('Position_Rubric'!$D$6:$D$14,M1343)+G1343*INDEX('Position_Rubric'!$E$6:$E$14,M1343)+H1343*INDEX('Position_Rubric'!$F$6:$F$14,M1343)+I1343*INDEX('Position_Rubric'!$G$6:$G$14,M1343),1)))))</x:f>
        <x:v>Choose position</x:v>
      </x:c>
      <x:c r="K1343" s="82" t="str">
        <x:f>IF(AND(ISNUMBER(J1343),ISNUMBER(D1343)),J1343-D1343,"")</x:f>
      </x:c>
      <x:c r="L1343" s="69" t="str">
        <x:f>IF(COUNT(E1343:I1343)&lt;5,"Needs component scores",IF(ISNUMBER(J1343),"Calculated",J1343))</x:f>
        <x:v>Needs component scores</x:v>
      </x:c>
      <x:c r="M1343" s="69" t="str">
        <x:f>IF(C1343="","",MATCH(C1343,'Position_Rubric'!$A$6:$A$14,0))</x:f>
      </x:c>
      <x:c r="N1343" s="69" t="str"/>
    </x:row>
    <x:row r="1344" ht="25" customHeight="1">
      <x:c r="A1344" s="69" t="str">
        <x:v>summer-S26-0911</x:v>
      </x:c>
      <x:c r="B1344" s="69" t="str">
        <x:v>Anthony Patterson</x:v>
      </x:c>
      <x:c r="C1344" s="69" t="str">
        <x:v>GK</x:v>
      </x:c>
      <x:c r="D1344" s="82" t="str">
        <x:f>IF(ISNUMBER('Transfer_Ratings'!K1344),'Transfer_Ratings'!K1344,"")</x:f>
      </x:c>
      <x:c r="E1344" s="86"/>
      <x:c r="F1344" s="86"/>
      <x:c r="G1344" s="86"/>
      <x:c r="H1344" s="86"/>
      <x:c r="I1344" s="86"/>
      <x:c r="J1344" s="82" t="str">
        <x:f>IF(C1344="","Choose position",IF(COUNT(E1344:I1344)&lt;5,"",IF(OR(MIN(E1344:I1344)&lt;0.1,MAX(E1344:I1344)&gt;10),"Invalid score",IF(INDEX('Position_Rubric'!$H$6:$H$14,M1344)&lt;&gt;1,"Check weights",ROUND(E1344*INDEX('Position_Rubric'!$C$6:$C$14,M1344)+F1344*INDEX('Position_Rubric'!$D$6:$D$14,M1344)+G1344*INDEX('Position_Rubric'!$E$6:$E$14,M1344)+H1344*INDEX('Position_Rubric'!$F$6:$F$14,M1344)+I1344*INDEX('Position_Rubric'!$G$6:$G$14,M1344),1)))))</x:f>
      </x:c>
      <x:c r="K1344" s="82" t="str">
        <x:f>IF(AND(ISNUMBER(J1344),ISNUMBER(D1344)),J1344-D1344,"")</x:f>
      </x:c>
      <x:c r="L1344" s="69" t="str">
        <x:f>IF(COUNT(E1344:I1344)&lt;5,"Needs component scores",IF(ISNUMBER(J1344),"Calculated",J1344))</x:f>
        <x:v>Needs component scores</x:v>
      </x:c>
      <x:c r="M1344" s="69" t="n">
        <x:f>IF(C1344="","",MATCH(C1344,'Position_Rubric'!$A$6:$A$14,0))</x:f>
        <x:v>9</x:v>
      </x:c>
      <x:c r="N1344" s="69" t="str"/>
    </x:row>
    <x:row r="1345" ht="25" customHeight="1">
      <x:c r="A1345" s="69" t="str">
        <x:v>summer-S26-0912</x:v>
      </x:c>
      <x:c r="B1345" s="69" t="str">
        <x:v>Leo Hjelde</x:v>
      </x:c>
      <x:c r="C1345" s="69"/>
      <x:c r="D1345" s="82" t="str">
        <x:f>IF(ISNUMBER('Transfer_Ratings'!K1345),'Transfer_Ratings'!K1345,"")</x:f>
      </x:c>
      <x:c r="E1345" s="86"/>
      <x:c r="F1345" s="86"/>
      <x:c r="G1345" s="86"/>
      <x:c r="H1345" s="86"/>
      <x:c r="I1345" s="86"/>
      <x:c r="J1345" s="82" t="str">
        <x:f>IF(C1345="","Choose position",IF(COUNT(E1345:I1345)&lt;5,"",IF(OR(MIN(E1345:I1345)&lt;0.1,MAX(E1345:I1345)&gt;10),"Invalid score",IF(INDEX('Position_Rubric'!$H$6:$H$14,M1345)&lt;&gt;1,"Check weights",ROUND(E1345*INDEX('Position_Rubric'!$C$6:$C$14,M1345)+F1345*INDEX('Position_Rubric'!$D$6:$D$14,M1345)+G1345*INDEX('Position_Rubric'!$E$6:$E$14,M1345)+H1345*INDEX('Position_Rubric'!$F$6:$F$14,M1345)+I1345*INDEX('Position_Rubric'!$G$6:$G$14,M1345),1)))))</x:f>
        <x:v>Choose position</x:v>
      </x:c>
      <x:c r="K1345" s="82" t="str">
        <x:f>IF(AND(ISNUMBER(J1345),ISNUMBER(D1345)),J1345-D1345,"")</x:f>
      </x:c>
      <x:c r="L1345" s="69" t="str">
        <x:f>IF(COUNT(E1345:I1345)&lt;5,"Needs component scores",IF(ISNUMBER(J1345),"Calculated",J1345))</x:f>
        <x:v>Needs component scores</x:v>
      </x:c>
      <x:c r="M1345" s="69" t="str">
        <x:f>IF(C1345="","",MATCH(C1345,'Position_Rubric'!$A$6:$A$14,0))</x:f>
      </x:c>
      <x:c r="N1345" s="69" t="str"/>
    </x:row>
    <x:row r="1346" ht="25" customHeight="1">
      <x:c r="A1346" s="69" t="str">
        <x:v>summer-S26-0914</x:v>
      </x:c>
      <x:c r="B1346" s="69" t="str">
        <x:v>Kauã Prates</x:v>
      </x:c>
      <x:c r="C1346" s="69"/>
      <x:c r="D1346" s="82" t="str">
        <x:f>IF(ISNUMBER('Transfer_Ratings'!K1346),'Transfer_Ratings'!K1346,"")</x:f>
      </x:c>
      <x:c r="E1346" s="86"/>
      <x:c r="F1346" s="86"/>
      <x:c r="G1346" s="86"/>
      <x:c r="H1346" s="86"/>
      <x:c r="I1346" s="86"/>
      <x:c r="J1346" s="82" t="str">
        <x:f>IF(C1346="","Choose position",IF(COUNT(E1346:I1346)&lt;5,"",IF(OR(MIN(E1346:I1346)&lt;0.1,MAX(E1346:I1346)&gt;10),"Invalid score",IF(INDEX('Position_Rubric'!$H$6:$H$14,M1346)&lt;&gt;1,"Check weights",ROUND(E1346*INDEX('Position_Rubric'!$C$6:$C$14,M1346)+F1346*INDEX('Position_Rubric'!$D$6:$D$14,M1346)+G1346*INDEX('Position_Rubric'!$E$6:$E$14,M1346)+H1346*INDEX('Position_Rubric'!$F$6:$F$14,M1346)+I1346*INDEX('Position_Rubric'!$G$6:$G$14,M1346),1)))))</x:f>
        <x:v>Choose position</x:v>
      </x:c>
      <x:c r="K1346" s="82" t="str">
        <x:f>IF(AND(ISNUMBER(J1346),ISNUMBER(D1346)),J1346-D1346,"")</x:f>
      </x:c>
      <x:c r="L1346" s="69" t="str">
        <x:f>IF(COUNT(E1346:I1346)&lt;5,"Needs component scores",IF(ISNUMBER(J1346),"Calculated",J1346))</x:f>
        <x:v>Needs component scores</x:v>
      </x:c>
      <x:c r="M1346" s="69" t="str">
        <x:f>IF(C1346="","",MATCH(C1346,'Position_Rubric'!$A$6:$A$14,0))</x:f>
      </x:c>
      <x:c r="N1346" s="69" t="str"/>
    </x:row>
    <x:row r="1347" ht="25" customHeight="1">
      <x:c r="A1347" s="69" t="str">
        <x:v>summer-S26-0918</x:v>
      </x:c>
      <x:c r="B1347" s="69" t="str">
        <x:v>Justin Kumi</x:v>
      </x:c>
      <x:c r="C1347" s="69"/>
      <x:c r="D1347" s="82" t="str">
        <x:f>IF(ISNUMBER('Transfer_Ratings'!K1347),'Transfer_Ratings'!K1347,"")</x:f>
      </x:c>
      <x:c r="E1347" s="86"/>
      <x:c r="F1347" s="86"/>
      <x:c r="G1347" s="86"/>
      <x:c r="H1347" s="86"/>
      <x:c r="I1347" s="86"/>
      <x:c r="J1347" s="82" t="str">
        <x:f>IF(C1347="","Choose position",IF(COUNT(E1347:I1347)&lt;5,"",IF(OR(MIN(E1347:I1347)&lt;0.1,MAX(E1347:I1347)&gt;10),"Invalid score",IF(INDEX('Position_Rubric'!$H$6:$H$14,M1347)&lt;&gt;1,"Check weights",ROUND(E1347*INDEX('Position_Rubric'!$C$6:$C$14,M1347)+F1347*INDEX('Position_Rubric'!$D$6:$D$14,M1347)+G1347*INDEX('Position_Rubric'!$E$6:$E$14,M1347)+H1347*INDEX('Position_Rubric'!$F$6:$F$14,M1347)+I1347*INDEX('Position_Rubric'!$G$6:$G$14,M1347),1)))))</x:f>
        <x:v>Choose position</x:v>
      </x:c>
      <x:c r="K1347" s="82" t="str">
        <x:f>IF(AND(ISNUMBER(J1347),ISNUMBER(D1347)),J1347-D1347,"")</x:f>
      </x:c>
      <x:c r="L1347" s="69" t="str">
        <x:f>IF(COUNT(E1347:I1347)&lt;5,"Needs component scores",IF(ISNUMBER(J1347),"Calculated",J1347))</x:f>
        <x:v>Needs component scores</x:v>
      </x:c>
      <x:c r="M1347" s="69" t="str">
        <x:f>IF(C1347="","",MATCH(C1347,'Position_Rubric'!$A$6:$A$14,0))</x:f>
      </x:c>
      <x:c r="N1347" s="69" t="str"/>
    </x:row>
    <x:row r="1348" ht="25" customHeight="1">
      <x:c r="A1348" s="69" t="str">
        <x:v>summer-S26-0921</x:v>
      </x:c>
      <x:c r="B1348" s="69" t="str">
        <x:v>Dennis Cirkin</x:v>
      </x:c>
      <x:c r="C1348" s="69"/>
      <x:c r="D1348" s="82" t="str">
        <x:f>IF(ISNUMBER('Transfer_Ratings'!K1348),'Transfer_Ratings'!K1348,"")</x:f>
      </x:c>
      <x:c r="E1348" s="86"/>
      <x:c r="F1348" s="86"/>
      <x:c r="G1348" s="86"/>
      <x:c r="H1348" s="86"/>
      <x:c r="I1348" s="86"/>
      <x:c r="J1348" s="82" t="str">
        <x:f>IF(C1348="","Choose position",IF(COUNT(E1348:I1348)&lt;5,"",IF(OR(MIN(E1348:I1348)&lt;0.1,MAX(E1348:I1348)&gt;10),"Invalid score",IF(INDEX('Position_Rubric'!$H$6:$H$14,M1348)&lt;&gt;1,"Check weights",ROUND(E1348*INDEX('Position_Rubric'!$C$6:$C$14,M1348)+F1348*INDEX('Position_Rubric'!$D$6:$D$14,M1348)+G1348*INDEX('Position_Rubric'!$E$6:$E$14,M1348)+H1348*INDEX('Position_Rubric'!$F$6:$F$14,M1348)+I1348*INDEX('Position_Rubric'!$G$6:$G$14,M1348),1)))))</x:f>
        <x:v>Choose position</x:v>
      </x:c>
      <x:c r="K1348" s="82" t="str">
        <x:f>IF(AND(ISNUMBER(J1348),ISNUMBER(D1348)),J1348-D1348,"")</x:f>
      </x:c>
      <x:c r="L1348" s="69" t="str">
        <x:f>IF(COUNT(E1348:I1348)&lt;5,"Needs component scores",IF(ISNUMBER(J1348),"Calculated",J1348))</x:f>
        <x:v>Needs component scores</x:v>
      </x:c>
      <x:c r="M1348" s="69" t="str">
        <x:f>IF(C1348="","",MATCH(C1348,'Position_Rubric'!$A$6:$A$14,0))</x:f>
      </x:c>
      <x:c r="N1348" s="69" t="str"/>
    </x:row>
    <x:row r="1349" ht="25" customHeight="1">
      <x:c r="A1349" s="69" t="str">
        <x:v>summer-S26-0923</x:v>
      </x:c>
      <x:c r="B1349" s="69" t="str">
        <x:v>Romano Schmid</x:v>
      </x:c>
      <x:c r="C1349" s="69"/>
      <x:c r="D1349" s="82" t="str">
        <x:f>IF(ISNUMBER('Transfer_Ratings'!K1349),'Transfer_Ratings'!K1349,"")</x:f>
      </x:c>
      <x:c r="E1349" s="86"/>
      <x:c r="F1349" s="86"/>
      <x:c r="G1349" s="86"/>
      <x:c r="H1349" s="86"/>
      <x:c r="I1349" s="86"/>
      <x:c r="J1349" s="82" t="str">
        <x:f>IF(C1349="","Choose position",IF(COUNT(E1349:I1349)&lt;5,"",IF(OR(MIN(E1349:I1349)&lt;0.1,MAX(E1349:I1349)&gt;10),"Invalid score",IF(INDEX('Position_Rubric'!$H$6:$H$14,M1349)&lt;&gt;1,"Check weights",ROUND(E1349*INDEX('Position_Rubric'!$C$6:$C$14,M1349)+F1349*INDEX('Position_Rubric'!$D$6:$D$14,M1349)+G1349*INDEX('Position_Rubric'!$E$6:$E$14,M1349)+H1349*INDEX('Position_Rubric'!$F$6:$F$14,M1349)+I1349*INDEX('Position_Rubric'!$G$6:$G$14,M1349),1)))))</x:f>
        <x:v>Choose position</x:v>
      </x:c>
      <x:c r="K1349" s="82" t="str">
        <x:f>IF(AND(ISNUMBER(J1349),ISNUMBER(D1349)),J1349-D1349,"")</x:f>
      </x:c>
      <x:c r="L1349" s="69" t="str">
        <x:f>IF(COUNT(E1349:I1349)&lt;5,"Needs component scores",IF(ISNUMBER(J1349),"Calculated",J1349))</x:f>
        <x:v>Needs component scores</x:v>
      </x:c>
      <x:c r="M1349" s="69" t="str">
        <x:f>IF(C1349="","",MATCH(C1349,'Position_Rubric'!$A$6:$A$14,0))</x:f>
      </x:c>
      <x:c r="N1349" s="69" t="str"/>
    </x:row>
    <x:row r="1350" ht="25" customHeight="1">
      <x:c r="A1350" s="69" t="str">
        <x:v>summer-S26-0926</x:v>
      </x:c>
      <x:c r="B1350" s="69" t="str">
        <x:v>Othniël Raterink</x:v>
      </x:c>
      <x:c r="C1350" s="69"/>
      <x:c r="D1350" s="82" t="str">
        <x:f>IF(ISNUMBER('Transfer_Ratings'!K1350),'Transfer_Ratings'!K1350,"")</x:f>
      </x:c>
      <x:c r="E1350" s="86"/>
      <x:c r="F1350" s="86"/>
      <x:c r="G1350" s="86"/>
      <x:c r="H1350" s="86"/>
      <x:c r="I1350" s="86"/>
      <x:c r="J1350" s="82" t="str">
        <x:f>IF(C1350="","Choose position",IF(COUNT(E1350:I1350)&lt;5,"",IF(OR(MIN(E1350:I1350)&lt;0.1,MAX(E1350:I1350)&gt;10),"Invalid score",IF(INDEX('Position_Rubric'!$H$6:$H$14,M1350)&lt;&gt;1,"Check weights",ROUND(E1350*INDEX('Position_Rubric'!$C$6:$C$14,M1350)+F1350*INDEX('Position_Rubric'!$D$6:$D$14,M1350)+G1350*INDEX('Position_Rubric'!$E$6:$E$14,M1350)+H1350*INDEX('Position_Rubric'!$F$6:$F$14,M1350)+I1350*INDEX('Position_Rubric'!$G$6:$G$14,M1350),1)))))</x:f>
        <x:v>Choose position</x:v>
      </x:c>
      <x:c r="K1350" s="82" t="str">
        <x:f>IF(AND(ISNUMBER(J1350),ISNUMBER(D1350)),J1350-D1350,"")</x:f>
      </x:c>
      <x:c r="L1350" s="69" t="str">
        <x:f>IF(COUNT(E1350:I1350)&lt;5,"Needs component scores",IF(ISNUMBER(J1350),"Calculated",J1350))</x:f>
        <x:v>Needs component scores</x:v>
      </x:c>
      <x:c r="M1350" s="69" t="str">
        <x:f>IF(C1350="","",MATCH(C1350,'Position_Rubric'!$A$6:$A$14,0))</x:f>
      </x:c>
      <x:c r="N1350" s="69" t="str"/>
    </x:row>
    <x:row r="1351" ht="25" customHeight="1">
      <x:c r="A1351" s="69" t="str">
        <x:v>summer-S26-0930</x:v>
      </x:c>
      <x:c r="B1351" s="69" t="str">
        <x:v>Marco Romano</x:v>
      </x:c>
      <x:c r="C1351" s="69"/>
      <x:c r="D1351" s="82" t="str">
        <x:f>IF(ISNUMBER('Transfer_Ratings'!K1351),'Transfer_Ratings'!K1351,"")</x:f>
      </x:c>
      <x:c r="E1351" s="86"/>
      <x:c r="F1351" s="86"/>
      <x:c r="G1351" s="86"/>
      <x:c r="H1351" s="86"/>
      <x:c r="I1351" s="86"/>
      <x:c r="J1351" s="82" t="str">
        <x:f>IF(C1351="","Choose position",IF(COUNT(E1351:I1351)&lt;5,"",IF(OR(MIN(E1351:I1351)&lt;0.1,MAX(E1351:I1351)&gt;10),"Invalid score",IF(INDEX('Position_Rubric'!$H$6:$H$14,M1351)&lt;&gt;1,"Check weights",ROUND(E1351*INDEX('Position_Rubric'!$C$6:$C$14,M1351)+F1351*INDEX('Position_Rubric'!$D$6:$D$14,M1351)+G1351*INDEX('Position_Rubric'!$E$6:$E$14,M1351)+H1351*INDEX('Position_Rubric'!$F$6:$F$14,M1351)+I1351*INDEX('Position_Rubric'!$G$6:$G$14,M1351),1)))))</x:f>
        <x:v>Choose position</x:v>
      </x:c>
      <x:c r="K1351" s="82" t="str">
        <x:f>IF(AND(ISNUMBER(J1351),ISNUMBER(D1351)),J1351-D1351,"")</x:f>
      </x:c>
      <x:c r="L1351" s="69" t="str">
        <x:f>IF(COUNT(E1351:I1351)&lt;5,"Needs component scores",IF(ISNUMBER(J1351),"Calculated",J1351))</x:f>
        <x:v>Needs component scores</x:v>
      </x:c>
      <x:c r="M1351" s="69" t="str">
        <x:f>IF(C1351="","",MATCH(C1351,'Position_Rubric'!$A$6:$A$14,0))</x:f>
      </x:c>
      <x:c r="N1351" s="69" t="str"/>
    </x:row>
    <x:row r="1352" ht="25" customHeight="1">
      <x:c r="A1352" s="69" t="str">
        <x:v>summer-S26-0932</x:v>
      </x:c>
      <x:c r="B1352" s="69" t="str">
        <x:v>Mika Baur</x:v>
      </x:c>
      <x:c r="C1352" s="69"/>
      <x:c r="D1352" s="82" t="str">
        <x:f>IF(ISNUMBER('Transfer_Ratings'!K1352),'Transfer_Ratings'!K1352,"")</x:f>
      </x:c>
      <x:c r="E1352" s="86"/>
      <x:c r="F1352" s="86"/>
      <x:c r="G1352" s="86"/>
      <x:c r="H1352" s="86"/>
      <x:c r="I1352" s="86"/>
      <x:c r="J1352" s="82" t="str">
        <x:f>IF(C1352="","Choose position",IF(COUNT(E1352:I1352)&lt;5,"",IF(OR(MIN(E1352:I1352)&lt;0.1,MAX(E1352:I1352)&gt;10),"Invalid score",IF(INDEX('Position_Rubric'!$H$6:$H$14,M1352)&lt;&gt;1,"Check weights",ROUND(E1352*INDEX('Position_Rubric'!$C$6:$C$14,M1352)+F1352*INDEX('Position_Rubric'!$D$6:$D$14,M1352)+G1352*INDEX('Position_Rubric'!$E$6:$E$14,M1352)+H1352*INDEX('Position_Rubric'!$F$6:$F$14,M1352)+I1352*INDEX('Position_Rubric'!$G$6:$G$14,M1352),1)))))</x:f>
        <x:v>Choose position</x:v>
      </x:c>
      <x:c r="K1352" s="82" t="str">
        <x:f>IF(AND(ISNUMBER(J1352),ISNUMBER(D1352)),J1352-D1352,"")</x:f>
      </x:c>
      <x:c r="L1352" s="69" t="str">
        <x:f>IF(COUNT(E1352:I1352)&lt;5,"Needs component scores",IF(ISNUMBER(J1352),"Calculated",J1352))</x:f>
        <x:v>Needs component scores</x:v>
      </x:c>
      <x:c r="M1352" s="69" t="str">
        <x:f>IF(C1352="","",MATCH(C1352,'Position_Rubric'!$A$6:$A$14,0))</x:f>
      </x:c>
      <x:c r="N1352" s="69" t="str"/>
    </x:row>
    <x:row r="1353" ht="25" customHeight="1">
      <x:c r="A1353" s="69" t="str">
        <x:v>summer-S26-0936</x:v>
      </x:c>
      <x:c r="B1353" s="69" t="str">
        <x:v>Thomas Kristensen</x:v>
      </x:c>
      <x:c r="C1353" s="69"/>
      <x:c r="D1353" s="82" t="str">
        <x:f>IF(ISNUMBER('Transfer_Ratings'!K1353),'Transfer_Ratings'!K1353,"")</x:f>
      </x:c>
      <x:c r="E1353" s="86"/>
      <x:c r="F1353" s="86"/>
      <x:c r="G1353" s="86"/>
      <x:c r="H1353" s="86"/>
      <x:c r="I1353" s="86"/>
      <x:c r="J1353" s="82" t="str">
        <x:f>IF(C1353="","Choose position",IF(COUNT(E1353:I1353)&lt;5,"",IF(OR(MIN(E1353:I1353)&lt;0.1,MAX(E1353:I1353)&gt;10),"Invalid score",IF(INDEX('Position_Rubric'!$H$6:$H$14,M1353)&lt;&gt;1,"Check weights",ROUND(E1353*INDEX('Position_Rubric'!$C$6:$C$14,M1353)+F1353*INDEX('Position_Rubric'!$D$6:$D$14,M1353)+G1353*INDEX('Position_Rubric'!$E$6:$E$14,M1353)+H1353*INDEX('Position_Rubric'!$F$6:$F$14,M1353)+I1353*INDEX('Position_Rubric'!$G$6:$G$14,M1353),1)))))</x:f>
        <x:v>Choose position</x:v>
      </x:c>
      <x:c r="K1353" s="82" t="str">
        <x:f>IF(AND(ISNUMBER(J1353),ISNUMBER(D1353)),J1353-D1353,"")</x:f>
      </x:c>
      <x:c r="L1353" s="69" t="str">
        <x:f>IF(COUNT(E1353:I1353)&lt;5,"Needs component scores",IF(ISNUMBER(J1353),"Calculated",J1353))</x:f>
        <x:v>Needs component scores</x:v>
      </x:c>
      <x:c r="M1353" s="69" t="str">
        <x:f>IF(C1353="","",MATCH(C1353,'Position_Rubric'!$A$6:$A$14,0))</x:f>
      </x:c>
      <x:c r="N1353" s="69" t="str"/>
    </x:row>
    <x:row r="1354" ht="25" customHeight="1">
      <x:c r="A1354" s="69" t="str">
        <x:v>summer-S26-0938</x:v>
      </x:c>
      <x:c r="B1354" s="69" t="str">
        <x:v>Johan Mojica</x:v>
      </x:c>
      <x:c r="C1354" s="69"/>
      <x:c r="D1354" s="82" t="str">
        <x:f>IF(ISNUMBER('Transfer_Ratings'!K1354),'Transfer_Ratings'!K1354,"")</x:f>
      </x:c>
      <x:c r="E1354" s="86"/>
      <x:c r="F1354" s="86"/>
      <x:c r="G1354" s="86"/>
      <x:c r="H1354" s="86"/>
      <x:c r="I1354" s="86"/>
      <x:c r="J1354" s="82" t="str">
        <x:f>IF(C1354="","Choose position",IF(COUNT(E1354:I1354)&lt;5,"",IF(OR(MIN(E1354:I1354)&lt;0.1,MAX(E1354:I1354)&gt;10),"Invalid score",IF(INDEX('Position_Rubric'!$H$6:$H$14,M1354)&lt;&gt;1,"Check weights",ROUND(E1354*INDEX('Position_Rubric'!$C$6:$C$14,M1354)+F1354*INDEX('Position_Rubric'!$D$6:$D$14,M1354)+G1354*INDEX('Position_Rubric'!$E$6:$E$14,M1354)+H1354*INDEX('Position_Rubric'!$F$6:$F$14,M1354)+I1354*INDEX('Position_Rubric'!$G$6:$G$14,M1354),1)))))</x:f>
        <x:v>Choose position</x:v>
      </x:c>
      <x:c r="K1354" s="82" t="str">
        <x:f>IF(AND(ISNUMBER(J1354),ISNUMBER(D1354)),J1354-D1354,"")</x:f>
      </x:c>
      <x:c r="L1354" s="69" t="str">
        <x:f>IF(COUNT(E1354:I1354)&lt;5,"Needs component scores",IF(ISNUMBER(J1354),"Calculated",J1354))</x:f>
        <x:v>Needs component scores</x:v>
      </x:c>
      <x:c r="M1354" s="69" t="str">
        <x:f>IF(C1354="","",MATCH(C1354,'Position_Rubric'!$A$6:$A$14,0))</x:f>
      </x:c>
      <x:c r="N1354" s="69" t="str"/>
    </x:row>
    <x:row r="1355" ht="25" customHeight="1">
      <x:c r="A1355" s="69" t="str">
        <x:v>summer-S26-0940</x:v>
      </x:c>
      <x:c r="B1355" s="69" t="str">
        <x:v>Egil Selvik</x:v>
      </x:c>
      <x:c r="C1355" s="69" t="str">
        <x:v>GK</x:v>
      </x:c>
      <x:c r="D1355" s="82" t="str">
        <x:f>IF(ISNUMBER('Transfer_Ratings'!K1355),'Transfer_Ratings'!K1355,"")</x:f>
      </x:c>
      <x:c r="E1355" s="86"/>
      <x:c r="F1355" s="86"/>
      <x:c r="G1355" s="86"/>
      <x:c r="H1355" s="86"/>
      <x:c r="I1355" s="86"/>
      <x:c r="J1355" s="82" t="str">
        <x:f>IF(C1355="","Choose position",IF(COUNT(E1355:I1355)&lt;5,"",IF(OR(MIN(E1355:I1355)&lt;0.1,MAX(E1355:I1355)&gt;10),"Invalid score",IF(INDEX('Position_Rubric'!$H$6:$H$14,M1355)&lt;&gt;1,"Check weights",ROUND(E1355*INDEX('Position_Rubric'!$C$6:$C$14,M1355)+F1355*INDEX('Position_Rubric'!$D$6:$D$14,M1355)+G1355*INDEX('Position_Rubric'!$E$6:$E$14,M1355)+H1355*INDEX('Position_Rubric'!$F$6:$F$14,M1355)+I1355*INDEX('Position_Rubric'!$G$6:$G$14,M1355),1)))))</x:f>
      </x:c>
      <x:c r="K1355" s="82" t="str">
        <x:f>IF(AND(ISNUMBER(J1355),ISNUMBER(D1355)),J1355-D1355,"")</x:f>
      </x:c>
      <x:c r="L1355" s="69" t="str">
        <x:f>IF(COUNT(E1355:I1355)&lt;5,"Needs component scores",IF(ISNUMBER(J1355),"Calculated",J1355))</x:f>
        <x:v>Needs component scores</x:v>
      </x:c>
      <x:c r="M1355" s="69" t="n">
        <x:f>IF(C1355="","",MATCH(C1355,'Position_Rubric'!$A$6:$A$14,0))</x:f>
        <x:v>9</x:v>
      </x:c>
      <x:c r="N1355" s="69" t="str"/>
    </x:row>
    <x:row r="1356" ht="25" customHeight="1">
      <x:c r="A1356" s="69" t="str">
        <x:v>summer-S26-0941</x:v>
      </x:c>
      <x:c r="B1356" s="69" t="str">
        <x:v>Matías Pérez</x:v>
      </x:c>
      <x:c r="C1356" s="69"/>
      <x:c r="D1356" s="82" t="str">
        <x:f>IF(ISNUMBER('Transfer_Ratings'!K1356),'Transfer_Ratings'!K1356,"")</x:f>
      </x:c>
      <x:c r="E1356" s="86"/>
      <x:c r="F1356" s="86"/>
      <x:c r="G1356" s="86"/>
      <x:c r="H1356" s="86"/>
      <x:c r="I1356" s="86"/>
      <x:c r="J1356" s="82" t="str">
        <x:f>IF(C1356="","Choose position",IF(COUNT(E1356:I1356)&lt;5,"",IF(OR(MIN(E1356:I1356)&lt;0.1,MAX(E1356:I1356)&gt;10),"Invalid score",IF(INDEX('Position_Rubric'!$H$6:$H$14,M1356)&lt;&gt;1,"Check weights",ROUND(E1356*INDEX('Position_Rubric'!$C$6:$C$14,M1356)+F1356*INDEX('Position_Rubric'!$D$6:$D$14,M1356)+G1356*INDEX('Position_Rubric'!$E$6:$E$14,M1356)+H1356*INDEX('Position_Rubric'!$F$6:$F$14,M1356)+I1356*INDEX('Position_Rubric'!$G$6:$G$14,M1356),1)))))</x:f>
        <x:v>Choose position</x:v>
      </x:c>
      <x:c r="K1356" s="82" t="str">
        <x:f>IF(AND(ISNUMBER(J1356),ISNUMBER(D1356)),J1356-D1356,"")</x:f>
      </x:c>
      <x:c r="L1356" s="69" t="str">
        <x:f>IF(COUNT(E1356:I1356)&lt;5,"Needs component scores",IF(ISNUMBER(J1356),"Calculated",J1356))</x:f>
        <x:v>Needs component scores</x:v>
      </x:c>
      <x:c r="M1356" s="69" t="str">
        <x:f>IF(C1356="","",MATCH(C1356,'Position_Rubric'!$A$6:$A$14,0))</x:f>
      </x:c>
      <x:c r="N1356" s="69" t="str"/>
    </x:row>
    <x:row r="1357" ht="25" customHeight="1">
      <x:c r="A1357" s="69" t="str">
        <x:v>summer-S26-0944</x:v>
      </x:c>
      <x:c r="B1357" s="69" t="str">
        <x:v>Harry Howell</x:v>
      </x:c>
      <x:c r="C1357" s="69"/>
      <x:c r="D1357" s="82" t="str">
        <x:f>IF(ISNUMBER('Transfer_Ratings'!K1357),'Transfer_Ratings'!K1357,"")</x:f>
      </x:c>
      <x:c r="E1357" s="86"/>
      <x:c r="F1357" s="86"/>
      <x:c r="G1357" s="86"/>
      <x:c r="H1357" s="86"/>
      <x:c r="I1357" s="86"/>
      <x:c r="J1357" s="82" t="str">
        <x:f>IF(C1357="","Choose position",IF(COUNT(E1357:I1357)&lt;5,"",IF(OR(MIN(E1357:I1357)&lt;0.1,MAX(E1357:I1357)&gt;10),"Invalid score",IF(INDEX('Position_Rubric'!$H$6:$H$14,M1357)&lt;&gt;1,"Check weights",ROUND(E1357*INDEX('Position_Rubric'!$C$6:$C$14,M1357)+F1357*INDEX('Position_Rubric'!$D$6:$D$14,M1357)+G1357*INDEX('Position_Rubric'!$E$6:$E$14,M1357)+H1357*INDEX('Position_Rubric'!$F$6:$F$14,M1357)+I1357*INDEX('Position_Rubric'!$G$6:$G$14,M1357),1)))))</x:f>
        <x:v>Choose position</x:v>
      </x:c>
      <x:c r="K1357" s="82" t="str">
        <x:f>IF(AND(ISNUMBER(J1357),ISNUMBER(D1357)),J1357-D1357,"")</x:f>
      </x:c>
      <x:c r="L1357" s="69" t="str">
        <x:f>IF(COUNT(E1357:I1357)&lt;5,"Needs component scores",IF(ISNUMBER(J1357),"Calculated",J1357))</x:f>
        <x:v>Needs component scores</x:v>
      </x:c>
      <x:c r="M1357" s="69" t="str">
        <x:f>IF(C1357="","",MATCH(C1357,'Position_Rubric'!$A$6:$A$14,0))</x:f>
      </x:c>
      <x:c r="N1357" s="69" t="str"/>
    </x:row>
    <x:row r="1358" ht="25" customHeight="1">
      <x:c r="A1358" s="69" t="str">
        <x:v>summer-S26-0947</x:v>
      </x:c>
      <x:c r="B1358" s="69" t="str">
        <x:v>Aleksa Terzic</x:v>
      </x:c>
      <x:c r="C1358" s="69"/>
      <x:c r="D1358" s="82" t="str">
        <x:f>IF(ISNUMBER('Transfer_Ratings'!K1358),'Transfer_Ratings'!K1358,"")</x:f>
      </x:c>
      <x:c r="E1358" s="86"/>
      <x:c r="F1358" s="86"/>
      <x:c r="G1358" s="86"/>
      <x:c r="H1358" s="86"/>
      <x:c r="I1358" s="86"/>
      <x:c r="J1358" s="82" t="str">
        <x:f>IF(C1358="","Choose position",IF(COUNT(E1358:I1358)&lt;5,"",IF(OR(MIN(E1358:I1358)&lt;0.1,MAX(E1358:I1358)&gt;10),"Invalid score",IF(INDEX('Position_Rubric'!$H$6:$H$14,M1358)&lt;&gt;1,"Check weights",ROUND(E1358*INDEX('Position_Rubric'!$C$6:$C$14,M1358)+F1358*INDEX('Position_Rubric'!$D$6:$D$14,M1358)+G1358*INDEX('Position_Rubric'!$E$6:$E$14,M1358)+H1358*INDEX('Position_Rubric'!$F$6:$F$14,M1358)+I1358*INDEX('Position_Rubric'!$G$6:$G$14,M1358),1)))))</x:f>
        <x:v>Choose position</x:v>
      </x:c>
      <x:c r="K1358" s="82" t="str">
        <x:f>IF(AND(ISNUMBER(J1358),ISNUMBER(D1358)),J1358-D1358,"")</x:f>
      </x:c>
      <x:c r="L1358" s="69" t="str">
        <x:f>IF(COUNT(E1358:I1358)&lt;5,"Needs component scores",IF(ISNUMBER(J1358),"Calculated",J1358))</x:f>
        <x:v>Needs component scores</x:v>
      </x:c>
      <x:c r="M1358" s="69" t="str">
        <x:f>IF(C1358="","",MATCH(C1358,'Position_Rubric'!$A$6:$A$14,0))</x:f>
      </x:c>
      <x:c r="N1358" s="69" t="str"/>
    </x:row>
    <x:row r="1359" ht="25" customHeight="1">
      <x:c r="A1359" s="69" t="str">
        <x:v>summer-S26-0948</x:v>
      </x:c>
      <x:c r="B1359" s="69" t="str">
        <x:v>Almugera Kabar</x:v>
      </x:c>
      <x:c r="C1359" s="69"/>
      <x:c r="D1359" s="82" t="str">
        <x:f>IF(ISNUMBER('Transfer_Ratings'!K1359),'Transfer_Ratings'!K1359,"")</x:f>
      </x:c>
      <x:c r="E1359" s="86"/>
      <x:c r="F1359" s="86"/>
      <x:c r="G1359" s="86"/>
      <x:c r="H1359" s="86"/>
      <x:c r="I1359" s="86"/>
      <x:c r="J1359" s="82" t="str">
        <x:f>IF(C1359="","Choose position",IF(COUNT(E1359:I1359)&lt;5,"",IF(OR(MIN(E1359:I1359)&lt;0.1,MAX(E1359:I1359)&gt;10),"Invalid score",IF(INDEX('Position_Rubric'!$H$6:$H$14,M1359)&lt;&gt;1,"Check weights",ROUND(E1359*INDEX('Position_Rubric'!$C$6:$C$14,M1359)+F1359*INDEX('Position_Rubric'!$D$6:$D$14,M1359)+G1359*INDEX('Position_Rubric'!$E$6:$E$14,M1359)+H1359*INDEX('Position_Rubric'!$F$6:$F$14,M1359)+I1359*INDEX('Position_Rubric'!$G$6:$G$14,M1359),1)))))</x:f>
        <x:v>Choose position</x:v>
      </x:c>
      <x:c r="K1359" s="82" t="str">
        <x:f>IF(AND(ISNUMBER(J1359),ISNUMBER(D1359)),J1359-D1359,"")</x:f>
      </x:c>
      <x:c r="L1359" s="69" t="str">
        <x:f>IF(COUNT(E1359:I1359)&lt;5,"Needs component scores",IF(ISNUMBER(J1359),"Calculated",J1359))</x:f>
        <x:v>Needs component scores</x:v>
      </x:c>
      <x:c r="M1359" s="69" t="str">
        <x:f>IF(C1359="","",MATCH(C1359,'Position_Rubric'!$A$6:$A$14,0))</x:f>
      </x:c>
      <x:c r="N1359" s="69" t="str"/>
    </x:row>
    <x:row r="1360" ht="25" customHeight="1">
      <x:c r="A1360" s="69" t="str">
        <x:v>summer-S26-0949</x:v>
      </x:c>
      <x:c r="B1360" s="69" t="str">
        <x:v>Andréa Le Borgne</x:v>
      </x:c>
      <x:c r="C1360" s="69"/>
      <x:c r="D1360" s="82" t="str">
        <x:f>IF(ISNUMBER('Transfer_Ratings'!K1360),'Transfer_Ratings'!K1360,"")</x:f>
      </x:c>
      <x:c r="E1360" s="86"/>
      <x:c r="F1360" s="86"/>
      <x:c r="G1360" s="86"/>
      <x:c r="H1360" s="86"/>
      <x:c r="I1360" s="86"/>
      <x:c r="J1360" s="82" t="str">
        <x:f>IF(C1360="","Choose position",IF(COUNT(E1360:I1360)&lt;5,"",IF(OR(MIN(E1360:I1360)&lt;0.1,MAX(E1360:I1360)&gt;10),"Invalid score",IF(INDEX('Position_Rubric'!$H$6:$H$14,M1360)&lt;&gt;1,"Check weights",ROUND(E1360*INDEX('Position_Rubric'!$C$6:$C$14,M1360)+F1360*INDEX('Position_Rubric'!$D$6:$D$14,M1360)+G1360*INDEX('Position_Rubric'!$E$6:$E$14,M1360)+H1360*INDEX('Position_Rubric'!$F$6:$F$14,M1360)+I1360*INDEX('Position_Rubric'!$G$6:$G$14,M1360),1)))))</x:f>
        <x:v>Choose position</x:v>
      </x:c>
      <x:c r="K1360" s="82" t="str">
        <x:f>IF(AND(ISNUMBER(J1360),ISNUMBER(D1360)),J1360-D1360,"")</x:f>
      </x:c>
      <x:c r="L1360" s="69" t="str">
        <x:f>IF(COUNT(E1360:I1360)&lt;5,"Needs component scores",IF(ISNUMBER(J1360),"Calculated",J1360))</x:f>
        <x:v>Needs component scores</x:v>
      </x:c>
      <x:c r="M1360" s="69" t="str">
        <x:f>IF(C1360="","",MATCH(C1360,'Position_Rubric'!$A$6:$A$14,0))</x:f>
      </x:c>
      <x:c r="N1360" s="69" t="str"/>
    </x:row>
    <x:row r="1361" ht="25" customHeight="1">
      <x:c r="A1361" s="69" t="str">
        <x:v>summer-S26-0954</x:v>
      </x:c>
      <x:c r="B1361" s="69" t="str">
        <x:v>Giorgio Altare</x:v>
      </x:c>
      <x:c r="C1361" s="69"/>
      <x:c r="D1361" s="82" t="str">
        <x:f>IF(ISNUMBER('Transfer_Ratings'!K1361),'Transfer_Ratings'!K1361,"")</x:f>
      </x:c>
      <x:c r="E1361" s="86"/>
      <x:c r="F1361" s="86"/>
      <x:c r="G1361" s="86"/>
      <x:c r="H1361" s="86"/>
      <x:c r="I1361" s="86"/>
      <x:c r="J1361" s="82" t="str">
        <x:f>IF(C1361="","Choose position",IF(COUNT(E1361:I1361)&lt;5,"",IF(OR(MIN(E1361:I1361)&lt;0.1,MAX(E1361:I1361)&gt;10),"Invalid score",IF(INDEX('Position_Rubric'!$H$6:$H$14,M1361)&lt;&gt;1,"Check weights",ROUND(E1361*INDEX('Position_Rubric'!$C$6:$C$14,M1361)+F1361*INDEX('Position_Rubric'!$D$6:$D$14,M1361)+G1361*INDEX('Position_Rubric'!$E$6:$E$14,M1361)+H1361*INDEX('Position_Rubric'!$F$6:$F$14,M1361)+I1361*INDEX('Position_Rubric'!$G$6:$G$14,M1361),1)))))</x:f>
        <x:v>Choose position</x:v>
      </x:c>
      <x:c r="K1361" s="82" t="str">
        <x:f>IF(AND(ISNUMBER(J1361),ISNUMBER(D1361)),J1361-D1361,"")</x:f>
      </x:c>
      <x:c r="L1361" s="69" t="str">
        <x:f>IF(COUNT(E1361:I1361)&lt;5,"Needs component scores",IF(ISNUMBER(J1361),"Calculated",J1361))</x:f>
        <x:v>Needs component scores</x:v>
      </x:c>
      <x:c r="M1361" s="69" t="str">
        <x:f>IF(C1361="","",MATCH(C1361,'Position_Rubric'!$A$6:$A$14,0))</x:f>
      </x:c>
      <x:c r="N1361" s="69" t="str"/>
    </x:row>
    <x:row r="1362" ht="25" customHeight="1">
      <x:c r="A1362" s="69" t="str">
        <x:v>summer-S26-0958</x:v>
      </x:c>
      <x:c r="B1362" s="69" t="str">
        <x:v>Lakyle Samuel</x:v>
      </x:c>
      <x:c r="C1362" s="69"/>
      <x:c r="D1362" s="82" t="str">
        <x:f>IF(ISNUMBER('Transfer_Ratings'!K1362),'Transfer_Ratings'!K1362,"")</x:f>
      </x:c>
      <x:c r="E1362" s="86"/>
      <x:c r="F1362" s="86"/>
      <x:c r="G1362" s="86"/>
      <x:c r="H1362" s="86"/>
      <x:c r="I1362" s="86"/>
      <x:c r="J1362" s="82" t="str">
        <x:f>IF(C1362="","Choose position",IF(COUNT(E1362:I1362)&lt;5,"",IF(OR(MIN(E1362:I1362)&lt;0.1,MAX(E1362:I1362)&gt;10),"Invalid score",IF(INDEX('Position_Rubric'!$H$6:$H$14,M1362)&lt;&gt;1,"Check weights",ROUND(E1362*INDEX('Position_Rubric'!$C$6:$C$14,M1362)+F1362*INDEX('Position_Rubric'!$D$6:$D$14,M1362)+G1362*INDEX('Position_Rubric'!$E$6:$E$14,M1362)+H1362*INDEX('Position_Rubric'!$F$6:$F$14,M1362)+I1362*INDEX('Position_Rubric'!$G$6:$G$14,M1362),1)))))</x:f>
        <x:v>Choose position</x:v>
      </x:c>
      <x:c r="K1362" s="82" t="str">
        <x:f>IF(AND(ISNUMBER(J1362),ISNUMBER(D1362)),J1362-D1362,"")</x:f>
      </x:c>
      <x:c r="L1362" s="69" t="str">
        <x:f>IF(COUNT(E1362:I1362)&lt;5,"Needs component scores",IF(ISNUMBER(J1362),"Calculated",J1362))</x:f>
        <x:v>Needs component scores</x:v>
      </x:c>
      <x:c r="M1362" s="69" t="str">
        <x:f>IF(C1362="","",MATCH(C1362,'Position_Rubric'!$A$6:$A$14,0))</x:f>
      </x:c>
      <x:c r="N1362" s="69" t="str"/>
    </x:row>
    <x:row r="1363" ht="25" customHeight="1">
      <x:c r="A1363" s="69" t="str">
        <x:v>summer-S26-0959</x:v>
      </x:c>
      <x:c r="B1363" s="69" t="str">
        <x:v>Finley Burns</x:v>
      </x:c>
      <x:c r="C1363" s="69"/>
      <x:c r="D1363" s="82" t="str">
        <x:f>IF(ISNUMBER('Transfer_Ratings'!K1363),'Transfer_Ratings'!K1363,"")</x:f>
      </x:c>
      <x:c r="E1363" s="86"/>
      <x:c r="F1363" s="86"/>
      <x:c r="G1363" s="86"/>
      <x:c r="H1363" s="86"/>
      <x:c r="I1363" s="86"/>
      <x:c r="J1363" s="82" t="str">
        <x:f>IF(C1363="","Choose position",IF(COUNT(E1363:I1363)&lt;5,"",IF(OR(MIN(E1363:I1363)&lt;0.1,MAX(E1363:I1363)&gt;10),"Invalid score",IF(INDEX('Position_Rubric'!$H$6:$H$14,M1363)&lt;&gt;1,"Check weights",ROUND(E1363*INDEX('Position_Rubric'!$C$6:$C$14,M1363)+F1363*INDEX('Position_Rubric'!$D$6:$D$14,M1363)+G1363*INDEX('Position_Rubric'!$E$6:$E$14,M1363)+H1363*INDEX('Position_Rubric'!$F$6:$F$14,M1363)+I1363*INDEX('Position_Rubric'!$G$6:$G$14,M1363),1)))))</x:f>
        <x:v>Choose position</x:v>
      </x:c>
      <x:c r="K1363" s="82" t="str">
        <x:f>IF(AND(ISNUMBER(J1363),ISNUMBER(D1363)),J1363-D1363,"")</x:f>
      </x:c>
      <x:c r="L1363" s="69" t="str">
        <x:f>IF(COUNT(E1363:I1363)&lt;5,"Needs component scores",IF(ISNUMBER(J1363),"Calculated",J1363))</x:f>
        <x:v>Needs component scores</x:v>
      </x:c>
      <x:c r="M1363" s="69" t="str">
        <x:f>IF(C1363="","",MATCH(C1363,'Position_Rubric'!$A$6:$A$14,0))</x:f>
      </x:c>
      <x:c r="N1363" s="69" t="str"/>
    </x:row>
    <x:row r="1364" ht="25" customHeight="1">
      <x:c r="A1364" s="69" t="str">
        <x:v>summer-S26-0960</x:v>
      </x:c>
      <x:c r="B1364" s="69" t="str">
        <x:v>Max Alleyne</x:v>
      </x:c>
      <x:c r="C1364" s="69"/>
      <x:c r="D1364" s="82" t="str">
        <x:f>IF(ISNUMBER('Transfer_Ratings'!K1364),'Transfer_Ratings'!K1364,"")</x:f>
      </x:c>
      <x:c r="E1364" s="86"/>
      <x:c r="F1364" s="86"/>
      <x:c r="G1364" s="86"/>
      <x:c r="H1364" s="86"/>
      <x:c r="I1364" s="86"/>
      <x:c r="J1364" s="82" t="str">
        <x:f>IF(C1364="","Choose position",IF(COUNT(E1364:I1364)&lt;5,"",IF(OR(MIN(E1364:I1364)&lt;0.1,MAX(E1364:I1364)&gt;10),"Invalid score",IF(INDEX('Position_Rubric'!$H$6:$H$14,M1364)&lt;&gt;1,"Check weights",ROUND(E1364*INDEX('Position_Rubric'!$C$6:$C$14,M1364)+F1364*INDEX('Position_Rubric'!$D$6:$D$14,M1364)+G1364*INDEX('Position_Rubric'!$E$6:$E$14,M1364)+H1364*INDEX('Position_Rubric'!$F$6:$F$14,M1364)+I1364*INDEX('Position_Rubric'!$G$6:$G$14,M1364),1)))))</x:f>
        <x:v>Choose position</x:v>
      </x:c>
      <x:c r="K1364" s="82" t="str">
        <x:f>IF(AND(ISNUMBER(J1364),ISNUMBER(D1364)),J1364-D1364,"")</x:f>
      </x:c>
      <x:c r="L1364" s="69" t="str">
        <x:f>IF(COUNT(E1364:I1364)&lt;5,"Needs component scores",IF(ISNUMBER(J1364),"Calculated",J1364))</x:f>
        <x:v>Needs component scores</x:v>
      </x:c>
      <x:c r="M1364" s="69" t="str">
        <x:f>IF(C1364="","",MATCH(C1364,'Position_Rubric'!$A$6:$A$14,0))</x:f>
      </x:c>
      <x:c r="N1364" s="69" t="str"/>
    </x:row>
    <x:row r="1365" ht="25" customHeight="1">
      <x:c r="A1365" s="69" t="str">
        <x:v>summer-S26-0963</x:v>
      </x:c>
      <x:c r="B1365" s="69" t="str">
        <x:v>Harry Clarke</x:v>
      </x:c>
      <x:c r="C1365" s="69"/>
      <x:c r="D1365" s="82" t="str">
        <x:f>IF(ISNUMBER('Transfer_Ratings'!K1365),'Transfer_Ratings'!K1365,"")</x:f>
      </x:c>
      <x:c r="E1365" s="86"/>
      <x:c r="F1365" s="86"/>
      <x:c r="G1365" s="86"/>
      <x:c r="H1365" s="86"/>
      <x:c r="I1365" s="86"/>
      <x:c r="J1365" s="82" t="str">
        <x:f>IF(C1365="","Choose position",IF(COUNT(E1365:I1365)&lt;5,"",IF(OR(MIN(E1365:I1365)&lt;0.1,MAX(E1365:I1365)&gt;10),"Invalid score",IF(INDEX('Position_Rubric'!$H$6:$H$14,M1365)&lt;&gt;1,"Check weights",ROUND(E1365*INDEX('Position_Rubric'!$C$6:$C$14,M1365)+F1365*INDEX('Position_Rubric'!$D$6:$D$14,M1365)+G1365*INDEX('Position_Rubric'!$E$6:$E$14,M1365)+H1365*INDEX('Position_Rubric'!$F$6:$F$14,M1365)+I1365*INDEX('Position_Rubric'!$G$6:$G$14,M1365),1)))))</x:f>
        <x:v>Choose position</x:v>
      </x:c>
      <x:c r="K1365" s="82" t="str">
        <x:f>IF(AND(ISNUMBER(J1365),ISNUMBER(D1365)),J1365-D1365,"")</x:f>
      </x:c>
      <x:c r="L1365" s="69" t="str">
        <x:f>IF(COUNT(E1365:I1365)&lt;5,"Needs component scores",IF(ISNUMBER(J1365),"Calculated",J1365))</x:f>
        <x:v>Needs component scores</x:v>
      </x:c>
      <x:c r="M1365" s="69" t="str">
        <x:f>IF(C1365="","",MATCH(C1365,'Position_Rubric'!$A$6:$A$14,0))</x:f>
      </x:c>
      <x:c r="N1365" s="69" t="str"/>
    </x:row>
    <x:row r="1366" ht="25" customHeight="1">
      <x:c r="A1366" s="69" t="str">
        <x:v>summer-S26-0966</x:v>
      </x:c>
      <x:c r="B1366" s="69" t="str">
        <x:v>Ludovit Reis</x:v>
      </x:c>
      <x:c r="C1366" s="69"/>
      <x:c r="D1366" s="82" t="str">
        <x:f>IF(ISNUMBER('Transfer_Ratings'!K1366),'Transfer_Ratings'!K1366,"")</x:f>
      </x:c>
      <x:c r="E1366" s="86"/>
      <x:c r="F1366" s="86"/>
      <x:c r="G1366" s="86"/>
      <x:c r="H1366" s="86"/>
      <x:c r="I1366" s="86"/>
      <x:c r="J1366" s="82" t="str">
        <x:f>IF(C1366="","Choose position",IF(COUNT(E1366:I1366)&lt;5,"",IF(OR(MIN(E1366:I1366)&lt;0.1,MAX(E1366:I1366)&gt;10),"Invalid score",IF(INDEX('Position_Rubric'!$H$6:$H$14,M1366)&lt;&gt;1,"Check weights",ROUND(E1366*INDEX('Position_Rubric'!$C$6:$C$14,M1366)+F1366*INDEX('Position_Rubric'!$D$6:$D$14,M1366)+G1366*INDEX('Position_Rubric'!$E$6:$E$14,M1366)+H1366*INDEX('Position_Rubric'!$F$6:$F$14,M1366)+I1366*INDEX('Position_Rubric'!$G$6:$G$14,M1366),1)))))</x:f>
        <x:v>Choose position</x:v>
      </x:c>
      <x:c r="K1366" s="82" t="str">
        <x:f>IF(AND(ISNUMBER(J1366),ISNUMBER(D1366)),J1366-D1366,"")</x:f>
      </x:c>
      <x:c r="L1366" s="69" t="str">
        <x:f>IF(COUNT(E1366:I1366)&lt;5,"Needs component scores",IF(ISNUMBER(J1366),"Calculated",J1366))</x:f>
        <x:v>Needs component scores</x:v>
      </x:c>
      <x:c r="M1366" s="69" t="str">
        <x:f>IF(C1366="","",MATCH(C1366,'Position_Rubric'!$A$6:$A$14,0))</x:f>
      </x:c>
      <x:c r="N1366" s="69" t="str"/>
    </x:row>
    <x:row r="1367" ht="25" customHeight="1">
      <x:c r="A1367" s="69" t="str">
        <x:v>summer-S26-0967</x:v>
      </x:c>
      <x:c r="B1367" s="69" t="str">
        <x:v>Marius Courcoul</x:v>
      </x:c>
      <x:c r="C1367" s="69"/>
      <x:c r="D1367" s="82" t="str">
        <x:f>IF(ISNUMBER('Transfer_Ratings'!K1367),'Transfer_Ratings'!K1367,"")</x:f>
      </x:c>
      <x:c r="E1367" s="86"/>
      <x:c r="F1367" s="86"/>
      <x:c r="G1367" s="86"/>
      <x:c r="H1367" s="86"/>
      <x:c r="I1367" s="86"/>
      <x:c r="J1367" s="82" t="str">
        <x:f>IF(C1367="","Choose position",IF(COUNT(E1367:I1367)&lt;5,"",IF(OR(MIN(E1367:I1367)&lt;0.1,MAX(E1367:I1367)&gt;10),"Invalid score",IF(INDEX('Position_Rubric'!$H$6:$H$14,M1367)&lt;&gt;1,"Check weights",ROUND(E1367*INDEX('Position_Rubric'!$C$6:$C$14,M1367)+F1367*INDEX('Position_Rubric'!$D$6:$D$14,M1367)+G1367*INDEX('Position_Rubric'!$E$6:$E$14,M1367)+H1367*INDEX('Position_Rubric'!$F$6:$F$14,M1367)+I1367*INDEX('Position_Rubric'!$G$6:$G$14,M1367),1)))))</x:f>
        <x:v>Choose position</x:v>
      </x:c>
      <x:c r="K1367" s="82" t="str">
        <x:f>IF(AND(ISNUMBER(J1367),ISNUMBER(D1367)),J1367-D1367,"")</x:f>
      </x:c>
      <x:c r="L1367" s="69" t="str">
        <x:f>IF(COUNT(E1367:I1367)&lt;5,"Needs component scores",IF(ISNUMBER(J1367),"Calculated",J1367))</x:f>
        <x:v>Needs component scores</x:v>
      </x:c>
      <x:c r="M1367" s="69" t="str">
        <x:f>IF(C1367="","",MATCH(C1367,'Position_Rubric'!$A$6:$A$14,0))</x:f>
      </x:c>
      <x:c r="N1367" s="69" t="str"/>
    </x:row>
    <x:row r="1368" ht="25" customHeight="1">
      <x:c r="A1368" s="69" t="str">
        <x:v>summer-S26-0968</x:v>
      </x:c>
      <x:c r="B1368" s="69" t="str">
        <x:v>Vanja Drkusic</x:v>
      </x:c>
      <x:c r="C1368" s="69"/>
      <x:c r="D1368" s="82" t="str">
        <x:f>IF(ISNUMBER('Transfer_Ratings'!K1368),'Transfer_Ratings'!K1368,"")</x:f>
      </x:c>
      <x:c r="E1368" s="86"/>
      <x:c r="F1368" s="86"/>
      <x:c r="G1368" s="86"/>
      <x:c r="H1368" s="86"/>
      <x:c r="I1368" s="86"/>
      <x:c r="J1368" s="82" t="str">
        <x:f>IF(C1368="","Choose position",IF(COUNT(E1368:I1368)&lt;5,"",IF(OR(MIN(E1368:I1368)&lt;0.1,MAX(E1368:I1368)&gt;10),"Invalid score",IF(INDEX('Position_Rubric'!$H$6:$H$14,M1368)&lt;&gt;1,"Check weights",ROUND(E1368*INDEX('Position_Rubric'!$C$6:$C$14,M1368)+F1368*INDEX('Position_Rubric'!$D$6:$D$14,M1368)+G1368*INDEX('Position_Rubric'!$E$6:$E$14,M1368)+H1368*INDEX('Position_Rubric'!$F$6:$F$14,M1368)+I1368*INDEX('Position_Rubric'!$G$6:$G$14,M1368),1)))))</x:f>
        <x:v>Choose position</x:v>
      </x:c>
      <x:c r="K1368" s="82" t="str">
        <x:f>IF(AND(ISNUMBER(J1368),ISNUMBER(D1368)),J1368-D1368,"")</x:f>
      </x:c>
      <x:c r="L1368" s="69" t="str">
        <x:f>IF(COUNT(E1368:I1368)&lt;5,"Needs component scores",IF(ISNUMBER(J1368),"Calculated",J1368))</x:f>
        <x:v>Needs component scores</x:v>
      </x:c>
      <x:c r="M1368" s="69" t="str">
        <x:f>IF(C1368="","",MATCH(C1368,'Position_Rubric'!$A$6:$A$14,0))</x:f>
      </x:c>
      <x:c r="N1368" s="69" t="str"/>
    </x:row>
    <x:row r="1369" ht="25" customHeight="1">
      <x:c r="A1369" s="69" t="str">
        <x:v>summer-S26-0969</x:v>
      </x:c>
      <x:c r="B1369" s="69" t="str">
        <x:v>Umut Tohumcu</x:v>
      </x:c>
      <x:c r="C1369" s="69"/>
      <x:c r="D1369" s="82" t="str">
        <x:f>IF(ISNUMBER('Transfer_Ratings'!K1369),'Transfer_Ratings'!K1369,"")</x:f>
      </x:c>
      <x:c r="E1369" s="86"/>
      <x:c r="F1369" s="86"/>
      <x:c r="G1369" s="86"/>
      <x:c r="H1369" s="86"/>
      <x:c r="I1369" s="86"/>
      <x:c r="J1369" s="82" t="str">
        <x:f>IF(C1369="","Choose position",IF(COUNT(E1369:I1369)&lt;5,"",IF(OR(MIN(E1369:I1369)&lt;0.1,MAX(E1369:I1369)&gt;10),"Invalid score",IF(INDEX('Position_Rubric'!$H$6:$H$14,M1369)&lt;&gt;1,"Check weights",ROUND(E1369*INDEX('Position_Rubric'!$C$6:$C$14,M1369)+F1369*INDEX('Position_Rubric'!$D$6:$D$14,M1369)+G1369*INDEX('Position_Rubric'!$E$6:$E$14,M1369)+H1369*INDEX('Position_Rubric'!$F$6:$F$14,M1369)+I1369*INDEX('Position_Rubric'!$G$6:$G$14,M1369),1)))))</x:f>
        <x:v>Choose position</x:v>
      </x:c>
      <x:c r="K1369" s="82" t="str">
        <x:f>IF(AND(ISNUMBER(J1369),ISNUMBER(D1369)),J1369-D1369,"")</x:f>
      </x:c>
      <x:c r="L1369" s="69" t="str">
        <x:f>IF(COUNT(E1369:I1369)&lt;5,"Needs component scores",IF(ISNUMBER(J1369),"Calculated",J1369))</x:f>
        <x:v>Needs component scores</x:v>
      </x:c>
      <x:c r="M1369" s="69" t="str">
        <x:f>IF(C1369="","",MATCH(C1369,'Position_Rubric'!$A$6:$A$14,0))</x:f>
      </x:c>
      <x:c r="N1369" s="69" t="str"/>
    </x:row>
    <x:row r="1370" ht="25" customHeight="1">
      <x:c r="A1370" s="69" t="str">
        <x:v>summer-S26-0970</x:v>
      </x:c>
      <x:c r="B1370" s="69" t="str">
        <x:v>Cristian Romero</x:v>
      </x:c>
      <x:c r="C1370" s="69"/>
      <x:c r="D1370" s="82" t="str">
        <x:f>IF(ISNUMBER('Transfer_Ratings'!K1370),'Transfer_Ratings'!K1370,"")</x:f>
      </x:c>
      <x:c r="E1370" s="86"/>
      <x:c r="F1370" s="86"/>
      <x:c r="G1370" s="86"/>
      <x:c r="H1370" s="86"/>
      <x:c r="I1370" s="86"/>
      <x:c r="J1370" s="82" t="str">
        <x:f>IF(C1370="","Choose position",IF(COUNT(E1370:I1370)&lt;5,"",IF(OR(MIN(E1370:I1370)&lt;0.1,MAX(E1370:I1370)&gt;10),"Invalid score",IF(INDEX('Position_Rubric'!$H$6:$H$14,M1370)&lt;&gt;1,"Check weights",ROUND(E1370*INDEX('Position_Rubric'!$C$6:$C$14,M1370)+F1370*INDEX('Position_Rubric'!$D$6:$D$14,M1370)+G1370*INDEX('Position_Rubric'!$E$6:$E$14,M1370)+H1370*INDEX('Position_Rubric'!$F$6:$F$14,M1370)+I1370*INDEX('Position_Rubric'!$G$6:$G$14,M1370),1)))))</x:f>
        <x:v>Choose position</x:v>
      </x:c>
      <x:c r="K1370" s="82" t="str">
        <x:f>IF(AND(ISNUMBER(J1370),ISNUMBER(D1370)),J1370-D1370,"")</x:f>
      </x:c>
      <x:c r="L1370" s="69" t="str">
        <x:f>IF(COUNT(E1370:I1370)&lt;5,"Needs component scores",IF(ISNUMBER(J1370),"Calculated",J1370))</x:f>
        <x:v>Needs component scores</x:v>
      </x:c>
      <x:c r="M1370" s="69" t="str">
        <x:f>IF(C1370="","",MATCH(C1370,'Position_Rubric'!$A$6:$A$14,0))</x:f>
      </x:c>
      <x:c r="N1370" s="69" t="str"/>
    </x:row>
    <x:row r="1371" ht="25" customHeight="1">
      <x:c r="A1371" s="69" t="str">
        <x:v>summer-S26-0972</x:v>
      </x:c>
      <x:c r="B1371" s="69" t="str">
        <x:v>Ashley Phillips</x:v>
      </x:c>
      <x:c r="C1371" s="69"/>
      <x:c r="D1371" s="82" t="str">
        <x:f>IF(ISNUMBER('Transfer_Ratings'!K1371),'Transfer_Ratings'!K1371,"")</x:f>
      </x:c>
      <x:c r="E1371" s="86"/>
      <x:c r="F1371" s="86"/>
      <x:c r="G1371" s="86"/>
      <x:c r="H1371" s="86"/>
      <x:c r="I1371" s="86"/>
      <x:c r="J1371" s="82" t="str">
        <x:f>IF(C1371="","Choose position",IF(COUNT(E1371:I1371)&lt;5,"",IF(OR(MIN(E1371:I1371)&lt;0.1,MAX(E1371:I1371)&gt;10),"Invalid score",IF(INDEX('Position_Rubric'!$H$6:$H$14,M1371)&lt;&gt;1,"Check weights",ROUND(E1371*INDEX('Position_Rubric'!$C$6:$C$14,M1371)+F1371*INDEX('Position_Rubric'!$D$6:$D$14,M1371)+G1371*INDEX('Position_Rubric'!$E$6:$E$14,M1371)+H1371*INDEX('Position_Rubric'!$F$6:$F$14,M1371)+I1371*INDEX('Position_Rubric'!$G$6:$G$14,M1371),1)))))</x:f>
        <x:v>Choose position</x:v>
      </x:c>
      <x:c r="K1371" s="82" t="str">
        <x:f>IF(AND(ISNUMBER(J1371),ISNUMBER(D1371)),J1371-D1371,"")</x:f>
      </x:c>
      <x:c r="L1371" s="69" t="str">
        <x:f>IF(COUNT(E1371:I1371)&lt;5,"Needs component scores",IF(ISNUMBER(J1371),"Calculated",J1371))</x:f>
        <x:v>Needs component scores</x:v>
      </x:c>
      <x:c r="M1371" s="69" t="str">
        <x:f>IF(C1371="","",MATCH(C1371,'Position_Rubric'!$A$6:$A$14,0))</x:f>
      </x:c>
      <x:c r="N1371" s="69" t="str"/>
    </x:row>
    <x:row r="1372" ht="25" customHeight="1">
      <x:c r="A1372" s="69" t="str">
        <x:v>summer-S26-0973</x:v>
      </x:c>
      <x:c r="B1372" s="69" t="str">
        <x:v>Steven Benda</x:v>
      </x:c>
      <x:c r="C1372" s="69" t="str">
        <x:v>GK</x:v>
      </x:c>
      <x:c r="D1372" s="82" t="str">
        <x:f>IF(ISNUMBER('Transfer_Ratings'!K1372),'Transfer_Ratings'!K1372,"")</x:f>
      </x:c>
      <x:c r="E1372" s="86"/>
      <x:c r="F1372" s="86"/>
      <x:c r="G1372" s="86"/>
      <x:c r="H1372" s="86"/>
      <x:c r="I1372" s="86"/>
      <x:c r="J1372" s="82" t="str">
        <x:f>IF(C1372="","Choose position",IF(COUNT(E1372:I1372)&lt;5,"",IF(OR(MIN(E1372:I1372)&lt;0.1,MAX(E1372:I1372)&gt;10),"Invalid score",IF(INDEX('Position_Rubric'!$H$6:$H$14,M1372)&lt;&gt;1,"Check weights",ROUND(E1372*INDEX('Position_Rubric'!$C$6:$C$14,M1372)+F1372*INDEX('Position_Rubric'!$D$6:$D$14,M1372)+G1372*INDEX('Position_Rubric'!$E$6:$E$14,M1372)+H1372*INDEX('Position_Rubric'!$F$6:$F$14,M1372)+I1372*INDEX('Position_Rubric'!$G$6:$G$14,M1372),1)))))</x:f>
      </x:c>
      <x:c r="K1372" s="82" t="str">
        <x:f>IF(AND(ISNUMBER(J1372),ISNUMBER(D1372)),J1372-D1372,"")</x:f>
      </x:c>
      <x:c r="L1372" s="69" t="str">
        <x:f>IF(COUNT(E1372:I1372)&lt;5,"Needs component scores",IF(ISNUMBER(J1372),"Calculated",J1372))</x:f>
        <x:v>Needs component scores</x:v>
      </x:c>
      <x:c r="M1372" s="69" t="n">
        <x:f>IF(C1372="","",MATCH(C1372,'Position_Rubric'!$A$6:$A$14,0))</x:f>
        <x:v>9</x:v>
      </x:c>
      <x:c r="N1372" s="69" t="str"/>
    </x:row>
    <x:row r="1373" ht="25" customHeight="1">
      <x:c r="A1373" s="69" t="str">
        <x:v>summer-S26-0976</x:v>
      </x:c>
      <x:c r="B1373" s="69" t="str">
        <x:v>Lucas Gourna-Douath</x:v>
      </x:c>
      <x:c r="C1373" s="69"/>
      <x:c r="D1373" s="82" t="str">
        <x:f>IF(ISNUMBER('Transfer_Ratings'!K1373),'Transfer_Ratings'!K1373,"")</x:f>
      </x:c>
      <x:c r="E1373" s="86"/>
      <x:c r="F1373" s="86"/>
      <x:c r="G1373" s="86"/>
      <x:c r="H1373" s="86"/>
      <x:c r="I1373" s="86"/>
      <x:c r="J1373" s="82" t="str">
        <x:f>IF(C1373="","Choose position",IF(COUNT(E1373:I1373)&lt;5,"",IF(OR(MIN(E1373:I1373)&lt;0.1,MAX(E1373:I1373)&gt;10),"Invalid score",IF(INDEX('Position_Rubric'!$H$6:$H$14,M1373)&lt;&gt;1,"Check weights",ROUND(E1373*INDEX('Position_Rubric'!$C$6:$C$14,M1373)+F1373*INDEX('Position_Rubric'!$D$6:$D$14,M1373)+G1373*INDEX('Position_Rubric'!$E$6:$E$14,M1373)+H1373*INDEX('Position_Rubric'!$F$6:$F$14,M1373)+I1373*INDEX('Position_Rubric'!$G$6:$G$14,M1373),1)))))</x:f>
        <x:v>Choose position</x:v>
      </x:c>
      <x:c r="K1373" s="82" t="str">
        <x:f>IF(AND(ISNUMBER(J1373),ISNUMBER(D1373)),J1373-D1373,"")</x:f>
      </x:c>
      <x:c r="L1373" s="69" t="str">
        <x:f>IF(COUNT(E1373:I1373)&lt;5,"Needs component scores",IF(ISNUMBER(J1373),"Calculated",J1373))</x:f>
        <x:v>Needs component scores</x:v>
      </x:c>
      <x:c r="M1373" s="69" t="str">
        <x:f>IF(C1373="","",MATCH(C1373,'Position_Rubric'!$A$6:$A$14,0))</x:f>
      </x:c>
      <x:c r="N1373" s="69" t="str"/>
    </x:row>
    <x:row r="1374" ht="25" customHeight="1">
      <x:c r="A1374" s="69" t="str">
        <x:v>summer-S26-0979</x:v>
      </x:c>
      <x:c r="B1374" s="69" t="str">
        <x:v>Davide Frattesi</x:v>
      </x:c>
      <x:c r="C1374" s="69"/>
      <x:c r="D1374" s="82" t="str">
        <x:f>IF(ISNUMBER('Transfer_Ratings'!K1374),'Transfer_Ratings'!K1374,"")</x:f>
      </x:c>
      <x:c r="E1374" s="86"/>
      <x:c r="F1374" s="86"/>
      <x:c r="G1374" s="86"/>
      <x:c r="H1374" s="86"/>
      <x:c r="I1374" s="86"/>
      <x:c r="J1374" s="82" t="str">
        <x:f>IF(C1374="","Choose position",IF(COUNT(E1374:I1374)&lt;5,"",IF(OR(MIN(E1374:I1374)&lt;0.1,MAX(E1374:I1374)&gt;10),"Invalid score",IF(INDEX('Position_Rubric'!$H$6:$H$14,M1374)&lt;&gt;1,"Check weights",ROUND(E1374*INDEX('Position_Rubric'!$C$6:$C$14,M1374)+F1374*INDEX('Position_Rubric'!$D$6:$D$14,M1374)+G1374*INDEX('Position_Rubric'!$E$6:$E$14,M1374)+H1374*INDEX('Position_Rubric'!$F$6:$F$14,M1374)+I1374*INDEX('Position_Rubric'!$G$6:$G$14,M1374),1)))))</x:f>
        <x:v>Choose position</x:v>
      </x:c>
      <x:c r="K1374" s="82" t="str">
        <x:f>IF(AND(ISNUMBER(J1374),ISNUMBER(D1374)),J1374-D1374,"")</x:f>
      </x:c>
      <x:c r="L1374" s="69" t="str">
        <x:f>IF(COUNT(E1374:I1374)&lt;5,"Needs component scores",IF(ISNUMBER(J1374),"Calculated",J1374))</x:f>
        <x:v>Needs component scores</x:v>
      </x:c>
      <x:c r="M1374" s="69" t="str">
        <x:f>IF(C1374="","",MATCH(C1374,'Position_Rubric'!$A$6:$A$14,0))</x:f>
      </x:c>
      <x:c r="N1374" s="69" t="str"/>
    </x:row>
    <x:row r="1375" ht="25" customHeight="1">
      <x:c r="A1375" s="69" t="str">
        <x:v>summer-S26-0981</x:v>
      </x:c>
      <x:c r="B1375" s="69" t="str">
        <x:v>Rafael Obrador</x:v>
      </x:c>
      <x:c r="C1375" s="69"/>
      <x:c r="D1375" s="82" t="str">
        <x:f>IF(ISNUMBER('Transfer_Ratings'!K1375),'Transfer_Ratings'!K1375,"")</x:f>
      </x:c>
      <x:c r="E1375" s="86"/>
      <x:c r="F1375" s="86"/>
      <x:c r="G1375" s="86"/>
      <x:c r="H1375" s="86"/>
      <x:c r="I1375" s="86"/>
      <x:c r="J1375" s="82" t="str">
        <x:f>IF(C1375="","Choose position",IF(COUNT(E1375:I1375)&lt;5,"",IF(OR(MIN(E1375:I1375)&lt;0.1,MAX(E1375:I1375)&gt;10),"Invalid score",IF(INDEX('Position_Rubric'!$H$6:$H$14,M1375)&lt;&gt;1,"Check weights",ROUND(E1375*INDEX('Position_Rubric'!$C$6:$C$14,M1375)+F1375*INDEX('Position_Rubric'!$D$6:$D$14,M1375)+G1375*INDEX('Position_Rubric'!$E$6:$E$14,M1375)+H1375*INDEX('Position_Rubric'!$F$6:$F$14,M1375)+I1375*INDEX('Position_Rubric'!$G$6:$G$14,M1375),1)))))</x:f>
        <x:v>Choose position</x:v>
      </x:c>
      <x:c r="K1375" s="82" t="str">
        <x:f>IF(AND(ISNUMBER(J1375),ISNUMBER(D1375)),J1375-D1375,"")</x:f>
      </x:c>
      <x:c r="L1375" s="69" t="str">
        <x:f>IF(COUNT(E1375:I1375)&lt;5,"Needs component scores",IF(ISNUMBER(J1375),"Calculated",J1375))</x:f>
        <x:v>Needs component scores</x:v>
      </x:c>
      <x:c r="M1375" s="69" t="str">
        <x:f>IF(C1375="","",MATCH(C1375,'Position_Rubric'!$A$6:$A$14,0))</x:f>
      </x:c>
      <x:c r="N1375" s="69" t="str"/>
    </x:row>
    <x:row r="1376" ht="25" customHeight="1">
      <x:c r="A1376" s="69" t="str">
        <x:v>summer-S26-0983</x:v>
      </x:c>
      <x:c r="B1376" s="69" t="str">
        <x:v>Djed Spence</x:v>
      </x:c>
      <x:c r="C1376" s="69"/>
      <x:c r="D1376" s="82" t="str">
        <x:f>IF(ISNUMBER('Transfer_Ratings'!K1376),'Transfer_Ratings'!K1376,"")</x:f>
      </x:c>
      <x:c r="E1376" s="86"/>
      <x:c r="F1376" s="86"/>
      <x:c r="G1376" s="86"/>
      <x:c r="H1376" s="86"/>
      <x:c r="I1376" s="86"/>
      <x:c r="J1376" s="82" t="str">
        <x:f>IF(C1376="","Choose position",IF(COUNT(E1376:I1376)&lt;5,"",IF(OR(MIN(E1376:I1376)&lt;0.1,MAX(E1376:I1376)&gt;10),"Invalid score",IF(INDEX('Position_Rubric'!$H$6:$H$14,M1376)&lt;&gt;1,"Check weights",ROUND(E1376*INDEX('Position_Rubric'!$C$6:$C$14,M1376)+F1376*INDEX('Position_Rubric'!$D$6:$D$14,M1376)+G1376*INDEX('Position_Rubric'!$E$6:$E$14,M1376)+H1376*INDEX('Position_Rubric'!$F$6:$F$14,M1376)+I1376*INDEX('Position_Rubric'!$G$6:$G$14,M1376),1)))))</x:f>
        <x:v>Choose position</x:v>
      </x:c>
      <x:c r="K1376" s="82" t="str">
        <x:f>IF(AND(ISNUMBER(J1376),ISNUMBER(D1376)),J1376-D1376,"")</x:f>
      </x:c>
      <x:c r="L1376" s="69" t="str">
        <x:f>IF(COUNT(E1376:I1376)&lt;5,"Needs component scores",IF(ISNUMBER(J1376),"Calculated",J1376))</x:f>
        <x:v>Needs component scores</x:v>
      </x:c>
      <x:c r="M1376" s="69" t="str">
        <x:f>IF(C1376="","",MATCH(C1376,'Position_Rubric'!$A$6:$A$14,0))</x:f>
      </x:c>
      <x:c r="N1376" s="69" t="str"/>
    </x:row>
    <x:row r="1377" ht="25" customHeight="1">
      <x:c r="A1377" s="69" t="str">
        <x:v>summer-S26-0985</x:v>
      </x:c>
      <x:c r="B1377" s="69" t="str">
        <x:v>Laurin Ulrich</x:v>
      </x:c>
      <x:c r="C1377" s="69"/>
      <x:c r="D1377" s="82" t="str">
        <x:f>IF(ISNUMBER('Transfer_Ratings'!K1377),'Transfer_Ratings'!K1377,"")</x:f>
      </x:c>
      <x:c r="E1377" s="86"/>
      <x:c r="F1377" s="86"/>
      <x:c r="G1377" s="86"/>
      <x:c r="H1377" s="86"/>
      <x:c r="I1377" s="86"/>
      <x:c r="J1377" s="82" t="str">
        <x:f>IF(C1377="","Choose position",IF(COUNT(E1377:I1377)&lt;5,"",IF(OR(MIN(E1377:I1377)&lt;0.1,MAX(E1377:I1377)&gt;10),"Invalid score",IF(INDEX('Position_Rubric'!$H$6:$H$14,M1377)&lt;&gt;1,"Check weights",ROUND(E1377*INDEX('Position_Rubric'!$C$6:$C$14,M1377)+F1377*INDEX('Position_Rubric'!$D$6:$D$14,M1377)+G1377*INDEX('Position_Rubric'!$E$6:$E$14,M1377)+H1377*INDEX('Position_Rubric'!$F$6:$F$14,M1377)+I1377*INDEX('Position_Rubric'!$G$6:$G$14,M1377),1)))))</x:f>
        <x:v>Choose position</x:v>
      </x:c>
      <x:c r="K1377" s="82" t="str">
        <x:f>IF(AND(ISNUMBER(J1377),ISNUMBER(D1377)),J1377-D1377,"")</x:f>
      </x:c>
      <x:c r="L1377" s="69" t="str">
        <x:f>IF(COUNT(E1377:I1377)&lt;5,"Needs component scores",IF(ISNUMBER(J1377),"Calculated",J1377))</x:f>
        <x:v>Needs component scores</x:v>
      </x:c>
      <x:c r="M1377" s="69" t="str">
        <x:f>IF(C1377="","",MATCH(C1377,'Position_Rubric'!$A$6:$A$14,0))</x:f>
      </x:c>
      <x:c r="N1377" s="69" t="str"/>
    </x:row>
    <x:row r="1378" ht="25" customHeight="1">
      <x:c r="A1378" s="69" t="str">
        <x:v>summer-S26-0986</x:v>
      </x:c>
      <x:c r="B1378" s="69" t="str">
        <x:v>Calum Scanlon</x:v>
      </x:c>
      <x:c r="C1378" s="69"/>
      <x:c r="D1378" s="82" t="str">
        <x:f>IF(ISNUMBER('Transfer_Ratings'!K1378),'Transfer_Ratings'!K1378,"")</x:f>
      </x:c>
      <x:c r="E1378" s="86"/>
      <x:c r="F1378" s="86"/>
      <x:c r="G1378" s="86"/>
      <x:c r="H1378" s="86"/>
      <x:c r="I1378" s="86"/>
      <x:c r="J1378" s="82" t="str">
        <x:f>IF(C1378="","Choose position",IF(COUNT(E1378:I1378)&lt;5,"",IF(OR(MIN(E1378:I1378)&lt;0.1,MAX(E1378:I1378)&gt;10),"Invalid score",IF(INDEX('Position_Rubric'!$H$6:$H$14,M1378)&lt;&gt;1,"Check weights",ROUND(E1378*INDEX('Position_Rubric'!$C$6:$C$14,M1378)+F1378*INDEX('Position_Rubric'!$D$6:$D$14,M1378)+G1378*INDEX('Position_Rubric'!$E$6:$E$14,M1378)+H1378*INDEX('Position_Rubric'!$F$6:$F$14,M1378)+I1378*INDEX('Position_Rubric'!$G$6:$G$14,M1378),1)))))</x:f>
        <x:v>Choose position</x:v>
      </x:c>
      <x:c r="K1378" s="82" t="str">
        <x:f>IF(AND(ISNUMBER(J1378),ISNUMBER(D1378)),J1378-D1378,"")</x:f>
      </x:c>
      <x:c r="L1378" s="69" t="str">
        <x:f>IF(COUNT(E1378:I1378)&lt;5,"Needs component scores",IF(ISNUMBER(J1378),"Calculated",J1378))</x:f>
        <x:v>Needs component scores</x:v>
      </x:c>
      <x:c r="M1378" s="69" t="str">
        <x:f>IF(C1378="","",MATCH(C1378,'Position_Rubric'!$A$6:$A$14,0))</x:f>
      </x:c>
      <x:c r="N1378" s="69" t="str"/>
    </x:row>
    <x:row r="1379" ht="25" customHeight="1">
      <x:c r="A1379" s="69" t="str">
        <x:v>summer-S26-0987</x:v>
      </x:c>
      <x:c r="B1379" s="69" t="str">
        <x:v>Abdoul Ouattara</x:v>
      </x:c>
      <x:c r="C1379" s="69"/>
      <x:c r="D1379" s="82" t="str">
        <x:f>IF(ISNUMBER('Transfer_Ratings'!K1379),'Transfer_Ratings'!K1379,"")</x:f>
      </x:c>
      <x:c r="E1379" s="86"/>
      <x:c r="F1379" s="86"/>
      <x:c r="G1379" s="86"/>
      <x:c r="H1379" s="86"/>
      <x:c r="I1379" s="86"/>
      <x:c r="J1379" s="82" t="str">
        <x:f>IF(C1379="","Choose position",IF(COUNT(E1379:I1379)&lt;5,"",IF(OR(MIN(E1379:I1379)&lt;0.1,MAX(E1379:I1379)&gt;10),"Invalid score",IF(INDEX('Position_Rubric'!$H$6:$H$14,M1379)&lt;&gt;1,"Check weights",ROUND(E1379*INDEX('Position_Rubric'!$C$6:$C$14,M1379)+F1379*INDEX('Position_Rubric'!$D$6:$D$14,M1379)+G1379*INDEX('Position_Rubric'!$E$6:$E$14,M1379)+H1379*INDEX('Position_Rubric'!$F$6:$F$14,M1379)+I1379*INDEX('Position_Rubric'!$G$6:$G$14,M1379),1)))))</x:f>
        <x:v>Choose position</x:v>
      </x:c>
      <x:c r="K1379" s="82" t="str">
        <x:f>IF(AND(ISNUMBER(J1379),ISNUMBER(D1379)),J1379-D1379,"")</x:f>
      </x:c>
      <x:c r="L1379" s="69" t="str">
        <x:f>IF(COUNT(E1379:I1379)&lt;5,"Needs component scores",IF(ISNUMBER(J1379),"Calculated",J1379))</x:f>
        <x:v>Needs component scores</x:v>
      </x:c>
      <x:c r="M1379" s="69" t="str">
        <x:f>IF(C1379="","",MATCH(C1379,'Position_Rubric'!$A$6:$A$14,0))</x:f>
      </x:c>
      <x:c r="N1379" s="69" t="str"/>
    </x:row>
    <x:row r="1380" ht="25" customHeight="1">
      <x:c r="A1380" s="69" t="str">
        <x:v>summer-S26-0988</x:v>
      </x:c>
      <x:c r="B1380" s="69" t="str">
        <x:v>Anthony Munda</x:v>
      </x:c>
      <x:c r="C1380" s="69"/>
      <x:c r="D1380" s="82" t="str">
        <x:f>IF(ISNUMBER('Transfer_Ratings'!K1380),'Transfer_Ratings'!K1380,"")</x:f>
      </x:c>
      <x:c r="E1380" s="86"/>
      <x:c r="F1380" s="86"/>
      <x:c r="G1380" s="86"/>
      <x:c r="H1380" s="86"/>
      <x:c r="I1380" s="86"/>
      <x:c r="J1380" s="82" t="str">
        <x:f>IF(C1380="","Choose position",IF(COUNT(E1380:I1380)&lt;5,"",IF(OR(MIN(E1380:I1380)&lt;0.1,MAX(E1380:I1380)&gt;10),"Invalid score",IF(INDEX('Position_Rubric'!$H$6:$H$14,M1380)&lt;&gt;1,"Check weights",ROUND(E1380*INDEX('Position_Rubric'!$C$6:$C$14,M1380)+F1380*INDEX('Position_Rubric'!$D$6:$D$14,M1380)+G1380*INDEX('Position_Rubric'!$E$6:$E$14,M1380)+H1380*INDEX('Position_Rubric'!$F$6:$F$14,M1380)+I1380*INDEX('Position_Rubric'!$G$6:$G$14,M1380),1)))))</x:f>
        <x:v>Choose position</x:v>
      </x:c>
      <x:c r="K1380" s="82" t="str">
        <x:f>IF(AND(ISNUMBER(J1380),ISNUMBER(D1380)),J1380-D1380,"")</x:f>
      </x:c>
      <x:c r="L1380" s="69" t="str">
        <x:f>IF(COUNT(E1380:I1380)&lt;5,"Needs component scores",IF(ISNUMBER(J1380),"Calculated",J1380))</x:f>
        <x:v>Needs component scores</x:v>
      </x:c>
      <x:c r="M1380" s="69" t="str">
        <x:f>IF(C1380="","",MATCH(C1380,'Position_Rubric'!$A$6:$A$14,0))</x:f>
      </x:c>
      <x:c r="N1380" s="69" t="str"/>
    </x:row>
    <x:row r="1381" ht="25" customHeight="1">
      <x:c r="A1381" s="69" t="str">
        <x:v>summer-S26-0992</x:v>
      </x:c>
      <x:c r="B1381" s="69" t="str">
        <x:v>Giannis Konstantelias</x:v>
      </x:c>
      <x:c r="C1381" s="69"/>
      <x:c r="D1381" s="82" t="str">
        <x:f>IF(ISNUMBER('Transfer_Ratings'!K1381),'Transfer_Ratings'!K1381,"")</x:f>
      </x:c>
      <x:c r="E1381" s="86"/>
      <x:c r="F1381" s="86"/>
      <x:c r="G1381" s="86"/>
      <x:c r="H1381" s="86"/>
      <x:c r="I1381" s="86"/>
      <x:c r="J1381" s="82" t="str">
        <x:f>IF(C1381="","Choose position",IF(COUNT(E1381:I1381)&lt;5,"",IF(OR(MIN(E1381:I1381)&lt;0.1,MAX(E1381:I1381)&gt;10),"Invalid score",IF(INDEX('Position_Rubric'!$H$6:$H$14,M1381)&lt;&gt;1,"Check weights",ROUND(E1381*INDEX('Position_Rubric'!$C$6:$C$14,M1381)+F1381*INDEX('Position_Rubric'!$D$6:$D$14,M1381)+G1381*INDEX('Position_Rubric'!$E$6:$E$14,M1381)+H1381*INDEX('Position_Rubric'!$F$6:$F$14,M1381)+I1381*INDEX('Position_Rubric'!$G$6:$G$14,M1381),1)))))</x:f>
        <x:v>Choose position</x:v>
      </x:c>
      <x:c r="K1381" s="82" t="str">
        <x:f>IF(AND(ISNUMBER(J1381),ISNUMBER(D1381)),J1381-D1381,"")</x:f>
      </x:c>
      <x:c r="L1381" s="69" t="str">
        <x:f>IF(COUNT(E1381:I1381)&lt;5,"Needs component scores",IF(ISNUMBER(J1381),"Calculated",J1381))</x:f>
        <x:v>Needs component scores</x:v>
      </x:c>
      <x:c r="M1381" s="69" t="str">
        <x:f>IF(C1381="","",MATCH(C1381,'Position_Rubric'!$A$6:$A$14,0))</x:f>
      </x:c>
      <x:c r="N1381" s="69" t="str"/>
    </x:row>
    <x:row r="1382" ht="25" customHeight="1">
      <x:c r="A1382" s="69" t="str">
        <x:v>summer-S26-0993</x:v>
      </x:c>
      <x:c r="B1382" s="69" t="str">
        <x:v>Jhon Lucumí</x:v>
      </x:c>
      <x:c r="C1382" s="69"/>
      <x:c r="D1382" s="82" t="str">
        <x:f>IF(ISNUMBER('Transfer_Ratings'!K1382),'Transfer_Ratings'!K1382,"")</x:f>
      </x:c>
      <x:c r="E1382" s="86"/>
      <x:c r="F1382" s="86"/>
      <x:c r="G1382" s="86"/>
      <x:c r="H1382" s="86"/>
      <x:c r="I1382" s="86"/>
      <x:c r="J1382" s="82" t="str">
        <x:f>IF(C1382="","Choose position",IF(COUNT(E1382:I1382)&lt;5,"",IF(OR(MIN(E1382:I1382)&lt;0.1,MAX(E1382:I1382)&gt;10),"Invalid score",IF(INDEX('Position_Rubric'!$H$6:$H$14,M1382)&lt;&gt;1,"Check weights",ROUND(E1382*INDEX('Position_Rubric'!$C$6:$C$14,M1382)+F1382*INDEX('Position_Rubric'!$D$6:$D$14,M1382)+G1382*INDEX('Position_Rubric'!$E$6:$E$14,M1382)+H1382*INDEX('Position_Rubric'!$F$6:$F$14,M1382)+I1382*INDEX('Position_Rubric'!$G$6:$G$14,M1382),1)))))</x:f>
        <x:v>Choose position</x:v>
      </x:c>
      <x:c r="K1382" s="82" t="str">
        <x:f>IF(AND(ISNUMBER(J1382),ISNUMBER(D1382)),J1382-D1382,"")</x:f>
      </x:c>
      <x:c r="L1382" s="69" t="str">
        <x:f>IF(COUNT(E1382:I1382)&lt;5,"Needs component scores",IF(ISNUMBER(J1382),"Calculated",J1382))</x:f>
        <x:v>Needs component scores</x:v>
      </x:c>
      <x:c r="M1382" s="69" t="str">
        <x:f>IF(C1382="","",MATCH(C1382,'Position_Rubric'!$A$6:$A$14,0))</x:f>
      </x:c>
      <x:c r="N1382" s="69" t="str"/>
    </x:row>
    <x:row r="1383" ht="25" customHeight="1">
      <x:c r="A1383" s="69" t="str">
        <x:v>summer-S26-0996</x:v>
      </x:c>
      <x:c r="B1383" s="69" t="str">
        <x:v>Diant Ramaj</x:v>
      </x:c>
      <x:c r="C1383" s="69" t="str">
        <x:v>GK</x:v>
      </x:c>
      <x:c r="D1383" s="82" t="str">
        <x:f>IF(ISNUMBER('Transfer_Ratings'!K1383),'Transfer_Ratings'!K1383,"")</x:f>
      </x:c>
      <x:c r="E1383" s="86"/>
      <x:c r="F1383" s="86"/>
      <x:c r="G1383" s="86"/>
      <x:c r="H1383" s="86"/>
      <x:c r="I1383" s="86"/>
      <x:c r="J1383" s="82" t="str">
        <x:f>IF(C1383="","Choose position",IF(COUNT(E1383:I1383)&lt;5,"",IF(OR(MIN(E1383:I1383)&lt;0.1,MAX(E1383:I1383)&gt;10),"Invalid score",IF(INDEX('Position_Rubric'!$H$6:$H$14,M1383)&lt;&gt;1,"Check weights",ROUND(E1383*INDEX('Position_Rubric'!$C$6:$C$14,M1383)+F1383*INDEX('Position_Rubric'!$D$6:$D$14,M1383)+G1383*INDEX('Position_Rubric'!$E$6:$E$14,M1383)+H1383*INDEX('Position_Rubric'!$F$6:$F$14,M1383)+I1383*INDEX('Position_Rubric'!$G$6:$G$14,M1383),1)))))</x:f>
      </x:c>
      <x:c r="K1383" s="82" t="str">
        <x:f>IF(AND(ISNUMBER(J1383),ISNUMBER(D1383)),J1383-D1383,"")</x:f>
      </x:c>
      <x:c r="L1383" s="69" t="str">
        <x:f>IF(COUNT(E1383:I1383)&lt;5,"Needs component scores",IF(ISNUMBER(J1383),"Calculated",J1383))</x:f>
        <x:v>Needs component scores</x:v>
      </x:c>
      <x:c r="M1383" s="69" t="n">
        <x:f>IF(C1383="","",MATCH(C1383,'Position_Rubric'!$A$6:$A$14,0))</x:f>
        <x:v>9</x:v>
      </x:c>
      <x:c r="N1383" s="69" t="str"/>
    </x:row>
    <x:row r="1384" ht="25" customHeight="1">
      <x:c r="A1384" s="69" t="str">
        <x:v>summer-S26-0999</x:v>
      </x:c>
      <x:c r="B1384" s="69" t="str">
        <x:v>Jofre Torrents</x:v>
      </x:c>
      <x:c r="C1384" s="69"/>
      <x:c r="D1384" s="82" t="str">
        <x:f>IF(ISNUMBER('Transfer_Ratings'!K1384),'Transfer_Ratings'!K1384,"")</x:f>
      </x:c>
      <x:c r="E1384" s="86"/>
      <x:c r="F1384" s="86"/>
      <x:c r="G1384" s="86"/>
      <x:c r="H1384" s="86"/>
      <x:c r="I1384" s="86"/>
      <x:c r="J1384" s="82" t="str">
        <x:f>IF(C1384="","Choose position",IF(COUNT(E1384:I1384)&lt;5,"",IF(OR(MIN(E1384:I1384)&lt;0.1,MAX(E1384:I1384)&gt;10),"Invalid score",IF(INDEX('Position_Rubric'!$H$6:$H$14,M1384)&lt;&gt;1,"Check weights",ROUND(E1384*INDEX('Position_Rubric'!$C$6:$C$14,M1384)+F1384*INDEX('Position_Rubric'!$D$6:$D$14,M1384)+G1384*INDEX('Position_Rubric'!$E$6:$E$14,M1384)+H1384*INDEX('Position_Rubric'!$F$6:$F$14,M1384)+I1384*INDEX('Position_Rubric'!$G$6:$G$14,M1384),1)))))</x:f>
        <x:v>Choose position</x:v>
      </x:c>
      <x:c r="K1384" s="82" t="str">
        <x:f>IF(AND(ISNUMBER(J1384),ISNUMBER(D1384)),J1384-D1384,"")</x:f>
      </x:c>
      <x:c r="L1384" s="69" t="str">
        <x:f>IF(COUNT(E1384:I1384)&lt;5,"Needs component scores",IF(ISNUMBER(J1384),"Calculated",J1384))</x:f>
        <x:v>Needs component scores</x:v>
      </x:c>
      <x:c r="M1384" s="69" t="str">
        <x:f>IF(C1384="","",MATCH(C1384,'Position_Rubric'!$A$6:$A$14,0))</x:f>
      </x:c>
      <x:c r="N1384" s="69" t="str"/>
    </x:row>
    <x:row r="1385" ht="25" customHeight="1">
      <x:c r="A1385" s="69" t="str">
        <x:v>summer-S26-1003</x:v>
      </x:c>
      <x:c r="B1385" s="69" t="str">
        <x:v>Javi López</x:v>
      </x:c>
      <x:c r="C1385" s="69"/>
      <x:c r="D1385" s="82" t="str">
        <x:f>IF(ISNUMBER('Transfer_Ratings'!K1385),'Transfer_Ratings'!K1385,"")</x:f>
      </x:c>
      <x:c r="E1385" s="86"/>
      <x:c r="F1385" s="86"/>
      <x:c r="G1385" s="86"/>
      <x:c r="H1385" s="86"/>
      <x:c r="I1385" s="86"/>
      <x:c r="J1385" s="82" t="str">
        <x:f>IF(C1385="","Choose position",IF(COUNT(E1385:I1385)&lt;5,"",IF(OR(MIN(E1385:I1385)&lt;0.1,MAX(E1385:I1385)&gt;10),"Invalid score",IF(INDEX('Position_Rubric'!$H$6:$H$14,M1385)&lt;&gt;1,"Check weights",ROUND(E1385*INDEX('Position_Rubric'!$C$6:$C$14,M1385)+F1385*INDEX('Position_Rubric'!$D$6:$D$14,M1385)+G1385*INDEX('Position_Rubric'!$E$6:$E$14,M1385)+H1385*INDEX('Position_Rubric'!$F$6:$F$14,M1385)+I1385*INDEX('Position_Rubric'!$G$6:$G$14,M1385),1)))))</x:f>
        <x:v>Choose position</x:v>
      </x:c>
      <x:c r="K1385" s="82" t="str">
        <x:f>IF(AND(ISNUMBER(J1385),ISNUMBER(D1385)),J1385-D1385,"")</x:f>
      </x:c>
      <x:c r="L1385" s="69" t="str">
        <x:f>IF(COUNT(E1385:I1385)&lt;5,"Needs component scores",IF(ISNUMBER(J1385),"Calculated",J1385))</x:f>
        <x:v>Needs component scores</x:v>
      </x:c>
      <x:c r="M1385" s="69" t="str">
        <x:f>IF(C1385="","",MATCH(C1385,'Position_Rubric'!$A$6:$A$14,0))</x:f>
      </x:c>
      <x:c r="N1385" s="69" t="str"/>
    </x:row>
    <x:row r="1386" ht="25" customHeight="1">
      <x:c r="A1386" s="69" t="str">
        <x:v>summer-S26-1004</x:v>
      </x:c>
      <x:c r="B1386" s="69" t="str">
        <x:v>Ousmane Traoré</x:v>
      </x:c>
      <x:c r="C1386" s="69"/>
      <x:c r="D1386" s="82" t="str">
        <x:f>IF(ISNUMBER('Transfer_Ratings'!K1386),'Transfer_Ratings'!K1386,"")</x:f>
      </x:c>
      <x:c r="E1386" s="86"/>
      <x:c r="F1386" s="86"/>
      <x:c r="G1386" s="86"/>
      <x:c r="H1386" s="86"/>
      <x:c r="I1386" s="86"/>
      <x:c r="J1386" s="82" t="str">
        <x:f>IF(C1386="","Choose position",IF(COUNT(E1386:I1386)&lt;5,"",IF(OR(MIN(E1386:I1386)&lt;0.1,MAX(E1386:I1386)&gt;10),"Invalid score",IF(INDEX('Position_Rubric'!$H$6:$H$14,M1386)&lt;&gt;1,"Check weights",ROUND(E1386*INDEX('Position_Rubric'!$C$6:$C$14,M1386)+F1386*INDEX('Position_Rubric'!$D$6:$D$14,M1386)+G1386*INDEX('Position_Rubric'!$E$6:$E$14,M1386)+H1386*INDEX('Position_Rubric'!$F$6:$F$14,M1386)+I1386*INDEX('Position_Rubric'!$G$6:$G$14,M1386),1)))))</x:f>
        <x:v>Choose position</x:v>
      </x:c>
      <x:c r="K1386" s="82" t="str">
        <x:f>IF(AND(ISNUMBER(J1386),ISNUMBER(D1386)),J1386-D1386,"")</x:f>
      </x:c>
      <x:c r="L1386" s="69" t="str">
        <x:f>IF(COUNT(E1386:I1386)&lt;5,"Needs component scores",IF(ISNUMBER(J1386),"Calculated",J1386))</x:f>
        <x:v>Needs component scores</x:v>
      </x:c>
      <x:c r="M1386" s="69" t="str">
        <x:f>IF(C1386="","",MATCH(C1386,'Position_Rubric'!$A$6:$A$14,0))</x:f>
      </x:c>
      <x:c r="N1386" s="69" t="str"/>
    </x:row>
    <x:row r="1387" ht="25" customHeight="1">
      <x:c r="A1387" s="69" t="str">
        <x:v>summer-S26-1005</x:v>
      </x:c>
      <x:c r="B1387" s="69" t="str">
        <x:v>Amar Dedic</x:v>
      </x:c>
      <x:c r="C1387" s="69"/>
      <x:c r="D1387" s="82" t="str">
        <x:f>IF(ISNUMBER('Transfer_Ratings'!K1387),'Transfer_Ratings'!K1387,"")</x:f>
      </x:c>
      <x:c r="E1387" s="86"/>
      <x:c r="F1387" s="86"/>
      <x:c r="G1387" s="86"/>
      <x:c r="H1387" s="86"/>
      <x:c r="I1387" s="86"/>
      <x:c r="J1387" s="82" t="str">
        <x:f>IF(C1387="","Choose position",IF(COUNT(E1387:I1387)&lt;5,"",IF(OR(MIN(E1387:I1387)&lt;0.1,MAX(E1387:I1387)&gt;10),"Invalid score",IF(INDEX('Position_Rubric'!$H$6:$H$14,M1387)&lt;&gt;1,"Check weights",ROUND(E1387*INDEX('Position_Rubric'!$C$6:$C$14,M1387)+F1387*INDEX('Position_Rubric'!$D$6:$D$14,M1387)+G1387*INDEX('Position_Rubric'!$E$6:$E$14,M1387)+H1387*INDEX('Position_Rubric'!$F$6:$F$14,M1387)+I1387*INDEX('Position_Rubric'!$G$6:$G$14,M1387),1)))))</x:f>
        <x:v>Choose position</x:v>
      </x:c>
      <x:c r="K1387" s="82" t="str">
        <x:f>IF(AND(ISNUMBER(J1387),ISNUMBER(D1387)),J1387-D1387,"")</x:f>
      </x:c>
      <x:c r="L1387" s="69" t="str">
        <x:f>IF(COUNT(E1387:I1387)&lt;5,"Needs component scores",IF(ISNUMBER(J1387),"Calculated",J1387))</x:f>
        <x:v>Needs component scores</x:v>
      </x:c>
      <x:c r="M1387" s="69" t="str">
        <x:f>IF(C1387="","",MATCH(C1387,'Position_Rubric'!$A$6:$A$14,0))</x:f>
      </x:c>
      <x:c r="N1387" s="69" t="str"/>
    </x:row>
    <x:row r="1388" ht="25" customHeight="1">
      <x:c r="A1388" s="69" t="str">
        <x:v>summer-S26-1006</x:v>
      </x:c>
      <x:c r="B1388" s="69" t="str">
        <x:v>Guglielmo Vicario</x:v>
      </x:c>
      <x:c r="C1388" s="69" t="str">
        <x:v>GK</x:v>
      </x:c>
      <x:c r="D1388" s="82" t="str">
        <x:f>IF(ISNUMBER('Transfer_Ratings'!K1388),'Transfer_Ratings'!K1388,"")</x:f>
      </x:c>
      <x:c r="E1388" s="86"/>
      <x:c r="F1388" s="86"/>
      <x:c r="G1388" s="86"/>
      <x:c r="H1388" s="86"/>
      <x:c r="I1388" s="86"/>
      <x:c r="J1388" s="82" t="str">
        <x:f>IF(C1388="","Choose position",IF(COUNT(E1388:I1388)&lt;5,"",IF(OR(MIN(E1388:I1388)&lt;0.1,MAX(E1388:I1388)&gt;10),"Invalid score",IF(INDEX('Position_Rubric'!$H$6:$H$14,M1388)&lt;&gt;1,"Check weights",ROUND(E1388*INDEX('Position_Rubric'!$C$6:$C$14,M1388)+F1388*INDEX('Position_Rubric'!$D$6:$D$14,M1388)+G1388*INDEX('Position_Rubric'!$E$6:$E$14,M1388)+H1388*INDEX('Position_Rubric'!$F$6:$F$14,M1388)+I1388*INDEX('Position_Rubric'!$G$6:$G$14,M1388),1)))))</x:f>
      </x:c>
      <x:c r="K1388" s="82" t="str">
        <x:f>IF(AND(ISNUMBER(J1388),ISNUMBER(D1388)),J1388-D1388,"")</x:f>
      </x:c>
      <x:c r="L1388" s="69" t="str">
        <x:f>IF(COUNT(E1388:I1388)&lt;5,"Needs component scores",IF(ISNUMBER(J1388),"Calculated",J1388))</x:f>
        <x:v>Needs component scores</x:v>
      </x:c>
      <x:c r="M1388" s="69" t="n">
        <x:f>IF(C1388="","",MATCH(C1388,'Position_Rubric'!$A$6:$A$14,0))</x:f>
        <x:v>9</x:v>
      </x:c>
      <x:c r="N1388" s="69" t="str"/>
    </x:row>
    <x:row r="1389" ht="25" customHeight="1">
      <x:c r="A1389" s="69" t="str">
        <x:v>summer-S26-1007</x:v>
      </x:c>
      <x:c r="B1389" s="69" t="str">
        <x:v>Djibril Sidibé</x:v>
      </x:c>
      <x:c r="C1389" s="69"/>
      <x:c r="D1389" s="82" t="str">
        <x:f>IF(ISNUMBER('Transfer_Ratings'!K1389),'Transfer_Ratings'!K1389,"")</x:f>
      </x:c>
      <x:c r="E1389" s="86"/>
      <x:c r="F1389" s="86"/>
      <x:c r="G1389" s="86"/>
      <x:c r="H1389" s="86"/>
      <x:c r="I1389" s="86"/>
      <x:c r="J1389" s="82" t="str">
        <x:f>IF(C1389="","Choose position",IF(COUNT(E1389:I1389)&lt;5,"",IF(OR(MIN(E1389:I1389)&lt;0.1,MAX(E1389:I1389)&gt;10),"Invalid score",IF(INDEX('Position_Rubric'!$H$6:$H$14,M1389)&lt;&gt;1,"Check weights",ROUND(E1389*INDEX('Position_Rubric'!$C$6:$C$14,M1389)+F1389*INDEX('Position_Rubric'!$D$6:$D$14,M1389)+G1389*INDEX('Position_Rubric'!$E$6:$E$14,M1389)+H1389*INDEX('Position_Rubric'!$F$6:$F$14,M1389)+I1389*INDEX('Position_Rubric'!$G$6:$G$14,M1389),1)))))</x:f>
        <x:v>Choose position</x:v>
      </x:c>
      <x:c r="K1389" s="82" t="str">
        <x:f>IF(AND(ISNUMBER(J1389),ISNUMBER(D1389)),J1389-D1389,"")</x:f>
      </x:c>
      <x:c r="L1389" s="69" t="str">
        <x:f>IF(COUNT(E1389:I1389)&lt;5,"Needs component scores",IF(ISNUMBER(J1389),"Calculated",J1389))</x:f>
        <x:v>Needs component scores</x:v>
      </x:c>
      <x:c r="M1389" s="69" t="str">
        <x:f>IF(C1389="","",MATCH(C1389,'Position_Rubric'!$A$6:$A$14,0))</x:f>
      </x:c>
      <x:c r="N1389" s="69" t="str"/>
    </x:row>
    <x:row r="1390" ht="25" customHeight="1">
      <x:c r="A1390" s="69" t="str">
        <x:v>summer-S26-1008</x:v>
      </x:c>
      <x:c r="B1390" s="69" t="str">
        <x:v>Fabio Rispoli</x:v>
      </x:c>
      <x:c r="C1390" s="69"/>
      <x:c r="D1390" s="82" t="str">
        <x:f>IF(ISNUMBER('Transfer_Ratings'!K1390),'Transfer_Ratings'!K1390,"")</x:f>
      </x:c>
      <x:c r="E1390" s="86"/>
      <x:c r="F1390" s="86"/>
      <x:c r="G1390" s="86"/>
      <x:c r="H1390" s="86"/>
      <x:c r="I1390" s="86"/>
      <x:c r="J1390" s="82" t="str">
        <x:f>IF(C1390="","Choose position",IF(COUNT(E1390:I1390)&lt;5,"",IF(OR(MIN(E1390:I1390)&lt;0.1,MAX(E1390:I1390)&gt;10),"Invalid score",IF(INDEX('Position_Rubric'!$H$6:$H$14,M1390)&lt;&gt;1,"Check weights",ROUND(E1390*INDEX('Position_Rubric'!$C$6:$C$14,M1390)+F1390*INDEX('Position_Rubric'!$D$6:$D$14,M1390)+G1390*INDEX('Position_Rubric'!$E$6:$E$14,M1390)+H1390*INDEX('Position_Rubric'!$F$6:$F$14,M1390)+I1390*INDEX('Position_Rubric'!$G$6:$G$14,M1390),1)))))</x:f>
        <x:v>Choose position</x:v>
      </x:c>
      <x:c r="K1390" s="82" t="str">
        <x:f>IF(AND(ISNUMBER(J1390),ISNUMBER(D1390)),J1390-D1390,"")</x:f>
      </x:c>
      <x:c r="L1390" s="69" t="str">
        <x:f>IF(COUNT(E1390:I1390)&lt;5,"Needs component scores",IF(ISNUMBER(J1390),"Calculated",J1390))</x:f>
        <x:v>Needs component scores</x:v>
      </x:c>
      <x:c r="M1390" s="69" t="str">
        <x:f>IF(C1390="","",MATCH(C1390,'Position_Rubric'!$A$6:$A$14,0))</x:f>
      </x:c>
      <x:c r="N1390" s="69" t="str"/>
    </x:row>
    <x:row r="1391" ht="25" customHeight="1">
      <x:c r="A1391" s="69" t="str">
        <x:v>summer-S26-1013</x:v>
      </x:c>
      <x:c r="B1391" s="69" t="str">
        <x:v>Wisdom Acquah</x:v>
      </x:c>
      <x:c r="C1391" s="69"/>
      <x:c r="D1391" s="82" t="str">
        <x:f>IF(ISNUMBER('Transfer_Ratings'!K1391),'Transfer_Ratings'!K1391,"")</x:f>
      </x:c>
      <x:c r="E1391" s="86"/>
      <x:c r="F1391" s="86"/>
      <x:c r="G1391" s="86"/>
      <x:c r="H1391" s="86"/>
      <x:c r="I1391" s="86"/>
      <x:c r="J1391" s="82" t="str">
        <x:f>IF(C1391="","Choose position",IF(COUNT(E1391:I1391)&lt;5,"",IF(OR(MIN(E1391:I1391)&lt;0.1,MAX(E1391:I1391)&gt;10),"Invalid score",IF(INDEX('Position_Rubric'!$H$6:$H$14,M1391)&lt;&gt;1,"Check weights",ROUND(E1391*INDEX('Position_Rubric'!$C$6:$C$14,M1391)+F1391*INDEX('Position_Rubric'!$D$6:$D$14,M1391)+G1391*INDEX('Position_Rubric'!$E$6:$E$14,M1391)+H1391*INDEX('Position_Rubric'!$F$6:$F$14,M1391)+I1391*INDEX('Position_Rubric'!$G$6:$G$14,M1391),1)))))</x:f>
        <x:v>Choose position</x:v>
      </x:c>
      <x:c r="K1391" s="82" t="str">
        <x:f>IF(AND(ISNUMBER(J1391),ISNUMBER(D1391)),J1391-D1391,"")</x:f>
      </x:c>
      <x:c r="L1391" s="69" t="str">
        <x:f>IF(COUNT(E1391:I1391)&lt;5,"Needs component scores",IF(ISNUMBER(J1391),"Calculated",J1391))</x:f>
        <x:v>Needs component scores</x:v>
      </x:c>
      <x:c r="M1391" s="69" t="str">
        <x:f>IF(C1391="","",MATCH(C1391,'Position_Rubric'!$A$6:$A$14,0))</x:f>
      </x:c>
      <x:c r="N1391" s="69" t="str"/>
    </x:row>
    <x:row r="1392" ht="25" customHeight="1">
      <x:c r="A1392" s="69" t="str">
        <x:v>summer-S26-1015</x:v>
      </x:c>
      <x:c r="B1392" s="69" t="str">
        <x:v>Francho Serrano</x:v>
      </x:c>
      <x:c r="C1392" s="69"/>
      <x:c r="D1392" s="82" t="str">
        <x:f>IF(ISNUMBER('Transfer_Ratings'!K1392),'Transfer_Ratings'!K1392,"")</x:f>
      </x:c>
      <x:c r="E1392" s="86"/>
      <x:c r="F1392" s="86"/>
      <x:c r="G1392" s="86"/>
      <x:c r="H1392" s="86"/>
      <x:c r="I1392" s="86"/>
      <x:c r="J1392" s="82" t="str">
        <x:f>IF(C1392="","Choose position",IF(COUNT(E1392:I1392)&lt;5,"",IF(OR(MIN(E1392:I1392)&lt;0.1,MAX(E1392:I1392)&gt;10),"Invalid score",IF(INDEX('Position_Rubric'!$H$6:$H$14,M1392)&lt;&gt;1,"Check weights",ROUND(E1392*INDEX('Position_Rubric'!$C$6:$C$14,M1392)+F1392*INDEX('Position_Rubric'!$D$6:$D$14,M1392)+G1392*INDEX('Position_Rubric'!$E$6:$E$14,M1392)+H1392*INDEX('Position_Rubric'!$F$6:$F$14,M1392)+I1392*INDEX('Position_Rubric'!$G$6:$G$14,M1392),1)))))</x:f>
        <x:v>Choose position</x:v>
      </x:c>
      <x:c r="K1392" s="82" t="str">
        <x:f>IF(AND(ISNUMBER(J1392),ISNUMBER(D1392)),J1392-D1392,"")</x:f>
      </x:c>
      <x:c r="L1392" s="69" t="str">
        <x:f>IF(COUNT(E1392:I1392)&lt;5,"Needs component scores",IF(ISNUMBER(J1392),"Calculated",J1392))</x:f>
        <x:v>Needs component scores</x:v>
      </x:c>
      <x:c r="M1392" s="69" t="str">
        <x:f>IF(C1392="","",MATCH(C1392,'Position_Rubric'!$A$6:$A$14,0))</x:f>
      </x:c>
      <x:c r="N1392" s="69" t="str"/>
    </x:row>
    <x:row r="1393" ht="25" customHeight="1">
      <x:c r="A1393" s="69" t="str">
        <x:v>summer-S26-1016</x:v>
      </x:c>
      <x:c r="B1393" s="69" t="str">
        <x:v>Joey Veerman</x:v>
      </x:c>
      <x:c r="C1393" s="69"/>
      <x:c r="D1393" s="82" t="str">
        <x:f>IF(ISNUMBER('Transfer_Ratings'!K1393),'Transfer_Ratings'!K1393,"")</x:f>
      </x:c>
      <x:c r="E1393" s="86"/>
      <x:c r="F1393" s="86"/>
      <x:c r="G1393" s="86"/>
      <x:c r="H1393" s="86"/>
      <x:c r="I1393" s="86"/>
      <x:c r="J1393" s="82" t="str">
        <x:f>IF(C1393="","Choose position",IF(COUNT(E1393:I1393)&lt;5,"",IF(OR(MIN(E1393:I1393)&lt;0.1,MAX(E1393:I1393)&gt;10),"Invalid score",IF(INDEX('Position_Rubric'!$H$6:$H$14,M1393)&lt;&gt;1,"Check weights",ROUND(E1393*INDEX('Position_Rubric'!$C$6:$C$14,M1393)+F1393*INDEX('Position_Rubric'!$D$6:$D$14,M1393)+G1393*INDEX('Position_Rubric'!$E$6:$E$14,M1393)+H1393*INDEX('Position_Rubric'!$F$6:$F$14,M1393)+I1393*INDEX('Position_Rubric'!$G$6:$G$14,M1393),1)))))</x:f>
        <x:v>Choose position</x:v>
      </x:c>
      <x:c r="K1393" s="82" t="str">
        <x:f>IF(AND(ISNUMBER(J1393),ISNUMBER(D1393)),J1393-D1393,"")</x:f>
      </x:c>
      <x:c r="L1393" s="69" t="str">
        <x:f>IF(COUNT(E1393:I1393)&lt;5,"Needs component scores",IF(ISNUMBER(J1393),"Calculated",J1393))</x:f>
        <x:v>Needs component scores</x:v>
      </x:c>
      <x:c r="M1393" s="69" t="str">
        <x:f>IF(C1393="","",MATCH(C1393,'Position_Rubric'!$A$6:$A$14,0))</x:f>
      </x:c>
      <x:c r="N1393" s="69" t="str"/>
    </x:row>
    <x:row r="1394" ht="25" customHeight="1">
      <x:c r="A1394" s="69" t="str">
        <x:v>summer-S26-1017</x:v>
      </x:c>
      <x:c r="B1394" s="69" t="str">
        <x:v>David Odogu</x:v>
      </x:c>
      <x:c r="C1394" s="69"/>
      <x:c r="D1394" s="82" t="str">
        <x:f>IF(ISNUMBER('Transfer_Ratings'!K1394),'Transfer_Ratings'!K1394,"")</x:f>
      </x:c>
      <x:c r="E1394" s="86"/>
      <x:c r="F1394" s="86"/>
      <x:c r="G1394" s="86"/>
      <x:c r="H1394" s="86"/>
      <x:c r="I1394" s="86"/>
      <x:c r="J1394" s="82" t="str">
        <x:f>IF(C1394="","Choose position",IF(COUNT(E1394:I1394)&lt;5,"",IF(OR(MIN(E1394:I1394)&lt;0.1,MAX(E1394:I1394)&gt;10),"Invalid score",IF(INDEX('Position_Rubric'!$H$6:$H$14,M1394)&lt;&gt;1,"Check weights",ROUND(E1394*INDEX('Position_Rubric'!$C$6:$C$14,M1394)+F1394*INDEX('Position_Rubric'!$D$6:$D$14,M1394)+G1394*INDEX('Position_Rubric'!$E$6:$E$14,M1394)+H1394*INDEX('Position_Rubric'!$F$6:$F$14,M1394)+I1394*INDEX('Position_Rubric'!$G$6:$G$14,M1394),1)))))</x:f>
        <x:v>Choose position</x:v>
      </x:c>
      <x:c r="K1394" s="82" t="str">
        <x:f>IF(AND(ISNUMBER(J1394),ISNUMBER(D1394)),J1394-D1394,"")</x:f>
      </x:c>
      <x:c r="L1394" s="69" t="str">
        <x:f>IF(COUNT(E1394:I1394)&lt;5,"Needs component scores",IF(ISNUMBER(J1394),"Calculated",J1394))</x:f>
        <x:v>Needs component scores</x:v>
      </x:c>
      <x:c r="M1394" s="69" t="str">
        <x:f>IF(C1394="","",MATCH(C1394,'Position_Rubric'!$A$6:$A$14,0))</x:f>
      </x:c>
      <x:c r="N1394" s="69" t="str"/>
    </x:row>
    <x:row r="1395" ht="25" customHeight="1">
      <x:c r="A1395" s="69" t="str">
        <x:v>summer-S26-1018</x:v>
      </x:c>
      <x:c r="B1395" s="69" t="str">
        <x:v>Chec Bebel Doumbia</x:v>
      </x:c>
      <x:c r="C1395" s="69"/>
      <x:c r="D1395" s="82" t="str">
        <x:f>IF(ISNUMBER('Transfer_Ratings'!K1395),'Transfer_Ratings'!K1395,"")</x:f>
      </x:c>
      <x:c r="E1395" s="86"/>
      <x:c r="F1395" s="86"/>
      <x:c r="G1395" s="86"/>
      <x:c r="H1395" s="86"/>
      <x:c r="I1395" s="86"/>
      <x:c r="J1395" s="82" t="str">
        <x:f>IF(C1395="","Choose position",IF(COUNT(E1395:I1395)&lt;5,"",IF(OR(MIN(E1395:I1395)&lt;0.1,MAX(E1395:I1395)&gt;10),"Invalid score",IF(INDEX('Position_Rubric'!$H$6:$H$14,M1395)&lt;&gt;1,"Check weights",ROUND(E1395*INDEX('Position_Rubric'!$C$6:$C$14,M1395)+F1395*INDEX('Position_Rubric'!$D$6:$D$14,M1395)+G1395*INDEX('Position_Rubric'!$E$6:$E$14,M1395)+H1395*INDEX('Position_Rubric'!$F$6:$F$14,M1395)+I1395*INDEX('Position_Rubric'!$G$6:$G$14,M1395),1)))))</x:f>
        <x:v>Choose position</x:v>
      </x:c>
      <x:c r="K1395" s="82" t="str">
        <x:f>IF(AND(ISNUMBER(J1395),ISNUMBER(D1395)),J1395-D1395,"")</x:f>
      </x:c>
      <x:c r="L1395" s="69" t="str">
        <x:f>IF(COUNT(E1395:I1395)&lt;5,"Needs component scores",IF(ISNUMBER(J1395),"Calculated",J1395))</x:f>
        <x:v>Needs component scores</x:v>
      </x:c>
      <x:c r="M1395" s="69" t="str">
        <x:f>IF(C1395="","",MATCH(C1395,'Position_Rubric'!$A$6:$A$14,0))</x:f>
      </x:c>
      <x:c r="N1395" s="69" t="str"/>
    </x:row>
    <x:row r="1396" ht="25" customHeight="1">
      <x:c r="A1396" s="69" t="str">
        <x:v>summer-S26-1020</x:v>
      </x:c>
      <x:c r="B1396" s="69" t="str">
        <x:v>Abdul Mumin</x:v>
      </x:c>
      <x:c r="C1396" s="69"/>
      <x:c r="D1396" s="82" t="str">
        <x:f>IF(ISNUMBER('Transfer_Ratings'!K1396),'Transfer_Ratings'!K1396,"")</x:f>
      </x:c>
      <x:c r="E1396" s="86"/>
      <x:c r="F1396" s="86"/>
      <x:c r="G1396" s="86"/>
      <x:c r="H1396" s="86"/>
      <x:c r="I1396" s="86"/>
      <x:c r="J1396" s="82" t="str">
        <x:f>IF(C1396="","Choose position",IF(COUNT(E1396:I1396)&lt;5,"",IF(OR(MIN(E1396:I1396)&lt;0.1,MAX(E1396:I1396)&gt;10),"Invalid score",IF(INDEX('Position_Rubric'!$H$6:$H$14,M1396)&lt;&gt;1,"Check weights",ROUND(E1396*INDEX('Position_Rubric'!$C$6:$C$14,M1396)+F1396*INDEX('Position_Rubric'!$D$6:$D$14,M1396)+G1396*INDEX('Position_Rubric'!$E$6:$E$14,M1396)+H1396*INDEX('Position_Rubric'!$F$6:$F$14,M1396)+I1396*INDEX('Position_Rubric'!$G$6:$G$14,M1396),1)))))</x:f>
        <x:v>Choose position</x:v>
      </x:c>
      <x:c r="K1396" s="82" t="str">
        <x:f>IF(AND(ISNUMBER(J1396),ISNUMBER(D1396)),J1396-D1396,"")</x:f>
      </x:c>
      <x:c r="L1396" s="69" t="str">
        <x:f>IF(COUNT(E1396:I1396)&lt;5,"Needs component scores",IF(ISNUMBER(J1396),"Calculated",J1396))</x:f>
        <x:v>Needs component scores</x:v>
      </x:c>
      <x:c r="M1396" s="69" t="str">
        <x:f>IF(C1396="","",MATCH(C1396,'Position_Rubric'!$A$6:$A$14,0))</x:f>
      </x:c>
      <x:c r="N1396" s="69" t="str"/>
    </x:row>
    <x:row r="1397" ht="25" customHeight="1">
      <x:c r="A1397" s="69" t="str">
        <x:v>summer-S26-1021</x:v>
      </x:c>
      <x:c r="B1397" s="69" t="str">
        <x:v>Nunzio Lella</x:v>
      </x:c>
      <x:c r="C1397" s="69"/>
      <x:c r="D1397" s="82" t="str">
        <x:f>IF(ISNUMBER('Transfer_Ratings'!K1397),'Transfer_Ratings'!K1397,"")</x:f>
      </x:c>
      <x:c r="E1397" s="86"/>
      <x:c r="F1397" s="86"/>
      <x:c r="G1397" s="86"/>
      <x:c r="H1397" s="86"/>
      <x:c r="I1397" s="86"/>
      <x:c r="J1397" s="82" t="str">
        <x:f>IF(C1397="","Choose position",IF(COUNT(E1397:I1397)&lt;5,"",IF(OR(MIN(E1397:I1397)&lt;0.1,MAX(E1397:I1397)&gt;10),"Invalid score",IF(INDEX('Position_Rubric'!$H$6:$H$14,M1397)&lt;&gt;1,"Check weights",ROUND(E1397*INDEX('Position_Rubric'!$C$6:$C$14,M1397)+F1397*INDEX('Position_Rubric'!$D$6:$D$14,M1397)+G1397*INDEX('Position_Rubric'!$E$6:$E$14,M1397)+H1397*INDEX('Position_Rubric'!$F$6:$F$14,M1397)+I1397*INDEX('Position_Rubric'!$G$6:$G$14,M1397),1)))))</x:f>
        <x:v>Choose position</x:v>
      </x:c>
      <x:c r="K1397" s="82" t="str">
        <x:f>IF(AND(ISNUMBER(J1397),ISNUMBER(D1397)),J1397-D1397,"")</x:f>
      </x:c>
      <x:c r="L1397" s="69" t="str">
        <x:f>IF(COUNT(E1397:I1397)&lt;5,"Needs component scores",IF(ISNUMBER(J1397),"Calculated",J1397))</x:f>
        <x:v>Needs component scores</x:v>
      </x:c>
      <x:c r="M1397" s="69" t="str">
        <x:f>IF(C1397="","",MATCH(C1397,'Position_Rubric'!$A$6:$A$14,0))</x:f>
      </x:c>
      <x:c r="N1397" s="69" t="str"/>
    </x:row>
    <x:row r="1398" ht="25" customHeight="1">
      <x:c r="A1398" s="69" t="str">
        <x:v>summer-S26-1022</x:v>
      </x:c>
      <x:c r="B1398" s="69" t="str">
        <x:v>Yunus Konak</x:v>
      </x:c>
      <x:c r="C1398" s="69"/>
      <x:c r="D1398" s="82" t="str">
        <x:f>IF(ISNUMBER('Transfer_Ratings'!K1398),'Transfer_Ratings'!K1398,"")</x:f>
      </x:c>
      <x:c r="E1398" s="86"/>
      <x:c r="F1398" s="86"/>
      <x:c r="G1398" s="86"/>
      <x:c r="H1398" s="86"/>
      <x:c r="I1398" s="86"/>
      <x:c r="J1398" s="82" t="str">
        <x:f>IF(C1398="","Choose position",IF(COUNT(E1398:I1398)&lt;5,"",IF(OR(MIN(E1398:I1398)&lt;0.1,MAX(E1398:I1398)&gt;10),"Invalid score",IF(INDEX('Position_Rubric'!$H$6:$H$14,M1398)&lt;&gt;1,"Check weights",ROUND(E1398*INDEX('Position_Rubric'!$C$6:$C$14,M1398)+F1398*INDEX('Position_Rubric'!$D$6:$D$14,M1398)+G1398*INDEX('Position_Rubric'!$E$6:$E$14,M1398)+H1398*INDEX('Position_Rubric'!$F$6:$F$14,M1398)+I1398*INDEX('Position_Rubric'!$G$6:$G$14,M1398),1)))))</x:f>
        <x:v>Choose position</x:v>
      </x:c>
      <x:c r="K1398" s="82" t="str">
        <x:f>IF(AND(ISNUMBER(J1398),ISNUMBER(D1398)),J1398-D1398,"")</x:f>
      </x:c>
      <x:c r="L1398" s="69" t="str">
        <x:f>IF(COUNT(E1398:I1398)&lt;5,"Needs component scores",IF(ISNUMBER(J1398),"Calculated",J1398))</x:f>
        <x:v>Needs component scores</x:v>
      </x:c>
      <x:c r="M1398" s="69" t="str">
        <x:f>IF(C1398="","",MATCH(C1398,'Position_Rubric'!$A$6:$A$14,0))</x:f>
      </x:c>
      <x:c r="N1398" s="69" t="str"/>
    </x:row>
    <x:row r="1399" ht="25" customHeight="1">
      <x:c r="A1399" s="69" t="str">
        <x:v>summer-S26-1025</x:v>
      </x:c>
      <x:c r="B1399" s="69" t="str">
        <x:v>Andrés Cuenca</x:v>
      </x:c>
      <x:c r="C1399" s="69"/>
      <x:c r="D1399" s="82" t="str">
        <x:f>IF(ISNUMBER('Transfer_Ratings'!K1399),'Transfer_Ratings'!K1399,"")</x:f>
      </x:c>
      <x:c r="E1399" s="86"/>
      <x:c r="F1399" s="86"/>
      <x:c r="G1399" s="86"/>
      <x:c r="H1399" s="86"/>
      <x:c r="I1399" s="86"/>
      <x:c r="J1399" s="82" t="str">
        <x:f>IF(C1399="","Choose position",IF(COUNT(E1399:I1399)&lt;5,"",IF(OR(MIN(E1399:I1399)&lt;0.1,MAX(E1399:I1399)&gt;10),"Invalid score",IF(INDEX('Position_Rubric'!$H$6:$H$14,M1399)&lt;&gt;1,"Check weights",ROUND(E1399*INDEX('Position_Rubric'!$C$6:$C$14,M1399)+F1399*INDEX('Position_Rubric'!$D$6:$D$14,M1399)+G1399*INDEX('Position_Rubric'!$E$6:$E$14,M1399)+H1399*INDEX('Position_Rubric'!$F$6:$F$14,M1399)+I1399*INDEX('Position_Rubric'!$G$6:$G$14,M1399),1)))))</x:f>
        <x:v>Choose position</x:v>
      </x:c>
      <x:c r="K1399" s="82" t="str">
        <x:f>IF(AND(ISNUMBER(J1399),ISNUMBER(D1399)),J1399-D1399,"")</x:f>
      </x:c>
      <x:c r="L1399" s="69" t="str">
        <x:f>IF(COUNT(E1399:I1399)&lt;5,"Needs component scores",IF(ISNUMBER(J1399),"Calculated",J1399))</x:f>
        <x:v>Needs component scores</x:v>
      </x:c>
      <x:c r="M1399" s="69" t="str">
        <x:f>IF(C1399="","",MATCH(C1399,'Position_Rubric'!$A$6:$A$14,0))</x:f>
      </x:c>
      <x:c r="N1399" s="69" t="str"/>
    </x:row>
    <x:row r="1400" ht="25" customHeight="1">
      <x:c r="A1400" s="69" t="str">
        <x:v>summer-S26-1028</x:v>
      </x:c>
      <x:c r="B1400" s="69" t="str">
        <x:v>Reggie Walsh</x:v>
      </x:c>
      <x:c r="C1400" s="69"/>
      <x:c r="D1400" s="82" t="str">
        <x:f>IF(ISNUMBER('Transfer_Ratings'!K1400),'Transfer_Ratings'!K1400,"")</x:f>
      </x:c>
      <x:c r="E1400" s="86"/>
      <x:c r="F1400" s="86"/>
      <x:c r="G1400" s="86"/>
      <x:c r="H1400" s="86"/>
      <x:c r="I1400" s="86"/>
      <x:c r="J1400" s="82" t="str">
        <x:f>IF(C1400="","Choose position",IF(COUNT(E1400:I1400)&lt;5,"",IF(OR(MIN(E1400:I1400)&lt;0.1,MAX(E1400:I1400)&gt;10),"Invalid score",IF(INDEX('Position_Rubric'!$H$6:$H$14,M1400)&lt;&gt;1,"Check weights",ROUND(E1400*INDEX('Position_Rubric'!$C$6:$C$14,M1400)+F1400*INDEX('Position_Rubric'!$D$6:$D$14,M1400)+G1400*INDEX('Position_Rubric'!$E$6:$E$14,M1400)+H1400*INDEX('Position_Rubric'!$F$6:$F$14,M1400)+I1400*INDEX('Position_Rubric'!$G$6:$G$14,M1400),1)))))</x:f>
        <x:v>Choose position</x:v>
      </x:c>
      <x:c r="K1400" s="82" t="str">
        <x:f>IF(AND(ISNUMBER(J1400),ISNUMBER(D1400)),J1400-D1400,"")</x:f>
      </x:c>
      <x:c r="L1400" s="69" t="str">
        <x:f>IF(COUNT(E1400:I1400)&lt;5,"Needs component scores",IF(ISNUMBER(J1400),"Calculated",J1400))</x:f>
        <x:v>Needs component scores</x:v>
      </x:c>
      <x:c r="M1400" s="69" t="str">
        <x:f>IF(C1400="","",MATCH(C1400,'Position_Rubric'!$A$6:$A$14,0))</x:f>
      </x:c>
      <x:c r="N1400" s="69" t="str"/>
    </x:row>
    <x:row r="1401" ht="25" customHeight="1">
      <x:c r="A1401" s="69" t="str">
        <x:v>summer-S26-1029</x:v>
      </x:c>
      <x:c r="B1401" s="69" t="str">
        <x:v>Kosta Nedeljkovic</x:v>
      </x:c>
      <x:c r="C1401" s="69"/>
      <x:c r="D1401" s="82" t="str">
        <x:f>IF(ISNUMBER('Transfer_Ratings'!K1401),'Transfer_Ratings'!K1401,"")</x:f>
      </x:c>
      <x:c r="E1401" s="86"/>
      <x:c r="F1401" s="86"/>
      <x:c r="G1401" s="86"/>
      <x:c r="H1401" s="86"/>
      <x:c r="I1401" s="86"/>
      <x:c r="J1401" s="82" t="str">
        <x:f>IF(C1401="","Choose position",IF(COUNT(E1401:I1401)&lt;5,"",IF(OR(MIN(E1401:I1401)&lt;0.1,MAX(E1401:I1401)&gt;10),"Invalid score",IF(INDEX('Position_Rubric'!$H$6:$H$14,M1401)&lt;&gt;1,"Check weights",ROUND(E1401*INDEX('Position_Rubric'!$C$6:$C$14,M1401)+F1401*INDEX('Position_Rubric'!$D$6:$D$14,M1401)+G1401*INDEX('Position_Rubric'!$E$6:$E$14,M1401)+H1401*INDEX('Position_Rubric'!$F$6:$F$14,M1401)+I1401*INDEX('Position_Rubric'!$G$6:$G$14,M1401),1)))))</x:f>
        <x:v>Choose position</x:v>
      </x:c>
      <x:c r="K1401" s="82" t="str">
        <x:f>IF(AND(ISNUMBER(J1401),ISNUMBER(D1401)),J1401-D1401,"")</x:f>
      </x:c>
      <x:c r="L1401" s="69" t="str">
        <x:f>IF(COUNT(E1401:I1401)&lt;5,"Needs component scores",IF(ISNUMBER(J1401),"Calculated",J1401))</x:f>
        <x:v>Needs component scores</x:v>
      </x:c>
      <x:c r="M1401" s="69" t="str">
        <x:f>IF(C1401="","",MATCH(C1401,'Position_Rubric'!$A$6:$A$14,0))</x:f>
      </x:c>
      <x:c r="N1401" s="69" t="str"/>
    </x:row>
    <x:row r="1402" ht="25" customHeight="1">
      <x:c r="A1402" s="69" t="str">
        <x:v>summer-S26-1030</x:v>
      </x:c>
      <x:c r="B1402" s="69" t="str">
        <x:v>Harvey Araujo</x:v>
      </x:c>
      <x:c r="C1402" s="69"/>
      <x:c r="D1402" s="82" t="str">
        <x:f>IF(ISNUMBER('Transfer_Ratings'!K1402),'Transfer_Ratings'!K1402,"")</x:f>
      </x:c>
      <x:c r="E1402" s="86"/>
      <x:c r="F1402" s="86"/>
      <x:c r="G1402" s="86"/>
      <x:c r="H1402" s="86"/>
      <x:c r="I1402" s="86"/>
      <x:c r="J1402" s="82" t="str">
        <x:f>IF(C1402="","Choose position",IF(COUNT(E1402:I1402)&lt;5,"",IF(OR(MIN(E1402:I1402)&lt;0.1,MAX(E1402:I1402)&gt;10),"Invalid score",IF(INDEX('Position_Rubric'!$H$6:$H$14,M1402)&lt;&gt;1,"Check weights",ROUND(E1402*INDEX('Position_Rubric'!$C$6:$C$14,M1402)+F1402*INDEX('Position_Rubric'!$D$6:$D$14,M1402)+G1402*INDEX('Position_Rubric'!$E$6:$E$14,M1402)+H1402*INDEX('Position_Rubric'!$F$6:$F$14,M1402)+I1402*INDEX('Position_Rubric'!$G$6:$G$14,M1402),1)))))</x:f>
        <x:v>Choose position</x:v>
      </x:c>
      <x:c r="K1402" s="82" t="str">
        <x:f>IF(AND(ISNUMBER(J1402),ISNUMBER(D1402)),J1402-D1402,"")</x:f>
      </x:c>
      <x:c r="L1402" s="69" t="str">
        <x:f>IF(COUNT(E1402:I1402)&lt;5,"Needs component scores",IF(ISNUMBER(J1402),"Calculated",J1402))</x:f>
        <x:v>Needs component scores</x:v>
      </x:c>
      <x:c r="M1402" s="69" t="str">
        <x:f>IF(C1402="","",MATCH(C1402,'Position_Rubric'!$A$6:$A$14,0))</x:f>
      </x:c>
      <x:c r="N1402" s="69" t="str"/>
    </x:row>
    <x:row r="1403" ht="25" customHeight="1">
      <x:c r="A1403" s="69" t="str">
        <x:v>summer-S26-1031</x:v>
      </x:c>
      <x:c r="B1403" s="69" t="str">
        <x:v>Zion Suzuki</x:v>
      </x:c>
      <x:c r="C1403" s="69" t="str">
        <x:v>GK</x:v>
      </x:c>
      <x:c r="D1403" s="82" t="str">
        <x:f>IF(ISNUMBER('Transfer_Ratings'!K1403),'Transfer_Ratings'!K1403,"")</x:f>
      </x:c>
      <x:c r="E1403" s="86"/>
      <x:c r="F1403" s="86"/>
      <x:c r="G1403" s="86"/>
      <x:c r="H1403" s="86"/>
      <x:c r="I1403" s="86"/>
      <x:c r="J1403" s="82" t="str">
        <x:f>IF(C1403="","Choose position",IF(COUNT(E1403:I1403)&lt;5,"",IF(OR(MIN(E1403:I1403)&lt;0.1,MAX(E1403:I1403)&gt;10),"Invalid score",IF(INDEX('Position_Rubric'!$H$6:$H$14,M1403)&lt;&gt;1,"Check weights",ROUND(E1403*INDEX('Position_Rubric'!$C$6:$C$14,M1403)+F1403*INDEX('Position_Rubric'!$D$6:$D$14,M1403)+G1403*INDEX('Position_Rubric'!$E$6:$E$14,M1403)+H1403*INDEX('Position_Rubric'!$F$6:$F$14,M1403)+I1403*INDEX('Position_Rubric'!$G$6:$G$14,M1403),1)))))</x:f>
      </x:c>
      <x:c r="K1403" s="82" t="str">
        <x:f>IF(AND(ISNUMBER(J1403),ISNUMBER(D1403)),J1403-D1403,"")</x:f>
      </x:c>
      <x:c r="L1403" s="69" t="str">
        <x:f>IF(COUNT(E1403:I1403)&lt;5,"Needs component scores",IF(ISNUMBER(J1403),"Calculated",J1403))</x:f>
        <x:v>Needs component scores</x:v>
      </x:c>
      <x:c r="M1403" s="69" t="n">
        <x:f>IF(C1403="","",MATCH(C1403,'Position_Rubric'!$A$6:$A$14,0))</x:f>
        <x:v>9</x:v>
      </x:c>
      <x:c r="N1403" s="69" t="str"/>
    </x:row>
    <x:row r="1404" ht="25" customHeight="1">
      <x:c r="A1404" s="69" t="str">
        <x:v>summer-S26-1032</x:v>
      </x:c>
      <x:c r="B1404" s="69" t="str">
        <x:v>Matteo Ruggeri</x:v>
      </x:c>
      <x:c r="C1404" s="69"/>
      <x:c r="D1404" s="82" t="str">
        <x:f>IF(ISNUMBER('Transfer_Ratings'!K1404),'Transfer_Ratings'!K1404,"")</x:f>
      </x:c>
      <x:c r="E1404" s="86"/>
      <x:c r="F1404" s="86"/>
      <x:c r="G1404" s="86"/>
      <x:c r="H1404" s="86"/>
      <x:c r="I1404" s="86"/>
      <x:c r="J1404" s="82" t="str">
        <x:f>IF(C1404="","Choose position",IF(COUNT(E1404:I1404)&lt;5,"",IF(OR(MIN(E1404:I1404)&lt;0.1,MAX(E1404:I1404)&gt;10),"Invalid score",IF(INDEX('Position_Rubric'!$H$6:$H$14,M1404)&lt;&gt;1,"Check weights",ROUND(E1404*INDEX('Position_Rubric'!$C$6:$C$14,M1404)+F1404*INDEX('Position_Rubric'!$D$6:$D$14,M1404)+G1404*INDEX('Position_Rubric'!$E$6:$E$14,M1404)+H1404*INDEX('Position_Rubric'!$F$6:$F$14,M1404)+I1404*INDEX('Position_Rubric'!$G$6:$G$14,M1404),1)))))</x:f>
        <x:v>Choose position</x:v>
      </x:c>
      <x:c r="K1404" s="82" t="str">
        <x:f>IF(AND(ISNUMBER(J1404),ISNUMBER(D1404)),J1404-D1404,"")</x:f>
      </x:c>
      <x:c r="L1404" s="69" t="str">
        <x:f>IF(COUNT(E1404:I1404)&lt;5,"Needs component scores",IF(ISNUMBER(J1404),"Calculated",J1404))</x:f>
        <x:v>Needs component scores</x:v>
      </x:c>
      <x:c r="M1404" s="69" t="str">
        <x:f>IF(C1404="","",MATCH(C1404,'Position_Rubric'!$A$6:$A$14,0))</x:f>
      </x:c>
      <x:c r="N1404" s="69" t="str"/>
    </x:row>
    <x:row r="1405" ht="25" customHeight="1">
      <x:c r="A1405" s="69" t="str">
        <x:v>summer-S26-1033</x:v>
      </x:c>
      <x:c r="B1405" s="69" t="str">
        <x:v>Sebastiaan Bornauw</x:v>
      </x:c>
      <x:c r="C1405" s="69"/>
      <x:c r="D1405" s="82" t="str">
        <x:f>IF(ISNUMBER('Transfer_Ratings'!K1405),'Transfer_Ratings'!K1405,"")</x:f>
      </x:c>
      <x:c r="E1405" s="86"/>
      <x:c r="F1405" s="86"/>
      <x:c r="G1405" s="86"/>
      <x:c r="H1405" s="86"/>
      <x:c r="I1405" s="86"/>
      <x:c r="J1405" s="82" t="str">
        <x:f>IF(C1405="","Choose position",IF(COUNT(E1405:I1405)&lt;5,"",IF(OR(MIN(E1405:I1405)&lt;0.1,MAX(E1405:I1405)&gt;10),"Invalid score",IF(INDEX('Position_Rubric'!$H$6:$H$14,M1405)&lt;&gt;1,"Check weights",ROUND(E1405*INDEX('Position_Rubric'!$C$6:$C$14,M1405)+F1405*INDEX('Position_Rubric'!$D$6:$D$14,M1405)+G1405*INDEX('Position_Rubric'!$E$6:$E$14,M1405)+H1405*INDEX('Position_Rubric'!$F$6:$F$14,M1405)+I1405*INDEX('Position_Rubric'!$G$6:$G$14,M1405),1)))))</x:f>
        <x:v>Choose position</x:v>
      </x:c>
      <x:c r="K1405" s="82" t="str">
        <x:f>IF(AND(ISNUMBER(J1405),ISNUMBER(D1405)),J1405-D1405,"")</x:f>
      </x:c>
      <x:c r="L1405" s="69" t="str">
        <x:f>IF(COUNT(E1405:I1405)&lt;5,"Needs component scores",IF(ISNUMBER(J1405),"Calculated",J1405))</x:f>
        <x:v>Needs component scores</x:v>
      </x:c>
      <x:c r="M1405" s="69" t="str">
        <x:f>IF(C1405="","",MATCH(C1405,'Position_Rubric'!$A$6:$A$14,0))</x:f>
      </x:c>
      <x:c r="N1405" s="69" t="str"/>
    </x:row>
    <x:row r="1406" ht="25" customHeight="1">
      <x:c r="A1406" s="69" t="str">
        <x:v>summer-S26-1034</x:v>
      </x:c>
      <x:c r="B1406" s="69" t="str">
        <x:v>Michael Aebischer</x:v>
      </x:c>
      <x:c r="C1406" s="69"/>
      <x:c r="D1406" s="82" t="str">
        <x:f>IF(ISNUMBER('Transfer_Ratings'!K1406),'Transfer_Ratings'!K1406,"")</x:f>
      </x:c>
      <x:c r="E1406" s="86"/>
      <x:c r="F1406" s="86"/>
      <x:c r="G1406" s="86"/>
      <x:c r="H1406" s="86"/>
      <x:c r="I1406" s="86"/>
      <x:c r="J1406" s="82" t="str">
        <x:f>IF(C1406="","Choose position",IF(COUNT(E1406:I1406)&lt;5,"",IF(OR(MIN(E1406:I1406)&lt;0.1,MAX(E1406:I1406)&gt;10),"Invalid score",IF(INDEX('Position_Rubric'!$H$6:$H$14,M1406)&lt;&gt;1,"Check weights",ROUND(E1406*INDEX('Position_Rubric'!$C$6:$C$14,M1406)+F1406*INDEX('Position_Rubric'!$D$6:$D$14,M1406)+G1406*INDEX('Position_Rubric'!$E$6:$E$14,M1406)+H1406*INDEX('Position_Rubric'!$F$6:$F$14,M1406)+I1406*INDEX('Position_Rubric'!$G$6:$G$14,M1406),1)))))</x:f>
        <x:v>Choose position</x:v>
      </x:c>
      <x:c r="K1406" s="82" t="str">
        <x:f>IF(AND(ISNUMBER(J1406),ISNUMBER(D1406)),J1406-D1406,"")</x:f>
      </x:c>
      <x:c r="L1406" s="69" t="str">
        <x:f>IF(COUNT(E1406:I1406)&lt;5,"Needs component scores",IF(ISNUMBER(J1406),"Calculated",J1406))</x:f>
        <x:v>Needs component scores</x:v>
      </x:c>
      <x:c r="M1406" s="69" t="str">
        <x:f>IF(C1406="","",MATCH(C1406,'Position_Rubric'!$A$6:$A$14,0))</x:f>
      </x:c>
      <x:c r="N1406" s="69" t="str"/>
    </x:row>
    <x:row r="1407" ht="25" customHeight="1">
      <x:c r="A1407" s="69" t="str">
        <x:v>summer-S26-1035</x:v>
      </x:c>
      <x:c r="B1407" s="69" t="str">
        <x:v>Rodrigo Mora</x:v>
      </x:c>
      <x:c r="C1407" s="69"/>
      <x:c r="D1407" s="82" t="str">
        <x:f>IF(ISNUMBER('Transfer_Ratings'!K1407),'Transfer_Ratings'!K1407,"")</x:f>
      </x:c>
      <x:c r="E1407" s="86"/>
      <x:c r="F1407" s="86"/>
      <x:c r="G1407" s="86"/>
      <x:c r="H1407" s="86"/>
      <x:c r="I1407" s="86"/>
      <x:c r="J1407" s="82" t="str">
        <x:f>IF(C1407="","Choose position",IF(COUNT(E1407:I1407)&lt;5,"",IF(OR(MIN(E1407:I1407)&lt;0.1,MAX(E1407:I1407)&gt;10),"Invalid score",IF(INDEX('Position_Rubric'!$H$6:$H$14,M1407)&lt;&gt;1,"Check weights",ROUND(E1407*INDEX('Position_Rubric'!$C$6:$C$14,M1407)+F1407*INDEX('Position_Rubric'!$D$6:$D$14,M1407)+G1407*INDEX('Position_Rubric'!$E$6:$E$14,M1407)+H1407*INDEX('Position_Rubric'!$F$6:$F$14,M1407)+I1407*INDEX('Position_Rubric'!$G$6:$G$14,M1407),1)))))</x:f>
        <x:v>Choose position</x:v>
      </x:c>
      <x:c r="K1407" s="82" t="str">
        <x:f>IF(AND(ISNUMBER(J1407),ISNUMBER(D1407)),J1407-D1407,"")</x:f>
      </x:c>
      <x:c r="L1407" s="69" t="str">
        <x:f>IF(COUNT(E1407:I1407)&lt;5,"Needs component scores",IF(ISNUMBER(J1407),"Calculated",J1407))</x:f>
        <x:v>Needs component scores</x:v>
      </x:c>
      <x:c r="M1407" s="69" t="str">
        <x:f>IF(C1407="","",MATCH(C1407,'Position_Rubric'!$A$6:$A$14,0))</x:f>
      </x:c>
      <x:c r="N1407" s="69" t="str"/>
    </x:row>
    <x:row r="1408" ht="25" customHeight="1">
      <x:c r="A1408" s="69" t="str">
        <x:v>summer-S26-1036</x:v>
      </x:c>
      <x:c r="B1408" s="69" t="str">
        <x:v>Nico Elvedi</x:v>
      </x:c>
      <x:c r="C1408" s="69"/>
      <x:c r="D1408" s="82" t="str">
        <x:f>IF(ISNUMBER('Transfer_Ratings'!K1408),'Transfer_Ratings'!K1408,"")</x:f>
      </x:c>
      <x:c r="E1408" s="86"/>
      <x:c r="F1408" s="86"/>
      <x:c r="G1408" s="86"/>
      <x:c r="H1408" s="86"/>
      <x:c r="I1408" s="86"/>
      <x:c r="J1408" s="82" t="str">
        <x:f>IF(C1408="","Choose position",IF(COUNT(E1408:I1408)&lt;5,"",IF(OR(MIN(E1408:I1408)&lt;0.1,MAX(E1408:I1408)&gt;10),"Invalid score",IF(INDEX('Position_Rubric'!$H$6:$H$14,M1408)&lt;&gt;1,"Check weights",ROUND(E1408*INDEX('Position_Rubric'!$C$6:$C$14,M1408)+F1408*INDEX('Position_Rubric'!$D$6:$D$14,M1408)+G1408*INDEX('Position_Rubric'!$E$6:$E$14,M1408)+H1408*INDEX('Position_Rubric'!$F$6:$F$14,M1408)+I1408*INDEX('Position_Rubric'!$G$6:$G$14,M1408),1)))))</x:f>
        <x:v>Choose position</x:v>
      </x:c>
      <x:c r="K1408" s="82" t="str">
        <x:f>IF(AND(ISNUMBER(J1408),ISNUMBER(D1408)),J1408-D1408,"")</x:f>
      </x:c>
      <x:c r="L1408" s="69" t="str">
        <x:f>IF(COUNT(E1408:I1408)&lt;5,"Needs component scores",IF(ISNUMBER(J1408),"Calculated",J1408))</x:f>
        <x:v>Needs component scores</x:v>
      </x:c>
      <x:c r="M1408" s="69" t="str">
        <x:f>IF(C1408="","",MATCH(C1408,'Position_Rubric'!$A$6:$A$14,0))</x:f>
      </x:c>
      <x:c r="N1408" s="69" t="str"/>
    </x:row>
    <x:row r="1409" ht="25" customHeight="1">
      <x:c r="A1409" s="69" t="str">
        <x:v>summer-S26-1038</x:v>
      </x:c>
      <x:c r="B1409" s="69" t="str">
        <x:v>Thomas Jørgensen</x:v>
      </x:c>
      <x:c r="C1409" s="69"/>
      <x:c r="D1409" s="82" t="str">
        <x:f>IF(ISNUMBER('Transfer_Ratings'!K1409),'Transfer_Ratings'!K1409,"")</x:f>
      </x:c>
      <x:c r="E1409" s="86"/>
      <x:c r="F1409" s="86"/>
      <x:c r="G1409" s="86"/>
      <x:c r="H1409" s="86"/>
      <x:c r="I1409" s="86"/>
      <x:c r="J1409" s="82" t="str">
        <x:f>IF(C1409="","Choose position",IF(COUNT(E1409:I1409)&lt;5,"",IF(OR(MIN(E1409:I1409)&lt;0.1,MAX(E1409:I1409)&gt;10),"Invalid score",IF(INDEX('Position_Rubric'!$H$6:$H$14,M1409)&lt;&gt;1,"Check weights",ROUND(E1409*INDEX('Position_Rubric'!$C$6:$C$14,M1409)+F1409*INDEX('Position_Rubric'!$D$6:$D$14,M1409)+G1409*INDEX('Position_Rubric'!$E$6:$E$14,M1409)+H1409*INDEX('Position_Rubric'!$F$6:$F$14,M1409)+I1409*INDEX('Position_Rubric'!$G$6:$G$14,M1409),1)))))</x:f>
        <x:v>Choose position</x:v>
      </x:c>
      <x:c r="K1409" s="82" t="str">
        <x:f>IF(AND(ISNUMBER(J1409),ISNUMBER(D1409)),J1409-D1409,"")</x:f>
      </x:c>
      <x:c r="L1409" s="69" t="str">
        <x:f>IF(COUNT(E1409:I1409)&lt;5,"Needs component scores",IF(ISNUMBER(J1409),"Calculated",J1409))</x:f>
        <x:v>Needs component scores</x:v>
      </x:c>
      <x:c r="M1409" s="69" t="str">
        <x:f>IF(C1409="","",MATCH(C1409,'Position_Rubric'!$A$6:$A$14,0))</x:f>
      </x:c>
      <x:c r="N1409" s="69" t="str"/>
    </x:row>
    <x:row r="1410" ht="25" customHeight="1">
      <x:c r="A1410" s="69" t="str">
        <x:v>summer-S26-1039</x:v>
      </x:c>
      <x:c r="B1410" s="69" t="str">
        <x:v>Lorenzo Montipò</x:v>
      </x:c>
      <x:c r="C1410" s="69" t="str">
        <x:v>GK</x:v>
      </x:c>
      <x:c r="D1410" s="82" t="str">
        <x:f>IF(ISNUMBER('Transfer_Ratings'!K1410),'Transfer_Ratings'!K1410,"")</x:f>
      </x:c>
      <x:c r="E1410" s="86"/>
      <x:c r="F1410" s="86"/>
      <x:c r="G1410" s="86"/>
      <x:c r="H1410" s="86"/>
      <x:c r="I1410" s="86"/>
      <x:c r="J1410" s="82" t="str">
        <x:f>IF(C1410="","Choose position",IF(COUNT(E1410:I1410)&lt;5,"",IF(OR(MIN(E1410:I1410)&lt;0.1,MAX(E1410:I1410)&gt;10),"Invalid score",IF(INDEX('Position_Rubric'!$H$6:$H$14,M1410)&lt;&gt;1,"Check weights",ROUND(E1410*INDEX('Position_Rubric'!$C$6:$C$14,M1410)+F1410*INDEX('Position_Rubric'!$D$6:$D$14,M1410)+G1410*INDEX('Position_Rubric'!$E$6:$E$14,M1410)+H1410*INDEX('Position_Rubric'!$F$6:$F$14,M1410)+I1410*INDEX('Position_Rubric'!$G$6:$G$14,M1410),1)))))</x:f>
      </x:c>
      <x:c r="K1410" s="82" t="str">
        <x:f>IF(AND(ISNUMBER(J1410),ISNUMBER(D1410)),J1410-D1410,"")</x:f>
      </x:c>
      <x:c r="L1410" s="69" t="str">
        <x:f>IF(COUNT(E1410:I1410)&lt;5,"Needs component scores",IF(ISNUMBER(J1410),"Calculated",J1410))</x:f>
        <x:v>Needs component scores</x:v>
      </x:c>
      <x:c r="M1410" s="69" t="n">
        <x:f>IF(C1410="","",MATCH(C1410,'Position_Rubric'!$A$6:$A$14,0))</x:f>
        <x:v>9</x:v>
      </x:c>
      <x:c r="N1410" s="69" t="str"/>
    </x:row>
    <x:row r="1411" ht="25" customHeight="1">
      <x:c r="A1411" s="69" t="str">
        <x:v>summer-S26-1041</x:v>
      </x:c>
      <x:c r="B1411" s="69" t="str">
        <x:v>Tijjani Reijnders</x:v>
      </x:c>
      <x:c r="C1411" s="69"/>
      <x:c r="D1411" s="82" t="str">
        <x:f>IF(ISNUMBER('Transfer_Ratings'!K1411),'Transfer_Ratings'!K1411,"")</x:f>
      </x:c>
      <x:c r="E1411" s="86"/>
      <x:c r="F1411" s="86"/>
      <x:c r="G1411" s="86"/>
      <x:c r="H1411" s="86"/>
      <x:c r="I1411" s="86"/>
      <x:c r="J1411" s="82" t="str">
        <x:f>IF(C1411="","Choose position",IF(COUNT(E1411:I1411)&lt;5,"",IF(OR(MIN(E1411:I1411)&lt;0.1,MAX(E1411:I1411)&gt;10),"Invalid score",IF(INDEX('Position_Rubric'!$H$6:$H$14,M1411)&lt;&gt;1,"Check weights",ROUND(E1411*INDEX('Position_Rubric'!$C$6:$C$14,M1411)+F1411*INDEX('Position_Rubric'!$D$6:$D$14,M1411)+G1411*INDEX('Position_Rubric'!$E$6:$E$14,M1411)+H1411*INDEX('Position_Rubric'!$F$6:$F$14,M1411)+I1411*INDEX('Position_Rubric'!$G$6:$G$14,M1411),1)))))</x:f>
        <x:v>Choose position</x:v>
      </x:c>
      <x:c r="K1411" s="82" t="str">
        <x:f>IF(AND(ISNUMBER(J1411),ISNUMBER(D1411)),J1411-D1411,"")</x:f>
      </x:c>
      <x:c r="L1411" s="69" t="str">
        <x:f>IF(COUNT(E1411:I1411)&lt;5,"Needs component scores",IF(ISNUMBER(J1411),"Calculated",J1411))</x:f>
        <x:v>Needs component scores</x:v>
      </x:c>
      <x:c r="M1411" s="69" t="str">
        <x:f>IF(C1411="","",MATCH(C1411,'Position_Rubric'!$A$6:$A$14,0))</x:f>
      </x:c>
      <x:c r="N1411" s="69" t="str"/>
    </x:row>
    <x:row r="1412" ht="25" customHeight="1">
      <x:c r="A1412" s="69" t="str">
        <x:v>summer-S26-1042</x:v>
      </x:c>
      <x:c r="B1412" s="69" t="str">
        <x:v>Diego Moreira</x:v>
      </x:c>
      <x:c r="C1412" s="69"/>
      <x:c r="D1412" s="82" t="str">
        <x:f>IF(ISNUMBER('Transfer_Ratings'!K1412),'Transfer_Ratings'!K1412,"")</x:f>
      </x:c>
      <x:c r="E1412" s="86"/>
      <x:c r="F1412" s="86"/>
      <x:c r="G1412" s="86"/>
      <x:c r="H1412" s="86"/>
      <x:c r="I1412" s="86"/>
      <x:c r="J1412" s="82" t="str">
        <x:f>IF(C1412="","Choose position",IF(COUNT(E1412:I1412)&lt;5,"",IF(OR(MIN(E1412:I1412)&lt;0.1,MAX(E1412:I1412)&gt;10),"Invalid score",IF(INDEX('Position_Rubric'!$H$6:$H$14,M1412)&lt;&gt;1,"Check weights",ROUND(E1412*INDEX('Position_Rubric'!$C$6:$C$14,M1412)+F1412*INDEX('Position_Rubric'!$D$6:$D$14,M1412)+G1412*INDEX('Position_Rubric'!$E$6:$E$14,M1412)+H1412*INDEX('Position_Rubric'!$F$6:$F$14,M1412)+I1412*INDEX('Position_Rubric'!$G$6:$G$14,M1412),1)))))</x:f>
        <x:v>Choose position</x:v>
      </x:c>
      <x:c r="K1412" s="82" t="str">
        <x:f>IF(AND(ISNUMBER(J1412),ISNUMBER(D1412)),J1412-D1412,"")</x:f>
      </x:c>
      <x:c r="L1412" s="69" t="str">
        <x:f>IF(COUNT(E1412:I1412)&lt;5,"Needs component scores",IF(ISNUMBER(J1412),"Calculated",J1412))</x:f>
        <x:v>Needs component scores</x:v>
      </x:c>
      <x:c r="M1412" s="69" t="str">
        <x:f>IF(C1412="","",MATCH(C1412,'Position_Rubric'!$A$6:$A$14,0))</x:f>
      </x:c>
      <x:c r="N1412" s="69" t="str"/>
    </x:row>
    <x:row r="1413" ht="25" customHeight="1">
      <x:c r="A1413" s="69" t="str">
        <x:v>summer-S26-1043</x:v>
      </x:c>
      <x:c r="B1413" s="69" t="str">
        <x:v>Jordan James</x:v>
      </x:c>
      <x:c r="C1413" s="69"/>
      <x:c r="D1413" s="82" t="str">
        <x:f>IF(ISNUMBER('Transfer_Ratings'!K1413),'Transfer_Ratings'!K1413,"")</x:f>
      </x:c>
      <x:c r="E1413" s="86"/>
      <x:c r="F1413" s="86"/>
      <x:c r="G1413" s="86"/>
      <x:c r="H1413" s="86"/>
      <x:c r="I1413" s="86"/>
      <x:c r="J1413" s="82" t="str">
        <x:f>IF(C1413="","Choose position",IF(COUNT(E1413:I1413)&lt;5,"",IF(OR(MIN(E1413:I1413)&lt;0.1,MAX(E1413:I1413)&gt;10),"Invalid score",IF(INDEX('Position_Rubric'!$H$6:$H$14,M1413)&lt;&gt;1,"Check weights",ROUND(E1413*INDEX('Position_Rubric'!$C$6:$C$14,M1413)+F1413*INDEX('Position_Rubric'!$D$6:$D$14,M1413)+G1413*INDEX('Position_Rubric'!$E$6:$E$14,M1413)+H1413*INDEX('Position_Rubric'!$F$6:$F$14,M1413)+I1413*INDEX('Position_Rubric'!$G$6:$G$14,M1413),1)))))</x:f>
        <x:v>Choose position</x:v>
      </x:c>
      <x:c r="K1413" s="82" t="str">
        <x:f>IF(AND(ISNUMBER(J1413),ISNUMBER(D1413)),J1413-D1413,"")</x:f>
      </x:c>
      <x:c r="L1413" s="69" t="str">
        <x:f>IF(COUNT(E1413:I1413)&lt;5,"Needs component scores",IF(ISNUMBER(J1413),"Calculated",J1413))</x:f>
        <x:v>Needs component scores</x:v>
      </x:c>
      <x:c r="M1413" s="69" t="str">
        <x:f>IF(C1413="","",MATCH(C1413,'Position_Rubric'!$A$6:$A$14,0))</x:f>
      </x:c>
      <x:c r="N1413" s="69" t="str"/>
    </x:row>
    <x:row r="1414" ht="25" customHeight="1">
      <x:c r="A1414" s="69" t="str">
        <x:v>summer-S26-1045</x:v>
      </x:c>
      <x:c r="B1414" s="69" t="str">
        <x:v>Ko Itakura</x:v>
      </x:c>
      <x:c r="C1414" s="69"/>
      <x:c r="D1414" s="82" t="str">
        <x:f>IF(ISNUMBER('Transfer_Ratings'!K1414),'Transfer_Ratings'!K1414,"")</x:f>
      </x:c>
      <x:c r="E1414" s="86"/>
      <x:c r="F1414" s="86"/>
      <x:c r="G1414" s="86"/>
      <x:c r="H1414" s="86"/>
      <x:c r="I1414" s="86"/>
      <x:c r="J1414" s="82" t="str">
        <x:f>IF(C1414="","Choose position",IF(COUNT(E1414:I1414)&lt;5,"",IF(OR(MIN(E1414:I1414)&lt;0.1,MAX(E1414:I1414)&gt;10),"Invalid score",IF(INDEX('Position_Rubric'!$H$6:$H$14,M1414)&lt;&gt;1,"Check weights",ROUND(E1414*INDEX('Position_Rubric'!$C$6:$C$14,M1414)+F1414*INDEX('Position_Rubric'!$D$6:$D$14,M1414)+G1414*INDEX('Position_Rubric'!$E$6:$E$14,M1414)+H1414*INDEX('Position_Rubric'!$F$6:$F$14,M1414)+I1414*INDEX('Position_Rubric'!$G$6:$G$14,M1414),1)))))</x:f>
        <x:v>Choose position</x:v>
      </x:c>
      <x:c r="K1414" s="82" t="str">
        <x:f>IF(AND(ISNUMBER(J1414),ISNUMBER(D1414)),J1414-D1414,"")</x:f>
      </x:c>
      <x:c r="L1414" s="69" t="str">
        <x:f>IF(COUNT(E1414:I1414)&lt;5,"Needs component scores",IF(ISNUMBER(J1414),"Calculated",J1414))</x:f>
        <x:v>Needs component scores</x:v>
      </x:c>
      <x:c r="M1414" s="69" t="str">
        <x:f>IF(C1414="","",MATCH(C1414,'Position_Rubric'!$A$6:$A$14,0))</x:f>
      </x:c>
      <x:c r="N1414" s="69" t="str"/>
    </x:row>
    <x:row r="1415" ht="25" customHeight="1">
      <x:c r="A1415" s="69" t="str">
        <x:v>summer-S26-1046</x:v>
      </x:c>
      <x:c r="B1415" s="69" t="str">
        <x:v>Jonathan Norbye</x:v>
      </x:c>
      <x:c r="C1415" s="69"/>
      <x:c r="D1415" s="82" t="str">
        <x:f>IF(ISNUMBER('Transfer_Ratings'!K1415),'Transfer_Ratings'!K1415,"")</x:f>
      </x:c>
      <x:c r="E1415" s="86"/>
      <x:c r="F1415" s="86"/>
      <x:c r="G1415" s="86"/>
      <x:c r="H1415" s="86"/>
      <x:c r="I1415" s="86"/>
      <x:c r="J1415" s="82" t="str">
        <x:f>IF(C1415="","Choose position",IF(COUNT(E1415:I1415)&lt;5,"",IF(OR(MIN(E1415:I1415)&lt;0.1,MAX(E1415:I1415)&gt;10),"Invalid score",IF(INDEX('Position_Rubric'!$H$6:$H$14,M1415)&lt;&gt;1,"Check weights",ROUND(E1415*INDEX('Position_Rubric'!$C$6:$C$14,M1415)+F1415*INDEX('Position_Rubric'!$D$6:$D$14,M1415)+G1415*INDEX('Position_Rubric'!$E$6:$E$14,M1415)+H1415*INDEX('Position_Rubric'!$F$6:$F$14,M1415)+I1415*INDEX('Position_Rubric'!$G$6:$G$14,M1415),1)))))</x:f>
        <x:v>Choose position</x:v>
      </x:c>
      <x:c r="K1415" s="82" t="str">
        <x:f>IF(AND(ISNUMBER(J1415),ISNUMBER(D1415)),J1415-D1415,"")</x:f>
      </x:c>
      <x:c r="L1415" s="69" t="str">
        <x:f>IF(COUNT(E1415:I1415)&lt;5,"Needs component scores",IF(ISNUMBER(J1415),"Calculated",J1415))</x:f>
        <x:v>Needs component scores</x:v>
      </x:c>
      <x:c r="M1415" s="69" t="str">
        <x:f>IF(C1415="","",MATCH(C1415,'Position_Rubric'!$A$6:$A$14,0))</x:f>
      </x:c>
      <x:c r="N1415" s="69" t="str"/>
    </x:row>
    <x:row r="1416" ht="25" customHeight="1">
      <x:c r="A1416" s="69" t="str">
        <x:v>summer-S26-1047</x:v>
      </x:c>
      <x:c r="B1416" s="69" t="str">
        <x:v>João Cancelo</x:v>
      </x:c>
      <x:c r="C1416" s="69"/>
      <x:c r="D1416" s="82" t="str">
        <x:f>IF(ISNUMBER('Transfer_Ratings'!K1416),'Transfer_Ratings'!K1416,"")</x:f>
      </x:c>
      <x:c r="E1416" s="86"/>
      <x:c r="F1416" s="86"/>
      <x:c r="G1416" s="86"/>
      <x:c r="H1416" s="86"/>
      <x:c r="I1416" s="86"/>
      <x:c r="J1416" s="82" t="str">
        <x:f>IF(C1416="","Choose position",IF(COUNT(E1416:I1416)&lt;5,"",IF(OR(MIN(E1416:I1416)&lt;0.1,MAX(E1416:I1416)&gt;10),"Invalid score",IF(INDEX('Position_Rubric'!$H$6:$H$14,M1416)&lt;&gt;1,"Check weights",ROUND(E1416*INDEX('Position_Rubric'!$C$6:$C$14,M1416)+F1416*INDEX('Position_Rubric'!$D$6:$D$14,M1416)+G1416*INDEX('Position_Rubric'!$E$6:$E$14,M1416)+H1416*INDEX('Position_Rubric'!$F$6:$F$14,M1416)+I1416*INDEX('Position_Rubric'!$G$6:$G$14,M1416),1)))))</x:f>
        <x:v>Choose position</x:v>
      </x:c>
      <x:c r="K1416" s="82" t="str">
        <x:f>IF(AND(ISNUMBER(J1416),ISNUMBER(D1416)),J1416-D1416,"")</x:f>
      </x:c>
      <x:c r="L1416" s="69" t="str">
        <x:f>IF(COUNT(E1416:I1416)&lt;5,"Needs component scores",IF(ISNUMBER(J1416),"Calculated",J1416))</x:f>
        <x:v>Needs component scores</x:v>
      </x:c>
      <x:c r="M1416" s="69" t="str">
        <x:f>IF(C1416="","",MATCH(C1416,'Position_Rubric'!$A$6:$A$14,0))</x:f>
      </x:c>
      <x:c r="N1416" s="69" t="str"/>
    </x:row>
    <x:row r="1417" ht="25" customHeight="1">
      <x:c r="A1417" s="69" t="str">
        <x:v>summer-S26-1049</x:v>
      </x:c>
      <x:c r="B1417" s="69" t="str">
        <x:v>Pablo Maffeo</x:v>
      </x:c>
      <x:c r="C1417" s="69"/>
      <x:c r="D1417" s="82" t="str">
        <x:f>IF(ISNUMBER('Transfer_Ratings'!K1417),'Transfer_Ratings'!K1417,"")</x:f>
      </x:c>
      <x:c r="E1417" s="86"/>
      <x:c r="F1417" s="86"/>
      <x:c r="G1417" s="86"/>
      <x:c r="H1417" s="86"/>
      <x:c r="I1417" s="86"/>
      <x:c r="J1417" s="82" t="str">
        <x:f>IF(C1417="","Choose position",IF(COUNT(E1417:I1417)&lt;5,"",IF(OR(MIN(E1417:I1417)&lt;0.1,MAX(E1417:I1417)&gt;10),"Invalid score",IF(INDEX('Position_Rubric'!$H$6:$H$14,M1417)&lt;&gt;1,"Check weights",ROUND(E1417*INDEX('Position_Rubric'!$C$6:$C$14,M1417)+F1417*INDEX('Position_Rubric'!$D$6:$D$14,M1417)+G1417*INDEX('Position_Rubric'!$E$6:$E$14,M1417)+H1417*INDEX('Position_Rubric'!$F$6:$F$14,M1417)+I1417*INDEX('Position_Rubric'!$G$6:$G$14,M1417),1)))))</x:f>
        <x:v>Choose position</x:v>
      </x:c>
      <x:c r="K1417" s="82" t="str">
        <x:f>IF(AND(ISNUMBER(J1417),ISNUMBER(D1417)),J1417-D1417,"")</x:f>
      </x:c>
      <x:c r="L1417" s="69" t="str">
        <x:f>IF(COUNT(E1417:I1417)&lt;5,"Needs component scores",IF(ISNUMBER(J1417),"Calculated",J1417))</x:f>
        <x:v>Needs component scores</x:v>
      </x:c>
      <x:c r="M1417" s="69" t="str">
        <x:f>IF(C1417="","",MATCH(C1417,'Position_Rubric'!$A$6:$A$14,0))</x:f>
      </x:c>
      <x:c r="N1417" s="69" t="str"/>
    </x:row>
    <x:row r="1418" ht="25" customHeight="1">
      <x:c r="A1418" s="69" t="str">
        <x:v>summer-S26-1051</x:v>
      </x:c>
      <x:c r="B1418" s="69" t="str">
        <x:v>Aaron Wan-Bissaka</x:v>
      </x:c>
      <x:c r="C1418" s="69"/>
      <x:c r="D1418" s="82" t="str">
        <x:f>IF(ISNUMBER('Transfer_Ratings'!K1418),'Transfer_Ratings'!K1418,"")</x:f>
      </x:c>
      <x:c r="E1418" s="86"/>
      <x:c r="F1418" s="86"/>
      <x:c r="G1418" s="86"/>
      <x:c r="H1418" s="86"/>
      <x:c r="I1418" s="86"/>
      <x:c r="J1418" s="82" t="str">
        <x:f>IF(C1418="","Choose position",IF(COUNT(E1418:I1418)&lt;5,"",IF(OR(MIN(E1418:I1418)&lt;0.1,MAX(E1418:I1418)&gt;10),"Invalid score",IF(INDEX('Position_Rubric'!$H$6:$H$14,M1418)&lt;&gt;1,"Check weights",ROUND(E1418*INDEX('Position_Rubric'!$C$6:$C$14,M1418)+F1418*INDEX('Position_Rubric'!$D$6:$D$14,M1418)+G1418*INDEX('Position_Rubric'!$E$6:$E$14,M1418)+H1418*INDEX('Position_Rubric'!$F$6:$F$14,M1418)+I1418*INDEX('Position_Rubric'!$G$6:$G$14,M1418),1)))))</x:f>
        <x:v>Choose position</x:v>
      </x:c>
      <x:c r="K1418" s="82" t="str">
        <x:f>IF(AND(ISNUMBER(J1418),ISNUMBER(D1418)),J1418-D1418,"")</x:f>
      </x:c>
      <x:c r="L1418" s="69" t="str">
        <x:f>IF(COUNT(E1418:I1418)&lt;5,"Needs component scores",IF(ISNUMBER(J1418),"Calculated",J1418))</x:f>
        <x:v>Needs component scores</x:v>
      </x:c>
      <x:c r="M1418" s="69" t="str">
        <x:f>IF(C1418="","",MATCH(C1418,'Position_Rubric'!$A$6:$A$14,0))</x:f>
      </x:c>
      <x:c r="N1418" s="69" t="str"/>
    </x:row>
    <x:row r="1419" ht="25" customHeight="1">
      <x:c r="A1419" s="69" t="str">
        <x:v>summer-S26-1053</x:v>
      </x:c>
      <x:c r="B1419" s="69" t="str">
        <x:v>Dan Bentley</x:v>
      </x:c>
      <x:c r="C1419" s="69" t="str">
        <x:v>GK</x:v>
      </x:c>
      <x:c r="D1419" s="82" t="str">
        <x:f>IF(ISNUMBER('Transfer_Ratings'!K1419),'Transfer_Ratings'!K1419,"")</x:f>
      </x:c>
      <x:c r="E1419" s="86"/>
      <x:c r="F1419" s="86"/>
      <x:c r="G1419" s="86"/>
      <x:c r="H1419" s="86"/>
      <x:c r="I1419" s="86"/>
      <x:c r="J1419" s="82" t="str">
        <x:f>IF(C1419="","Choose position",IF(COUNT(E1419:I1419)&lt;5,"",IF(OR(MIN(E1419:I1419)&lt;0.1,MAX(E1419:I1419)&gt;10),"Invalid score",IF(INDEX('Position_Rubric'!$H$6:$H$14,M1419)&lt;&gt;1,"Check weights",ROUND(E1419*INDEX('Position_Rubric'!$C$6:$C$14,M1419)+F1419*INDEX('Position_Rubric'!$D$6:$D$14,M1419)+G1419*INDEX('Position_Rubric'!$E$6:$E$14,M1419)+H1419*INDEX('Position_Rubric'!$F$6:$F$14,M1419)+I1419*INDEX('Position_Rubric'!$G$6:$G$14,M1419),1)))))</x:f>
      </x:c>
      <x:c r="K1419" s="82" t="str">
        <x:f>IF(AND(ISNUMBER(J1419),ISNUMBER(D1419)),J1419-D1419,"")</x:f>
      </x:c>
      <x:c r="L1419" s="69" t="str">
        <x:f>IF(COUNT(E1419:I1419)&lt;5,"Needs component scores",IF(ISNUMBER(J1419),"Calculated",J1419))</x:f>
        <x:v>Needs component scores</x:v>
      </x:c>
      <x:c r="M1419" s="69" t="n">
        <x:f>IF(C1419="","",MATCH(C1419,'Position_Rubric'!$A$6:$A$14,0))</x:f>
        <x:v>9</x:v>
      </x:c>
      <x:c r="N1419" s="69" t="str"/>
    </x:row>
    <x:row r="1420" ht="25" customHeight="1">
      <x:c r="A1420" s="69" t="str">
        <x:v>summer-S26-1054</x:v>
      </x:c>
      <x:c r="B1420" s="69" t="str">
        <x:v>Ben Johnson</x:v>
      </x:c>
      <x:c r="C1420" s="69"/>
      <x:c r="D1420" s="82" t="str">
        <x:f>IF(ISNUMBER('Transfer_Ratings'!K1420),'Transfer_Ratings'!K1420,"")</x:f>
      </x:c>
      <x:c r="E1420" s="86"/>
      <x:c r="F1420" s="86"/>
      <x:c r="G1420" s="86"/>
      <x:c r="H1420" s="86"/>
      <x:c r="I1420" s="86"/>
      <x:c r="J1420" s="82" t="str">
        <x:f>IF(C1420="","Choose position",IF(COUNT(E1420:I1420)&lt;5,"",IF(OR(MIN(E1420:I1420)&lt;0.1,MAX(E1420:I1420)&gt;10),"Invalid score",IF(INDEX('Position_Rubric'!$H$6:$H$14,M1420)&lt;&gt;1,"Check weights",ROUND(E1420*INDEX('Position_Rubric'!$C$6:$C$14,M1420)+F1420*INDEX('Position_Rubric'!$D$6:$D$14,M1420)+G1420*INDEX('Position_Rubric'!$E$6:$E$14,M1420)+H1420*INDEX('Position_Rubric'!$F$6:$F$14,M1420)+I1420*INDEX('Position_Rubric'!$G$6:$G$14,M1420),1)))))</x:f>
        <x:v>Choose position</x:v>
      </x:c>
      <x:c r="K1420" s="82" t="str">
        <x:f>IF(AND(ISNUMBER(J1420),ISNUMBER(D1420)),J1420-D1420,"")</x:f>
      </x:c>
      <x:c r="L1420" s="69" t="str">
        <x:f>IF(COUNT(E1420:I1420)&lt;5,"Needs component scores",IF(ISNUMBER(J1420),"Calculated",J1420))</x:f>
        <x:v>Needs component scores</x:v>
      </x:c>
      <x:c r="M1420" s="69" t="str">
        <x:f>IF(C1420="","",MATCH(C1420,'Position_Rubric'!$A$6:$A$14,0))</x:f>
      </x:c>
      <x:c r="N1420" s="69" t="str"/>
    </x:row>
    <x:row r="1421" ht="25" customHeight="1">
      <x:c r="A1421" s="69" t="str">
        <x:v>summer-S26-1057</x:v>
      </x:c>
      <x:c r="B1421" s="69" t="str">
        <x:v>Karim Coulibaly</x:v>
      </x:c>
      <x:c r="C1421" s="69"/>
      <x:c r="D1421" s="82" t="str">
        <x:f>IF(ISNUMBER('Transfer_Ratings'!K1421),'Transfer_Ratings'!K1421,"")</x:f>
      </x:c>
      <x:c r="E1421" s="86"/>
      <x:c r="F1421" s="86"/>
      <x:c r="G1421" s="86"/>
      <x:c r="H1421" s="86"/>
      <x:c r="I1421" s="86"/>
      <x:c r="J1421" s="82" t="str">
        <x:f>IF(C1421="","Choose position",IF(COUNT(E1421:I1421)&lt;5,"",IF(OR(MIN(E1421:I1421)&lt;0.1,MAX(E1421:I1421)&gt;10),"Invalid score",IF(INDEX('Position_Rubric'!$H$6:$H$14,M1421)&lt;&gt;1,"Check weights",ROUND(E1421*INDEX('Position_Rubric'!$C$6:$C$14,M1421)+F1421*INDEX('Position_Rubric'!$D$6:$D$14,M1421)+G1421*INDEX('Position_Rubric'!$E$6:$E$14,M1421)+H1421*INDEX('Position_Rubric'!$F$6:$F$14,M1421)+I1421*INDEX('Position_Rubric'!$G$6:$G$14,M1421),1)))))</x:f>
        <x:v>Choose position</x:v>
      </x:c>
      <x:c r="K1421" s="82" t="str">
        <x:f>IF(AND(ISNUMBER(J1421),ISNUMBER(D1421)),J1421-D1421,"")</x:f>
      </x:c>
      <x:c r="L1421" s="69" t="str">
        <x:f>IF(COUNT(E1421:I1421)&lt;5,"Needs component scores",IF(ISNUMBER(J1421),"Calculated",J1421))</x:f>
        <x:v>Needs component scores</x:v>
      </x:c>
      <x:c r="M1421" s="69" t="str">
        <x:f>IF(C1421="","",MATCH(C1421,'Position_Rubric'!$A$6:$A$14,0))</x:f>
      </x:c>
      <x:c r="N1421" s="69" t="str"/>
    </x:row>
    <x:row r="1422" ht="25" customHeight="1">
      <x:c r="A1422" s="69" t="str">
        <x:v>summer-S26-1059</x:v>
      </x:c>
      <x:c r="B1422" s="69" t="str">
        <x:v>Luke Harris</x:v>
      </x:c>
      <x:c r="C1422" s="69"/>
      <x:c r="D1422" s="82" t="str">
        <x:f>IF(ISNUMBER('Transfer_Ratings'!K1422),'Transfer_Ratings'!K1422,"")</x:f>
      </x:c>
      <x:c r="E1422" s="86"/>
      <x:c r="F1422" s="86"/>
      <x:c r="G1422" s="86"/>
      <x:c r="H1422" s="86"/>
      <x:c r="I1422" s="86"/>
      <x:c r="J1422" s="82" t="str">
        <x:f>IF(C1422="","Choose position",IF(COUNT(E1422:I1422)&lt;5,"",IF(OR(MIN(E1422:I1422)&lt;0.1,MAX(E1422:I1422)&gt;10),"Invalid score",IF(INDEX('Position_Rubric'!$H$6:$H$14,M1422)&lt;&gt;1,"Check weights",ROUND(E1422*INDEX('Position_Rubric'!$C$6:$C$14,M1422)+F1422*INDEX('Position_Rubric'!$D$6:$D$14,M1422)+G1422*INDEX('Position_Rubric'!$E$6:$E$14,M1422)+H1422*INDEX('Position_Rubric'!$F$6:$F$14,M1422)+I1422*INDEX('Position_Rubric'!$G$6:$G$14,M1422),1)))))</x:f>
        <x:v>Choose position</x:v>
      </x:c>
      <x:c r="K1422" s="82" t="str">
        <x:f>IF(AND(ISNUMBER(J1422),ISNUMBER(D1422)),J1422-D1422,"")</x:f>
      </x:c>
      <x:c r="L1422" s="69" t="str">
        <x:f>IF(COUNT(E1422:I1422)&lt;5,"Needs component scores",IF(ISNUMBER(J1422),"Calculated",J1422))</x:f>
        <x:v>Needs component scores</x:v>
      </x:c>
      <x:c r="M1422" s="69" t="str">
        <x:f>IF(C1422="","",MATCH(C1422,'Position_Rubric'!$A$6:$A$14,0))</x:f>
      </x:c>
      <x:c r="N1422" s="69" t="str"/>
    </x:row>
    <x:row r="1423" ht="25" customHeight="1">
      <x:c r="A1423" s="69" t="str">
        <x:v>summer-S26-1060</x:v>
      </x:c>
      <x:c r="B1423" s="69" t="str">
        <x:v>Elias Jelert</x:v>
      </x:c>
      <x:c r="C1423" s="69"/>
      <x:c r="D1423" s="82" t="str">
        <x:f>IF(ISNUMBER('Transfer_Ratings'!K1423),'Transfer_Ratings'!K1423,"")</x:f>
      </x:c>
      <x:c r="E1423" s="86"/>
      <x:c r="F1423" s="86"/>
      <x:c r="G1423" s="86"/>
      <x:c r="H1423" s="86"/>
      <x:c r="I1423" s="86"/>
      <x:c r="J1423" s="82" t="str">
        <x:f>IF(C1423="","Choose position",IF(COUNT(E1423:I1423)&lt;5,"",IF(OR(MIN(E1423:I1423)&lt;0.1,MAX(E1423:I1423)&gt;10),"Invalid score",IF(INDEX('Position_Rubric'!$H$6:$H$14,M1423)&lt;&gt;1,"Check weights",ROUND(E1423*INDEX('Position_Rubric'!$C$6:$C$14,M1423)+F1423*INDEX('Position_Rubric'!$D$6:$D$14,M1423)+G1423*INDEX('Position_Rubric'!$E$6:$E$14,M1423)+H1423*INDEX('Position_Rubric'!$F$6:$F$14,M1423)+I1423*INDEX('Position_Rubric'!$G$6:$G$14,M1423),1)))))</x:f>
        <x:v>Choose position</x:v>
      </x:c>
      <x:c r="K1423" s="82" t="str">
        <x:f>IF(AND(ISNUMBER(J1423),ISNUMBER(D1423)),J1423-D1423,"")</x:f>
      </x:c>
      <x:c r="L1423" s="69" t="str">
        <x:f>IF(COUNT(E1423:I1423)&lt;5,"Needs component scores",IF(ISNUMBER(J1423),"Calculated",J1423))</x:f>
        <x:v>Needs component scores</x:v>
      </x:c>
      <x:c r="M1423" s="69" t="str">
        <x:f>IF(C1423="","",MATCH(C1423,'Position_Rubric'!$A$6:$A$14,0))</x:f>
      </x:c>
      <x:c r="N1423" s="69" t="str"/>
    </x:row>
    <x:row r="1424" ht="25" customHeight="1">
      <x:c r="A1424" s="69" t="str">
        <x:v>summer-S26-1061</x:v>
      </x:c>
      <x:c r="B1424" s="69" t="str">
        <x:v>Curtis Jones</x:v>
      </x:c>
      <x:c r="C1424" s="69"/>
      <x:c r="D1424" s="82" t="str">
        <x:f>IF(ISNUMBER('Transfer_Ratings'!K1424),'Transfer_Ratings'!K1424,"")</x:f>
      </x:c>
      <x:c r="E1424" s="86"/>
      <x:c r="F1424" s="86"/>
      <x:c r="G1424" s="86"/>
      <x:c r="H1424" s="86"/>
      <x:c r="I1424" s="86"/>
      <x:c r="J1424" s="82" t="str">
        <x:f>IF(C1424="","Choose position",IF(COUNT(E1424:I1424)&lt;5,"",IF(OR(MIN(E1424:I1424)&lt;0.1,MAX(E1424:I1424)&gt;10),"Invalid score",IF(INDEX('Position_Rubric'!$H$6:$H$14,M1424)&lt;&gt;1,"Check weights",ROUND(E1424*INDEX('Position_Rubric'!$C$6:$C$14,M1424)+F1424*INDEX('Position_Rubric'!$D$6:$D$14,M1424)+G1424*INDEX('Position_Rubric'!$E$6:$E$14,M1424)+H1424*INDEX('Position_Rubric'!$F$6:$F$14,M1424)+I1424*INDEX('Position_Rubric'!$G$6:$G$14,M1424),1)))))</x:f>
        <x:v>Choose position</x:v>
      </x:c>
      <x:c r="K1424" s="82" t="str">
        <x:f>IF(AND(ISNUMBER(J1424),ISNUMBER(D1424)),J1424-D1424,"")</x:f>
      </x:c>
      <x:c r="L1424" s="69" t="str">
        <x:f>IF(COUNT(E1424:I1424)&lt;5,"Needs component scores",IF(ISNUMBER(J1424),"Calculated",J1424))</x:f>
        <x:v>Needs component scores</x:v>
      </x:c>
      <x:c r="M1424" s="69" t="str">
        <x:f>IF(C1424="","",MATCH(C1424,'Position_Rubric'!$A$6:$A$14,0))</x:f>
      </x:c>
      <x:c r="N1424" s="69" t="str"/>
    </x:row>
    <x:row r="1425" ht="25" customHeight="1">
      <x:c r="A1425" s="69" t="str">
        <x:v>summer-S26-1063</x:v>
      </x:c>
      <x:c r="B1425" s="69" t="str">
        <x:v>Dermane Karim</x:v>
      </x:c>
      <x:c r="C1425" s="69"/>
      <x:c r="D1425" s="82" t="str">
        <x:f>IF(ISNUMBER('Transfer_Ratings'!K1425),'Transfer_Ratings'!K1425,"")</x:f>
      </x:c>
      <x:c r="E1425" s="86"/>
      <x:c r="F1425" s="86"/>
      <x:c r="G1425" s="86"/>
      <x:c r="H1425" s="86"/>
      <x:c r="I1425" s="86"/>
      <x:c r="J1425" s="82" t="str">
        <x:f>IF(C1425="","Choose position",IF(COUNT(E1425:I1425)&lt;5,"",IF(OR(MIN(E1425:I1425)&lt;0.1,MAX(E1425:I1425)&gt;10),"Invalid score",IF(INDEX('Position_Rubric'!$H$6:$H$14,M1425)&lt;&gt;1,"Check weights",ROUND(E1425*INDEX('Position_Rubric'!$C$6:$C$14,M1425)+F1425*INDEX('Position_Rubric'!$D$6:$D$14,M1425)+G1425*INDEX('Position_Rubric'!$E$6:$E$14,M1425)+H1425*INDEX('Position_Rubric'!$F$6:$F$14,M1425)+I1425*INDEX('Position_Rubric'!$G$6:$G$14,M1425),1)))))</x:f>
        <x:v>Choose position</x:v>
      </x:c>
      <x:c r="K1425" s="82" t="str">
        <x:f>IF(AND(ISNUMBER(J1425),ISNUMBER(D1425)),J1425-D1425,"")</x:f>
      </x:c>
      <x:c r="L1425" s="69" t="str">
        <x:f>IF(COUNT(E1425:I1425)&lt;5,"Needs component scores",IF(ISNUMBER(J1425),"Calculated",J1425))</x:f>
        <x:v>Needs component scores</x:v>
      </x:c>
      <x:c r="M1425" s="69" t="str">
        <x:f>IF(C1425="","",MATCH(C1425,'Position_Rubric'!$A$6:$A$14,0))</x:f>
      </x:c>
      <x:c r="N1425" s="69" t="str"/>
    </x:row>
    <x:row r="1426" ht="25" customHeight="1">
      <x:c r="A1426" s="69" t="str">
        <x:v>summer-S26-1064</x:v>
      </x:c>
      <x:c r="B1426" s="69" t="str">
        <x:v>Dayann Méthalie</x:v>
      </x:c>
      <x:c r="C1426" s="69"/>
      <x:c r="D1426" s="82" t="str">
        <x:f>IF(ISNUMBER('Transfer_Ratings'!K1426),'Transfer_Ratings'!K1426,"")</x:f>
      </x:c>
      <x:c r="E1426" s="86"/>
      <x:c r="F1426" s="86"/>
      <x:c r="G1426" s="86"/>
      <x:c r="H1426" s="86"/>
      <x:c r="I1426" s="86"/>
      <x:c r="J1426" s="82" t="str">
        <x:f>IF(C1426="","Choose position",IF(COUNT(E1426:I1426)&lt;5,"",IF(OR(MIN(E1426:I1426)&lt;0.1,MAX(E1426:I1426)&gt;10),"Invalid score",IF(INDEX('Position_Rubric'!$H$6:$H$14,M1426)&lt;&gt;1,"Check weights",ROUND(E1426*INDEX('Position_Rubric'!$C$6:$C$14,M1426)+F1426*INDEX('Position_Rubric'!$D$6:$D$14,M1426)+G1426*INDEX('Position_Rubric'!$E$6:$E$14,M1426)+H1426*INDEX('Position_Rubric'!$F$6:$F$14,M1426)+I1426*INDEX('Position_Rubric'!$G$6:$G$14,M1426),1)))))</x:f>
        <x:v>Choose position</x:v>
      </x:c>
      <x:c r="K1426" s="82" t="str">
        <x:f>IF(AND(ISNUMBER(J1426),ISNUMBER(D1426)),J1426-D1426,"")</x:f>
      </x:c>
      <x:c r="L1426" s="69" t="str">
        <x:f>IF(COUNT(E1426:I1426)&lt;5,"Needs component scores",IF(ISNUMBER(J1426),"Calculated",J1426))</x:f>
        <x:v>Needs component scores</x:v>
      </x:c>
      <x:c r="M1426" s="69" t="str">
        <x:f>IF(C1426="","",MATCH(C1426,'Position_Rubric'!$A$6:$A$14,0))</x:f>
      </x:c>
      <x:c r="N1426" s="69" t="str"/>
    </x:row>
    <x:row r="1427" ht="25" customHeight="1">
      <x:c r="A1427" s="69" t="str">
        <x:v>summer-S26-1065</x:v>
      </x:c>
      <x:c r="B1427" s="69" t="str">
        <x:v>Alessandro Circati</x:v>
      </x:c>
      <x:c r="C1427" s="69"/>
      <x:c r="D1427" s="82" t="str">
        <x:f>IF(ISNUMBER('Transfer_Ratings'!K1427),'Transfer_Ratings'!K1427,"")</x:f>
      </x:c>
      <x:c r="E1427" s="86"/>
      <x:c r="F1427" s="86"/>
      <x:c r="G1427" s="86"/>
      <x:c r="H1427" s="86"/>
      <x:c r="I1427" s="86"/>
      <x:c r="J1427" s="82" t="str">
        <x:f>IF(C1427="","Choose position",IF(COUNT(E1427:I1427)&lt;5,"",IF(OR(MIN(E1427:I1427)&lt;0.1,MAX(E1427:I1427)&gt;10),"Invalid score",IF(INDEX('Position_Rubric'!$H$6:$H$14,M1427)&lt;&gt;1,"Check weights",ROUND(E1427*INDEX('Position_Rubric'!$C$6:$C$14,M1427)+F1427*INDEX('Position_Rubric'!$D$6:$D$14,M1427)+G1427*INDEX('Position_Rubric'!$E$6:$E$14,M1427)+H1427*INDEX('Position_Rubric'!$F$6:$F$14,M1427)+I1427*INDEX('Position_Rubric'!$G$6:$G$14,M1427),1)))))</x:f>
        <x:v>Choose position</x:v>
      </x:c>
      <x:c r="K1427" s="82" t="str">
        <x:f>IF(AND(ISNUMBER(J1427),ISNUMBER(D1427)),J1427-D1427,"")</x:f>
      </x:c>
      <x:c r="L1427" s="69" t="str">
        <x:f>IF(COUNT(E1427:I1427)&lt;5,"Needs component scores",IF(ISNUMBER(J1427),"Calculated",J1427))</x:f>
        <x:v>Needs component scores</x:v>
      </x:c>
      <x:c r="M1427" s="69" t="str">
        <x:f>IF(C1427="","",MATCH(C1427,'Position_Rubric'!$A$6:$A$14,0))</x:f>
      </x:c>
      <x:c r="N1427" s="69" t="str"/>
    </x:row>
    <x:row r="1428" ht="25" customHeight="1">
      <x:c r="A1428" s="69" t="str">
        <x:v>summer-S26-1066</x:v>
      </x:c>
      <x:c r="B1428" s="69" t="str">
        <x:v>Benoît Badiashile</x:v>
      </x:c>
      <x:c r="C1428" s="69"/>
      <x:c r="D1428" s="82" t="str">
        <x:f>IF(ISNUMBER('Transfer_Ratings'!K1428),'Transfer_Ratings'!K1428,"")</x:f>
      </x:c>
      <x:c r="E1428" s="86"/>
      <x:c r="F1428" s="86"/>
      <x:c r="G1428" s="86"/>
      <x:c r="H1428" s="86"/>
      <x:c r="I1428" s="86"/>
      <x:c r="J1428" s="82" t="str">
        <x:f>IF(C1428="","Choose position",IF(COUNT(E1428:I1428)&lt;5,"",IF(OR(MIN(E1428:I1428)&lt;0.1,MAX(E1428:I1428)&gt;10),"Invalid score",IF(INDEX('Position_Rubric'!$H$6:$H$14,M1428)&lt;&gt;1,"Check weights",ROUND(E1428*INDEX('Position_Rubric'!$C$6:$C$14,M1428)+F1428*INDEX('Position_Rubric'!$D$6:$D$14,M1428)+G1428*INDEX('Position_Rubric'!$E$6:$E$14,M1428)+H1428*INDEX('Position_Rubric'!$F$6:$F$14,M1428)+I1428*INDEX('Position_Rubric'!$G$6:$G$14,M1428),1)))))</x:f>
        <x:v>Choose position</x:v>
      </x:c>
      <x:c r="K1428" s="82" t="str">
        <x:f>IF(AND(ISNUMBER(J1428),ISNUMBER(D1428)),J1428-D1428,"")</x:f>
      </x:c>
      <x:c r="L1428" s="69" t="str">
        <x:f>IF(COUNT(E1428:I1428)&lt;5,"Needs component scores",IF(ISNUMBER(J1428),"Calculated",J1428))</x:f>
        <x:v>Needs component scores</x:v>
      </x:c>
      <x:c r="M1428" s="69" t="str">
        <x:f>IF(C1428="","",MATCH(C1428,'Position_Rubric'!$A$6:$A$14,0))</x:f>
      </x:c>
      <x:c r="N1428" s="69" t="str"/>
    </x:row>
    <x:row r="1429" ht="25" customHeight="1">
      <x:c r="A1429" s="69" t="str">
        <x:v>summer-S26-1067</x:v>
      </x:c>
      <x:c r="B1429" s="69" t="str">
        <x:v>Ifeanyi Ndukwe</x:v>
      </x:c>
      <x:c r="C1429" s="69"/>
      <x:c r="D1429" s="82" t="str">
        <x:f>IF(ISNUMBER('Transfer_Ratings'!K1429),'Transfer_Ratings'!K1429,"")</x:f>
      </x:c>
      <x:c r="E1429" s="86"/>
      <x:c r="F1429" s="86"/>
      <x:c r="G1429" s="86"/>
      <x:c r="H1429" s="86"/>
      <x:c r="I1429" s="86"/>
      <x:c r="J1429" s="82" t="str">
        <x:f>IF(C1429="","Choose position",IF(COUNT(E1429:I1429)&lt;5,"",IF(OR(MIN(E1429:I1429)&lt;0.1,MAX(E1429:I1429)&gt;10),"Invalid score",IF(INDEX('Position_Rubric'!$H$6:$H$14,M1429)&lt;&gt;1,"Check weights",ROUND(E1429*INDEX('Position_Rubric'!$C$6:$C$14,M1429)+F1429*INDEX('Position_Rubric'!$D$6:$D$14,M1429)+G1429*INDEX('Position_Rubric'!$E$6:$E$14,M1429)+H1429*INDEX('Position_Rubric'!$F$6:$F$14,M1429)+I1429*INDEX('Position_Rubric'!$G$6:$G$14,M1429),1)))))</x:f>
        <x:v>Choose position</x:v>
      </x:c>
      <x:c r="K1429" s="82" t="str">
        <x:f>IF(AND(ISNUMBER(J1429),ISNUMBER(D1429)),J1429-D1429,"")</x:f>
      </x:c>
      <x:c r="L1429" s="69" t="str">
        <x:f>IF(COUNT(E1429:I1429)&lt;5,"Needs component scores",IF(ISNUMBER(J1429),"Calculated",J1429))</x:f>
        <x:v>Needs component scores</x:v>
      </x:c>
      <x:c r="M1429" s="69" t="str">
        <x:f>IF(C1429="","",MATCH(C1429,'Position_Rubric'!$A$6:$A$14,0))</x:f>
      </x:c>
      <x:c r="N1429" s="69" t="str"/>
    </x:row>
    <x:row r="1430" ht="25" customHeight="1">
      <x:c r="A1430" s="69" t="str">
        <x:v>summer-S26-1068</x:v>
      </x:c>
      <x:c r="B1430" s="69" t="str">
        <x:v>Ifeanyi Ndukwe</x:v>
      </x:c>
      <x:c r="C1430" s="69"/>
      <x:c r="D1430" s="82" t="str">
        <x:f>IF(ISNUMBER('Transfer_Ratings'!K1430),'Transfer_Ratings'!K1430,"")</x:f>
      </x:c>
      <x:c r="E1430" s="86"/>
      <x:c r="F1430" s="86"/>
      <x:c r="G1430" s="86"/>
      <x:c r="H1430" s="86"/>
      <x:c r="I1430" s="86"/>
      <x:c r="J1430" s="82" t="str">
        <x:f>IF(C1430="","Choose position",IF(COUNT(E1430:I1430)&lt;5,"",IF(OR(MIN(E1430:I1430)&lt;0.1,MAX(E1430:I1430)&gt;10),"Invalid score",IF(INDEX('Position_Rubric'!$H$6:$H$14,M1430)&lt;&gt;1,"Check weights",ROUND(E1430*INDEX('Position_Rubric'!$C$6:$C$14,M1430)+F1430*INDEX('Position_Rubric'!$D$6:$D$14,M1430)+G1430*INDEX('Position_Rubric'!$E$6:$E$14,M1430)+H1430*INDEX('Position_Rubric'!$F$6:$F$14,M1430)+I1430*INDEX('Position_Rubric'!$G$6:$G$14,M1430),1)))))</x:f>
        <x:v>Choose position</x:v>
      </x:c>
      <x:c r="K1430" s="82" t="str">
        <x:f>IF(AND(ISNUMBER(J1430),ISNUMBER(D1430)),J1430-D1430,"")</x:f>
      </x:c>
      <x:c r="L1430" s="69" t="str">
        <x:f>IF(COUNT(E1430:I1430)&lt;5,"Needs component scores",IF(ISNUMBER(J1430),"Calculated",J1430))</x:f>
        <x:v>Needs component scores</x:v>
      </x:c>
      <x:c r="M1430" s="69" t="str">
        <x:f>IF(C1430="","",MATCH(C1430,'Position_Rubric'!$A$6:$A$14,0))</x:f>
      </x:c>
      <x:c r="N1430" s="69" t="str"/>
    </x:row>
    <x:row r="1431" ht="25" customHeight="1">
      <x:c r="A1431" s="69" t="str">
        <x:v>summer-S26-1069</x:v>
      </x:c>
      <x:c r="B1431" s="69" t="str">
        <x:v>Josip Sutalo</x:v>
      </x:c>
      <x:c r="C1431" s="69"/>
      <x:c r="D1431" s="82" t="str">
        <x:f>IF(ISNUMBER('Transfer_Ratings'!K1431),'Transfer_Ratings'!K1431,"")</x:f>
      </x:c>
      <x:c r="E1431" s="86"/>
      <x:c r="F1431" s="86"/>
      <x:c r="G1431" s="86"/>
      <x:c r="H1431" s="86"/>
      <x:c r="I1431" s="86"/>
      <x:c r="J1431" s="82" t="str">
        <x:f>IF(C1431="","Choose position",IF(COUNT(E1431:I1431)&lt;5,"",IF(OR(MIN(E1431:I1431)&lt;0.1,MAX(E1431:I1431)&gt;10),"Invalid score",IF(INDEX('Position_Rubric'!$H$6:$H$14,M1431)&lt;&gt;1,"Check weights",ROUND(E1431*INDEX('Position_Rubric'!$C$6:$C$14,M1431)+F1431*INDEX('Position_Rubric'!$D$6:$D$14,M1431)+G1431*INDEX('Position_Rubric'!$E$6:$E$14,M1431)+H1431*INDEX('Position_Rubric'!$F$6:$F$14,M1431)+I1431*INDEX('Position_Rubric'!$G$6:$G$14,M1431),1)))))</x:f>
        <x:v>Choose position</x:v>
      </x:c>
      <x:c r="K1431" s="82" t="str">
        <x:f>IF(AND(ISNUMBER(J1431),ISNUMBER(D1431)),J1431-D1431,"")</x:f>
      </x:c>
      <x:c r="L1431" s="69" t="str">
        <x:f>IF(COUNT(E1431:I1431)&lt;5,"Needs component scores",IF(ISNUMBER(J1431),"Calculated",J1431))</x:f>
        <x:v>Needs component scores</x:v>
      </x:c>
      <x:c r="M1431" s="69" t="str">
        <x:f>IF(C1431="","",MATCH(C1431,'Position_Rubric'!$A$6:$A$14,0))</x:f>
      </x:c>
      <x:c r="N1431" s="69" t="str"/>
    </x:row>
    <x:row r="1432" ht="25" customHeight="1">
      <x:c r="A1432" s="69" t="str">
        <x:v>summer-S26-1070</x:v>
      </x:c>
      <x:c r="B1432" s="69" t="str">
        <x:v>Eljif Elmas</x:v>
      </x:c>
      <x:c r="C1432" s="69"/>
      <x:c r="D1432" s="82" t="str">
        <x:f>IF(ISNUMBER('Transfer_Ratings'!K1432),'Transfer_Ratings'!K1432,"")</x:f>
      </x:c>
      <x:c r="E1432" s="86"/>
      <x:c r="F1432" s="86"/>
      <x:c r="G1432" s="86"/>
      <x:c r="H1432" s="86"/>
      <x:c r="I1432" s="86"/>
      <x:c r="J1432" s="82" t="str">
        <x:f>IF(C1432="","Choose position",IF(COUNT(E1432:I1432)&lt;5,"",IF(OR(MIN(E1432:I1432)&lt;0.1,MAX(E1432:I1432)&gt;10),"Invalid score",IF(INDEX('Position_Rubric'!$H$6:$H$14,M1432)&lt;&gt;1,"Check weights",ROUND(E1432*INDEX('Position_Rubric'!$C$6:$C$14,M1432)+F1432*INDEX('Position_Rubric'!$D$6:$D$14,M1432)+G1432*INDEX('Position_Rubric'!$E$6:$E$14,M1432)+H1432*INDEX('Position_Rubric'!$F$6:$F$14,M1432)+I1432*INDEX('Position_Rubric'!$G$6:$G$14,M1432),1)))))</x:f>
        <x:v>Choose position</x:v>
      </x:c>
      <x:c r="K1432" s="82" t="str">
        <x:f>IF(AND(ISNUMBER(J1432),ISNUMBER(D1432)),J1432-D1432,"")</x:f>
      </x:c>
      <x:c r="L1432" s="69" t="str">
        <x:f>IF(COUNT(E1432:I1432)&lt;5,"Needs component scores",IF(ISNUMBER(J1432),"Calculated",J1432))</x:f>
        <x:v>Needs component scores</x:v>
      </x:c>
      <x:c r="M1432" s="69" t="str">
        <x:f>IF(C1432="","",MATCH(C1432,'Position_Rubric'!$A$6:$A$14,0))</x:f>
      </x:c>
      <x:c r="N1432" s="69" t="str"/>
    </x:row>
    <x:row r="1433" ht="25" customHeight="1">
      <x:c r="A1433" s="69" t="str">
        <x:v>summer-S26-1071</x:v>
      </x:c>
      <x:c r="B1433" s="69" t="str">
        <x:v>Mihailo Ristic</x:v>
      </x:c>
      <x:c r="C1433" s="69"/>
      <x:c r="D1433" s="82" t="str">
        <x:f>IF(ISNUMBER('Transfer_Ratings'!K1433),'Transfer_Ratings'!K1433,"")</x:f>
      </x:c>
      <x:c r="E1433" s="86"/>
      <x:c r="F1433" s="86"/>
      <x:c r="G1433" s="86"/>
      <x:c r="H1433" s="86"/>
      <x:c r="I1433" s="86"/>
      <x:c r="J1433" s="82" t="str">
        <x:f>IF(C1433="","Choose position",IF(COUNT(E1433:I1433)&lt;5,"",IF(OR(MIN(E1433:I1433)&lt;0.1,MAX(E1433:I1433)&gt;10),"Invalid score",IF(INDEX('Position_Rubric'!$H$6:$H$14,M1433)&lt;&gt;1,"Check weights",ROUND(E1433*INDEX('Position_Rubric'!$C$6:$C$14,M1433)+F1433*INDEX('Position_Rubric'!$D$6:$D$14,M1433)+G1433*INDEX('Position_Rubric'!$E$6:$E$14,M1433)+H1433*INDEX('Position_Rubric'!$F$6:$F$14,M1433)+I1433*INDEX('Position_Rubric'!$G$6:$G$14,M1433),1)))))</x:f>
        <x:v>Choose position</x:v>
      </x:c>
      <x:c r="K1433" s="82" t="str">
        <x:f>IF(AND(ISNUMBER(J1433),ISNUMBER(D1433)),J1433-D1433,"")</x:f>
      </x:c>
      <x:c r="L1433" s="69" t="str">
        <x:f>IF(COUNT(E1433:I1433)&lt;5,"Needs component scores",IF(ISNUMBER(J1433),"Calculated",J1433))</x:f>
        <x:v>Needs component scores</x:v>
      </x:c>
      <x:c r="M1433" s="69" t="str">
        <x:f>IF(C1433="","",MATCH(C1433,'Position_Rubric'!$A$6:$A$14,0))</x:f>
      </x:c>
      <x:c r="N1433" s="69" t="str"/>
    </x:row>
    <x:row r="1434" ht="25" customHeight="1">
      <x:c r="A1434" s="69" t="str">
        <x:v>summer-S26-1072</x:v>
      </x:c>
      <x:c r="B1434" s="69" t="str">
        <x:v>Abdoulaye Camara</x:v>
      </x:c>
      <x:c r="C1434" s="69"/>
      <x:c r="D1434" s="82" t="str">
        <x:f>IF(ISNUMBER('Transfer_Ratings'!K1434),'Transfer_Ratings'!K1434,"")</x:f>
      </x:c>
      <x:c r="E1434" s="86"/>
      <x:c r="F1434" s="86"/>
      <x:c r="G1434" s="86"/>
      <x:c r="H1434" s="86"/>
      <x:c r="I1434" s="86"/>
      <x:c r="J1434" s="82" t="str">
        <x:f>IF(C1434="","Choose position",IF(COUNT(E1434:I1434)&lt;5,"",IF(OR(MIN(E1434:I1434)&lt;0.1,MAX(E1434:I1434)&gt;10),"Invalid score",IF(INDEX('Position_Rubric'!$H$6:$H$14,M1434)&lt;&gt;1,"Check weights",ROUND(E1434*INDEX('Position_Rubric'!$C$6:$C$14,M1434)+F1434*INDEX('Position_Rubric'!$D$6:$D$14,M1434)+G1434*INDEX('Position_Rubric'!$E$6:$E$14,M1434)+H1434*INDEX('Position_Rubric'!$F$6:$F$14,M1434)+I1434*INDEX('Position_Rubric'!$G$6:$G$14,M1434),1)))))</x:f>
        <x:v>Choose position</x:v>
      </x:c>
      <x:c r="K1434" s="82" t="str">
        <x:f>IF(AND(ISNUMBER(J1434),ISNUMBER(D1434)),J1434-D1434,"")</x:f>
      </x:c>
      <x:c r="L1434" s="69" t="str">
        <x:f>IF(COUNT(E1434:I1434)&lt;5,"Needs component scores",IF(ISNUMBER(J1434),"Calculated",J1434))</x:f>
        <x:v>Needs component scores</x:v>
      </x:c>
      <x:c r="M1434" s="69" t="str">
        <x:f>IF(C1434="","",MATCH(C1434,'Position_Rubric'!$A$6:$A$14,0))</x:f>
      </x:c>
      <x:c r="N1434" s="69" t="str"/>
    </x:row>
    <x:row r="1435" ht="25" customHeight="1">
      <x:c r="A1435" s="69" t="str">
        <x:v>summer-S26-1073</x:v>
      </x:c>
      <x:c r="B1435" s="69" t="str">
        <x:v>Miguel Rubio</x:v>
      </x:c>
      <x:c r="C1435" s="69"/>
      <x:c r="D1435" s="82" t="str">
        <x:f>IF(ISNUMBER('Transfer_Ratings'!K1435),'Transfer_Ratings'!K1435,"")</x:f>
      </x:c>
      <x:c r="E1435" s="86"/>
      <x:c r="F1435" s="86"/>
      <x:c r="G1435" s="86"/>
      <x:c r="H1435" s="86"/>
      <x:c r="I1435" s="86"/>
      <x:c r="J1435" s="82" t="str">
        <x:f>IF(C1435="","Choose position",IF(COUNT(E1435:I1435)&lt;5,"",IF(OR(MIN(E1435:I1435)&lt;0.1,MAX(E1435:I1435)&gt;10),"Invalid score",IF(INDEX('Position_Rubric'!$H$6:$H$14,M1435)&lt;&gt;1,"Check weights",ROUND(E1435*INDEX('Position_Rubric'!$C$6:$C$14,M1435)+F1435*INDEX('Position_Rubric'!$D$6:$D$14,M1435)+G1435*INDEX('Position_Rubric'!$E$6:$E$14,M1435)+H1435*INDEX('Position_Rubric'!$F$6:$F$14,M1435)+I1435*INDEX('Position_Rubric'!$G$6:$G$14,M1435),1)))))</x:f>
        <x:v>Choose position</x:v>
      </x:c>
      <x:c r="K1435" s="82" t="str">
        <x:f>IF(AND(ISNUMBER(J1435),ISNUMBER(D1435)),J1435-D1435,"")</x:f>
      </x:c>
      <x:c r="L1435" s="69" t="str">
        <x:f>IF(COUNT(E1435:I1435)&lt;5,"Needs component scores",IF(ISNUMBER(J1435),"Calculated",J1435))</x:f>
        <x:v>Needs component scores</x:v>
      </x:c>
      <x:c r="M1435" s="69" t="str">
        <x:f>IF(C1435="","",MATCH(C1435,'Position_Rubric'!$A$6:$A$14,0))</x:f>
      </x:c>
      <x:c r="N1435" s="69" t="str"/>
    </x:row>
    <x:row r="1436" ht="25" customHeight="1">
      <x:c r="A1436" s="69" t="str">
        <x:v>summer-S26-1074</x:v>
      </x:c>
      <x:c r="B1436" s="69" t="str">
        <x:v>Manuel Fernández</x:v>
      </x:c>
      <x:c r="C1436" s="69"/>
      <x:c r="D1436" s="82" t="str">
        <x:f>IF(ISNUMBER('Transfer_Ratings'!K1436),'Transfer_Ratings'!K1436,"")</x:f>
      </x:c>
      <x:c r="E1436" s="86"/>
      <x:c r="F1436" s="86"/>
      <x:c r="G1436" s="86"/>
      <x:c r="H1436" s="86"/>
      <x:c r="I1436" s="86"/>
      <x:c r="J1436" s="82" t="str">
        <x:f>IF(C1436="","Choose position",IF(COUNT(E1436:I1436)&lt;5,"",IF(OR(MIN(E1436:I1436)&lt;0.1,MAX(E1436:I1436)&gt;10),"Invalid score",IF(INDEX('Position_Rubric'!$H$6:$H$14,M1436)&lt;&gt;1,"Check weights",ROUND(E1436*INDEX('Position_Rubric'!$C$6:$C$14,M1436)+F1436*INDEX('Position_Rubric'!$D$6:$D$14,M1436)+G1436*INDEX('Position_Rubric'!$E$6:$E$14,M1436)+H1436*INDEX('Position_Rubric'!$F$6:$F$14,M1436)+I1436*INDEX('Position_Rubric'!$G$6:$G$14,M1436),1)))))</x:f>
        <x:v>Choose position</x:v>
      </x:c>
      <x:c r="K1436" s="82" t="str">
        <x:f>IF(AND(ISNUMBER(J1436),ISNUMBER(D1436)),J1436-D1436,"")</x:f>
      </x:c>
      <x:c r="L1436" s="69" t="str">
        <x:f>IF(COUNT(E1436:I1436)&lt;5,"Needs component scores",IF(ISNUMBER(J1436),"Calculated",J1436))</x:f>
        <x:v>Needs component scores</x:v>
      </x:c>
      <x:c r="M1436" s="69" t="str">
        <x:f>IF(C1436="","",MATCH(C1436,'Position_Rubric'!$A$6:$A$14,0))</x:f>
      </x:c>
      <x:c r="N1436" s="69" t="str"/>
    </x:row>
    <x:row r="1437" ht="25" customHeight="1">
      <x:c r="A1437" s="69" t="str">
        <x:v>summer-S26-1075</x:v>
      </x:c>
      <x:c r="B1437" s="69" t="str">
        <x:v>Pablo Martínez</x:v>
      </x:c>
      <x:c r="C1437" s="69"/>
      <x:c r="D1437" s="82" t="str">
        <x:f>IF(ISNUMBER('Transfer_Ratings'!K1437),'Transfer_Ratings'!K1437,"")</x:f>
      </x:c>
      <x:c r="E1437" s="86"/>
      <x:c r="F1437" s="86"/>
      <x:c r="G1437" s="86"/>
      <x:c r="H1437" s="86"/>
      <x:c r="I1437" s="86"/>
      <x:c r="J1437" s="82" t="str">
        <x:f>IF(C1437="","Choose position",IF(COUNT(E1437:I1437)&lt;5,"",IF(OR(MIN(E1437:I1437)&lt;0.1,MAX(E1437:I1437)&gt;10),"Invalid score",IF(INDEX('Position_Rubric'!$H$6:$H$14,M1437)&lt;&gt;1,"Check weights",ROUND(E1437*INDEX('Position_Rubric'!$C$6:$C$14,M1437)+F1437*INDEX('Position_Rubric'!$D$6:$D$14,M1437)+G1437*INDEX('Position_Rubric'!$E$6:$E$14,M1437)+H1437*INDEX('Position_Rubric'!$F$6:$F$14,M1437)+I1437*INDEX('Position_Rubric'!$G$6:$G$14,M1437),1)))))</x:f>
        <x:v>Choose position</x:v>
      </x:c>
      <x:c r="K1437" s="82" t="str">
        <x:f>IF(AND(ISNUMBER(J1437),ISNUMBER(D1437)),J1437-D1437,"")</x:f>
      </x:c>
      <x:c r="L1437" s="69" t="str">
        <x:f>IF(COUNT(E1437:I1437)&lt;5,"Needs component scores",IF(ISNUMBER(J1437),"Calculated",J1437))</x:f>
        <x:v>Needs component scores</x:v>
      </x:c>
      <x:c r="M1437" s="69" t="str">
        <x:f>IF(C1437="","",MATCH(C1437,'Position_Rubric'!$A$6:$A$14,0))</x:f>
      </x:c>
      <x:c r="N1437" s="69" t="str"/>
    </x:row>
    <x:row r="1438" ht="25" customHeight="1">
      <x:c r="A1438" s="69" t="str">
        <x:v>summer-S26-1076</x:v>
      </x:c>
      <x:c r="B1438" s="69" t="str">
        <x:v>Fedde Leysen</x:v>
      </x:c>
      <x:c r="C1438" s="69"/>
      <x:c r="D1438" s="82" t="str">
        <x:f>IF(ISNUMBER('Transfer_Ratings'!K1438),'Transfer_Ratings'!K1438,"")</x:f>
      </x:c>
      <x:c r="E1438" s="86"/>
      <x:c r="F1438" s="86"/>
      <x:c r="G1438" s="86"/>
      <x:c r="H1438" s="86"/>
      <x:c r="I1438" s="86"/>
      <x:c r="J1438" s="82" t="str">
        <x:f>IF(C1438="","Choose position",IF(COUNT(E1438:I1438)&lt;5,"",IF(OR(MIN(E1438:I1438)&lt;0.1,MAX(E1438:I1438)&gt;10),"Invalid score",IF(INDEX('Position_Rubric'!$H$6:$H$14,M1438)&lt;&gt;1,"Check weights",ROUND(E1438*INDEX('Position_Rubric'!$C$6:$C$14,M1438)+F1438*INDEX('Position_Rubric'!$D$6:$D$14,M1438)+G1438*INDEX('Position_Rubric'!$E$6:$E$14,M1438)+H1438*INDEX('Position_Rubric'!$F$6:$F$14,M1438)+I1438*INDEX('Position_Rubric'!$G$6:$G$14,M1438),1)))))</x:f>
        <x:v>Choose position</x:v>
      </x:c>
      <x:c r="K1438" s="82" t="str">
        <x:f>IF(AND(ISNUMBER(J1438),ISNUMBER(D1438)),J1438-D1438,"")</x:f>
      </x:c>
      <x:c r="L1438" s="69" t="str">
        <x:f>IF(COUNT(E1438:I1438)&lt;5,"Needs component scores",IF(ISNUMBER(J1438),"Calculated",J1438))</x:f>
        <x:v>Needs component scores</x:v>
      </x:c>
      <x:c r="M1438" s="69" t="str">
        <x:f>IF(C1438="","",MATCH(C1438,'Position_Rubric'!$A$6:$A$14,0))</x:f>
      </x:c>
      <x:c r="N1438" s="69" t="str"/>
    </x:row>
    <x:row r="1439" ht="25" customHeight="1">
      <x:c r="A1439" s="69" t="str">
        <x:v>summer-S26-1077</x:v>
      </x:c>
      <x:c r="B1439" s="69" t="str">
        <x:v>Tommy Marqués</x:v>
      </x:c>
      <x:c r="C1439" s="69"/>
      <x:c r="D1439" s="82" t="str">
        <x:f>IF(ISNUMBER('Transfer_Ratings'!K1439),'Transfer_Ratings'!K1439,"")</x:f>
      </x:c>
      <x:c r="E1439" s="86"/>
      <x:c r="F1439" s="86"/>
      <x:c r="G1439" s="86"/>
      <x:c r="H1439" s="86"/>
      <x:c r="I1439" s="86"/>
      <x:c r="J1439" s="82" t="str">
        <x:f>IF(C1439="","Choose position",IF(COUNT(E1439:I1439)&lt;5,"",IF(OR(MIN(E1439:I1439)&lt;0.1,MAX(E1439:I1439)&gt;10),"Invalid score",IF(INDEX('Position_Rubric'!$H$6:$H$14,M1439)&lt;&gt;1,"Check weights",ROUND(E1439*INDEX('Position_Rubric'!$C$6:$C$14,M1439)+F1439*INDEX('Position_Rubric'!$D$6:$D$14,M1439)+G1439*INDEX('Position_Rubric'!$E$6:$E$14,M1439)+H1439*INDEX('Position_Rubric'!$F$6:$F$14,M1439)+I1439*INDEX('Position_Rubric'!$G$6:$G$14,M1439),1)))))</x:f>
        <x:v>Choose position</x:v>
      </x:c>
      <x:c r="K1439" s="82" t="str">
        <x:f>IF(AND(ISNUMBER(J1439),ISNUMBER(D1439)),J1439-D1439,"")</x:f>
      </x:c>
      <x:c r="L1439" s="69" t="str">
        <x:f>IF(COUNT(E1439:I1439)&lt;5,"Needs component scores",IF(ISNUMBER(J1439),"Calculated",J1439))</x:f>
        <x:v>Needs component scores</x:v>
      </x:c>
      <x:c r="M1439" s="69" t="str">
        <x:f>IF(C1439="","",MATCH(C1439,'Position_Rubric'!$A$6:$A$14,0))</x:f>
      </x:c>
      <x:c r="N1439" s="69" t="str"/>
    </x:row>
    <x:row r="1440" ht="25" customHeight="1">
      <x:c r="A1440" s="69" t="str">
        <x:v>summer-S26-1078</x:v>
      </x:c>
      <x:c r="B1440" s="69" t="str">
        <x:v>Lutsharel Geertruida</x:v>
      </x:c>
      <x:c r="C1440" s="69"/>
      <x:c r="D1440" s="82" t="str">
        <x:f>IF(ISNUMBER('Transfer_Ratings'!K1440),'Transfer_Ratings'!K1440,"")</x:f>
      </x:c>
      <x:c r="E1440" s="86"/>
      <x:c r="F1440" s="86"/>
      <x:c r="G1440" s="86"/>
      <x:c r="H1440" s="86"/>
      <x:c r="I1440" s="86"/>
      <x:c r="J1440" s="82" t="str">
        <x:f>IF(C1440="","Choose position",IF(COUNT(E1440:I1440)&lt;5,"",IF(OR(MIN(E1440:I1440)&lt;0.1,MAX(E1440:I1440)&gt;10),"Invalid score",IF(INDEX('Position_Rubric'!$H$6:$H$14,M1440)&lt;&gt;1,"Check weights",ROUND(E1440*INDEX('Position_Rubric'!$C$6:$C$14,M1440)+F1440*INDEX('Position_Rubric'!$D$6:$D$14,M1440)+G1440*INDEX('Position_Rubric'!$E$6:$E$14,M1440)+H1440*INDEX('Position_Rubric'!$F$6:$F$14,M1440)+I1440*INDEX('Position_Rubric'!$G$6:$G$14,M1440),1)))))</x:f>
        <x:v>Choose position</x:v>
      </x:c>
      <x:c r="K1440" s="82" t="str">
        <x:f>IF(AND(ISNUMBER(J1440),ISNUMBER(D1440)),J1440-D1440,"")</x:f>
      </x:c>
      <x:c r="L1440" s="69" t="str">
        <x:f>IF(COUNT(E1440:I1440)&lt;5,"Needs component scores",IF(ISNUMBER(J1440),"Calculated",J1440))</x:f>
        <x:v>Needs component scores</x:v>
      </x:c>
      <x:c r="M1440" s="69" t="str">
        <x:f>IF(C1440="","",MATCH(C1440,'Position_Rubric'!$A$6:$A$14,0))</x:f>
      </x:c>
      <x:c r="N1440" s="69" t="str"/>
    </x:row>
    <x:row r="1441" ht="25" customHeight="1">
      <x:c r="A1441" s="69" t="str">
        <x:v>summer-S26-1079</x:v>
      </x:c>
      <x:c r="B1441" s="69" t="str">
        <x:v>Iván Martín</x:v>
      </x:c>
      <x:c r="C1441" s="69"/>
      <x:c r="D1441" s="82" t="str">
        <x:f>IF(ISNUMBER('Transfer_Ratings'!K1441),'Transfer_Ratings'!K1441,"")</x:f>
      </x:c>
      <x:c r="E1441" s="86"/>
      <x:c r="F1441" s="86"/>
      <x:c r="G1441" s="86"/>
      <x:c r="H1441" s="86"/>
      <x:c r="I1441" s="86"/>
      <x:c r="J1441" s="82" t="str">
        <x:f>IF(C1441="","Choose position",IF(COUNT(E1441:I1441)&lt;5,"",IF(OR(MIN(E1441:I1441)&lt;0.1,MAX(E1441:I1441)&gt;10),"Invalid score",IF(INDEX('Position_Rubric'!$H$6:$H$14,M1441)&lt;&gt;1,"Check weights",ROUND(E1441*INDEX('Position_Rubric'!$C$6:$C$14,M1441)+F1441*INDEX('Position_Rubric'!$D$6:$D$14,M1441)+G1441*INDEX('Position_Rubric'!$E$6:$E$14,M1441)+H1441*INDEX('Position_Rubric'!$F$6:$F$14,M1441)+I1441*INDEX('Position_Rubric'!$G$6:$G$14,M1441),1)))))</x:f>
        <x:v>Choose position</x:v>
      </x:c>
      <x:c r="K1441" s="82" t="str">
        <x:f>IF(AND(ISNUMBER(J1441),ISNUMBER(D1441)),J1441-D1441,"")</x:f>
      </x:c>
      <x:c r="L1441" s="69" t="str">
        <x:f>IF(COUNT(E1441:I1441)&lt;5,"Needs component scores",IF(ISNUMBER(J1441),"Calculated",J1441))</x:f>
        <x:v>Needs component scores</x:v>
      </x:c>
      <x:c r="M1441" s="69" t="str">
        <x:f>IF(C1441="","",MATCH(C1441,'Position_Rubric'!$A$6:$A$14,0))</x:f>
      </x:c>
      <x:c r="N1441" s="69" t="str"/>
    </x:row>
    <x:row r="1442" ht="25" customHeight="1">
      <x:c r="A1442" s="69" t="str">
        <x:v>summer-S26-1082</x:v>
      </x:c>
      <x:c r="B1442" s="69" t="str">
        <x:v>Josh Stephenson</x:v>
      </x:c>
      <x:c r="C1442" s="69"/>
      <x:c r="D1442" s="82" t="str">
        <x:f>IF(ISNUMBER('Transfer_Ratings'!K1442),'Transfer_Ratings'!K1442,"")</x:f>
      </x:c>
      <x:c r="E1442" s="86"/>
      <x:c r="F1442" s="86"/>
      <x:c r="G1442" s="86"/>
      <x:c r="H1442" s="86"/>
      <x:c r="I1442" s="86"/>
      <x:c r="J1442" s="82" t="str">
        <x:f>IF(C1442="","Choose position",IF(COUNT(E1442:I1442)&lt;5,"",IF(OR(MIN(E1442:I1442)&lt;0.1,MAX(E1442:I1442)&gt;10),"Invalid score",IF(INDEX('Position_Rubric'!$H$6:$H$14,M1442)&lt;&gt;1,"Check weights",ROUND(E1442*INDEX('Position_Rubric'!$C$6:$C$14,M1442)+F1442*INDEX('Position_Rubric'!$D$6:$D$14,M1442)+G1442*INDEX('Position_Rubric'!$E$6:$E$14,M1442)+H1442*INDEX('Position_Rubric'!$F$6:$F$14,M1442)+I1442*INDEX('Position_Rubric'!$G$6:$G$14,M1442),1)))))</x:f>
        <x:v>Choose position</x:v>
      </x:c>
      <x:c r="K1442" s="82" t="str">
        <x:f>IF(AND(ISNUMBER(J1442),ISNUMBER(D1442)),J1442-D1442,"")</x:f>
      </x:c>
      <x:c r="L1442" s="69" t="str">
        <x:f>IF(COUNT(E1442:I1442)&lt;5,"Needs component scores",IF(ISNUMBER(J1442),"Calculated",J1442))</x:f>
        <x:v>Needs component scores</x:v>
      </x:c>
      <x:c r="M1442" s="69" t="str">
        <x:f>IF(C1442="","",MATCH(C1442,'Position_Rubric'!$A$6:$A$14,0))</x:f>
      </x:c>
      <x:c r="N1442" s="69" t="str"/>
    </x:row>
    <x:row r="1443" ht="25" customHeight="1">
      <x:c r="A1443" s="69" t="str">
        <x:v>summer-S26-1083</x:v>
      </x:c>
      <x:c r="B1443" s="69" t="str">
        <x:v>Omar Richards</x:v>
      </x:c>
      <x:c r="C1443" s="69"/>
      <x:c r="D1443" s="82" t="str">
        <x:f>IF(ISNUMBER('Transfer_Ratings'!K1443),'Transfer_Ratings'!K1443,"")</x:f>
      </x:c>
      <x:c r="E1443" s="86"/>
      <x:c r="F1443" s="86"/>
      <x:c r="G1443" s="86"/>
      <x:c r="H1443" s="86"/>
      <x:c r="I1443" s="86"/>
      <x:c r="J1443" s="82" t="str">
        <x:f>IF(C1443="","Choose position",IF(COUNT(E1443:I1443)&lt;5,"",IF(OR(MIN(E1443:I1443)&lt;0.1,MAX(E1443:I1443)&gt;10),"Invalid score",IF(INDEX('Position_Rubric'!$H$6:$H$14,M1443)&lt;&gt;1,"Check weights",ROUND(E1443*INDEX('Position_Rubric'!$C$6:$C$14,M1443)+F1443*INDEX('Position_Rubric'!$D$6:$D$14,M1443)+G1443*INDEX('Position_Rubric'!$E$6:$E$14,M1443)+H1443*INDEX('Position_Rubric'!$F$6:$F$14,M1443)+I1443*INDEX('Position_Rubric'!$G$6:$G$14,M1443),1)))))</x:f>
        <x:v>Choose position</x:v>
      </x:c>
      <x:c r="K1443" s="82" t="str">
        <x:f>IF(AND(ISNUMBER(J1443),ISNUMBER(D1443)),J1443-D1443,"")</x:f>
      </x:c>
      <x:c r="L1443" s="69" t="str">
        <x:f>IF(COUNT(E1443:I1443)&lt;5,"Needs component scores",IF(ISNUMBER(J1443),"Calculated",J1443))</x:f>
        <x:v>Needs component scores</x:v>
      </x:c>
      <x:c r="M1443" s="69" t="str">
        <x:f>IF(C1443="","",MATCH(C1443,'Position_Rubric'!$A$6:$A$14,0))</x:f>
      </x:c>
      <x:c r="N1443" s="69" t="str"/>
    </x:row>
    <x:row r="1444" ht="25" customHeight="1">
      <x:c r="A1444" s="69" t="str">
        <x:v>summer-S26-1085</x:v>
      </x:c>
      <x:c r="B1444" s="69" t="str">
        <x:v>Giorgi Kochorashvili</x:v>
      </x:c>
      <x:c r="C1444" s="69"/>
      <x:c r="D1444" s="82" t="str">
        <x:f>IF(ISNUMBER('Transfer_Ratings'!K1444),'Transfer_Ratings'!K1444,"")</x:f>
      </x:c>
      <x:c r="E1444" s="86"/>
      <x:c r="F1444" s="86"/>
      <x:c r="G1444" s="86"/>
      <x:c r="H1444" s="86"/>
      <x:c r="I1444" s="86"/>
      <x:c r="J1444" s="82" t="str">
        <x:f>IF(C1444="","Choose position",IF(COUNT(E1444:I1444)&lt;5,"",IF(OR(MIN(E1444:I1444)&lt;0.1,MAX(E1444:I1444)&gt;10),"Invalid score",IF(INDEX('Position_Rubric'!$H$6:$H$14,M1444)&lt;&gt;1,"Check weights",ROUND(E1444*INDEX('Position_Rubric'!$C$6:$C$14,M1444)+F1444*INDEX('Position_Rubric'!$D$6:$D$14,M1444)+G1444*INDEX('Position_Rubric'!$E$6:$E$14,M1444)+H1444*INDEX('Position_Rubric'!$F$6:$F$14,M1444)+I1444*INDEX('Position_Rubric'!$G$6:$G$14,M1444),1)))))</x:f>
        <x:v>Choose position</x:v>
      </x:c>
      <x:c r="K1444" s="82" t="str">
        <x:f>IF(AND(ISNUMBER(J1444),ISNUMBER(D1444)),J1444-D1444,"")</x:f>
      </x:c>
      <x:c r="L1444" s="69" t="str">
        <x:f>IF(COUNT(E1444:I1444)&lt;5,"Needs component scores",IF(ISNUMBER(J1444),"Calculated",J1444))</x:f>
        <x:v>Needs component scores</x:v>
      </x:c>
      <x:c r="M1444" s="69" t="str">
        <x:f>IF(C1444="","",MATCH(C1444,'Position_Rubric'!$A$6:$A$14,0))</x:f>
      </x:c>
      <x:c r="N1444" s="69" t="str"/>
    </x:row>
    <x:row r="1445" ht="25" customHeight="1">
      <x:c r="A1445" s="69" t="str">
        <x:v>summer-S26-1087</x:v>
      </x:c>
      <x:c r="B1445" s="69" t="str">
        <x:v>Jeyland Mitchell</x:v>
      </x:c>
      <x:c r="C1445" s="69"/>
      <x:c r="D1445" s="82" t="str">
        <x:f>IF(ISNUMBER('Transfer_Ratings'!K1445),'Transfer_Ratings'!K1445,"")</x:f>
      </x:c>
      <x:c r="E1445" s="86"/>
      <x:c r="F1445" s="86"/>
      <x:c r="G1445" s="86"/>
      <x:c r="H1445" s="86"/>
      <x:c r="I1445" s="86"/>
      <x:c r="J1445" s="82" t="str">
        <x:f>IF(C1445="","Choose position",IF(COUNT(E1445:I1445)&lt;5,"",IF(OR(MIN(E1445:I1445)&lt;0.1,MAX(E1445:I1445)&gt;10),"Invalid score",IF(INDEX('Position_Rubric'!$H$6:$H$14,M1445)&lt;&gt;1,"Check weights",ROUND(E1445*INDEX('Position_Rubric'!$C$6:$C$14,M1445)+F1445*INDEX('Position_Rubric'!$D$6:$D$14,M1445)+G1445*INDEX('Position_Rubric'!$E$6:$E$14,M1445)+H1445*INDEX('Position_Rubric'!$F$6:$F$14,M1445)+I1445*INDEX('Position_Rubric'!$G$6:$G$14,M1445),1)))))</x:f>
        <x:v>Choose position</x:v>
      </x:c>
      <x:c r="K1445" s="82" t="str">
        <x:f>IF(AND(ISNUMBER(J1445),ISNUMBER(D1445)),J1445-D1445,"")</x:f>
      </x:c>
      <x:c r="L1445" s="69" t="str">
        <x:f>IF(COUNT(E1445:I1445)&lt;5,"Needs component scores",IF(ISNUMBER(J1445),"Calculated",J1445))</x:f>
        <x:v>Needs component scores</x:v>
      </x:c>
      <x:c r="M1445" s="69" t="str">
        <x:f>IF(C1445="","",MATCH(C1445,'Position_Rubric'!$A$6:$A$14,0))</x:f>
      </x:c>
      <x:c r="N1445" s="69" t="str"/>
    </x:row>
    <x:row r="1446" ht="25" customHeight="1">
      <x:c r="A1446" s="69" t="str">
        <x:v>summer-S26-1088</x:v>
      </x:c>
      <x:c r="B1446" s="69" t="str">
        <x:v>Juanpe Jiménez</x:v>
      </x:c>
      <x:c r="C1446" s="69"/>
      <x:c r="D1446" s="82" t="str">
        <x:f>IF(ISNUMBER('Transfer_Ratings'!K1446),'Transfer_Ratings'!K1446,"")</x:f>
      </x:c>
      <x:c r="E1446" s="86"/>
      <x:c r="F1446" s="86"/>
      <x:c r="G1446" s="86"/>
      <x:c r="H1446" s="86"/>
      <x:c r="I1446" s="86"/>
      <x:c r="J1446" s="82" t="str">
        <x:f>IF(C1446="","Choose position",IF(COUNT(E1446:I1446)&lt;5,"",IF(OR(MIN(E1446:I1446)&lt;0.1,MAX(E1446:I1446)&gt;10),"Invalid score",IF(INDEX('Position_Rubric'!$H$6:$H$14,M1446)&lt;&gt;1,"Check weights",ROUND(E1446*INDEX('Position_Rubric'!$C$6:$C$14,M1446)+F1446*INDEX('Position_Rubric'!$D$6:$D$14,M1446)+G1446*INDEX('Position_Rubric'!$E$6:$E$14,M1446)+H1446*INDEX('Position_Rubric'!$F$6:$F$14,M1446)+I1446*INDEX('Position_Rubric'!$G$6:$G$14,M1446),1)))))</x:f>
        <x:v>Choose position</x:v>
      </x:c>
      <x:c r="K1446" s="82" t="str">
        <x:f>IF(AND(ISNUMBER(J1446),ISNUMBER(D1446)),J1446-D1446,"")</x:f>
      </x:c>
      <x:c r="L1446" s="69" t="str">
        <x:f>IF(COUNT(E1446:I1446)&lt;5,"Needs component scores",IF(ISNUMBER(J1446),"Calculated",J1446))</x:f>
        <x:v>Needs component scores</x:v>
      </x:c>
      <x:c r="M1446" s="69" t="str">
        <x:f>IF(C1446="","",MATCH(C1446,'Position_Rubric'!$A$6:$A$14,0))</x:f>
      </x:c>
      <x:c r="N1446" s="69" t="str"/>
    </x:row>
    <x:row r="1447" ht="25" customHeight="1">
      <x:c r="A1447" s="69" t="str">
        <x:v>summer-S26-1092</x:v>
      </x:c>
      <x:c r="B1447" s="69" t="str">
        <x:v>Manu Fernández</x:v>
      </x:c>
      <x:c r="C1447" s="69"/>
      <x:c r="D1447" s="82" t="str">
        <x:f>IF(ISNUMBER('Transfer_Ratings'!K1447),'Transfer_Ratings'!K1447,"")</x:f>
      </x:c>
      <x:c r="E1447" s="86"/>
      <x:c r="F1447" s="86"/>
      <x:c r="G1447" s="86"/>
      <x:c r="H1447" s="86"/>
      <x:c r="I1447" s="86"/>
      <x:c r="J1447" s="82" t="str">
        <x:f>IF(C1447="","Choose position",IF(COUNT(E1447:I1447)&lt;5,"",IF(OR(MIN(E1447:I1447)&lt;0.1,MAX(E1447:I1447)&gt;10),"Invalid score",IF(INDEX('Position_Rubric'!$H$6:$H$14,M1447)&lt;&gt;1,"Check weights",ROUND(E1447*INDEX('Position_Rubric'!$C$6:$C$14,M1447)+F1447*INDEX('Position_Rubric'!$D$6:$D$14,M1447)+G1447*INDEX('Position_Rubric'!$E$6:$E$14,M1447)+H1447*INDEX('Position_Rubric'!$F$6:$F$14,M1447)+I1447*INDEX('Position_Rubric'!$G$6:$G$14,M1447),1)))))</x:f>
        <x:v>Choose position</x:v>
      </x:c>
      <x:c r="K1447" s="82" t="str">
        <x:f>IF(AND(ISNUMBER(J1447),ISNUMBER(D1447)),J1447-D1447,"")</x:f>
      </x:c>
      <x:c r="L1447" s="69" t="str">
        <x:f>IF(COUNT(E1447:I1447)&lt;5,"Needs component scores",IF(ISNUMBER(J1447),"Calculated",J1447))</x:f>
        <x:v>Needs component scores</x:v>
      </x:c>
      <x:c r="M1447" s="69" t="str">
        <x:f>IF(C1447="","",MATCH(C1447,'Position_Rubric'!$A$6:$A$14,0))</x:f>
      </x:c>
      <x:c r="N1447" s="69" t="str"/>
    </x:row>
    <x:row r="1448" ht="25" customHeight="1">
      <x:c r="A1448" s="69" t="str">
        <x:v>summer-S26-1093</x:v>
      </x:c>
      <x:c r="B1448" s="69" t="str">
        <x:v>Aron Yaakobishvili</x:v>
      </x:c>
      <x:c r="C1448" s="69" t="str">
        <x:v>GK</x:v>
      </x:c>
      <x:c r="D1448" s="82" t="str">
        <x:f>IF(ISNUMBER('Transfer_Ratings'!K1448),'Transfer_Ratings'!K1448,"")</x:f>
      </x:c>
      <x:c r="E1448" s="86"/>
      <x:c r="F1448" s="86"/>
      <x:c r="G1448" s="86"/>
      <x:c r="H1448" s="86"/>
      <x:c r="I1448" s="86"/>
      <x:c r="J1448" s="82" t="str">
        <x:f>IF(C1448="","Choose position",IF(COUNT(E1448:I1448)&lt;5,"",IF(OR(MIN(E1448:I1448)&lt;0.1,MAX(E1448:I1448)&gt;10),"Invalid score",IF(INDEX('Position_Rubric'!$H$6:$H$14,M1448)&lt;&gt;1,"Check weights",ROUND(E1448*INDEX('Position_Rubric'!$C$6:$C$14,M1448)+F1448*INDEX('Position_Rubric'!$D$6:$D$14,M1448)+G1448*INDEX('Position_Rubric'!$E$6:$E$14,M1448)+H1448*INDEX('Position_Rubric'!$F$6:$F$14,M1448)+I1448*INDEX('Position_Rubric'!$G$6:$G$14,M1448),1)))))</x:f>
      </x:c>
      <x:c r="K1448" s="82" t="str">
        <x:f>IF(AND(ISNUMBER(J1448),ISNUMBER(D1448)),J1448-D1448,"")</x:f>
      </x:c>
      <x:c r="L1448" s="69" t="str">
        <x:f>IF(COUNT(E1448:I1448)&lt;5,"Needs component scores",IF(ISNUMBER(J1448),"Calculated",J1448))</x:f>
        <x:v>Needs component scores</x:v>
      </x:c>
      <x:c r="M1448" s="69" t="n">
        <x:f>IF(C1448="","",MATCH(C1448,'Position_Rubric'!$A$6:$A$14,0))</x:f>
        <x:v>9</x:v>
      </x:c>
      <x:c r="N1448" s="69" t="str"/>
    </x:row>
    <x:row r="1449" ht="25" customHeight="1">
      <x:c r="A1449" s="69" t="str">
        <x:v>summer-S26-1094</x:v>
      </x:c>
      <x:c r="B1449" s="69" t="str">
        <x:v>Dani Budesca</x:v>
      </x:c>
      <x:c r="C1449" s="69"/>
      <x:c r="D1449" s="82" t="str">
        <x:f>IF(ISNUMBER('Transfer_Ratings'!K1449),'Transfer_Ratings'!K1449,"")</x:f>
      </x:c>
      <x:c r="E1449" s="86"/>
      <x:c r="F1449" s="86"/>
      <x:c r="G1449" s="86"/>
      <x:c r="H1449" s="86"/>
      <x:c r="I1449" s="86"/>
      <x:c r="J1449" s="82" t="str">
        <x:f>IF(C1449="","Choose position",IF(COUNT(E1449:I1449)&lt;5,"",IF(OR(MIN(E1449:I1449)&lt;0.1,MAX(E1449:I1449)&gt;10),"Invalid score",IF(INDEX('Position_Rubric'!$H$6:$H$14,M1449)&lt;&gt;1,"Check weights",ROUND(E1449*INDEX('Position_Rubric'!$C$6:$C$14,M1449)+F1449*INDEX('Position_Rubric'!$D$6:$D$14,M1449)+G1449*INDEX('Position_Rubric'!$E$6:$E$14,M1449)+H1449*INDEX('Position_Rubric'!$F$6:$F$14,M1449)+I1449*INDEX('Position_Rubric'!$G$6:$G$14,M1449),1)))))</x:f>
        <x:v>Choose position</x:v>
      </x:c>
      <x:c r="K1449" s="82" t="str">
        <x:f>IF(AND(ISNUMBER(J1449),ISNUMBER(D1449)),J1449-D1449,"")</x:f>
      </x:c>
      <x:c r="L1449" s="69" t="str">
        <x:f>IF(COUNT(E1449:I1449)&lt;5,"Needs component scores",IF(ISNUMBER(J1449),"Calculated",J1449))</x:f>
        <x:v>Needs component scores</x:v>
      </x:c>
      <x:c r="M1449" s="69" t="str">
        <x:f>IF(C1449="","",MATCH(C1449,'Position_Rubric'!$A$6:$A$14,0))</x:f>
      </x:c>
      <x:c r="N1449" s="69" t="str"/>
    </x:row>
    <x:row r="1450" ht="25" customHeight="1">
      <x:c r="A1450" s="69" t="str">
        <x:v>summer-S26-1095</x:v>
      </x:c>
      <x:c r="B1450" s="69" t="str">
        <x:v>Moussa Diarra</x:v>
      </x:c>
      <x:c r="C1450" s="69"/>
      <x:c r="D1450" s="82" t="str">
        <x:f>IF(ISNUMBER('Transfer_Ratings'!K1450),'Transfer_Ratings'!K1450,"")</x:f>
      </x:c>
      <x:c r="E1450" s="86"/>
      <x:c r="F1450" s="86"/>
      <x:c r="G1450" s="86"/>
      <x:c r="H1450" s="86"/>
      <x:c r="I1450" s="86"/>
      <x:c r="J1450" s="82" t="str">
        <x:f>IF(C1450="","Choose position",IF(COUNT(E1450:I1450)&lt;5,"",IF(OR(MIN(E1450:I1450)&lt;0.1,MAX(E1450:I1450)&gt;10),"Invalid score",IF(INDEX('Position_Rubric'!$H$6:$H$14,M1450)&lt;&gt;1,"Check weights",ROUND(E1450*INDEX('Position_Rubric'!$C$6:$C$14,M1450)+F1450*INDEX('Position_Rubric'!$D$6:$D$14,M1450)+G1450*INDEX('Position_Rubric'!$E$6:$E$14,M1450)+H1450*INDEX('Position_Rubric'!$F$6:$F$14,M1450)+I1450*INDEX('Position_Rubric'!$G$6:$G$14,M1450),1)))))</x:f>
        <x:v>Choose position</x:v>
      </x:c>
      <x:c r="K1450" s="82" t="str">
        <x:f>IF(AND(ISNUMBER(J1450),ISNUMBER(D1450)),J1450-D1450,"")</x:f>
      </x:c>
      <x:c r="L1450" s="69" t="str">
        <x:f>IF(COUNT(E1450:I1450)&lt;5,"Needs component scores",IF(ISNUMBER(J1450),"Calculated",J1450))</x:f>
        <x:v>Needs component scores</x:v>
      </x:c>
      <x:c r="M1450" s="69" t="str">
        <x:f>IF(C1450="","",MATCH(C1450,'Position_Rubric'!$A$6:$A$14,0))</x:f>
      </x:c>
      <x:c r="N1450" s="69" t="str"/>
    </x:row>
    <x:row r="1451" ht="25" customHeight="1">
      <x:c r="A1451" s="69" t="str">
        <x:v>summer-S26-1097</x:v>
      </x:c>
      <x:c r="B1451" s="69" t="str">
        <x:v>Rockson Yeboah</x:v>
      </x:c>
      <x:c r="C1451" s="69"/>
      <x:c r="D1451" s="82" t="str">
        <x:f>IF(ISNUMBER('Transfer_Ratings'!K1451),'Transfer_Ratings'!K1451,"")</x:f>
      </x:c>
      <x:c r="E1451" s="86"/>
      <x:c r="F1451" s="86"/>
      <x:c r="G1451" s="86"/>
      <x:c r="H1451" s="86"/>
      <x:c r="I1451" s="86"/>
      <x:c r="J1451" s="82" t="str">
        <x:f>IF(C1451="","Choose position",IF(COUNT(E1451:I1451)&lt;5,"",IF(OR(MIN(E1451:I1451)&lt;0.1,MAX(E1451:I1451)&gt;10),"Invalid score",IF(INDEX('Position_Rubric'!$H$6:$H$14,M1451)&lt;&gt;1,"Check weights",ROUND(E1451*INDEX('Position_Rubric'!$C$6:$C$14,M1451)+F1451*INDEX('Position_Rubric'!$D$6:$D$14,M1451)+G1451*INDEX('Position_Rubric'!$E$6:$E$14,M1451)+H1451*INDEX('Position_Rubric'!$F$6:$F$14,M1451)+I1451*INDEX('Position_Rubric'!$G$6:$G$14,M1451),1)))))</x:f>
        <x:v>Choose position</x:v>
      </x:c>
      <x:c r="K1451" s="82" t="str">
        <x:f>IF(AND(ISNUMBER(J1451),ISNUMBER(D1451)),J1451-D1451,"")</x:f>
      </x:c>
      <x:c r="L1451" s="69" t="str">
        <x:f>IF(COUNT(E1451:I1451)&lt;5,"Needs component scores",IF(ISNUMBER(J1451),"Calculated",J1451))</x:f>
        <x:v>Needs component scores</x:v>
      </x:c>
      <x:c r="M1451" s="69" t="str">
        <x:f>IF(C1451="","",MATCH(C1451,'Position_Rubric'!$A$6:$A$14,0))</x:f>
      </x:c>
      <x:c r="N1451" s="69" t="str"/>
    </x:row>
    <x:row r="1452" ht="25" customHeight="1">
      <x:c r="A1452" s="69" t="str">
        <x:v>summer-S26-1098</x:v>
      </x:c>
      <x:c r="B1452" s="69" t="str">
        <x:v>Jacob Devaney</x:v>
      </x:c>
      <x:c r="C1452" s="69"/>
      <x:c r="D1452" s="82" t="str">
        <x:f>IF(ISNUMBER('Transfer_Ratings'!K1452),'Transfer_Ratings'!K1452,"")</x:f>
      </x:c>
      <x:c r="E1452" s="86"/>
      <x:c r="F1452" s="86"/>
      <x:c r="G1452" s="86"/>
      <x:c r="H1452" s="86"/>
      <x:c r="I1452" s="86"/>
      <x:c r="J1452" s="82" t="str">
        <x:f>IF(C1452="","Choose position",IF(COUNT(E1452:I1452)&lt;5,"",IF(OR(MIN(E1452:I1452)&lt;0.1,MAX(E1452:I1452)&gt;10),"Invalid score",IF(INDEX('Position_Rubric'!$H$6:$H$14,M1452)&lt;&gt;1,"Check weights",ROUND(E1452*INDEX('Position_Rubric'!$C$6:$C$14,M1452)+F1452*INDEX('Position_Rubric'!$D$6:$D$14,M1452)+G1452*INDEX('Position_Rubric'!$E$6:$E$14,M1452)+H1452*INDEX('Position_Rubric'!$F$6:$F$14,M1452)+I1452*INDEX('Position_Rubric'!$G$6:$G$14,M1452),1)))))</x:f>
        <x:v>Choose position</x:v>
      </x:c>
      <x:c r="K1452" s="82" t="str">
        <x:f>IF(AND(ISNUMBER(J1452),ISNUMBER(D1452)),J1452-D1452,"")</x:f>
      </x:c>
      <x:c r="L1452" s="69" t="str">
        <x:f>IF(COUNT(E1452:I1452)&lt;5,"Needs component scores",IF(ISNUMBER(J1452),"Calculated",J1452))</x:f>
        <x:v>Needs component scores</x:v>
      </x:c>
      <x:c r="M1452" s="69" t="str">
        <x:f>IF(C1452="","",MATCH(C1452,'Position_Rubric'!$A$6:$A$14,0))</x:f>
      </x:c>
      <x:c r="N1452" s="69" t="str"/>
    </x:row>
    <x:row r="1453" ht="25" customHeight="1">
      <x:c r="A1453" s="69" t="str">
        <x:v>summer-S26-1099</x:v>
      </x:c>
      <x:c r="B1453" s="69" t="str">
        <x:v>Mofe Jemide</x:v>
      </x:c>
      <x:c r="C1453" s="69"/>
      <x:c r="D1453" s="82" t="str">
        <x:f>IF(ISNUMBER('Transfer_Ratings'!K1453),'Transfer_Ratings'!K1453,"")</x:f>
      </x:c>
      <x:c r="E1453" s="86"/>
      <x:c r="F1453" s="86"/>
      <x:c r="G1453" s="86"/>
      <x:c r="H1453" s="86"/>
      <x:c r="I1453" s="86"/>
      <x:c r="J1453" s="82" t="str">
        <x:f>IF(C1453="","Choose position",IF(COUNT(E1453:I1453)&lt;5,"",IF(OR(MIN(E1453:I1453)&lt;0.1,MAX(E1453:I1453)&gt;10),"Invalid score",IF(INDEX('Position_Rubric'!$H$6:$H$14,M1453)&lt;&gt;1,"Check weights",ROUND(E1453*INDEX('Position_Rubric'!$C$6:$C$14,M1453)+F1453*INDEX('Position_Rubric'!$D$6:$D$14,M1453)+G1453*INDEX('Position_Rubric'!$E$6:$E$14,M1453)+H1453*INDEX('Position_Rubric'!$F$6:$F$14,M1453)+I1453*INDEX('Position_Rubric'!$G$6:$G$14,M1453),1)))))</x:f>
        <x:v>Choose position</x:v>
      </x:c>
      <x:c r="K1453" s="82" t="str">
        <x:f>IF(AND(ISNUMBER(J1453),ISNUMBER(D1453)),J1453-D1453,"")</x:f>
      </x:c>
      <x:c r="L1453" s="69" t="str">
        <x:f>IF(COUNT(E1453:I1453)&lt;5,"Needs component scores",IF(ISNUMBER(J1453),"Calculated",J1453))</x:f>
        <x:v>Needs component scores</x:v>
      </x:c>
      <x:c r="M1453" s="69" t="str">
        <x:f>IF(C1453="","",MATCH(C1453,'Position_Rubric'!$A$6:$A$14,0))</x:f>
      </x:c>
      <x:c r="N1453" s="69" t="str"/>
    </x:row>
    <x:row r="1454" ht="25" customHeight="1">
      <x:c r="A1454" s="69" t="str">
        <x:v>summer-S26-1100</x:v>
      </x:c>
      <x:c r="B1454" s="69" t="str">
        <x:v>Darwin Guagua</x:v>
      </x:c>
      <x:c r="C1454" s="69"/>
      <x:c r="D1454" s="82" t="str">
        <x:f>IF(ISNUMBER('Transfer_Ratings'!K1454),'Transfer_Ratings'!K1454,"")</x:f>
      </x:c>
      <x:c r="E1454" s="86"/>
      <x:c r="F1454" s="86"/>
      <x:c r="G1454" s="86"/>
      <x:c r="H1454" s="86"/>
      <x:c r="I1454" s="86"/>
      <x:c r="J1454" s="82" t="str">
        <x:f>IF(C1454="","Choose position",IF(COUNT(E1454:I1454)&lt;5,"",IF(OR(MIN(E1454:I1454)&lt;0.1,MAX(E1454:I1454)&gt;10),"Invalid score",IF(INDEX('Position_Rubric'!$H$6:$H$14,M1454)&lt;&gt;1,"Check weights",ROUND(E1454*INDEX('Position_Rubric'!$C$6:$C$14,M1454)+F1454*INDEX('Position_Rubric'!$D$6:$D$14,M1454)+G1454*INDEX('Position_Rubric'!$E$6:$E$14,M1454)+H1454*INDEX('Position_Rubric'!$F$6:$F$14,M1454)+I1454*INDEX('Position_Rubric'!$G$6:$G$14,M1454),1)))))</x:f>
        <x:v>Choose position</x:v>
      </x:c>
      <x:c r="K1454" s="82" t="str">
        <x:f>IF(AND(ISNUMBER(J1454),ISNUMBER(D1454)),J1454-D1454,"")</x:f>
      </x:c>
      <x:c r="L1454" s="69" t="str">
        <x:f>IF(COUNT(E1454:I1454)&lt;5,"Needs component scores",IF(ISNUMBER(J1454),"Calculated",J1454))</x:f>
        <x:v>Needs component scores</x:v>
      </x:c>
      <x:c r="M1454" s="69" t="str">
        <x:f>IF(C1454="","",MATCH(C1454,'Position_Rubric'!$A$6:$A$14,0))</x:f>
      </x:c>
      <x:c r="N1454" s="69" t="str"/>
    </x:row>
    <x:row r="1455" ht="25" customHeight="1">
      <x:c r="A1455" s="69" t="str">
        <x:v>summer-S26-1101</x:v>
      </x:c>
      <x:c r="B1455" s="69" t="str">
        <x:v>Cathal McCarthy</x:v>
      </x:c>
      <x:c r="C1455" s="69"/>
      <x:c r="D1455" s="82" t="str">
        <x:f>IF(ISNUMBER('Transfer_Ratings'!K1455),'Transfer_Ratings'!K1455,"")</x:f>
      </x:c>
      <x:c r="E1455" s="86"/>
      <x:c r="F1455" s="86"/>
      <x:c r="G1455" s="86"/>
      <x:c r="H1455" s="86"/>
      <x:c r="I1455" s="86"/>
      <x:c r="J1455" s="82" t="str">
        <x:f>IF(C1455="","Choose position",IF(COUNT(E1455:I1455)&lt;5,"",IF(OR(MIN(E1455:I1455)&lt;0.1,MAX(E1455:I1455)&gt;10),"Invalid score",IF(INDEX('Position_Rubric'!$H$6:$H$14,M1455)&lt;&gt;1,"Check weights",ROUND(E1455*INDEX('Position_Rubric'!$C$6:$C$14,M1455)+F1455*INDEX('Position_Rubric'!$D$6:$D$14,M1455)+G1455*INDEX('Position_Rubric'!$E$6:$E$14,M1455)+H1455*INDEX('Position_Rubric'!$F$6:$F$14,M1455)+I1455*INDEX('Position_Rubric'!$G$6:$G$14,M1455),1)))))</x:f>
        <x:v>Choose position</x:v>
      </x:c>
      <x:c r="K1455" s="82" t="str">
        <x:f>IF(AND(ISNUMBER(J1455),ISNUMBER(D1455)),J1455-D1455,"")</x:f>
      </x:c>
      <x:c r="L1455" s="69" t="str">
        <x:f>IF(COUNT(E1455:I1455)&lt;5,"Needs component scores",IF(ISNUMBER(J1455),"Calculated",J1455))</x:f>
        <x:v>Needs component scores</x:v>
      </x:c>
      <x:c r="M1455" s="69" t="str">
        <x:f>IF(C1455="","",MATCH(C1455,'Position_Rubric'!$A$6:$A$14,0))</x:f>
      </x:c>
      <x:c r="N1455" s="69" t="str"/>
    </x:row>
    <x:row r="1456" ht="25" customHeight="1">
      <x:c r="A1456" s="69" t="str">
        <x:v>summer-S26-1102</x:v>
      </x:c>
      <x:c r="B1456" s="69" t="str">
        <x:v>Tayo Adaramola</x:v>
      </x:c>
      <x:c r="C1456" s="69"/>
      <x:c r="D1456" s="82" t="str">
        <x:f>IF(ISNUMBER('Transfer_Ratings'!K1456),'Transfer_Ratings'!K1456,"")</x:f>
      </x:c>
      <x:c r="E1456" s="86"/>
      <x:c r="F1456" s="86"/>
      <x:c r="G1456" s="86"/>
      <x:c r="H1456" s="86"/>
      <x:c r="I1456" s="86"/>
      <x:c r="J1456" s="82" t="str">
        <x:f>IF(C1456="","Choose position",IF(COUNT(E1456:I1456)&lt;5,"",IF(OR(MIN(E1456:I1456)&lt;0.1,MAX(E1456:I1456)&gt;10),"Invalid score",IF(INDEX('Position_Rubric'!$H$6:$H$14,M1456)&lt;&gt;1,"Check weights",ROUND(E1456*INDEX('Position_Rubric'!$C$6:$C$14,M1456)+F1456*INDEX('Position_Rubric'!$D$6:$D$14,M1456)+G1456*INDEX('Position_Rubric'!$E$6:$E$14,M1456)+H1456*INDEX('Position_Rubric'!$F$6:$F$14,M1456)+I1456*INDEX('Position_Rubric'!$G$6:$G$14,M1456),1)))))</x:f>
        <x:v>Choose position</x:v>
      </x:c>
      <x:c r="K1456" s="82" t="str">
        <x:f>IF(AND(ISNUMBER(J1456),ISNUMBER(D1456)),J1456-D1456,"")</x:f>
      </x:c>
      <x:c r="L1456" s="69" t="str">
        <x:f>IF(COUNT(E1456:I1456)&lt;5,"Needs component scores",IF(ISNUMBER(J1456),"Calculated",J1456))</x:f>
        <x:v>Needs component scores</x:v>
      </x:c>
      <x:c r="M1456" s="69" t="str">
        <x:f>IF(C1456="","",MATCH(C1456,'Position_Rubric'!$A$6:$A$14,0))</x:f>
      </x:c>
      <x:c r="N1456" s="69" t="str"/>
    </x:row>
    <x:row r="1457" ht="25" customHeight="1">
      <x:c r="A1457" s="69" t="str">
        <x:v>summer-S26-1105</x:v>
      </x:c>
      <x:c r="B1457" s="69" t="str">
        <x:v>Alberto Moreno</x:v>
      </x:c>
      <x:c r="C1457" s="69"/>
      <x:c r="D1457" s="82" t="str">
        <x:f>IF(ISNUMBER('Transfer_Ratings'!K1457),'Transfer_Ratings'!K1457,"")</x:f>
      </x:c>
      <x:c r="E1457" s="86"/>
      <x:c r="F1457" s="86"/>
      <x:c r="G1457" s="86"/>
      <x:c r="H1457" s="86"/>
      <x:c r="I1457" s="86"/>
      <x:c r="J1457" s="82" t="str">
        <x:f>IF(C1457="","Choose position",IF(COUNT(E1457:I1457)&lt;5,"",IF(OR(MIN(E1457:I1457)&lt;0.1,MAX(E1457:I1457)&gt;10),"Invalid score",IF(INDEX('Position_Rubric'!$H$6:$H$14,M1457)&lt;&gt;1,"Check weights",ROUND(E1457*INDEX('Position_Rubric'!$C$6:$C$14,M1457)+F1457*INDEX('Position_Rubric'!$D$6:$D$14,M1457)+G1457*INDEX('Position_Rubric'!$E$6:$E$14,M1457)+H1457*INDEX('Position_Rubric'!$F$6:$F$14,M1457)+I1457*INDEX('Position_Rubric'!$G$6:$G$14,M1457),1)))))</x:f>
        <x:v>Choose position</x:v>
      </x:c>
      <x:c r="K1457" s="82" t="str">
        <x:f>IF(AND(ISNUMBER(J1457),ISNUMBER(D1457)),J1457-D1457,"")</x:f>
      </x:c>
      <x:c r="L1457" s="69" t="str">
        <x:f>IF(COUNT(E1457:I1457)&lt;5,"Needs component scores",IF(ISNUMBER(J1457),"Calculated",J1457))</x:f>
        <x:v>Needs component scores</x:v>
      </x:c>
      <x:c r="M1457" s="69" t="str">
        <x:f>IF(C1457="","",MATCH(C1457,'Position_Rubric'!$A$6:$A$14,0))</x:f>
      </x:c>
      <x:c r="N1457" s="69" t="str"/>
    </x:row>
    <x:row r="1458" ht="25" customHeight="1">
      <x:c r="A1458" s="69" t="str">
        <x:v>summer-S26-1106</x:v>
      </x:c>
      <x:c r="B1458" s="69" t="str">
        <x:v>Mads Valentin Pedersen</x:v>
      </x:c>
      <x:c r="C1458" s="69"/>
      <x:c r="D1458" s="82" t="str">
        <x:f>IF(ISNUMBER('Transfer_Ratings'!K1458),'Transfer_Ratings'!K1458,"")</x:f>
      </x:c>
      <x:c r="E1458" s="86"/>
      <x:c r="F1458" s="86"/>
      <x:c r="G1458" s="86"/>
      <x:c r="H1458" s="86"/>
      <x:c r="I1458" s="86"/>
      <x:c r="J1458" s="82" t="str">
        <x:f>IF(C1458="","Choose position",IF(COUNT(E1458:I1458)&lt;5,"",IF(OR(MIN(E1458:I1458)&lt;0.1,MAX(E1458:I1458)&gt;10),"Invalid score",IF(INDEX('Position_Rubric'!$H$6:$H$14,M1458)&lt;&gt;1,"Check weights",ROUND(E1458*INDEX('Position_Rubric'!$C$6:$C$14,M1458)+F1458*INDEX('Position_Rubric'!$D$6:$D$14,M1458)+G1458*INDEX('Position_Rubric'!$E$6:$E$14,M1458)+H1458*INDEX('Position_Rubric'!$F$6:$F$14,M1458)+I1458*INDEX('Position_Rubric'!$G$6:$G$14,M1458),1)))))</x:f>
        <x:v>Choose position</x:v>
      </x:c>
      <x:c r="K1458" s="82" t="str">
        <x:f>IF(AND(ISNUMBER(J1458),ISNUMBER(D1458)),J1458-D1458,"")</x:f>
      </x:c>
      <x:c r="L1458" s="69" t="str">
        <x:f>IF(COUNT(E1458:I1458)&lt;5,"Needs component scores",IF(ISNUMBER(J1458),"Calculated",J1458))</x:f>
        <x:v>Needs component scores</x:v>
      </x:c>
      <x:c r="M1458" s="69" t="str">
        <x:f>IF(C1458="","",MATCH(C1458,'Position_Rubric'!$A$6:$A$14,0))</x:f>
      </x:c>
      <x:c r="N1458" s="69" t="str"/>
    </x:row>
    <x:row r="1459" ht="25" customHeight="1">
      <x:c r="A1459" s="69" t="str">
        <x:v>summer-S26-1107</x:v>
      </x:c>
      <x:c r="B1459" s="69" t="str">
        <x:v>Sam Byram</x:v>
      </x:c>
      <x:c r="C1459" s="69"/>
      <x:c r="D1459" s="82" t="str">
        <x:f>IF(ISNUMBER('Transfer_Ratings'!K1459),'Transfer_Ratings'!K1459,"")</x:f>
      </x:c>
      <x:c r="E1459" s="86"/>
      <x:c r="F1459" s="86"/>
      <x:c r="G1459" s="86"/>
      <x:c r="H1459" s="86"/>
      <x:c r="I1459" s="86"/>
      <x:c r="J1459" s="82" t="str">
        <x:f>IF(C1459="","Choose position",IF(COUNT(E1459:I1459)&lt;5,"",IF(OR(MIN(E1459:I1459)&lt;0.1,MAX(E1459:I1459)&gt;10),"Invalid score",IF(INDEX('Position_Rubric'!$H$6:$H$14,M1459)&lt;&gt;1,"Check weights",ROUND(E1459*INDEX('Position_Rubric'!$C$6:$C$14,M1459)+F1459*INDEX('Position_Rubric'!$D$6:$D$14,M1459)+G1459*INDEX('Position_Rubric'!$E$6:$E$14,M1459)+H1459*INDEX('Position_Rubric'!$F$6:$F$14,M1459)+I1459*INDEX('Position_Rubric'!$G$6:$G$14,M1459),1)))))</x:f>
        <x:v>Choose position</x:v>
      </x:c>
      <x:c r="K1459" s="82" t="str">
        <x:f>IF(AND(ISNUMBER(J1459),ISNUMBER(D1459)),J1459-D1459,"")</x:f>
      </x:c>
      <x:c r="L1459" s="69" t="str">
        <x:f>IF(COUNT(E1459:I1459)&lt;5,"Needs component scores",IF(ISNUMBER(J1459),"Calculated",J1459))</x:f>
        <x:v>Needs component scores</x:v>
      </x:c>
      <x:c r="M1459" s="69" t="str">
        <x:f>IF(C1459="","",MATCH(C1459,'Position_Rubric'!$A$6:$A$14,0))</x:f>
      </x:c>
      <x:c r="N1459" s="69" t="str"/>
    </x:row>
    <x:row r="1460" ht="25" customHeight="1">
      <x:c r="A1460" s="69" t="str">
        <x:v>summer-S26-1108</x:v>
      </x:c>
      <x:c r="B1460" s="69" t="str">
        <x:v>Kayne van Oevelen</x:v>
      </x:c>
      <x:c r="C1460" s="69" t="str">
        <x:v>GK</x:v>
      </x:c>
      <x:c r="D1460" s="82" t="str">
        <x:f>IF(ISNUMBER('Transfer_Ratings'!K1460),'Transfer_Ratings'!K1460,"")</x:f>
      </x:c>
      <x:c r="E1460" s="86"/>
      <x:c r="F1460" s="86"/>
      <x:c r="G1460" s="86"/>
      <x:c r="H1460" s="86"/>
      <x:c r="I1460" s="86"/>
      <x:c r="J1460" s="82" t="str">
        <x:f>IF(C1460="","Choose position",IF(COUNT(E1460:I1460)&lt;5,"",IF(OR(MIN(E1460:I1460)&lt;0.1,MAX(E1460:I1460)&gt;10),"Invalid score",IF(INDEX('Position_Rubric'!$H$6:$H$14,M1460)&lt;&gt;1,"Check weights",ROUND(E1460*INDEX('Position_Rubric'!$C$6:$C$14,M1460)+F1460*INDEX('Position_Rubric'!$D$6:$D$14,M1460)+G1460*INDEX('Position_Rubric'!$E$6:$E$14,M1460)+H1460*INDEX('Position_Rubric'!$F$6:$F$14,M1460)+I1460*INDEX('Position_Rubric'!$G$6:$G$14,M1460),1)))))</x:f>
      </x:c>
      <x:c r="K1460" s="82" t="str">
        <x:f>IF(AND(ISNUMBER(J1460),ISNUMBER(D1460)),J1460-D1460,"")</x:f>
      </x:c>
      <x:c r="L1460" s="69" t="str">
        <x:f>IF(COUNT(E1460:I1460)&lt;5,"Needs component scores",IF(ISNUMBER(J1460),"Calculated",J1460))</x:f>
        <x:v>Needs component scores</x:v>
      </x:c>
      <x:c r="M1460" s="69" t="n">
        <x:f>IF(C1460="","",MATCH(C1460,'Position_Rubric'!$A$6:$A$14,0))</x:f>
        <x:v>9</x:v>
      </x:c>
      <x:c r="N1460" s="69" t="str"/>
    </x:row>
    <x:row r="1461" ht="25" customHeight="1">
      <x:c r="A1461" s="69" t="str">
        <x:v>summer-S26-1111</x:v>
      </x:c>
      <x:c r="B1461" s="69" t="str">
        <x:v>Omari Kellyman</x:v>
      </x:c>
      <x:c r="C1461" s="69"/>
      <x:c r="D1461" s="82" t="str">
        <x:f>IF(ISNUMBER('Transfer_Ratings'!K1461),'Transfer_Ratings'!K1461,"")</x:f>
      </x:c>
      <x:c r="E1461" s="86"/>
      <x:c r="F1461" s="86"/>
      <x:c r="G1461" s="86"/>
      <x:c r="H1461" s="86"/>
      <x:c r="I1461" s="86"/>
      <x:c r="J1461" s="82" t="str">
        <x:f>IF(C1461="","Choose position",IF(COUNT(E1461:I1461)&lt;5,"",IF(OR(MIN(E1461:I1461)&lt;0.1,MAX(E1461:I1461)&gt;10),"Invalid score",IF(INDEX('Position_Rubric'!$H$6:$H$14,M1461)&lt;&gt;1,"Check weights",ROUND(E1461*INDEX('Position_Rubric'!$C$6:$C$14,M1461)+F1461*INDEX('Position_Rubric'!$D$6:$D$14,M1461)+G1461*INDEX('Position_Rubric'!$E$6:$E$14,M1461)+H1461*INDEX('Position_Rubric'!$F$6:$F$14,M1461)+I1461*INDEX('Position_Rubric'!$G$6:$G$14,M1461),1)))))</x:f>
        <x:v>Choose position</x:v>
      </x:c>
      <x:c r="K1461" s="82" t="str">
        <x:f>IF(AND(ISNUMBER(J1461),ISNUMBER(D1461)),J1461-D1461,"")</x:f>
      </x:c>
      <x:c r="L1461" s="69" t="str">
        <x:f>IF(COUNT(E1461:I1461)&lt;5,"Needs component scores",IF(ISNUMBER(J1461),"Calculated",J1461))</x:f>
        <x:v>Needs component scores</x:v>
      </x:c>
      <x:c r="M1461" s="69" t="str">
        <x:f>IF(C1461="","",MATCH(C1461,'Position_Rubric'!$A$6:$A$14,0))</x:f>
      </x:c>
      <x:c r="N1461" s="69" t="str"/>
    </x:row>
    <x:row r="1462" ht="25" customHeight="1">
      <x:c r="A1462" s="69" t="str">
        <x:v>summer-S26-1115</x:v>
      </x:c>
      <x:c r="B1462" s="69" t="str">
        <x:v>Marco Dalla Vecchia</x:v>
      </x:c>
      <x:c r="C1462" s="69"/>
      <x:c r="D1462" s="82" t="str">
        <x:f>IF(ISNUMBER('Transfer_Ratings'!K1462),'Transfer_Ratings'!K1462,"")</x:f>
      </x:c>
      <x:c r="E1462" s="86"/>
      <x:c r="F1462" s="86"/>
      <x:c r="G1462" s="86"/>
      <x:c r="H1462" s="86"/>
      <x:c r="I1462" s="86"/>
      <x:c r="J1462" s="82" t="str">
        <x:f>IF(C1462="","Choose position",IF(COUNT(E1462:I1462)&lt;5,"",IF(OR(MIN(E1462:I1462)&lt;0.1,MAX(E1462:I1462)&gt;10),"Invalid score",IF(INDEX('Position_Rubric'!$H$6:$H$14,M1462)&lt;&gt;1,"Check weights",ROUND(E1462*INDEX('Position_Rubric'!$C$6:$C$14,M1462)+F1462*INDEX('Position_Rubric'!$D$6:$D$14,M1462)+G1462*INDEX('Position_Rubric'!$E$6:$E$14,M1462)+H1462*INDEX('Position_Rubric'!$F$6:$F$14,M1462)+I1462*INDEX('Position_Rubric'!$G$6:$G$14,M1462),1)))))</x:f>
        <x:v>Choose position</x:v>
      </x:c>
      <x:c r="K1462" s="82" t="str">
        <x:f>IF(AND(ISNUMBER(J1462),ISNUMBER(D1462)),J1462-D1462,"")</x:f>
      </x:c>
      <x:c r="L1462" s="69" t="str">
        <x:f>IF(COUNT(E1462:I1462)&lt;5,"Needs component scores",IF(ISNUMBER(J1462),"Calculated",J1462))</x:f>
        <x:v>Needs component scores</x:v>
      </x:c>
      <x:c r="M1462" s="69" t="str">
        <x:f>IF(C1462="","",MATCH(C1462,'Position_Rubric'!$A$6:$A$14,0))</x:f>
      </x:c>
      <x:c r="N1462" s="69" t="str"/>
    </x:row>
    <x:row r="1463" ht="25" customHeight="1">
      <x:c r="A1463" s="69" t="str">
        <x:v>summer-S26-1116</x:v>
      </x:c>
      <x:c r="B1463" s="69" t="str">
        <x:v>Michele Di Gregorio</x:v>
      </x:c>
      <x:c r="C1463" s="69" t="str">
        <x:v>GK</x:v>
      </x:c>
      <x:c r="D1463" s="82" t="str">
        <x:f>IF(ISNUMBER('Transfer_Ratings'!K1463),'Transfer_Ratings'!K1463,"")</x:f>
      </x:c>
      <x:c r="E1463" s="86"/>
      <x:c r="F1463" s="86"/>
      <x:c r="G1463" s="86"/>
      <x:c r="H1463" s="86"/>
      <x:c r="I1463" s="86"/>
      <x:c r="J1463" s="82" t="str">
        <x:f>IF(C1463="","Choose position",IF(COUNT(E1463:I1463)&lt;5,"",IF(OR(MIN(E1463:I1463)&lt;0.1,MAX(E1463:I1463)&gt;10),"Invalid score",IF(INDEX('Position_Rubric'!$H$6:$H$14,M1463)&lt;&gt;1,"Check weights",ROUND(E1463*INDEX('Position_Rubric'!$C$6:$C$14,M1463)+F1463*INDEX('Position_Rubric'!$D$6:$D$14,M1463)+G1463*INDEX('Position_Rubric'!$E$6:$E$14,M1463)+H1463*INDEX('Position_Rubric'!$F$6:$F$14,M1463)+I1463*INDEX('Position_Rubric'!$G$6:$G$14,M1463),1)))))</x:f>
      </x:c>
      <x:c r="K1463" s="82" t="str">
        <x:f>IF(AND(ISNUMBER(J1463),ISNUMBER(D1463)),J1463-D1463,"")</x:f>
      </x:c>
      <x:c r="L1463" s="69" t="str">
        <x:f>IF(COUNT(E1463:I1463)&lt;5,"Needs component scores",IF(ISNUMBER(J1463),"Calculated",J1463))</x:f>
        <x:v>Needs component scores</x:v>
      </x:c>
      <x:c r="M1463" s="69" t="n">
        <x:f>IF(C1463="","",MATCH(C1463,'Position_Rubric'!$A$6:$A$14,0))</x:f>
        <x:v>9</x:v>
      </x:c>
      <x:c r="N1463" s="69" t="str"/>
    </x:row>
    <x:row r="1464" ht="25" customHeight="1">
      <x:c r="A1464" s="69" t="str">
        <x:v>summer-S26-1120</x:v>
      </x:c>
      <x:c r="B1464" s="69" t="str">
        <x:v>Axel Disasi</x:v>
      </x:c>
      <x:c r="C1464" s="69"/>
      <x:c r="D1464" s="82" t="str">
        <x:f>IF(ISNUMBER('Transfer_Ratings'!K1464),'Transfer_Ratings'!K1464,"")</x:f>
      </x:c>
      <x:c r="E1464" s="86"/>
      <x:c r="F1464" s="86"/>
      <x:c r="G1464" s="86"/>
      <x:c r="H1464" s="86"/>
      <x:c r="I1464" s="86"/>
      <x:c r="J1464" s="82" t="str">
        <x:f>IF(C1464="","Choose position",IF(COUNT(E1464:I1464)&lt;5,"",IF(OR(MIN(E1464:I1464)&lt;0.1,MAX(E1464:I1464)&gt;10),"Invalid score",IF(INDEX('Position_Rubric'!$H$6:$H$14,M1464)&lt;&gt;1,"Check weights",ROUND(E1464*INDEX('Position_Rubric'!$C$6:$C$14,M1464)+F1464*INDEX('Position_Rubric'!$D$6:$D$14,M1464)+G1464*INDEX('Position_Rubric'!$E$6:$E$14,M1464)+H1464*INDEX('Position_Rubric'!$F$6:$F$14,M1464)+I1464*INDEX('Position_Rubric'!$G$6:$G$14,M1464),1)))))</x:f>
        <x:v>Choose position</x:v>
      </x:c>
      <x:c r="K1464" s="82" t="str">
        <x:f>IF(AND(ISNUMBER(J1464),ISNUMBER(D1464)),J1464-D1464,"")</x:f>
      </x:c>
      <x:c r="L1464" s="69" t="str">
        <x:f>IF(COUNT(E1464:I1464)&lt;5,"Needs component scores",IF(ISNUMBER(J1464),"Calculated",J1464))</x:f>
        <x:v>Needs component scores</x:v>
      </x:c>
      <x:c r="M1464" s="69" t="str">
        <x:f>IF(C1464="","",MATCH(C1464,'Position_Rubric'!$A$6:$A$14,0))</x:f>
      </x:c>
      <x:c r="N1464" s="69" t="str"/>
    </x:row>
    <x:row r="1465" ht="25" customHeight="1">
      <x:c r="A1465" s="69" t="str">
        <x:v>summer-S26-1121</x:v>
      </x:c>
      <x:c r="B1465" s="69" t="str">
        <x:v>Calvin Ramsay</x:v>
      </x:c>
      <x:c r="C1465" s="69"/>
      <x:c r="D1465" s="82" t="str">
        <x:f>IF(ISNUMBER('Transfer_Ratings'!K1465),'Transfer_Ratings'!K1465,"")</x:f>
      </x:c>
      <x:c r="E1465" s="86"/>
      <x:c r="F1465" s="86"/>
      <x:c r="G1465" s="86"/>
      <x:c r="H1465" s="86"/>
      <x:c r="I1465" s="86"/>
      <x:c r="J1465" s="82" t="str">
        <x:f>IF(C1465="","Choose position",IF(COUNT(E1465:I1465)&lt;5,"",IF(OR(MIN(E1465:I1465)&lt;0.1,MAX(E1465:I1465)&gt;10),"Invalid score",IF(INDEX('Position_Rubric'!$H$6:$H$14,M1465)&lt;&gt;1,"Check weights",ROUND(E1465*INDEX('Position_Rubric'!$C$6:$C$14,M1465)+F1465*INDEX('Position_Rubric'!$D$6:$D$14,M1465)+G1465*INDEX('Position_Rubric'!$E$6:$E$14,M1465)+H1465*INDEX('Position_Rubric'!$F$6:$F$14,M1465)+I1465*INDEX('Position_Rubric'!$G$6:$G$14,M1465),1)))))</x:f>
        <x:v>Choose position</x:v>
      </x:c>
      <x:c r="K1465" s="82" t="str">
        <x:f>IF(AND(ISNUMBER(J1465),ISNUMBER(D1465)),J1465-D1465,"")</x:f>
      </x:c>
      <x:c r="L1465" s="69" t="str">
        <x:f>IF(COUNT(E1465:I1465)&lt;5,"Needs component scores",IF(ISNUMBER(J1465),"Calculated",J1465))</x:f>
        <x:v>Needs component scores</x:v>
      </x:c>
      <x:c r="M1465" s="69" t="str">
        <x:f>IF(C1465="","",MATCH(C1465,'Position_Rubric'!$A$6:$A$14,0))</x:f>
      </x:c>
      <x:c r="N1465" s="69" t="str"/>
    </x:row>
    <x:row r="1466" ht="25" customHeight="1">
      <x:c r="A1466" s="69" t="str">
        <x:v>summer-S26-1122</x:v>
      </x:c>
      <x:c r="B1466" s="69" t="str">
        <x:v>Jaouen Hadjam</x:v>
      </x:c>
      <x:c r="C1466" s="69"/>
      <x:c r="D1466" s="82" t="str">
        <x:f>IF(ISNUMBER('Transfer_Ratings'!K1466),'Transfer_Ratings'!K1466,"")</x:f>
      </x:c>
      <x:c r="E1466" s="86"/>
      <x:c r="F1466" s="86"/>
      <x:c r="G1466" s="86"/>
      <x:c r="H1466" s="86"/>
      <x:c r="I1466" s="86"/>
      <x:c r="J1466" s="82" t="str">
        <x:f>IF(C1466="","Choose position",IF(COUNT(E1466:I1466)&lt;5,"",IF(OR(MIN(E1466:I1466)&lt;0.1,MAX(E1466:I1466)&gt;10),"Invalid score",IF(INDEX('Position_Rubric'!$H$6:$H$14,M1466)&lt;&gt;1,"Check weights",ROUND(E1466*INDEX('Position_Rubric'!$C$6:$C$14,M1466)+F1466*INDEX('Position_Rubric'!$D$6:$D$14,M1466)+G1466*INDEX('Position_Rubric'!$E$6:$E$14,M1466)+H1466*INDEX('Position_Rubric'!$F$6:$F$14,M1466)+I1466*INDEX('Position_Rubric'!$G$6:$G$14,M1466),1)))))</x:f>
        <x:v>Choose position</x:v>
      </x:c>
      <x:c r="K1466" s="82" t="str">
        <x:f>IF(AND(ISNUMBER(J1466),ISNUMBER(D1466)),J1466-D1466,"")</x:f>
      </x:c>
      <x:c r="L1466" s="69" t="str">
        <x:f>IF(COUNT(E1466:I1466)&lt;5,"Needs component scores",IF(ISNUMBER(J1466),"Calculated",J1466))</x:f>
        <x:v>Needs component scores</x:v>
      </x:c>
      <x:c r="M1466" s="69" t="str">
        <x:f>IF(C1466="","",MATCH(C1466,'Position_Rubric'!$A$6:$A$14,0))</x:f>
      </x:c>
      <x:c r="N1466" s="69" t="str"/>
    </x:row>
    <x:row r="1467" ht="25" customHeight="1">
      <x:c r="A1467" s="69" t="str">
        <x:v>summer-S26-1123</x:v>
      </x:c>
      <x:c r="B1467" s="69" t="str">
        <x:v>Eric da Silva Moreira</x:v>
      </x:c>
      <x:c r="C1467" s="69"/>
      <x:c r="D1467" s="82" t="str">
        <x:f>IF(ISNUMBER('Transfer_Ratings'!K1467),'Transfer_Ratings'!K1467,"")</x:f>
      </x:c>
      <x:c r="E1467" s="86"/>
      <x:c r="F1467" s="86"/>
      <x:c r="G1467" s="86"/>
      <x:c r="H1467" s="86"/>
      <x:c r="I1467" s="86"/>
      <x:c r="J1467" s="82" t="str">
        <x:f>IF(C1467="","Choose position",IF(COUNT(E1467:I1467)&lt;5,"",IF(OR(MIN(E1467:I1467)&lt;0.1,MAX(E1467:I1467)&gt;10),"Invalid score",IF(INDEX('Position_Rubric'!$H$6:$H$14,M1467)&lt;&gt;1,"Check weights",ROUND(E1467*INDEX('Position_Rubric'!$C$6:$C$14,M1467)+F1467*INDEX('Position_Rubric'!$D$6:$D$14,M1467)+G1467*INDEX('Position_Rubric'!$E$6:$E$14,M1467)+H1467*INDEX('Position_Rubric'!$F$6:$F$14,M1467)+I1467*INDEX('Position_Rubric'!$G$6:$G$14,M1467),1)))))</x:f>
        <x:v>Choose position</x:v>
      </x:c>
      <x:c r="K1467" s="82" t="str">
        <x:f>IF(AND(ISNUMBER(J1467),ISNUMBER(D1467)),J1467-D1467,"")</x:f>
      </x:c>
      <x:c r="L1467" s="69" t="str">
        <x:f>IF(COUNT(E1467:I1467)&lt;5,"Needs component scores",IF(ISNUMBER(J1467),"Calculated",J1467))</x:f>
        <x:v>Needs component scores</x:v>
      </x:c>
      <x:c r="M1467" s="69" t="str">
        <x:f>IF(C1467="","",MATCH(C1467,'Position_Rubric'!$A$6:$A$14,0))</x:f>
      </x:c>
      <x:c r="N1467" s="69" t="str"/>
    </x:row>
    <x:row r="1468" ht="25" customHeight="1">
      <x:c r="A1468" s="69" t="str">
        <x:v>summer-S26-1126</x:v>
      </x:c>
      <x:c r="B1468" s="69" t="str">
        <x:v>Ethan Pinnock</x:v>
      </x:c>
      <x:c r="C1468" s="69"/>
      <x:c r="D1468" s="82" t="str">
        <x:f>IF(ISNUMBER('Transfer_Ratings'!K1468),'Transfer_Ratings'!K1468,"")</x:f>
      </x:c>
      <x:c r="E1468" s="86"/>
      <x:c r="F1468" s="86"/>
      <x:c r="G1468" s="86"/>
      <x:c r="H1468" s="86"/>
      <x:c r="I1468" s="86"/>
      <x:c r="J1468" s="82" t="str">
        <x:f>IF(C1468="","Choose position",IF(COUNT(E1468:I1468)&lt;5,"",IF(OR(MIN(E1468:I1468)&lt;0.1,MAX(E1468:I1468)&gt;10),"Invalid score",IF(INDEX('Position_Rubric'!$H$6:$H$14,M1468)&lt;&gt;1,"Check weights",ROUND(E1468*INDEX('Position_Rubric'!$C$6:$C$14,M1468)+F1468*INDEX('Position_Rubric'!$D$6:$D$14,M1468)+G1468*INDEX('Position_Rubric'!$E$6:$E$14,M1468)+H1468*INDEX('Position_Rubric'!$F$6:$F$14,M1468)+I1468*INDEX('Position_Rubric'!$G$6:$G$14,M1468),1)))))</x:f>
        <x:v>Choose position</x:v>
      </x:c>
      <x:c r="K1468" s="82" t="str">
        <x:f>IF(AND(ISNUMBER(J1468),ISNUMBER(D1468)),J1468-D1468,"")</x:f>
      </x:c>
      <x:c r="L1468" s="69" t="str">
        <x:f>IF(COUNT(E1468:I1468)&lt;5,"Needs component scores",IF(ISNUMBER(J1468),"Calculated",J1468))</x:f>
        <x:v>Needs component scores</x:v>
      </x:c>
      <x:c r="M1468" s="69" t="str">
        <x:f>IF(C1468="","",MATCH(C1468,'Position_Rubric'!$A$6:$A$14,0))</x:f>
      </x:c>
      <x:c r="N1468" s="69" t="str"/>
    </x:row>
    <x:row r="1469" ht="25" customHeight="1">
      <x:c r="A1469" s="69" t="str">
        <x:v>summer-S26-1127</x:v>
      </x:c>
      <x:c r="B1469" s="69" t="str">
        <x:v>Nathan Saliba</x:v>
      </x:c>
      <x:c r="C1469" s="69"/>
      <x:c r="D1469" s="82" t="str">
        <x:f>IF(ISNUMBER('Transfer_Ratings'!K1469),'Transfer_Ratings'!K1469,"")</x:f>
      </x:c>
      <x:c r="E1469" s="86"/>
      <x:c r="F1469" s="86"/>
      <x:c r="G1469" s="86"/>
      <x:c r="H1469" s="86"/>
      <x:c r="I1469" s="86"/>
      <x:c r="J1469" s="82" t="str">
        <x:f>IF(C1469="","Choose position",IF(COUNT(E1469:I1469)&lt;5,"",IF(OR(MIN(E1469:I1469)&lt;0.1,MAX(E1469:I1469)&gt;10),"Invalid score",IF(INDEX('Position_Rubric'!$H$6:$H$14,M1469)&lt;&gt;1,"Check weights",ROUND(E1469*INDEX('Position_Rubric'!$C$6:$C$14,M1469)+F1469*INDEX('Position_Rubric'!$D$6:$D$14,M1469)+G1469*INDEX('Position_Rubric'!$E$6:$E$14,M1469)+H1469*INDEX('Position_Rubric'!$F$6:$F$14,M1469)+I1469*INDEX('Position_Rubric'!$G$6:$G$14,M1469),1)))))</x:f>
        <x:v>Choose position</x:v>
      </x:c>
      <x:c r="K1469" s="82" t="str">
        <x:f>IF(AND(ISNUMBER(J1469),ISNUMBER(D1469)),J1469-D1469,"")</x:f>
      </x:c>
      <x:c r="L1469" s="69" t="str">
        <x:f>IF(COUNT(E1469:I1469)&lt;5,"Needs component scores",IF(ISNUMBER(J1469),"Calculated",J1469))</x:f>
        <x:v>Needs component scores</x:v>
      </x:c>
      <x:c r="M1469" s="69" t="str">
        <x:f>IF(C1469="","",MATCH(C1469,'Position_Rubric'!$A$6:$A$14,0))</x:f>
      </x:c>
      <x:c r="N1469" s="69" t="str"/>
    </x:row>
    <x:row r="1470" ht="25" customHeight="1">
      <x:c r="A1470" s="69" t="str">
        <x:v>summer-S26-1129</x:v>
      </x:c>
      <x:c r="B1470" s="69" t="str">
        <x:v>Orlando Gill</x:v>
      </x:c>
      <x:c r="C1470" s="69" t="str">
        <x:v>GK</x:v>
      </x:c>
      <x:c r="D1470" s="82" t="str">
        <x:f>IF(ISNUMBER('Transfer_Ratings'!K1470),'Transfer_Ratings'!K1470,"")</x:f>
      </x:c>
      <x:c r="E1470" s="86"/>
      <x:c r="F1470" s="86"/>
      <x:c r="G1470" s="86"/>
      <x:c r="H1470" s="86"/>
      <x:c r="I1470" s="86"/>
      <x:c r="J1470" s="82" t="str">
        <x:f>IF(C1470="","Choose position",IF(COUNT(E1470:I1470)&lt;5,"",IF(OR(MIN(E1470:I1470)&lt;0.1,MAX(E1470:I1470)&gt;10),"Invalid score",IF(INDEX('Position_Rubric'!$H$6:$H$14,M1470)&lt;&gt;1,"Check weights",ROUND(E1470*INDEX('Position_Rubric'!$C$6:$C$14,M1470)+F1470*INDEX('Position_Rubric'!$D$6:$D$14,M1470)+G1470*INDEX('Position_Rubric'!$E$6:$E$14,M1470)+H1470*INDEX('Position_Rubric'!$F$6:$F$14,M1470)+I1470*INDEX('Position_Rubric'!$G$6:$G$14,M1470),1)))))</x:f>
      </x:c>
      <x:c r="K1470" s="82" t="str">
        <x:f>IF(AND(ISNUMBER(J1470),ISNUMBER(D1470)),J1470-D1470,"")</x:f>
      </x:c>
      <x:c r="L1470" s="69" t="str">
        <x:f>IF(COUNT(E1470:I1470)&lt;5,"Needs component scores",IF(ISNUMBER(J1470),"Calculated",J1470))</x:f>
        <x:v>Needs component scores</x:v>
      </x:c>
      <x:c r="M1470" s="69" t="n">
        <x:f>IF(C1470="","",MATCH(C1470,'Position_Rubric'!$A$6:$A$14,0))</x:f>
        <x:v>9</x:v>
      </x:c>
      <x:c r="N1470" s="69" t="str"/>
    </x:row>
    <x:row r="1471" ht="25" customHeight="1">
      <x:c r="A1471" s="69" t="str">
        <x:v>summer-S26-1130</x:v>
      </x:c>
      <x:c r="B1471" s="69" t="str">
        <x:v>Seko Fofana</x:v>
      </x:c>
      <x:c r="C1471" s="69"/>
      <x:c r="D1471" s="82" t="str">
        <x:f>IF(ISNUMBER('Transfer_Ratings'!K1471),'Transfer_Ratings'!K1471,"")</x:f>
      </x:c>
      <x:c r="E1471" s="86"/>
      <x:c r="F1471" s="86"/>
      <x:c r="G1471" s="86"/>
      <x:c r="H1471" s="86"/>
      <x:c r="I1471" s="86"/>
      <x:c r="J1471" s="82" t="str">
        <x:f>IF(C1471="","Choose position",IF(COUNT(E1471:I1471)&lt;5,"",IF(OR(MIN(E1471:I1471)&lt;0.1,MAX(E1471:I1471)&gt;10),"Invalid score",IF(INDEX('Position_Rubric'!$H$6:$H$14,M1471)&lt;&gt;1,"Check weights",ROUND(E1471*INDEX('Position_Rubric'!$C$6:$C$14,M1471)+F1471*INDEX('Position_Rubric'!$D$6:$D$14,M1471)+G1471*INDEX('Position_Rubric'!$E$6:$E$14,M1471)+H1471*INDEX('Position_Rubric'!$F$6:$F$14,M1471)+I1471*INDEX('Position_Rubric'!$G$6:$G$14,M1471),1)))))</x:f>
        <x:v>Choose position</x:v>
      </x:c>
      <x:c r="K1471" s="82" t="str">
        <x:f>IF(AND(ISNUMBER(J1471),ISNUMBER(D1471)),J1471-D1471,"")</x:f>
      </x:c>
      <x:c r="L1471" s="69" t="str">
        <x:f>IF(COUNT(E1471:I1471)&lt;5,"Needs component scores",IF(ISNUMBER(J1471),"Calculated",J1471))</x:f>
        <x:v>Needs component scores</x:v>
      </x:c>
      <x:c r="M1471" s="69" t="str">
        <x:f>IF(C1471="","",MATCH(C1471,'Position_Rubric'!$A$6:$A$14,0))</x:f>
      </x:c>
      <x:c r="N1471" s="69" t="str"/>
    </x:row>
    <x:row r="1472" ht="25" customHeight="1">
      <x:c r="A1472" s="69" t="str">
        <x:v>summer-S26-1132</x:v>
      </x:c>
      <x:c r="B1472" s="69" t="str">
        <x:v>Mario Sauer</x:v>
      </x:c>
      <x:c r="C1472" s="69"/>
      <x:c r="D1472" s="82" t="str">
        <x:f>IF(ISNUMBER('Transfer_Ratings'!K1472),'Transfer_Ratings'!K1472,"")</x:f>
      </x:c>
      <x:c r="E1472" s="86"/>
      <x:c r="F1472" s="86"/>
      <x:c r="G1472" s="86"/>
      <x:c r="H1472" s="86"/>
      <x:c r="I1472" s="86"/>
      <x:c r="J1472" s="82" t="str">
        <x:f>IF(C1472="","Choose position",IF(COUNT(E1472:I1472)&lt;5,"",IF(OR(MIN(E1472:I1472)&lt;0.1,MAX(E1472:I1472)&gt;10),"Invalid score",IF(INDEX('Position_Rubric'!$H$6:$H$14,M1472)&lt;&gt;1,"Check weights",ROUND(E1472*INDEX('Position_Rubric'!$C$6:$C$14,M1472)+F1472*INDEX('Position_Rubric'!$D$6:$D$14,M1472)+G1472*INDEX('Position_Rubric'!$E$6:$E$14,M1472)+H1472*INDEX('Position_Rubric'!$F$6:$F$14,M1472)+I1472*INDEX('Position_Rubric'!$G$6:$G$14,M1472),1)))))</x:f>
        <x:v>Choose position</x:v>
      </x:c>
      <x:c r="K1472" s="82" t="str">
        <x:f>IF(AND(ISNUMBER(J1472),ISNUMBER(D1472)),J1472-D1472,"")</x:f>
      </x:c>
      <x:c r="L1472" s="69" t="str">
        <x:f>IF(COUNT(E1472:I1472)&lt;5,"Needs component scores",IF(ISNUMBER(J1472),"Calculated",J1472))</x:f>
        <x:v>Needs component scores</x:v>
      </x:c>
      <x:c r="M1472" s="69" t="str">
        <x:f>IF(C1472="","",MATCH(C1472,'Position_Rubric'!$A$6:$A$14,0))</x:f>
      </x:c>
      <x:c r="N1472" s="69" t="str"/>
    </x:row>
    <x:row r="1473" ht="25" customHeight="1">
      <x:c r="A1473" s="69" t="str">
        <x:v>summer-S26-1134</x:v>
      </x:c>
      <x:c r="B1473" s="69" t="str">
        <x:v>Arnau Martínez</x:v>
      </x:c>
      <x:c r="C1473" s="69"/>
      <x:c r="D1473" s="82" t="str">
        <x:f>IF(ISNUMBER('Transfer_Ratings'!K1473),'Transfer_Ratings'!K1473,"")</x:f>
      </x:c>
      <x:c r="E1473" s="86"/>
      <x:c r="F1473" s="86"/>
      <x:c r="G1473" s="86"/>
      <x:c r="H1473" s="86"/>
      <x:c r="I1473" s="86"/>
      <x:c r="J1473" s="82" t="str">
        <x:f>IF(C1473="","Choose position",IF(COUNT(E1473:I1473)&lt;5,"",IF(OR(MIN(E1473:I1473)&lt;0.1,MAX(E1473:I1473)&gt;10),"Invalid score",IF(INDEX('Position_Rubric'!$H$6:$H$14,M1473)&lt;&gt;1,"Check weights",ROUND(E1473*INDEX('Position_Rubric'!$C$6:$C$14,M1473)+F1473*INDEX('Position_Rubric'!$D$6:$D$14,M1473)+G1473*INDEX('Position_Rubric'!$E$6:$E$14,M1473)+H1473*INDEX('Position_Rubric'!$F$6:$F$14,M1473)+I1473*INDEX('Position_Rubric'!$G$6:$G$14,M1473),1)))))</x:f>
        <x:v>Choose position</x:v>
      </x:c>
      <x:c r="K1473" s="82" t="str">
        <x:f>IF(AND(ISNUMBER(J1473),ISNUMBER(D1473)),J1473-D1473,"")</x:f>
      </x:c>
      <x:c r="L1473" s="69" t="str">
        <x:f>IF(COUNT(E1473:I1473)&lt;5,"Needs component scores",IF(ISNUMBER(J1473),"Calculated",J1473))</x:f>
        <x:v>Needs component scores</x:v>
      </x:c>
      <x:c r="M1473" s="69" t="str">
        <x:f>IF(C1473="","",MATCH(C1473,'Position_Rubric'!$A$6:$A$14,0))</x:f>
      </x:c>
      <x:c r="N1473" s="69" t="str"/>
    </x:row>
    <x:row r="1474" ht="25" customHeight="1">
      <x:c r="A1474" s="69" t="str">
        <x:v>summer-S26-1135</x:v>
      </x:c>
      <x:c r="B1474" s="69" t="str">
        <x:v>Jesús Owono</x:v>
      </x:c>
      <x:c r="C1474" s="69" t="str">
        <x:v>GK</x:v>
      </x:c>
      <x:c r="D1474" s="82" t="str">
        <x:f>IF(ISNUMBER('Transfer_Ratings'!K1474),'Transfer_Ratings'!K1474,"")</x:f>
      </x:c>
      <x:c r="E1474" s="86"/>
      <x:c r="F1474" s="86"/>
      <x:c r="G1474" s="86"/>
      <x:c r="H1474" s="86"/>
      <x:c r="I1474" s="86"/>
      <x:c r="J1474" s="82" t="str">
        <x:f>IF(C1474="","Choose position",IF(COUNT(E1474:I1474)&lt;5,"",IF(OR(MIN(E1474:I1474)&lt;0.1,MAX(E1474:I1474)&gt;10),"Invalid score",IF(INDEX('Position_Rubric'!$H$6:$H$14,M1474)&lt;&gt;1,"Check weights",ROUND(E1474*INDEX('Position_Rubric'!$C$6:$C$14,M1474)+F1474*INDEX('Position_Rubric'!$D$6:$D$14,M1474)+G1474*INDEX('Position_Rubric'!$E$6:$E$14,M1474)+H1474*INDEX('Position_Rubric'!$F$6:$F$14,M1474)+I1474*INDEX('Position_Rubric'!$G$6:$G$14,M1474),1)))))</x:f>
      </x:c>
      <x:c r="K1474" s="82" t="str">
        <x:f>IF(AND(ISNUMBER(J1474),ISNUMBER(D1474)),J1474-D1474,"")</x:f>
      </x:c>
      <x:c r="L1474" s="69" t="str">
        <x:f>IF(COUNT(E1474:I1474)&lt;5,"Needs component scores",IF(ISNUMBER(J1474),"Calculated",J1474))</x:f>
        <x:v>Needs component scores</x:v>
      </x:c>
      <x:c r="M1474" s="69" t="n">
        <x:f>IF(C1474="","",MATCH(C1474,'Position_Rubric'!$A$6:$A$14,0))</x:f>
        <x:v>9</x:v>
      </x:c>
      <x:c r="N1474" s="69" t="str"/>
    </x:row>
    <x:row r="1475" ht="25" customHeight="1">
      <x:c r="A1475" s="69" t="str">
        <x:v>summer-S26-1136</x:v>
      </x:c>
      <x:c r="B1475" s="69" t="str">
        <x:v>Niccolò Corrado</x:v>
      </x:c>
      <x:c r="C1475" s="69"/>
      <x:c r="D1475" s="82" t="str">
        <x:f>IF(ISNUMBER('Transfer_Ratings'!K1475),'Transfer_Ratings'!K1475,"")</x:f>
      </x:c>
      <x:c r="E1475" s="86"/>
      <x:c r="F1475" s="86"/>
      <x:c r="G1475" s="86"/>
      <x:c r="H1475" s="86"/>
      <x:c r="I1475" s="86"/>
      <x:c r="J1475" s="82" t="str">
        <x:f>IF(C1475="","Choose position",IF(COUNT(E1475:I1475)&lt;5,"",IF(OR(MIN(E1475:I1475)&lt;0.1,MAX(E1475:I1475)&gt;10),"Invalid score",IF(INDEX('Position_Rubric'!$H$6:$H$14,M1475)&lt;&gt;1,"Check weights",ROUND(E1475*INDEX('Position_Rubric'!$C$6:$C$14,M1475)+F1475*INDEX('Position_Rubric'!$D$6:$D$14,M1475)+G1475*INDEX('Position_Rubric'!$E$6:$E$14,M1475)+H1475*INDEX('Position_Rubric'!$F$6:$F$14,M1475)+I1475*INDEX('Position_Rubric'!$G$6:$G$14,M1475),1)))))</x:f>
        <x:v>Choose position</x:v>
      </x:c>
      <x:c r="K1475" s="82" t="str">
        <x:f>IF(AND(ISNUMBER(J1475),ISNUMBER(D1475)),J1475-D1475,"")</x:f>
      </x:c>
      <x:c r="L1475" s="69" t="str">
        <x:f>IF(COUNT(E1475:I1475)&lt;5,"Needs component scores",IF(ISNUMBER(J1475),"Calculated",J1475))</x:f>
        <x:v>Needs component scores</x:v>
      </x:c>
      <x:c r="M1475" s="69" t="str">
        <x:f>IF(C1475="","",MATCH(C1475,'Position_Rubric'!$A$6:$A$14,0))</x:f>
      </x:c>
      <x:c r="N1475" s="69" t="str"/>
    </x:row>
    <x:row r="1476" ht="25" customHeight="1">
      <x:c r="A1476" s="69" t="str">
        <x:v>summer-S26-1137</x:v>
      </x:c>
      <x:c r="B1476" s="69" t="str">
        <x:v>Mattia Perin</x:v>
      </x:c>
      <x:c r="C1476" s="69" t="str">
        <x:v>GK</x:v>
      </x:c>
      <x:c r="D1476" s="82" t="str">
        <x:f>IF(ISNUMBER('Transfer_Ratings'!K1476),'Transfer_Ratings'!K1476,"")</x:f>
      </x:c>
      <x:c r="E1476" s="86"/>
      <x:c r="F1476" s="86"/>
      <x:c r="G1476" s="86"/>
      <x:c r="H1476" s="86"/>
      <x:c r="I1476" s="86"/>
      <x:c r="J1476" s="82" t="str">
        <x:f>IF(C1476="","Choose position",IF(COUNT(E1476:I1476)&lt;5,"",IF(OR(MIN(E1476:I1476)&lt;0.1,MAX(E1476:I1476)&gt;10),"Invalid score",IF(INDEX('Position_Rubric'!$H$6:$H$14,M1476)&lt;&gt;1,"Check weights",ROUND(E1476*INDEX('Position_Rubric'!$C$6:$C$14,M1476)+F1476*INDEX('Position_Rubric'!$D$6:$D$14,M1476)+G1476*INDEX('Position_Rubric'!$E$6:$E$14,M1476)+H1476*INDEX('Position_Rubric'!$F$6:$F$14,M1476)+I1476*INDEX('Position_Rubric'!$G$6:$G$14,M1476),1)))))</x:f>
      </x:c>
      <x:c r="K1476" s="82" t="str">
        <x:f>IF(AND(ISNUMBER(J1476),ISNUMBER(D1476)),J1476-D1476,"")</x:f>
      </x:c>
      <x:c r="L1476" s="69" t="str">
        <x:f>IF(COUNT(E1476:I1476)&lt;5,"Needs component scores",IF(ISNUMBER(J1476),"Calculated",J1476))</x:f>
        <x:v>Needs component scores</x:v>
      </x:c>
      <x:c r="M1476" s="69" t="n">
        <x:f>IF(C1476="","",MATCH(C1476,'Position_Rubric'!$A$6:$A$14,0))</x:f>
        <x:v>9</x:v>
      </x:c>
      <x:c r="N1476" s="69" t="str"/>
    </x:row>
    <x:row r="1477" ht="25" customHeight="1">
      <x:c r="A1477" s="69" t="str">
        <x:v>summer-S26-1139</x:v>
      </x:c>
      <x:c r="B1477" s="69" t="str">
        <x:v>Willy Kambwala</x:v>
      </x:c>
      <x:c r="C1477" s="69"/>
      <x:c r="D1477" s="82" t="str">
        <x:f>IF(ISNUMBER('Transfer_Ratings'!K1477),'Transfer_Ratings'!K1477,"")</x:f>
      </x:c>
      <x:c r="E1477" s="86"/>
      <x:c r="F1477" s="86"/>
      <x:c r="G1477" s="86"/>
      <x:c r="H1477" s="86"/>
      <x:c r="I1477" s="86"/>
      <x:c r="J1477" s="82" t="str">
        <x:f>IF(C1477="","Choose position",IF(COUNT(E1477:I1477)&lt;5,"",IF(OR(MIN(E1477:I1477)&lt;0.1,MAX(E1477:I1477)&gt;10),"Invalid score",IF(INDEX('Position_Rubric'!$H$6:$H$14,M1477)&lt;&gt;1,"Check weights",ROUND(E1477*INDEX('Position_Rubric'!$C$6:$C$14,M1477)+F1477*INDEX('Position_Rubric'!$D$6:$D$14,M1477)+G1477*INDEX('Position_Rubric'!$E$6:$E$14,M1477)+H1477*INDEX('Position_Rubric'!$F$6:$F$14,M1477)+I1477*INDEX('Position_Rubric'!$G$6:$G$14,M1477),1)))))</x:f>
        <x:v>Choose position</x:v>
      </x:c>
      <x:c r="K1477" s="82" t="str">
        <x:f>IF(AND(ISNUMBER(J1477),ISNUMBER(D1477)),J1477-D1477,"")</x:f>
      </x:c>
      <x:c r="L1477" s="69" t="str">
        <x:f>IF(COUNT(E1477:I1477)&lt;5,"Needs component scores",IF(ISNUMBER(J1477),"Calculated",J1477))</x:f>
        <x:v>Needs component scores</x:v>
      </x:c>
      <x:c r="M1477" s="69" t="str">
        <x:f>IF(C1477="","",MATCH(C1477,'Position_Rubric'!$A$6:$A$14,0))</x:f>
      </x:c>
      <x:c r="N1477" s="69" t="str"/>
    </x:row>
    <x:row r="1478" ht="25" customHeight="1">
      <x:c r="A1478" s="69" t="str">
        <x:v>summer-S26-1142</x:v>
      </x:c>
      <x:c r="B1478" s="69" t="str">
        <x:v>John Ruddy</x:v>
      </x:c>
      <x:c r="C1478" s="69" t="str">
        <x:v>GK</x:v>
      </x:c>
      <x:c r="D1478" s="82" t="str">
        <x:f>IF(ISNUMBER('Transfer_Ratings'!K1478),'Transfer_Ratings'!K1478,"")</x:f>
      </x:c>
      <x:c r="E1478" s="86"/>
      <x:c r="F1478" s="86"/>
      <x:c r="G1478" s="86"/>
      <x:c r="H1478" s="86"/>
      <x:c r="I1478" s="86"/>
      <x:c r="J1478" s="82" t="str">
        <x:f>IF(C1478="","Choose position",IF(COUNT(E1478:I1478)&lt;5,"",IF(OR(MIN(E1478:I1478)&lt;0.1,MAX(E1478:I1478)&gt;10),"Invalid score",IF(INDEX('Position_Rubric'!$H$6:$H$14,M1478)&lt;&gt;1,"Check weights",ROUND(E1478*INDEX('Position_Rubric'!$C$6:$C$14,M1478)+F1478*INDEX('Position_Rubric'!$D$6:$D$14,M1478)+G1478*INDEX('Position_Rubric'!$E$6:$E$14,M1478)+H1478*INDEX('Position_Rubric'!$F$6:$F$14,M1478)+I1478*INDEX('Position_Rubric'!$G$6:$G$14,M1478),1)))))</x:f>
      </x:c>
      <x:c r="K1478" s="82" t="str">
        <x:f>IF(AND(ISNUMBER(J1478),ISNUMBER(D1478)),J1478-D1478,"")</x:f>
      </x:c>
      <x:c r="L1478" s="69" t="str">
        <x:f>IF(COUNT(E1478:I1478)&lt;5,"Needs component scores",IF(ISNUMBER(J1478),"Calculated",J1478))</x:f>
        <x:v>Needs component scores</x:v>
      </x:c>
      <x:c r="M1478" s="69" t="n">
        <x:f>IF(C1478="","",MATCH(C1478,'Position_Rubric'!$A$6:$A$14,0))</x:f>
        <x:v>9</x:v>
      </x:c>
      <x:c r="N1478" s="69" t="str"/>
    </x:row>
    <x:row r="1479" ht="25" customHeight="1">
      <x:c r="A1479" s="69" t="str">
        <x:v>summer-S26-1143</x:v>
      </x:c>
      <x:c r="B1479" s="69" t="str">
        <x:v>Jenson Seelt</x:v>
      </x:c>
      <x:c r="C1479" s="69"/>
      <x:c r="D1479" s="82" t="str">
        <x:f>IF(ISNUMBER('Transfer_Ratings'!K1479),'Transfer_Ratings'!K1479,"")</x:f>
      </x:c>
      <x:c r="E1479" s="86"/>
      <x:c r="F1479" s="86"/>
      <x:c r="G1479" s="86"/>
      <x:c r="H1479" s="86"/>
      <x:c r="I1479" s="86"/>
      <x:c r="J1479" s="82" t="str">
        <x:f>IF(C1479="","Choose position",IF(COUNT(E1479:I1479)&lt;5,"",IF(OR(MIN(E1479:I1479)&lt;0.1,MAX(E1479:I1479)&gt;10),"Invalid score",IF(INDEX('Position_Rubric'!$H$6:$H$14,M1479)&lt;&gt;1,"Check weights",ROUND(E1479*INDEX('Position_Rubric'!$C$6:$C$14,M1479)+F1479*INDEX('Position_Rubric'!$D$6:$D$14,M1479)+G1479*INDEX('Position_Rubric'!$E$6:$E$14,M1479)+H1479*INDEX('Position_Rubric'!$F$6:$F$14,M1479)+I1479*INDEX('Position_Rubric'!$G$6:$G$14,M1479),1)))))</x:f>
        <x:v>Choose position</x:v>
      </x:c>
      <x:c r="K1479" s="82" t="str">
        <x:f>IF(AND(ISNUMBER(J1479),ISNUMBER(D1479)),J1479-D1479,"")</x:f>
      </x:c>
      <x:c r="L1479" s="69" t="str">
        <x:f>IF(COUNT(E1479:I1479)&lt;5,"Needs component scores",IF(ISNUMBER(J1479),"Calculated",J1479))</x:f>
        <x:v>Needs component scores</x:v>
      </x:c>
      <x:c r="M1479" s="69" t="str">
        <x:f>IF(C1479="","",MATCH(C1479,'Position_Rubric'!$A$6:$A$14,0))</x:f>
      </x:c>
      <x:c r="N1479" s="69" t="str"/>
    </x:row>
    <x:row r="1480" ht="25" customHeight="1">
      <x:c r="A1480" s="69" t="str">
        <x:v>summer-S26-1147</x:v>
      </x:c>
      <x:c r="B1480" s="69" t="str">
        <x:v>Adrià Pedrosa</x:v>
      </x:c>
      <x:c r="C1480" s="69"/>
      <x:c r="D1480" s="82" t="str">
        <x:f>IF(ISNUMBER('Transfer_Ratings'!K1480),'Transfer_Ratings'!K1480,"")</x:f>
      </x:c>
      <x:c r="E1480" s="86"/>
      <x:c r="F1480" s="86"/>
      <x:c r="G1480" s="86"/>
      <x:c r="H1480" s="86"/>
      <x:c r="I1480" s="86"/>
      <x:c r="J1480" s="82" t="str">
        <x:f>IF(C1480="","Choose position",IF(COUNT(E1480:I1480)&lt;5,"",IF(OR(MIN(E1480:I1480)&lt;0.1,MAX(E1480:I1480)&gt;10),"Invalid score",IF(INDEX('Position_Rubric'!$H$6:$H$14,M1480)&lt;&gt;1,"Check weights",ROUND(E1480*INDEX('Position_Rubric'!$C$6:$C$14,M1480)+F1480*INDEX('Position_Rubric'!$D$6:$D$14,M1480)+G1480*INDEX('Position_Rubric'!$E$6:$E$14,M1480)+H1480*INDEX('Position_Rubric'!$F$6:$F$14,M1480)+I1480*INDEX('Position_Rubric'!$G$6:$G$14,M1480),1)))))</x:f>
        <x:v>Choose position</x:v>
      </x:c>
      <x:c r="K1480" s="82" t="str">
        <x:f>IF(AND(ISNUMBER(J1480),ISNUMBER(D1480)),J1480-D1480,"")</x:f>
      </x:c>
      <x:c r="L1480" s="69" t="str">
        <x:f>IF(COUNT(E1480:I1480)&lt;5,"Needs component scores",IF(ISNUMBER(J1480),"Calculated",J1480))</x:f>
        <x:v>Needs component scores</x:v>
      </x:c>
      <x:c r="M1480" s="69" t="str">
        <x:f>IF(C1480="","",MATCH(C1480,'Position_Rubric'!$A$6:$A$14,0))</x:f>
      </x:c>
      <x:c r="N1480" s="69" t="str"/>
    </x:row>
    <x:row r="1481" ht="25" customHeight="1">
      <x:c r="A1481" s="69" t="str">
        <x:v>summer-S26-1149</x:v>
      </x:c>
      <x:c r="B1481" s="69" t="str">
        <x:v>Keven Schlotterbeck</x:v>
      </x:c>
      <x:c r="C1481" s="69"/>
      <x:c r="D1481" s="82" t="str">
        <x:f>IF(ISNUMBER('Transfer_Ratings'!K1481),'Transfer_Ratings'!K1481,"")</x:f>
      </x:c>
      <x:c r="E1481" s="86"/>
      <x:c r="F1481" s="86"/>
      <x:c r="G1481" s="86"/>
      <x:c r="H1481" s="86"/>
      <x:c r="I1481" s="86"/>
      <x:c r="J1481" s="82" t="str">
        <x:f>IF(C1481="","Choose position",IF(COUNT(E1481:I1481)&lt;5,"",IF(OR(MIN(E1481:I1481)&lt;0.1,MAX(E1481:I1481)&gt;10),"Invalid score",IF(INDEX('Position_Rubric'!$H$6:$H$14,M1481)&lt;&gt;1,"Check weights",ROUND(E1481*INDEX('Position_Rubric'!$C$6:$C$14,M1481)+F1481*INDEX('Position_Rubric'!$D$6:$D$14,M1481)+G1481*INDEX('Position_Rubric'!$E$6:$E$14,M1481)+H1481*INDEX('Position_Rubric'!$F$6:$F$14,M1481)+I1481*INDEX('Position_Rubric'!$G$6:$G$14,M1481),1)))))</x:f>
        <x:v>Choose position</x:v>
      </x:c>
      <x:c r="K1481" s="82" t="str">
        <x:f>IF(AND(ISNUMBER(J1481),ISNUMBER(D1481)),J1481-D1481,"")</x:f>
      </x:c>
      <x:c r="L1481" s="69" t="str">
        <x:f>IF(COUNT(E1481:I1481)&lt;5,"Needs component scores",IF(ISNUMBER(J1481),"Calculated",J1481))</x:f>
        <x:v>Needs component scores</x:v>
      </x:c>
      <x:c r="M1481" s="69" t="str">
        <x:f>IF(C1481="","",MATCH(C1481,'Position_Rubric'!$A$6:$A$14,0))</x:f>
      </x:c>
      <x:c r="N1481" s="69" t="str"/>
    </x:row>
    <x:row r="1482" ht="25" customHeight="1">
      <x:c r="A1482" s="69" t="str">
        <x:v>summer-S26-1150</x:v>
      </x:c>
      <x:c r="B1482" s="69" t="str">
        <x:v>Exequiel Palacios</x:v>
      </x:c>
      <x:c r="C1482" s="69"/>
      <x:c r="D1482" s="82" t="str">
        <x:f>IF(ISNUMBER('Transfer_Ratings'!K1482),'Transfer_Ratings'!K1482,"")</x:f>
      </x:c>
      <x:c r="E1482" s="86"/>
      <x:c r="F1482" s="86"/>
      <x:c r="G1482" s="86"/>
      <x:c r="H1482" s="86"/>
      <x:c r="I1482" s="86"/>
      <x:c r="J1482" s="82" t="str">
        <x:f>IF(C1482="","Choose position",IF(COUNT(E1482:I1482)&lt;5,"",IF(OR(MIN(E1482:I1482)&lt;0.1,MAX(E1482:I1482)&gt;10),"Invalid score",IF(INDEX('Position_Rubric'!$H$6:$H$14,M1482)&lt;&gt;1,"Check weights",ROUND(E1482*INDEX('Position_Rubric'!$C$6:$C$14,M1482)+F1482*INDEX('Position_Rubric'!$D$6:$D$14,M1482)+G1482*INDEX('Position_Rubric'!$E$6:$E$14,M1482)+H1482*INDEX('Position_Rubric'!$F$6:$F$14,M1482)+I1482*INDEX('Position_Rubric'!$G$6:$G$14,M1482),1)))))</x:f>
        <x:v>Choose position</x:v>
      </x:c>
      <x:c r="K1482" s="82" t="str">
        <x:f>IF(AND(ISNUMBER(J1482),ISNUMBER(D1482)),J1482-D1482,"")</x:f>
      </x:c>
      <x:c r="L1482" s="69" t="str">
        <x:f>IF(COUNT(E1482:I1482)&lt;5,"Needs component scores",IF(ISNUMBER(J1482),"Calculated",J1482))</x:f>
        <x:v>Needs component scores</x:v>
      </x:c>
      <x:c r="M1482" s="69" t="str">
        <x:f>IF(C1482="","",MATCH(C1482,'Position_Rubric'!$A$6:$A$14,0))</x:f>
      </x:c>
      <x:c r="N1482" s="69" t="str"/>
    </x:row>
    <x:row r="1483" ht="25" customHeight="1">
      <x:c r="A1483" s="69" t="str">
        <x:v>summer-S26-1151</x:v>
      </x:c>
      <x:c r="B1483" s="69" t="str">
        <x:v>Mamadou Sarr</x:v>
      </x:c>
      <x:c r="C1483" s="69"/>
      <x:c r="D1483" s="82" t="str">
        <x:f>IF(ISNUMBER('Transfer_Ratings'!K1483),'Transfer_Ratings'!K1483,"")</x:f>
      </x:c>
      <x:c r="E1483" s="86"/>
      <x:c r="F1483" s="86"/>
      <x:c r="G1483" s="86"/>
      <x:c r="H1483" s="86"/>
      <x:c r="I1483" s="86"/>
      <x:c r="J1483" s="82" t="str">
        <x:f>IF(C1483="","Choose position",IF(COUNT(E1483:I1483)&lt;5,"",IF(OR(MIN(E1483:I1483)&lt;0.1,MAX(E1483:I1483)&gt;10),"Invalid score",IF(INDEX('Position_Rubric'!$H$6:$H$14,M1483)&lt;&gt;1,"Check weights",ROUND(E1483*INDEX('Position_Rubric'!$C$6:$C$14,M1483)+F1483*INDEX('Position_Rubric'!$D$6:$D$14,M1483)+G1483*INDEX('Position_Rubric'!$E$6:$E$14,M1483)+H1483*INDEX('Position_Rubric'!$F$6:$F$14,M1483)+I1483*INDEX('Position_Rubric'!$G$6:$G$14,M1483),1)))))</x:f>
        <x:v>Choose position</x:v>
      </x:c>
      <x:c r="K1483" s="82" t="str">
        <x:f>IF(AND(ISNUMBER(J1483),ISNUMBER(D1483)),J1483-D1483,"")</x:f>
      </x:c>
      <x:c r="L1483" s="69" t="str">
        <x:f>IF(COUNT(E1483:I1483)&lt;5,"Needs component scores",IF(ISNUMBER(J1483),"Calculated",J1483))</x:f>
        <x:v>Needs component scores</x:v>
      </x:c>
      <x:c r="M1483" s="69" t="str">
        <x:f>IF(C1483="","",MATCH(C1483,'Position_Rubric'!$A$6:$A$14,0))</x:f>
      </x:c>
      <x:c r="N1483" s="69" t="str"/>
    </x:row>
    <x:row r="1484" ht="25" customHeight="1">
      <x:c r="A1484" s="69" t="str">
        <x:v>summer-S26-1152</x:v>
      </x:c>
      <x:c r="B1484" s="69" t="str">
        <x:v>El Hadji Malick Diouf</x:v>
      </x:c>
      <x:c r="C1484" s="69"/>
      <x:c r="D1484" s="82" t="str">
        <x:f>IF(ISNUMBER('Transfer_Ratings'!K1484),'Transfer_Ratings'!K1484,"")</x:f>
      </x:c>
      <x:c r="E1484" s="86"/>
      <x:c r="F1484" s="86"/>
      <x:c r="G1484" s="86"/>
      <x:c r="H1484" s="86"/>
      <x:c r="I1484" s="86"/>
      <x:c r="J1484" s="82" t="str">
        <x:f>IF(C1484="","Choose position",IF(COUNT(E1484:I1484)&lt;5,"",IF(OR(MIN(E1484:I1484)&lt;0.1,MAX(E1484:I1484)&gt;10),"Invalid score",IF(INDEX('Position_Rubric'!$H$6:$H$14,M1484)&lt;&gt;1,"Check weights",ROUND(E1484*INDEX('Position_Rubric'!$C$6:$C$14,M1484)+F1484*INDEX('Position_Rubric'!$D$6:$D$14,M1484)+G1484*INDEX('Position_Rubric'!$E$6:$E$14,M1484)+H1484*INDEX('Position_Rubric'!$F$6:$F$14,M1484)+I1484*INDEX('Position_Rubric'!$G$6:$G$14,M1484),1)))))</x:f>
        <x:v>Choose position</x:v>
      </x:c>
      <x:c r="K1484" s="82" t="str">
        <x:f>IF(AND(ISNUMBER(J1484),ISNUMBER(D1484)),J1484-D1484,"")</x:f>
      </x:c>
      <x:c r="L1484" s="69" t="str">
        <x:f>IF(COUNT(E1484:I1484)&lt;5,"Needs component scores",IF(ISNUMBER(J1484),"Calculated",J1484))</x:f>
        <x:v>Needs component scores</x:v>
      </x:c>
      <x:c r="M1484" s="69" t="str">
        <x:f>IF(C1484="","",MATCH(C1484,'Position_Rubric'!$A$6:$A$14,0))</x:f>
      </x:c>
      <x:c r="N1484" s="69" t="str"/>
    </x:row>
    <x:row r="1485" ht="25" customHeight="1">
      <x:c r="A1485" s="69" t="str">
        <x:v>summer-S26-1153</x:v>
      </x:c>
      <x:c r="B1485" s="69" t="str">
        <x:v>Noah Atubolu</x:v>
      </x:c>
      <x:c r="C1485" s="69" t="str">
        <x:v>GK</x:v>
      </x:c>
      <x:c r="D1485" s="82" t="str">
        <x:f>IF(ISNUMBER('Transfer_Ratings'!K1485),'Transfer_Ratings'!K1485,"")</x:f>
      </x:c>
      <x:c r="E1485" s="86"/>
      <x:c r="F1485" s="86"/>
      <x:c r="G1485" s="86"/>
      <x:c r="H1485" s="86"/>
      <x:c r="I1485" s="86"/>
      <x:c r="J1485" s="82" t="str">
        <x:f>IF(C1485="","Choose position",IF(COUNT(E1485:I1485)&lt;5,"",IF(OR(MIN(E1485:I1485)&lt;0.1,MAX(E1485:I1485)&gt;10),"Invalid score",IF(INDEX('Position_Rubric'!$H$6:$H$14,M1485)&lt;&gt;1,"Check weights",ROUND(E1485*INDEX('Position_Rubric'!$C$6:$C$14,M1485)+F1485*INDEX('Position_Rubric'!$D$6:$D$14,M1485)+G1485*INDEX('Position_Rubric'!$E$6:$E$14,M1485)+H1485*INDEX('Position_Rubric'!$F$6:$F$14,M1485)+I1485*INDEX('Position_Rubric'!$G$6:$G$14,M1485),1)))))</x:f>
      </x:c>
      <x:c r="K1485" s="82" t="str">
        <x:f>IF(AND(ISNUMBER(J1485),ISNUMBER(D1485)),J1485-D1485,"")</x:f>
      </x:c>
      <x:c r="L1485" s="69" t="str">
        <x:f>IF(COUNT(E1485:I1485)&lt;5,"Needs component scores",IF(ISNUMBER(J1485),"Calculated",J1485))</x:f>
        <x:v>Needs component scores</x:v>
      </x:c>
      <x:c r="M1485" s="69" t="n">
        <x:f>IF(C1485="","",MATCH(C1485,'Position_Rubric'!$A$6:$A$14,0))</x:f>
        <x:v>9</x:v>
      </x:c>
      <x:c r="N1485" s="69" t="str"/>
    </x:row>
    <x:row r="1486" ht="25" customHeight="1">
      <x:c r="A1486" s="69" t="str">
        <x:v>summer-S26-1155</x:v>
      </x:c>
      <x:c r="B1486" s="69" t="str">
        <x:v>Caleb Wiley</x:v>
      </x:c>
      <x:c r="C1486" s="69"/>
      <x:c r="D1486" s="82" t="str">
        <x:f>IF(ISNUMBER('Transfer_Ratings'!K1486),'Transfer_Ratings'!K1486,"")</x:f>
      </x:c>
      <x:c r="E1486" s="86"/>
      <x:c r="F1486" s="86"/>
      <x:c r="G1486" s="86"/>
      <x:c r="H1486" s="86"/>
      <x:c r="I1486" s="86"/>
      <x:c r="J1486" s="82" t="str">
        <x:f>IF(C1486="","Choose position",IF(COUNT(E1486:I1486)&lt;5,"",IF(OR(MIN(E1486:I1486)&lt;0.1,MAX(E1486:I1486)&gt;10),"Invalid score",IF(INDEX('Position_Rubric'!$H$6:$H$14,M1486)&lt;&gt;1,"Check weights",ROUND(E1486*INDEX('Position_Rubric'!$C$6:$C$14,M1486)+F1486*INDEX('Position_Rubric'!$D$6:$D$14,M1486)+G1486*INDEX('Position_Rubric'!$E$6:$E$14,M1486)+H1486*INDEX('Position_Rubric'!$F$6:$F$14,M1486)+I1486*INDEX('Position_Rubric'!$G$6:$G$14,M1486),1)))))</x:f>
        <x:v>Choose position</x:v>
      </x:c>
      <x:c r="K1486" s="82" t="str">
        <x:f>IF(AND(ISNUMBER(J1486),ISNUMBER(D1486)),J1486-D1486,"")</x:f>
      </x:c>
      <x:c r="L1486" s="69" t="str">
        <x:f>IF(COUNT(E1486:I1486)&lt;5,"Needs component scores",IF(ISNUMBER(J1486),"Calculated",J1486))</x:f>
        <x:v>Needs component scores</x:v>
      </x:c>
      <x:c r="M1486" s="69" t="str">
        <x:f>IF(C1486="","",MATCH(C1486,'Position_Rubric'!$A$6:$A$14,0))</x:f>
      </x:c>
      <x:c r="N1486" s="69" t="str"/>
    </x:row>
    <x:row r="1487" ht="25" customHeight="1">
      <x:c r="A1487" s="69" t="str">
        <x:v>summer-S26-1156</x:v>
      </x:c>
      <x:c r="B1487" s="69" t="str">
        <x:v>Miguel Ángel Brau</x:v>
      </x:c>
      <x:c r="C1487" s="69"/>
      <x:c r="D1487" s="82" t="str">
        <x:f>IF(ISNUMBER('Transfer_Ratings'!K1487),'Transfer_Ratings'!K1487,"")</x:f>
      </x:c>
      <x:c r="E1487" s="86"/>
      <x:c r="F1487" s="86"/>
      <x:c r="G1487" s="86"/>
      <x:c r="H1487" s="86"/>
      <x:c r="I1487" s="86"/>
      <x:c r="J1487" s="82" t="str">
        <x:f>IF(C1487="","Choose position",IF(COUNT(E1487:I1487)&lt;5,"",IF(OR(MIN(E1487:I1487)&lt;0.1,MAX(E1487:I1487)&gt;10),"Invalid score",IF(INDEX('Position_Rubric'!$H$6:$H$14,M1487)&lt;&gt;1,"Check weights",ROUND(E1487*INDEX('Position_Rubric'!$C$6:$C$14,M1487)+F1487*INDEX('Position_Rubric'!$D$6:$D$14,M1487)+G1487*INDEX('Position_Rubric'!$E$6:$E$14,M1487)+H1487*INDEX('Position_Rubric'!$F$6:$F$14,M1487)+I1487*INDEX('Position_Rubric'!$G$6:$G$14,M1487),1)))))</x:f>
        <x:v>Choose position</x:v>
      </x:c>
      <x:c r="K1487" s="82" t="str">
        <x:f>IF(AND(ISNUMBER(J1487),ISNUMBER(D1487)),J1487-D1487,"")</x:f>
      </x:c>
      <x:c r="L1487" s="69" t="str">
        <x:f>IF(COUNT(E1487:I1487)&lt;5,"Needs component scores",IF(ISNUMBER(J1487),"Calculated",J1487))</x:f>
        <x:v>Needs component scores</x:v>
      </x:c>
      <x:c r="M1487" s="69" t="str">
        <x:f>IF(C1487="","",MATCH(C1487,'Position_Rubric'!$A$6:$A$14,0))</x:f>
      </x:c>
      <x:c r="N1487" s="69" t="str"/>
    </x:row>
    <x:row r="1488" ht="25" customHeight="1">
      <x:c r="A1488" s="69" t="str">
        <x:v>summer-S26-1158</x:v>
      </x:c>
      <x:c r="B1488" s="69" t="str">
        <x:v>Giovanni Fabbian</x:v>
      </x:c>
      <x:c r="C1488" s="69"/>
      <x:c r="D1488" s="82" t="str">
        <x:f>IF(ISNUMBER('Transfer_Ratings'!K1488),'Transfer_Ratings'!K1488,"")</x:f>
      </x:c>
      <x:c r="E1488" s="86"/>
      <x:c r="F1488" s="86"/>
      <x:c r="G1488" s="86"/>
      <x:c r="H1488" s="86"/>
      <x:c r="I1488" s="86"/>
      <x:c r="J1488" s="82" t="str">
        <x:f>IF(C1488="","Choose position",IF(COUNT(E1488:I1488)&lt;5,"",IF(OR(MIN(E1488:I1488)&lt;0.1,MAX(E1488:I1488)&gt;10),"Invalid score",IF(INDEX('Position_Rubric'!$H$6:$H$14,M1488)&lt;&gt;1,"Check weights",ROUND(E1488*INDEX('Position_Rubric'!$C$6:$C$14,M1488)+F1488*INDEX('Position_Rubric'!$D$6:$D$14,M1488)+G1488*INDEX('Position_Rubric'!$E$6:$E$14,M1488)+H1488*INDEX('Position_Rubric'!$F$6:$F$14,M1488)+I1488*INDEX('Position_Rubric'!$G$6:$G$14,M1488),1)))))</x:f>
        <x:v>Choose position</x:v>
      </x:c>
      <x:c r="K1488" s="82" t="str">
        <x:f>IF(AND(ISNUMBER(J1488),ISNUMBER(D1488)),J1488-D1488,"")</x:f>
      </x:c>
      <x:c r="L1488" s="69" t="str">
        <x:f>IF(COUNT(E1488:I1488)&lt;5,"Needs component scores",IF(ISNUMBER(J1488),"Calculated",J1488))</x:f>
        <x:v>Needs component scores</x:v>
      </x:c>
      <x:c r="M1488" s="69" t="str">
        <x:f>IF(C1488="","",MATCH(C1488,'Position_Rubric'!$A$6:$A$14,0))</x:f>
      </x:c>
      <x:c r="N1488" s="69" t="str"/>
    </x:row>
    <x:row r="1489" ht="25" customHeight="1">
      <x:c r="A1489" s="69" t="str">
        <x:v>summer-S26-1162</x:v>
      </x:c>
      <x:c r="B1489" s="69" t="str">
        <x:v>Fabio Miretti</x:v>
      </x:c>
      <x:c r="C1489" s="69"/>
      <x:c r="D1489" s="82" t="str">
        <x:f>IF(ISNUMBER('Transfer_Ratings'!K1489),'Transfer_Ratings'!K1489,"")</x:f>
      </x:c>
      <x:c r="E1489" s="86"/>
      <x:c r="F1489" s="86"/>
      <x:c r="G1489" s="86"/>
      <x:c r="H1489" s="86"/>
      <x:c r="I1489" s="86"/>
      <x:c r="J1489" s="82" t="str">
        <x:f>IF(C1489="","Choose position",IF(COUNT(E1489:I1489)&lt;5,"",IF(OR(MIN(E1489:I1489)&lt;0.1,MAX(E1489:I1489)&gt;10),"Invalid score",IF(INDEX('Position_Rubric'!$H$6:$H$14,M1489)&lt;&gt;1,"Check weights",ROUND(E1489*INDEX('Position_Rubric'!$C$6:$C$14,M1489)+F1489*INDEX('Position_Rubric'!$D$6:$D$14,M1489)+G1489*INDEX('Position_Rubric'!$E$6:$E$14,M1489)+H1489*INDEX('Position_Rubric'!$F$6:$F$14,M1489)+I1489*INDEX('Position_Rubric'!$G$6:$G$14,M1489),1)))))</x:f>
        <x:v>Choose position</x:v>
      </x:c>
      <x:c r="K1489" s="82" t="str">
        <x:f>IF(AND(ISNUMBER(J1489),ISNUMBER(D1489)),J1489-D1489,"")</x:f>
      </x:c>
      <x:c r="L1489" s="69" t="str">
        <x:f>IF(COUNT(E1489:I1489)&lt;5,"Needs component scores",IF(ISNUMBER(J1489),"Calculated",J1489))</x:f>
        <x:v>Needs component scores</x:v>
      </x:c>
      <x:c r="M1489" s="69" t="str">
        <x:f>IF(C1489="","",MATCH(C1489,'Position_Rubric'!$A$6:$A$14,0))</x:f>
      </x:c>
      <x:c r="N1489" s="69" t="str"/>
    </x:row>
    <x:row r="1490" ht="25" customHeight="1">
      <x:c r="A1490" s="69" t="str">
        <x:v>summer-S26-1163</x:v>
      </x:c>
      <x:c r="B1490" s="69" t="str">
        <x:v>Kojo Peprah Oppong</x:v>
      </x:c>
      <x:c r="C1490" s="69"/>
      <x:c r="D1490" s="82" t="str">
        <x:f>IF(ISNUMBER('Transfer_Ratings'!K1490),'Transfer_Ratings'!K1490,"")</x:f>
      </x:c>
      <x:c r="E1490" s="86"/>
      <x:c r="F1490" s="86"/>
      <x:c r="G1490" s="86"/>
      <x:c r="H1490" s="86"/>
      <x:c r="I1490" s="86"/>
      <x:c r="J1490" s="82" t="str">
        <x:f>IF(C1490="","Choose position",IF(COUNT(E1490:I1490)&lt;5,"",IF(OR(MIN(E1490:I1490)&lt;0.1,MAX(E1490:I1490)&gt;10),"Invalid score",IF(INDEX('Position_Rubric'!$H$6:$H$14,M1490)&lt;&gt;1,"Check weights",ROUND(E1490*INDEX('Position_Rubric'!$C$6:$C$14,M1490)+F1490*INDEX('Position_Rubric'!$D$6:$D$14,M1490)+G1490*INDEX('Position_Rubric'!$E$6:$E$14,M1490)+H1490*INDEX('Position_Rubric'!$F$6:$F$14,M1490)+I1490*INDEX('Position_Rubric'!$G$6:$G$14,M1490),1)))))</x:f>
        <x:v>Choose position</x:v>
      </x:c>
      <x:c r="K1490" s="82" t="str">
        <x:f>IF(AND(ISNUMBER(J1490),ISNUMBER(D1490)),J1490-D1490,"")</x:f>
      </x:c>
      <x:c r="L1490" s="69" t="str">
        <x:f>IF(COUNT(E1490:I1490)&lt;5,"Needs component scores",IF(ISNUMBER(J1490),"Calculated",J1490))</x:f>
        <x:v>Needs component scores</x:v>
      </x:c>
      <x:c r="M1490" s="69" t="str">
        <x:f>IF(C1490="","",MATCH(C1490,'Position_Rubric'!$A$6:$A$14,0))</x:f>
      </x:c>
      <x:c r="N1490" s="69" t="str"/>
    </x:row>
    <x:row r="1491" ht="25" customHeight="1">
      <x:c r="A1491" s="69" t="str">
        <x:v>summer-S26-1164</x:v>
      </x:c>
      <x:c r="B1491" s="69" t="str">
        <x:v>Bartosz Mrozek</x:v>
      </x:c>
      <x:c r="C1491" s="69" t="str">
        <x:v>GK</x:v>
      </x:c>
      <x:c r="D1491" s="82" t="str">
        <x:f>IF(ISNUMBER('Transfer_Ratings'!K1491),'Transfer_Ratings'!K1491,"")</x:f>
      </x:c>
      <x:c r="E1491" s="86"/>
      <x:c r="F1491" s="86"/>
      <x:c r="G1491" s="86"/>
      <x:c r="H1491" s="86"/>
      <x:c r="I1491" s="86"/>
      <x:c r="J1491" s="82" t="str">
        <x:f>IF(C1491="","Choose position",IF(COUNT(E1491:I1491)&lt;5,"",IF(OR(MIN(E1491:I1491)&lt;0.1,MAX(E1491:I1491)&gt;10),"Invalid score",IF(INDEX('Position_Rubric'!$H$6:$H$14,M1491)&lt;&gt;1,"Check weights",ROUND(E1491*INDEX('Position_Rubric'!$C$6:$C$14,M1491)+F1491*INDEX('Position_Rubric'!$D$6:$D$14,M1491)+G1491*INDEX('Position_Rubric'!$E$6:$E$14,M1491)+H1491*INDEX('Position_Rubric'!$F$6:$F$14,M1491)+I1491*INDEX('Position_Rubric'!$G$6:$G$14,M1491),1)))))</x:f>
      </x:c>
      <x:c r="K1491" s="82" t="str">
        <x:f>IF(AND(ISNUMBER(J1491),ISNUMBER(D1491)),J1491-D1491,"")</x:f>
      </x:c>
      <x:c r="L1491" s="69" t="str">
        <x:f>IF(COUNT(E1491:I1491)&lt;5,"Needs component scores",IF(ISNUMBER(J1491),"Calculated",J1491))</x:f>
        <x:v>Needs component scores</x:v>
      </x:c>
      <x:c r="M1491" s="69" t="n">
        <x:f>IF(C1491="","",MATCH(C1491,'Position_Rubric'!$A$6:$A$14,0))</x:f>
        <x:v>9</x:v>
      </x:c>
      <x:c r="N1491" s="69" t="str"/>
    </x:row>
    <x:row r="1492" ht="25" customHeight="1">
      <x:c r="A1492" s="69" t="str">
        <x:v>summer-S26-1165</x:v>
      </x:c>
      <x:c r="B1492" s="69" t="str">
        <x:v>Gabriele Zappa</x:v>
      </x:c>
      <x:c r="C1492" s="69"/>
      <x:c r="D1492" s="82" t="str">
        <x:f>IF(ISNUMBER('Transfer_Ratings'!K1492),'Transfer_Ratings'!K1492,"")</x:f>
      </x:c>
      <x:c r="E1492" s="86"/>
      <x:c r="F1492" s="86"/>
      <x:c r="G1492" s="86"/>
      <x:c r="H1492" s="86"/>
      <x:c r="I1492" s="86"/>
      <x:c r="J1492" s="82" t="str">
        <x:f>IF(C1492="","Choose position",IF(COUNT(E1492:I1492)&lt;5,"",IF(OR(MIN(E1492:I1492)&lt;0.1,MAX(E1492:I1492)&gt;10),"Invalid score",IF(INDEX('Position_Rubric'!$H$6:$H$14,M1492)&lt;&gt;1,"Check weights",ROUND(E1492*INDEX('Position_Rubric'!$C$6:$C$14,M1492)+F1492*INDEX('Position_Rubric'!$D$6:$D$14,M1492)+G1492*INDEX('Position_Rubric'!$E$6:$E$14,M1492)+H1492*INDEX('Position_Rubric'!$F$6:$F$14,M1492)+I1492*INDEX('Position_Rubric'!$G$6:$G$14,M1492),1)))))</x:f>
        <x:v>Choose position</x:v>
      </x:c>
      <x:c r="K1492" s="82" t="str">
        <x:f>IF(AND(ISNUMBER(J1492),ISNUMBER(D1492)),J1492-D1492,"")</x:f>
      </x:c>
      <x:c r="L1492" s="69" t="str">
        <x:f>IF(COUNT(E1492:I1492)&lt;5,"Needs component scores",IF(ISNUMBER(J1492),"Calculated",J1492))</x:f>
        <x:v>Needs component scores</x:v>
      </x:c>
      <x:c r="M1492" s="69" t="str">
        <x:f>IF(C1492="","",MATCH(C1492,'Position_Rubric'!$A$6:$A$14,0))</x:f>
      </x:c>
      <x:c r="N1492" s="69" t="str"/>
    </x:row>
    <x:row r="1493" ht="25" customHeight="1">
      <x:c r="A1493" s="69" t="str">
        <x:v>summer-S26-1168</x:v>
      </x:c>
      <x:c r="B1493" s="69" t="str">
        <x:v>Javi Montero</x:v>
      </x:c>
      <x:c r="C1493" s="69"/>
      <x:c r="D1493" s="82" t="str">
        <x:f>IF(ISNUMBER('Transfer_Ratings'!K1493),'Transfer_Ratings'!K1493,"")</x:f>
      </x:c>
      <x:c r="E1493" s="86"/>
      <x:c r="F1493" s="86"/>
      <x:c r="G1493" s="86"/>
      <x:c r="H1493" s="86"/>
      <x:c r="I1493" s="86"/>
      <x:c r="J1493" s="82" t="str">
        <x:f>IF(C1493="","Choose position",IF(COUNT(E1493:I1493)&lt;5,"",IF(OR(MIN(E1493:I1493)&lt;0.1,MAX(E1493:I1493)&gt;10),"Invalid score",IF(INDEX('Position_Rubric'!$H$6:$H$14,M1493)&lt;&gt;1,"Check weights",ROUND(E1493*INDEX('Position_Rubric'!$C$6:$C$14,M1493)+F1493*INDEX('Position_Rubric'!$D$6:$D$14,M1493)+G1493*INDEX('Position_Rubric'!$E$6:$E$14,M1493)+H1493*INDEX('Position_Rubric'!$F$6:$F$14,M1493)+I1493*INDEX('Position_Rubric'!$G$6:$G$14,M1493),1)))))</x:f>
        <x:v>Choose position</x:v>
      </x:c>
      <x:c r="K1493" s="82" t="str">
        <x:f>IF(AND(ISNUMBER(J1493),ISNUMBER(D1493)),J1493-D1493,"")</x:f>
      </x:c>
      <x:c r="L1493" s="69" t="str">
        <x:f>IF(COUNT(E1493:I1493)&lt;5,"Needs component scores",IF(ISNUMBER(J1493),"Calculated",J1493))</x:f>
        <x:v>Needs component scores</x:v>
      </x:c>
      <x:c r="M1493" s="69" t="str">
        <x:f>IF(C1493="","",MATCH(C1493,'Position_Rubric'!$A$6:$A$14,0))</x:f>
      </x:c>
      <x:c r="N1493" s="69" t="str"/>
    </x:row>
    <x:row r="1494" ht="25" customHeight="1">
      <x:c r="A1494" s="69" t="str">
        <x:v>summer-S26-1170</x:v>
      </x:c>
      <x:c r="B1494" s="69" t="str">
        <x:v>Patrick Nuamah</x:v>
      </x:c>
      <x:c r="C1494" s="69"/>
      <x:c r="D1494" s="82" t="str">
        <x:f>IF(ISNUMBER('Transfer_Ratings'!K1494),'Transfer_Ratings'!K1494,"")</x:f>
      </x:c>
      <x:c r="E1494" s="86"/>
      <x:c r="F1494" s="86"/>
      <x:c r="G1494" s="86"/>
      <x:c r="H1494" s="86"/>
      <x:c r="I1494" s="86"/>
      <x:c r="J1494" s="82" t="str">
        <x:f>IF(C1494="","Choose position",IF(COUNT(E1494:I1494)&lt;5,"",IF(OR(MIN(E1494:I1494)&lt;0.1,MAX(E1494:I1494)&gt;10),"Invalid score",IF(INDEX('Position_Rubric'!$H$6:$H$14,M1494)&lt;&gt;1,"Check weights",ROUND(E1494*INDEX('Position_Rubric'!$C$6:$C$14,M1494)+F1494*INDEX('Position_Rubric'!$D$6:$D$14,M1494)+G1494*INDEX('Position_Rubric'!$E$6:$E$14,M1494)+H1494*INDEX('Position_Rubric'!$F$6:$F$14,M1494)+I1494*INDEX('Position_Rubric'!$G$6:$G$14,M1494),1)))))</x:f>
        <x:v>Choose position</x:v>
      </x:c>
      <x:c r="K1494" s="82" t="str">
        <x:f>IF(AND(ISNUMBER(J1494),ISNUMBER(D1494)),J1494-D1494,"")</x:f>
      </x:c>
      <x:c r="L1494" s="69" t="str">
        <x:f>IF(COUNT(E1494:I1494)&lt;5,"Needs component scores",IF(ISNUMBER(J1494),"Calculated",J1494))</x:f>
        <x:v>Needs component scores</x:v>
      </x:c>
      <x:c r="M1494" s="69" t="str">
        <x:f>IF(C1494="","",MATCH(C1494,'Position_Rubric'!$A$6:$A$14,0))</x:f>
      </x:c>
      <x:c r="N1494" s="69" t="str"/>
    </x:row>
    <x:row r="1495" ht="25" customHeight="1">
      <x:c r="A1495" s="69" t="str">
        <x:v>summer-S26-1171</x:v>
      </x:c>
      <x:c r="B1495" s="69" t="str">
        <x:v>Issa Kaboré</x:v>
      </x:c>
      <x:c r="C1495" s="69"/>
      <x:c r="D1495" s="82" t="str">
        <x:f>IF(ISNUMBER('Transfer_Ratings'!K1495),'Transfer_Ratings'!K1495,"")</x:f>
      </x:c>
      <x:c r="E1495" s="86"/>
      <x:c r="F1495" s="86"/>
      <x:c r="G1495" s="86"/>
      <x:c r="H1495" s="86"/>
      <x:c r="I1495" s="86"/>
      <x:c r="J1495" s="82" t="str">
        <x:f>IF(C1495="","Choose position",IF(COUNT(E1495:I1495)&lt;5,"",IF(OR(MIN(E1495:I1495)&lt;0.1,MAX(E1495:I1495)&gt;10),"Invalid score",IF(INDEX('Position_Rubric'!$H$6:$H$14,M1495)&lt;&gt;1,"Check weights",ROUND(E1495*INDEX('Position_Rubric'!$C$6:$C$14,M1495)+F1495*INDEX('Position_Rubric'!$D$6:$D$14,M1495)+G1495*INDEX('Position_Rubric'!$E$6:$E$14,M1495)+H1495*INDEX('Position_Rubric'!$F$6:$F$14,M1495)+I1495*INDEX('Position_Rubric'!$G$6:$G$14,M1495),1)))))</x:f>
        <x:v>Choose position</x:v>
      </x:c>
      <x:c r="K1495" s="82" t="str">
        <x:f>IF(AND(ISNUMBER(J1495),ISNUMBER(D1495)),J1495-D1495,"")</x:f>
      </x:c>
      <x:c r="L1495" s="69" t="str">
        <x:f>IF(COUNT(E1495:I1495)&lt;5,"Needs component scores",IF(ISNUMBER(J1495),"Calculated",J1495))</x:f>
        <x:v>Needs component scores</x:v>
      </x:c>
      <x:c r="M1495" s="69" t="str">
        <x:f>IF(C1495="","",MATCH(C1495,'Position_Rubric'!$A$6:$A$14,0))</x:f>
      </x:c>
      <x:c r="N1495" s="69" t="str"/>
    </x:row>
    <x:row r="1496" ht="25" customHeight="1">
      <x:c r="A1496" s="69" t="str">
        <x:v>summer-S26-1172</x:v>
      </x:c>
      <x:c r="B1496" s="69" t="str">
        <x:v>Matai Akinmboni</x:v>
      </x:c>
      <x:c r="C1496" s="69"/>
      <x:c r="D1496" s="82" t="str">
        <x:f>IF(ISNUMBER('Transfer_Ratings'!K1496),'Transfer_Ratings'!K1496,"")</x:f>
      </x:c>
      <x:c r="E1496" s="86"/>
      <x:c r="F1496" s="86"/>
      <x:c r="G1496" s="86"/>
      <x:c r="H1496" s="86"/>
      <x:c r="I1496" s="86"/>
      <x:c r="J1496" s="82" t="str">
        <x:f>IF(C1496="","Choose position",IF(COUNT(E1496:I1496)&lt;5,"",IF(OR(MIN(E1496:I1496)&lt;0.1,MAX(E1496:I1496)&gt;10),"Invalid score",IF(INDEX('Position_Rubric'!$H$6:$H$14,M1496)&lt;&gt;1,"Check weights",ROUND(E1496*INDEX('Position_Rubric'!$C$6:$C$14,M1496)+F1496*INDEX('Position_Rubric'!$D$6:$D$14,M1496)+G1496*INDEX('Position_Rubric'!$E$6:$E$14,M1496)+H1496*INDEX('Position_Rubric'!$F$6:$F$14,M1496)+I1496*INDEX('Position_Rubric'!$G$6:$G$14,M1496),1)))))</x:f>
        <x:v>Choose position</x:v>
      </x:c>
      <x:c r="K1496" s="82" t="str">
        <x:f>IF(AND(ISNUMBER(J1496),ISNUMBER(D1496)),J1496-D1496,"")</x:f>
      </x:c>
      <x:c r="L1496" s="69" t="str">
        <x:f>IF(COUNT(E1496:I1496)&lt;5,"Needs component scores",IF(ISNUMBER(J1496),"Calculated",J1496))</x:f>
        <x:v>Needs component scores</x:v>
      </x:c>
      <x:c r="M1496" s="69" t="str">
        <x:f>IF(C1496="","",MATCH(C1496,'Position_Rubric'!$A$6:$A$14,0))</x:f>
      </x:c>
      <x:c r="N1496" s="69" t="str"/>
    </x:row>
    <x:row r="1497" ht="25" customHeight="1">
      <x:c r="A1497" s="69" t="str">
        <x:v>summer-S26-1173</x:v>
      </x:c>
      <x:c r="B1497" s="69" t="str">
        <x:v>Yanis Zouaoui</x:v>
      </x:c>
      <x:c r="C1497" s="69"/>
      <x:c r="D1497" s="82" t="str">
        <x:f>IF(ISNUMBER('Transfer_Ratings'!K1497),'Transfer_Ratings'!K1497,"")</x:f>
      </x:c>
      <x:c r="E1497" s="86"/>
      <x:c r="F1497" s="86"/>
      <x:c r="G1497" s="86"/>
      <x:c r="H1497" s="86"/>
      <x:c r="I1497" s="86"/>
      <x:c r="J1497" s="82" t="str">
        <x:f>IF(C1497="","Choose position",IF(COUNT(E1497:I1497)&lt;5,"",IF(OR(MIN(E1497:I1497)&lt;0.1,MAX(E1497:I1497)&gt;10),"Invalid score",IF(INDEX('Position_Rubric'!$H$6:$H$14,M1497)&lt;&gt;1,"Check weights",ROUND(E1497*INDEX('Position_Rubric'!$C$6:$C$14,M1497)+F1497*INDEX('Position_Rubric'!$D$6:$D$14,M1497)+G1497*INDEX('Position_Rubric'!$E$6:$E$14,M1497)+H1497*INDEX('Position_Rubric'!$F$6:$F$14,M1497)+I1497*INDEX('Position_Rubric'!$G$6:$G$14,M1497),1)))))</x:f>
        <x:v>Choose position</x:v>
      </x:c>
      <x:c r="K1497" s="82" t="str">
        <x:f>IF(AND(ISNUMBER(J1497),ISNUMBER(D1497)),J1497-D1497,"")</x:f>
      </x:c>
      <x:c r="L1497" s="69" t="str">
        <x:f>IF(COUNT(E1497:I1497)&lt;5,"Needs component scores",IF(ISNUMBER(J1497),"Calculated",J1497))</x:f>
        <x:v>Needs component scores</x:v>
      </x:c>
      <x:c r="M1497" s="69" t="str">
        <x:f>IF(C1497="","",MATCH(C1497,'Position_Rubric'!$A$6:$A$14,0))</x:f>
      </x:c>
      <x:c r="N1497" s="69" t="str"/>
    </x:row>
    <x:row r="1498" ht="25" customHeight="1">
      <x:c r="A1498" s="69" t="str">
        <x:v>summer-S26-1174</x:v>
      </x:c>
      <x:c r="B1498" s="69" t="str">
        <x:v>Michael Folorunsho</x:v>
      </x:c>
      <x:c r="C1498" s="69"/>
      <x:c r="D1498" s="82" t="str">
        <x:f>IF(ISNUMBER('Transfer_Ratings'!K1498),'Transfer_Ratings'!K1498,"")</x:f>
      </x:c>
      <x:c r="E1498" s="86"/>
      <x:c r="F1498" s="86"/>
      <x:c r="G1498" s="86"/>
      <x:c r="H1498" s="86"/>
      <x:c r="I1498" s="86"/>
      <x:c r="J1498" s="82" t="str">
        <x:f>IF(C1498="","Choose position",IF(COUNT(E1498:I1498)&lt;5,"",IF(OR(MIN(E1498:I1498)&lt;0.1,MAX(E1498:I1498)&gt;10),"Invalid score",IF(INDEX('Position_Rubric'!$H$6:$H$14,M1498)&lt;&gt;1,"Check weights",ROUND(E1498*INDEX('Position_Rubric'!$C$6:$C$14,M1498)+F1498*INDEX('Position_Rubric'!$D$6:$D$14,M1498)+G1498*INDEX('Position_Rubric'!$E$6:$E$14,M1498)+H1498*INDEX('Position_Rubric'!$F$6:$F$14,M1498)+I1498*INDEX('Position_Rubric'!$G$6:$G$14,M1498),1)))))</x:f>
        <x:v>Choose position</x:v>
      </x:c>
      <x:c r="K1498" s="82" t="str">
        <x:f>IF(AND(ISNUMBER(J1498),ISNUMBER(D1498)),J1498-D1498,"")</x:f>
      </x:c>
      <x:c r="L1498" s="69" t="str">
        <x:f>IF(COUNT(E1498:I1498)&lt;5,"Needs component scores",IF(ISNUMBER(J1498),"Calculated",J1498))</x:f>
        <x:v>Needs component scores</x:v>
      </x:c>
      <x:c r="M1498" s="69" t="str">
        <x:f>IF(C1498="","",MATCH(C1498,'Position_Rubric'!$A$6:$A$14,0))</x:f>
      </x:c>
      <x:c r="N1498" s="69" t="str"/>
    </x:row>
    <x:row r="1499" ht="25" customHeight="1">
      <x:c r="A1499" s="69" t="str">
        <x:v>summer-S26-1177</x:v>
      </x:c>
      <x:c r="B1499" s="69" t="str">
        <x:v>Javi Muñoz</x:v>
      </x:c>
      <x:c r="C1499" s="69"/>
      <x:c r="D1499" s="82" t="str">
        <x:f>IF(ISNUMBER('Transfer_Ratings'!K1499),'Transfer_Ratings'!K1499,"")</x:f>
      </x:c>
      <x:c r="E1499" s="86"/>
      <x:c r="F1499" s="86"/>
      <x:c r="G1499" s="86"/>
      <x:c r="H1499" s="86"/>
      <x:c r="I1499" s="86"/>
      <x:c r="J1499" s="82" t="str">
        <x:f>IF(C1499="","Choose position",IF(COUNT(E1499:I1499)&lt;5,"",IF(OR(MIN(E1499:I1499)&lt;0.1,MAX(E1499:I1499)&gt;10),"Invalid score",IF(INDEX('Position_Rubric'!$H$6:$H$14,M1499)&lt;&gt;1,"Check weights",ROUND(E1499*INDEX('Position_Rubric'!$C$6:$C$14,M1499)+F1499*INDEX('Position_Rubric'!$D$6:$D$14,M1499)+G1499*INDEX('Position_Rubric'!$E$6:$E$14,M1499)+H1499*INDEX('Position_Rubric'!$F$6:$F$14,M1499)+I1499*INDEX('Position_Rubric'!$G$6:$G$14,M1499),1)))))</x:f>
        <x:v>Choose position</x:v>
      </x:c>
      <x:c r="K1499" s="82" t="str">
        <x:f>IF(AND(ISNUMBER(J1499),ISNUMBER(D1499)),J1499-D1499,"")</x:f>
      </x:c>
      <x:c r="L1499" s="69" t="str">
        <x:f>IF(COUNT(E1499:I1499)&lt;5,"Needs component scores",IF(ISNUMBER(J1499),"Calculated",J1499))</x:f>
        <x:v>Needs component scores</x:v>
      </x:c>
      <x:c r="M1499" s="69" t="str">
        <x:f>IF(C1499="","",MATCH(C1499,'Position_Rubric'!$A$6:$A$14,0))</x:f>
      </x:c>
      <x:c r="N1499" s="69" t="str"/>
    </x:row>
    <x:row r="1500" ht="25" customHeight="1">
      <x:c r="A1500" s="69" t="str">
        <x:v>summer-S26-1178</x:v>
      </x:c>
      <x:c r="B1500" s="69" t="str">
        <x:v>Rachid Kouda</x:v>
      </x:c>
      <x:c r="C1500" s="69"/>
      <x:c r="D1500" s="82" t="str">
        <x:f>IF(ISNUMBER('Transfer_Ratings'!K1500),'Transfer_Ratings'!K1500,"")</x:f>
      </x:c>
      <x:c r="E1500" s="86"/>
      <x:c r="F1500" s="86"/>
      <x:c r="G1500" s="86"/>
      <x:c r="H1500" s="86"/>
      <x:c r="I1500" s="86"/>
      <x:c r="J1500" s="82" t="str">
        <x:f>IF(C1500="","Choose position",IF(COUNT(E1500:I1500)&lt;5,"",IF(OR(MIN(E1500:I1500)&lt;0.1,MAX(E1500:I1500)&gt;10),"Invalid score",IF(INDEX('Position_Rubric'!$H$6:$H$14,M1500)&lt;&gt;1,"Check weights",ROUND(E1500*INDEX('Position_Rubric'!$C$6:$C$14,M1500)+F1500*INDEX('Position_Rubric'!$D$6:$D$14,M1500)+G1500*INDEX('Position_Rubric'!$E$6:$E$14,M1500)+H1500*INDEX('Position_Rubric'!$F$6:$F$14,M1500)+I1500*INDEX('Position_Rubric'!$G$6:$G$14,M1500),1)))))</x:f>
        <x:v>Choose position</x:v>
      </x:c>
      <x:c r="K1500" s="82" t="str">
        <x:f>IF(AND(ISNUMBER(J1500),ISNUMBER(D1500)),J1500-D1500,"")</x:f>
      </x:c>
      <x:c r="L1500" s="69" t="str">
        <x:f>IF(COUNT(E1500:I1500)&lt;5,"Needs component scores",IF(ISNUMBER(J1500),"Calculated",J1500))</x:f>
        <x:v>Needs component scores</x:v>
      </x:c>
      <x:c r="M1500" s="69" t="str">
        <x:f>IF(C1500="","",MATCH(C1500,'Position_Rubric'!$A$6:$A$14,0))</x:f>
      </x:c>
      <x:c r="N1500" s="69" t="str"/>
    </x:row>
    <x:row r="1501" ht="25" customHeight="1">
      <x:c r="A1501" s="69" t="str">
        <x:v>summer-S26-1179</x:v>
      </x:c>
      <x:c r="B1501" s="69" t="str">
        <x:v>Dominik Livakovic</x:v>
      </x:c>
      <x:c r="C1501" s="69" t="str">
        <x:v>GK</x:v>
      </x:c>
      <x:c r="D1501" s="82" t="str">
        <x:f>IF(ISNUMBER('Transfer_Ratings'!K1501),'Transfer_Ratings'!K1501,"")</x:f>
      </x:c>
      <x:c r="E1501" s="86"/>
      <x:c r="F1501" s="86"/>
      <x:c r="G1501" s="86"/>
      <x:c r="H1501" s="86"/>
      <x:c r="I1501" s="86"/>
      <x:c r="J1501" s="82" t="str">
        <x:f>IF(C1501="","Choose position",IF(COUNT(E1501:I1501)&lt;5,"",IF(OR(MIN(E1501:I1501)&lt;0.1,MAX(E1501:I1501)&gt;10),"Invalid score",IF(INDEX('Position_Rubric'!$H$6:$H$14,M1501)&lt;&gt;1,"Check weights",ROUND(E1501*INDEX('Position_Rubric'!$C$6:$C$14,M1501)+F1501*INDEX('Position_Rubric'!$D$6:$D$14,M1501)+G1501*INDEX('Position_Rubric'!$E$6:$E$14,M1501)+H1501*INDEX('Position_Rubric'!$F$6:$F$14,M1501)+I1501*INDEX('Position_Rubric'!$G$6:$G$14,M1501),1)))))</x:f>
      </x:c>
      <x:c r="K1501" s="82" t="str">
        <x:f>IF(AND(ISNUMBER(J1501),ISNUMBER(D1501)),J1501-D1501,"")</x:f>
      </x:c>
      <x:c r="L1501" s="69" t="str">
        <x:f>IF(COUNT(E1501:I1501)&lt;5,"Needs component scores",IF(ISNUMBER(J1501),"Calculated",J1501))</x:f>
        <x:v>Needs component scores</x:v>
      </x:c>
      <x:c r="M1501" s="69" t="n">
        <x:f>IF(C1501="","",MATCH(C1501,'Position_Rubric'!$A$6:$A$14,0))</x:f>
        <x:v>9</x:v>
      </x:c>
      <x:c r="N1501" s="69" t="str"/>
    </x:row>
    <x:row r="1502" ht="25" customHeight="1">
      <x:c r="A1502" s="69" t="str">
        <x:v>summer-S26-1180</x:v>
      </x:c>
      <x:c r="B1502" s="69" t="str">
        <x:v>Kai Andrews</x:v>
      </x:c>
      <x:c r="C1502" s="69"/>
      <x:c r="D1502" s="82" t="str">
        <x:f>IF(ISNUMBER('Transfer_Ratings'!K1502),'Transfer_Ratings'!K1502,"")</x:f>
      </x:c>
      <x:c r="E1502" s="86"/>
      <x:c r="F1502" s="86"/>
      <x:c r="G1502" s="86"/>
      <x:c r="H1502" s="86"/>
      <x:c r="I1502" s="86"/>
      <x:c r="J1502" s="82" t="str">
        <x:f>IF(C1502="","Choose position",IF(COUNT(E1502:I1502)&lt;5,"",IF(OR(MIN(E1502:I1502)&lt;0.1,MAX(E1502:I1502)&gt;10),"Invalid score",IF(INDEX('Position_Rubric'!$H$6:$H$14,M1502)&lt;&gt;1,"Check weights",ROUND(E1502*INDEX('Position_Rubric'!$C$6:$C$14,M1502)+F1502*INDEX('Position_Rubric'!$D$6:$D$14,M1502)+G1502*INDEX('Position_Rubric'!$E$6:$E$14,M1502)+H1502*INDEX('Position_Rubric'!$F$6:$F$14,M1502)+I1502*INDEX('Position_Rubric'!$G$6:$G$14,M1502),1)))))</x:f>
        <x:v>Choose position</x:v>
      </x:c>
      <x:c r="K1502" s="82" t="str">
        <x:f>IF(AND(ISNUMBER(J1502),ISNUMBER(D1502)),J1502-D1502,"")</x:f>
      </x:c>
      <x:c r="L1502" s="69" t="str">
        <x:f>IF(COUNT(E1502:I1502)&lt;5,"Needs component scores",IF(ISNUMBER(J1502),"Calculated",J1502))</x:f>
        <x:v>Needs component scores</x:v>
      </x:c>
      <x:c r="M1502" s="69" t="str">
        <x:f>IF(C1502="","",MATCH(C1502,'Position_Rubric'!$A$6:$A$14,0))</x:f>
      </x:c>
      <x:c r="N1502" s="69" t="str"/>
    </x:row>
    <x:row r="1503" ht="25" customHeight="1">
      <x:c r="A1503" s="69" t="str">
        <x:v>summer-S26-1185</x:v>
      </x:c>
      <x:c r="B1503" s="69" t="str">
        <x:v>Felix Uduokhai</x:v>
      </x:c>
      <x:c r="C1503" s="69"/>
      <x:c r="D1503" s="82" t="str">
        <x:f>IF(ISNUMBER('Transfer_Ratings'!K1503),'Transfer_Ratings'!K1503,"")</x:f>
      </x:c>
      <x:c r="E1503" s="86"/>
      <x:c r="F1503" s="86"/>
      <x:c r="G1503" s="86"/>
      <x:c r="H1503" s="86"/>
      <x:c r="I1503" s="86"/>
      <x:c r="J1503" s="82" t="str">
        <x:f>IF(C1503="","Choose position",IF(COUNT(E1503:I1503)&lt;5,"",IF(OR(MIN(E1503:I1503)&lt;0.1,MAX(E1503:I1503)&gt;10),"Invalid score",IF(INDEX('Position_Rubric'!$H$6:$H$14,M1503)&lt;&gt;1,"Check weights",ROUND(E1503*INDEX('Position_Rubric'!$C$6:$C$14,M1503)+F1503*INDEX('Position_Rubric'!$D$6:$D$14,M1503)+G1503*INDEX('Position_Rubric'!$E$6:$E$14,M1503)+H1503*INDEX('Position_Rubric'!$F$6:$F$14,M1503)+I1503*INDEX('Position_Rubric'!$G$6:$G$14,M1503),1)))))</x:f>
        <x:v>Choose position</x:v>
      </x:c>
      <x:c r="K1503" s="82" t="str">
        <x:f>IF(AND(ISNUMBER(J1503),ISNUMBER(D1503)),J1503-D1503,"")</x:f>
      </x:c>
      <x:c r="L1503" s="69" t="str">
        <x:f>IF(COUNT(E1503:I1503)&lt;5,"Needs component scores",IF(ISNUMBER(J1503),"Calculated",J1503))</x:f>
        <x:v>Needs component scores</x:v>
      </x:c>
      <x:c r="M1503" s="69" t="str">
        <x:f>IF(C1503="","",MATCH(C1503,'Position_Rubric'!$A$6:$A$14,0))</x:f>
      </x:c>
      <x:c r="N1503" s="69" t="str"/>
    </x:row>
    <x:row r="1504" ht="25" customHeight="1">
      <x:c r="A1504" s="69" t="str">
        <x:v>summer-S26-1186</x:v>
      </x:c>
      <x:c r="B1504" s="69" t="str">
        <x:v>Seol Young-woo</x:v>
      </x:c>
      <x:c r="C1504" s="69"/>
      <x:c r="D1504" s="82" t="str">
        <x:f>IF(ISNUMBER('Transfer_Ratings'!K1504),'Transfer_Ratings'!K1504,"")</x:f>
      </x:c>
      <x:c r="E1504" s="86"/>
      <x:c r="F1504" s="86"/>
      <x:c r="G1504" s="86"/>
      <x:c r="H1504" s="86"/>
      <x:c r="I1504" s="86"/>
      <x:c r="J1504" s="82" t="str">
        <x:f>IF(C1504="","Choose position",IF(COUNT(E1504:I1504)&lt;5,"",IF(OR(MIN(E1504:I1504)&lt;0.1,MAX(E1504:I1504)&gt;10),"Invalid score",IF(INDEX('Position_Rubric'!$H$6:$H$14,M1504)&lt;&gt;1,"Check weights",ROUND(E1504*INDEX('Position_Rubric'!$C$6:$C$14,M1504)+F1504*INDEX('Position_Rubric'!$D$6:$D$14,M1504)+G1504*INDEX('Position_Rubric'!$E$6:$E$14,M1504)+H1504*INDEX('Position_Rubric'!$F$6:$F$14,M1504)+I1504*INDEX('Position_Rubric'!$G$6:$G$14,M1504),1)))))</x:f>
        <x:v>Choose position</x:v>
      </x:c>
      <x:c r="K1504" s="82" t="str">
        <x:f>IF(AND(ISNUMBER(J1504),ISNUMBER(D1504)),J1504-D1504,"")</x:f>
      </x:c>
      <x:c r="L1504" s="69" t="str">
        <x:f>IF(COUNT(E1504:I1504)&lt;5,"Needs component scores",IF(ISNUMBER(J1504),"Calculated",J1504))</x:f>
        <x:v>Needs component scores</x:v>
      </x:c>
      <x:c r="M1504" s="69" t="str">
        <x:f>IF(C1504="","",MATCH(C1504,'Position_Rubric'!$A$6:$A$14,0))</x:f>
      </x:c>
      <x:c r="N1504" s="69" t="str"/>
    </x:row>
    <x:row r="1505" ht="25" customHeight="1">
      <x:c r="A1505" s="69" t="str">
        <x:v>summer-S26-1188</x:v>
      </x:c>
      <x:c r="B1505" s="69" t="str">
        <x:v>Felipe Chávez</x:v>
      </x:c>
      <x:c r="C1505" s="69"/>
      <x:c r="D1505" s="82" t="str">
        <x:f>IF(ISNUMBER('Transfer_Ratings'!K1505),'Transfer_Ratings'!K1505,"")</x:f>
      </x:c>
      <x:c r="E1505" s="86"/>
      <x:c r="F1505" s="86"/>
      <x:c r="G1505" s="86"/>
      <x:c r="H1505" s="86"/>
      <x:c r="I1505" s="86"/>
      <x:c r="J1505" s="82" t="str">
        <x:f>IF(C1505="","Choose position",IF(COUNT(E1505:I1505)&lt;5,"",IF(OR(MIN(E1505:I1505)&lt;0.1,MAX(E1505:I1505)&gt;10),"Invalid score",IF(INDEX('Position_Rubric'!$H$6:$H$14,M1505)&lt;&gt;1,"Check weights",ROUND(E1505*INDEX('Position_Rubric'!$C$6:$C$14,M1505)+F1505*INDEX('Position_Rubric'!$D$6:$D$14,M1505)+G1505*INDEX('Position_Rubric'!$E$6:$E$14,M1505)+H1505*INDEX('Position_Rubric'!$F$6:$F$14,M1505)+I1505*INDEX('Position_Rubric'!$G$6:$G$14,M1505),1)))))</x:f>
        <x:v>Choose position</x:v>
      </x:c>
      <x:c r="K1505" s="82" t="str">
        <x:f>IF(AND(ISNUMBER(J1505),ISNUMBER(D1505)),J1505-D1505,"")</x:f>
      </x:c>
      <x:c r="L1505" s="69" t="str">
        <x:f>IF(COUNT(E1505:I1505)&lt;5,"Needs component scores",IF(ISNUMBER(J1505),"Calculated",J1505))</x:f>
        <x:v>Needs component scores</x:v>
      </x:c>
      <x:c r="M1505" s="69" t="str">
        <x:f>IF(C1505="","",MATCH(C1505,'Position_Rubric'!$A$6:$A$14,0))</x:f>
      </x:c>
      <x:c r="N1505" s="69" t="str"/>
    </x:row>
    <x:row r="1506" ht="25" customHeight="1">
      <x:c r="A1506" s="69" t="str">
        <x:v>summer-S26-1194</x:v>
      </x:c>
      <x:c r="B1506" s="69" t="str">
        <x:v>Semuel Pizzignacco</x:v>
      </x:c>
      <x:c r="C1506" s="69" t="str">
        <x:v>GK</x:v>
      </x:c>
      <x:c r="D1506" s="82" t="str">
        <x:f>IF(ISNUMBER('Transfer_Ratings'!K1506),'Transfer_Ratings'!K1506,"")</x:f>
      </x:c>
      <x:c r="E1506" s="86"/>
      <x:c r="F1506" s="86"/>
      <x:c r="G1506" s="86"/>
      <x:c r="H1506" s="86"/>
      <x:c r="I1506" s="86"/>
      <x:c r="J1506" s="82" t="str">
        <x:f>IF(C1506="","Choose position",IF(COUNT(E1506:I1506)&lt;5,"",IF(OR(MIN(E1506:I1506)&lt;0.1,MAX(E1506:I1506)&gt;10),"Invalid score",IF(INDEX('Position_Rubric'!$H$6:$H$14,M1506)&lt;&gt;1,"Check weights",ROUND(E1506*INDEX('Position_Rubric'!$C$6:$C$14,M1506)+F1506*INDEX('Position_Rubric'!$D$6:$D$14,M1506)+G1506*INDEX('Position_Rubric'!$E$6:$E$14,M1506)+H1506*INDEX('Position_Rubric'!$F$6:$F$14,M1506)+I1506*INDEX('Position_Rubric'!$G$6:$G$14,M1506),1)))))</x:f>
      </x:c>
      <x:c r="K1506" s="82" t="str">
        <x:f>IF(AND(ISNUMBER(J1506),ISNUMBER(D1506)),J1506-D1506,"")</x:f>
      </x:c>
      <x:c r="L1506" s="69" t="str">
        <x:f>IF(COUNT(E1506:I1506)&lt;5,"Needs component scores",IF(ISNUMBER(J1506),"Calculated",J1506))</x:f>
        <x:v>Needs component scores</x:v>
      </x:c>
      <x:c r="M1506" s="69" t="n">
        <x:f>IF(C1506="","",MATCH(C1506,'Position_Rubric'!$A$6:$A$14,0))</x:f>
        <x:v>9</x:v>
      </x:c>
      <x:c r="N1506" s="69" t="str"/>
    </x:row>
    <x:row r="1507" ht="25" customHeight="1">
      <x:c r="A1507" s="69" t="str">
        <x:v>summer-S26-1198</x:v>
      </x:c>
      <x:c r="B1507" s="69" t="str">
        <x:v>Ivan Ilic</x:v>
      </x:c>
      <x:c r="C1507" s="69"/>
      <x:c r="D1507" s="82" t="str">
        <x:f>IF(ISNUMBER('Transfer_Ratings'!K1507),'Transfer_Ratings'!K1507,"")</x:f>
      </x:c>
      <x:c r="E1507" s="86"/>
      <x:c r="F1507" s="86"/>
      <x:c r="G1507" s="86"/>
      <x:c r="H1507" s="86"/>
      <x:c r="I1507" s="86"/>
      <x:c r="J1507" s="82" t="str">
        <x:f>IF(C1507="","Choose position",IF(COUNT(E1507:I1507)&lt;5,"",IF(OR(MIN(E1507:I1507)&lt;0.1,MAX(E1507:I1507)&gt;10),"Invalid score",IF(INDEX('Position_Rubric'!$H$6:$H$14,M1507)&lt;&gt;1,"Check weights",ROUND(E1507*INDEX('Position_Rubric'!$C$6:$C$14,M1507)+F1507*INDEX('Position_Rubric'!$D$6:$D$14,M1507)+G1507*INDEX('Position_Rubric'!$E$6:$E$14,M1507)+H1507*INDEX('Position_Rubric'!$F$6:$F$14,M1507)+I1507*INDEX('Position_Rubric'!$G$6:$G$14,M1507),1)))))</x:f>
        <x:v>Choose position</x:v>
      </x:c>
      <x:c r="K1507" s="82" t="str">
        <x:f>IF(AND(ISNUMBER(J1507),ISNUMBER(D1507)),J1507-D1507,"")</x:f>
      </x:c>
      <x:c r="L1507" s="69" t="str">
        <x:f>IF(COUNT(E1507:I1507)&lt;5,"Needs component scores",IF(ISNUMBER(J1507),"Calculated",J1507))</x:f>
        <x:v>Needs component scores</x:v>
      </x:c>
      <x:c r="M1507" s="69" t="str">
        <x:f>IF(C1507="","",MATCH(C1507,'Position_Rubric'!$A$6:$A$14,0))</x:f>
      </x:c>
      <x:c r="N1507" s="69" t="str"/>
    </x:row>
    <x:row r="1508" ht="25" customHeight="1">
      <x:c r="A1508" s="69" t="str">
        <x:v>summer-S26-1199</x:v>
      </x:c>
      <x:c r="B1508" s="69" t="str">
        <x:v>Filippo Grosso</x:v>
      </x:c>
      <x:c r="C1508" s="69"/>
      <x:c r="D1508" s="82" t="str">
        <x:f>IF(ISNUMBER('Transfer_Ratings'!K1508),'Transfer_Ratings'!K1508,"")</x:f>
      </x:c>
      <x:c r="E1508" s="86"/>
      <x:c r="F1508" s="86"/>
      <x:c r="G1508" s="86"/>
      <x:c r="H1508" s="86"/>
      <x:c r="I1508" s="86"/>
      <x:c r="J1508" s="82" t="str">
        <x:f>IF(C1508="","Choose position",IF(COUNT(E1508:I1508)&lt;5,"",IF(OR(MIN(E1508:I1508)&lt;0.1,MAX(E1508:I1508)&gt;10),"Invalid score",IF(INDEX('Position_Rubric'!$H$6:$H$14,M1508)&lt;&gt;1,"Check weights",ROUND(E1508*INDEX('Position_Rubric'!$C$6:$C$14,M1508)+F1508*INDEX('Position_Rubric'!$D$6:$D$14,M1508)+G1508*INDEX('Position_Rubric'!$E$6:$E$14,M1508)+H1508*INDEX('Position_Rubric'!$F$6:$F$14,M1508)+I1508*INDEX('Position_Rubric'!$G$6:$G$14,M1508),1)))))</x:f>
        <x:v>Choose position</x:v>
      </x:c>
      <x:c r="K1508" s="82" t="str">
        <x:f>IF(AND(ISNUMBER(J1508),ISNUMBER(D1508)),J1508-D1508,"")</x:f>
      </x:c>
      <x:c r="L1508" s="69" t="str">
        <x:f>IF(COUNT(E1508:I1508)&lt;5,"Needs component scores",IF(ISNUMBER(J1508),"Calculated",J1508))</x:f>
        <x:v>Needs component scores</x:v>
      </x:c>
      <x:c r="M1508" s="69" t="str">
        <x:f>IF(C1508="","",MATCH(C1508,'Position_Rubric'!$A$6:$A$14,0))</x:f>
      </x:c>
      <x:c r="N1508" s="69" t="str"/>
    </x:row>
    <x:row r="1509" ht="25" customHeight="1">
      <x:c r="A1509" s="69" t="str">
        <x:v>summer-S26-1200</x:v>
      </x:c>
      <x:c r="B1509" s="69" t="str">
        <x:v>Alan Matturro</x:v>
      </x:c>
      <x:c r="C1509" s="69"/>
      <x:c r="D1509" s="82" t="str">
        <x:f>IF(ISNUMBER('Transfer_Ratings'!K1509),'Transfer_Ratings'!K1509,"")</x:f>
      </x:c>
      <x:c r="E1509" s="86"/>
      <x:c r="F1509" s="86"/>
      <x:c r="G1509" s="86"/>
      <x:c r="H1509" s="86"/>
      <x:c r="I1509" s="86"/>
      <x:c r="J1509" s="82" t="str">
        <x:f>IF(C1509="","Choose position",IF(COUNT(E1509:I1509)&lt;5,"",IF(OR(MIN(E1509:I1509)&lt;0.1,MAX(E1509:I1509)&gt;10),"Invalid score",IF(INDEX('Position_Rubric'!$H$6:$H$14,M1509)&lt;&gt;1,"Check weights",ROUND(E1509*INDEX('Position_Rubric'!$C$6:$C$14,M1509)+F1509*INDEX('Position_Rubric'!$D$6:$D$14,M1509)+G1509*INDEX('Position_Rubric'!$E$6:$E$14,M1509)+H1509*INDEX('Position_Rubric'!$F$6:$F$14,M1509)+I1509*INDEX('Position_Rubric'!$G$6:$G$14,M1509),1)))))</x:f>
        <x:v>Choose position</x:v>
      </x:c>
      <x:c r="K1509" s="82" t="str">
        <x:f>IF(AND(ISNUMBER(J1509),ISNUMBER(D1509)),J1509-D1509,"")</x:f>
      </x:c>
      <x:c r="L1509" s="69" t="str">
        <x:f>IF(COUNT(E1509:I1509)&lt;5,"Needs component scores",IF(ISNUMBER(J1509),"Calculated",J1509))</x:f>
        <x:v>Needs component scores</x:v>
      </x:c>
      <x:c r="M1509" s="69" t="str">
        <x:f>IF(C1509="","",MATCH(C1509,'Position_Rubric'!$A$6:$A$14,0))</x:f>
      </x:c>
      <x:c r="N1509" s="69" t="str"/>
    </x:row>
    <x:row r="1510" ht="25" customHeight="1">
      <x:c r="A1510" s="69" t="str">
        <x:v>summer-S26-1201</x:v>
      </x:c>
      <x:c r="B1510" s="69" t="str">
        <x:v>Emiliano Martínez</x:v>
      </x:c>
      <x:c r="C1510" s="69" t="str">
        <x:v>GK</x:v>
      </x:c>
      <x:c r="D1510" s="82" t="str">
        <x:f>IF(ISNUMBER('Transfer_Ratings'!K1510),'Transfer_Ratings'!K1510,"")</x:f>
      </x:c>
      <x:c r="E1510" s="86"/>
      <x:c r="F1510" s="86"/>
      <x:c r="G1510" s="86"/>
      <x:c r="H1510" s="86"/>
      <x:c r="I1510" s="86"/>
      <x:c r="J1510" s="82" t="str">
        <x:f>IF(C1510="","Choose position",IF(COUNT(E1510:I1510)&lt;5,"",IF(OR(MIN(E1510:I1510)&lt;0.1,MAX(E1510:I1510)&gt;10),"Invalid score",IF(INDEX('Position_Rubric'!$H$6:$H$14,M1510)&lt;&gt;1,"Check weights",ROUND(E1510*INDEX('Position_Rubric'!$C$6:$C$14,M1510)+F1510*INDEX('Position_Rubric'!$D$6:$D$14,M1510)+G1510*INDEX('Position_Rubric'!$E$6:$E$14,M1510)+H1510*INDEX('Position_Rubric'!$F$6:$F$14,M1510)+I1510*INDEX('Position_Rubric'!$G$6:$G$14,M1510),1)))))</x:f>
      </x:c>
      <x:c r="K1510" s="82" t="str">
        <x:f>IF(AND(ISNUMBER(J1510),ISNUMBER(D1510)),J1510-D1510,"")</x:f>
      </x:c>
      <x:c r="L1510" s="69" t="str">
        <x:f>IF(COUNT(E1510:I1510)&lt;5,"Needs component scores",IF(ISNUMBER(J1510),"Calculated",J1510))</x:f>
        <x:v>Needs component scores</x:v>
      </x:c>
      <x:c r="M1510" s="69" t="n">
        <x:f>IF(C1510="","",MATCH(C1510,'Position_Rubric'!$A$6:$A$14,0))</x:f>
        <x:v>9</x:v>
      </x:c>
      <x:c r="N1510" s="69" t="str"/>
    </x:row>
    <x:row r="1511" ht="25" customHeight="1">
      <x:c r="A1511" s="69" t="str">
        <x:v>summer-S26-1203</x:v>
      </x:c>
      <x:c r="B1511" s="69" t="str">
        <x:v>Jamie Donley</x:v>
      </x:c>
      <x:c r="C1511" s="69"/>
      <x:c r="D1511" s="82" t="str">
        <x:f>IF(ISNUMBER('Transfer_Ratings'!K1511),'Transfer_Ratings'!K1511,"")</x:f>
      </x:c>
      <x:c r="E1511" s="86"/>
      <x:c r="F1511" s="86"/>
      <x:c r="G1511" s="86"/>
      <x:c r="H1511" s="86"/>
      <x:c r="I1511" s="86"/>
      <x:c r="J1511" s="82" t="str">
        <x:f>IF(C1511="","Choose position",IF(COUNT(E1511:I1511)&lt;5,"",IF(OR(MIN(E1511:I1511)&lt;0.1,MAX(E1511:I1511)&gt;10),"Invalid score",IF(INDEX('Position_Rubric'!$H$6:$H$14,M1511)&lt;&gt;1,"Check weights",ROUND(E1511*INDEX('Position_Rubric'!$C$6:$C$14,M1511)+F1511*INDEX('Position_Rubric'!$D$6:$D$14,M1511)+G1511*INDEX('Position_Rubric'!$E$6:$E$14,M1511)+H1511*INDEX('Position_Rubric'!$F$6:$F$14,M1511)+I1511*INDEX('Position_Rubric'!$G$6:$G$14,M1511),1)))))</x:f>
        <x:v>Choose position</x:v>
      </x:c>
      <x:c r="K1511" s="82" t="str">
        <x:f>IF(AND(ISNUMBER(J1511),ISNUMBER(D1511)),J1511-D1511,"")</x:f>
      </x:c>
      <x:c r="L1511" s="69" t="str">
        <x:f>IF(COUNT(E1511:I1511)&lt;5,"Needs component scores",IF(ISNUMBER(J1511),"Calculated",J1511))</x:f>
        <x:v>Needs component scores</x:v>
      </x:c>
      <x:c r="M1511" s="69" t="str">
        <x:f>IF(C1511="","",MATCH(C1511,'Position_Rubric'!$A$6:$A$14,0))</x:f>
      </x:c>
      <x:c r="N1511" s="69" t="str"/>
    </x:row>
    <x:row r="1512" ht="25" customHeight="1">
      <x:c r="A1512" s="69" t="str">
        <x:v>summer-S26-1204</x:v>
      </x:c>
      <x:c r="B1512" s="69" t="str">
        <x:v>William Mikelbrencis</x:v>
      </x:c>
      <x:c r="C1512" s="69"/>
      <x:c r="D1512" s="82" t="str">
        <x:f>IF(ISNUMBER('Transfer_Ratings'!K1512),'Transfer_Ratings'!K1512,"")</x:f>
      </x:c>
      <x:c r="E1512" s="86"/>
      <x:c r="F1512" s="86"/>
      <x:c r="G1512" s="86"/>
      <x:c r="H1512" s="86"/>
      <x:c r="I1512" s="86"/>
      <x:c r="J1512" s="82" t="str">
        <x:f>IF(C1512="","Choose position",IF(COUNT(E1512:I1512)&lt;5,"",IF(OR(MIN(E1512:I1512)&lt;0.1,MAX(E1512:I1512)&gt;10),"Invalid score",IF(INDEX('Position_Rubric'!$H$6:$H$14,M1512)&lt;&gt;1,"Check weights",ROUND(E1512*INDEX('Position_Rubric'!$C$6:$C$14,M1512)+F1512*INDEX('Position_Rubric'!$D$6:$D$14,M1512)+G1512*INDEX('Position_Rubric'!$E$6:$E$14,M1512)+H1512*INDEX('Position_Rubric'!$F$6:$F$14,M1512)+I1512*INDEX('Position_Rubric'!$G$6:$G$14,M1512),1)))))</x:f>
        <x:v>Choose position</x:v>
      </x:c>
      <x:c r="K1512" s="82" t="str">
        <x:f>IF(AND(ISNUMBER(J1512),ISNUMBER(D1512)),J1512-D1512,"")</x:f>
      </x:c>
      <x:c r="L1512" s="69" t="str">
        <x:f>IF(COUNT(E1512:I1512)&lt;5,"Needs component scores",IF(ISNUMBER(J1512),"Calculated",J1512))</x:f>
        <x:v>Needs component scores</x:v>
      </x:c>
      <x:c r="M1512" s="69" t="str">
        <x:f>IF(C1512="","",MATCH(C1512,'Position_Rubric'!$A$6:$A$14,0))</x:f>
      </x:c>
      <x:c r="N1512" s="69" t="str"/>
    </x:row>
    <x:row r="1513" ht="25" customHeight="1">
      <x:c r="A1513" s="69" t="str">
        <x:v>summer-S26-1205</x:v>
      </x:c>
      <x:c r="B1513" s="69" t="str">
        <x:v>Marcus Pedersen</x:v>
      </x:c>
      <x:c r="C1513" s="69"/>
      <x:c r="D1513" s="82" t="str">
        <x:f>IF(ISNUMBER('Transfer_Ratings'!K1513),'Transfer_Ratings'!K1513,"")</x:f>
      </x:c>
      <x:c r="E1513" s="86"/>
      <x:c r="F1513" s="86"/>
      <x:c r="G1513" s="86"/>
      <x:c r="H1513" s="86"/>
      <x:c r="I1513" s="86"/>
      <x:c r="J1513" s="82" t="str">
        <x:f>IF(C1513="","Choose position",IF(COUNT(E1513:I1513)&lt;5,"",IF(OR(MIN(E1513:I1513)&lt;0.1,MAX(E1513:I1513)&gt;10),"Invalid score",IF(INDEX('Position_Rubric'!$H$6:$H$14,M1513)&lt;&gt;1,"Check weights",ROUND(E1513*INDEX('Position_Rubric'!$C$6:$C$14,M1513)+F1513*INDEX('Position_Rubric'!$D$6:$D$14,M1513)+G1513*INDEX('Position_Rubric'!$E$6:$E$14,M1513)+H1513*INDEX('Position_Rubric'!$F$6:$F$14,M1513)+I1513*INDEX('Position_Rubric'!$G$6:$G$14,M1513),1)))))</x:f>
        <x:v>Choose position</x:v>
      </x:c>
      <x:c r="K1513" s="82" t="str">
        <x:f>IF(AND(ISNUMBER(J1513),ISNUMBER(D1513)),J1513-D1513,"")</x:f>
      </x:c>
      <x:c r="L1513" s="69" t="str">
        <x:f>IF(COUNT(E1513:I1513)&lt;5,"Needs component scores",IF(ISNUMBER(J1513),"Calculated",J1513))</x:f>
        <x:v>Needs component scores</x:v>
      </x:c>
      <x:c r="M1513" s="69" t="str">
        <x:f>IF(C1513="","",MATCH(C1513,'Position_Rubric'!$A$6:$A$14,0))</x:f>
      </x:c>
      <x:c r="N1513" s="69" t="str"/>
    </x:row>
    <x:row r="1514" ht="25" customHeight="1">
      <x:c r="A1514" s="69" t="str">
        <x:v>summer-S26-1206</x:v>
      </x:c>
      <x:c r="B1514" s="69" t="str">
        <x:v>Lucas Perri</x:v>
      </x:c>
      <x:c r="C1514" s="69" t="str">
        <x:v>GK</x:v>
      </x:c>
      <x:c r="D1514" s="82" t="str">
        <x:f>IF(ISNUMBER('Transfer_Ratings'!K1514),'Transfer_Ratings'!K1514,"")</x:f>
      </x:c>
      <x:c r="E1514" s="86"/>
      <x:c r="F1514" s="86"/>
      <x:c r="G1514" s="86"/>
      <x:c r="H1514" s="86"/>
      <x:c r="I1514" s="86"/>
      <x:c r="J1514" s="82" t="str">
        <x:f>IF(C1514="","Choose position",IF(COUNT(E1514:I1514)&lt;5,"",IF(OR(MIN(E1514:I1514)&lt;0.1,MAX(E1514:I1514)&gt;10),"Invalid score",IF(INDEX('Position_Rubric'!$H$6:$H$14,M1514)&lt;&gt;1,"Check weights",ROUND(E1514*INDEX('Position_Rubric'!$C$6:$C$14,M1514)+F1514*INDEX('Position_Rubric'!$D$6:$D$14,M1514)+G1514*INDEX('Position_Rubric'!$E$6:$E$14,M1514)+H1514*INDEX('Position_Rubric'!$F$6:$F$14,M1514)+I1514*INDEX('Position_Rubric'!$G$6:$G$14,M1514),1)))))</x:f>
      </x:c>
      <x:c r="K1514" s="82" t="str">
        <x:f>IF(AND(ISNUMBER(J1514),ISNUMBER(D1514)),J1514-D1514,"")</x:f>
      </x:c>
      <x:c r="L1514" s="69" t="str">
        <x:f>IF(COUNT(E1514:I1514)&lt;5,"Needs component scores",IF(ISNUMBER(J1514),"Calculated",J1514))</x:f>
        <x:v>Needs component scores</x:v>
      </x:c>
      <x:c r="M1514" s="69" t="n">
        <x:f>IF(C1514="","",MATCH(C1514,'Position_Rubric'!$A$6:$A$14,0))</x:f>
        <x:v>9</x:v>
      </x:c>
      <x:c r="N1514" s="69" t="str"/>
    </x:row>
    <x:row r="1515" ht="25" customHeight="1">
      <x:c r="A1515" s="69" t="str">
        <x:v>summer-S26-1208</x:v>
      </x:c>
      <x:c r="B1515" s="69" t="str">
        <x:v>Arthur Theate</x:v>
      </x:c>
      <x:c r="C1515" s="69"/>
      <x:c r="D1515" s="82" t="str">
        <x:f>IF(ISNUMBER('Transfer_Ratings'!K1515),'Transfer_Ratings'!K1515,"")</x:f>
      </x:c>
      <x:c r="E1515" s="86"/>
      <x:c r="F1515" s="86"/>
      <x:c r="G1515" s="86"/>
      <x:c r="H1515" s="86"/>
      <x:c r="I1515" s="86"/>
      <x:c r="J1515" s="82" t="str">
        <x:f>IF(C1515="","Choose position",IF(COUNT(E1515:I1515)&lt;5,"",IF(OR(MIN(E1515:I1515)&lt;0.1,MAX(E1515:I1515)&gt;10),"Invalid score",IF(INDEX('Position_Rubric'!$H$6:$H$14,M1515)&lt;&gt;1,"Check weights",ROUND(E1515*INDEX('Position_Rubric'!$C$6:$C$14,M1515)+F1515*INDEX('Position_Rubric'!$D$6:$D$14,M1515)+G1515*INDEX('Position_Rubric'!$E$6:$E$14,M1515)+H1515*INDEX('Position_Rubric'!$F$6:$F$14,M1515)+I1515*INDEX('Position_Rubric'!$G$6:$G$14,M1515),1)))))</x:f>
        <x:v>Choose position</x:v>
      </x:c>
      <x:c r="K1515" s="82" t="str">
        <x:f>IF(AND(ISNUMBER(J1515),ISNUMBER(D1515)),J1515-D1515,"")</x:f>
      </x:c>
      <x:c r="L1515" s="69" t="str">
        <x:f>IF(COUNT(E1515:I1515)&lt;5,"Needs component scores",IF(ISNUMBER(J1515),"Calculated",J1515))</x:f>
        <x:v>Needs component scores</x:v>
      </x:c>
      <x:c r="M1515" s="69" t="str">
        <x:f>IF(C1515="","",MATCH(C1515,'Position_Rubric'!$A$6:$A$14,0))</x:f>
      </x:c>
      <x:c r="N1515" s="69" t="str"/>
    </x:row>
    <x:row r="1516" ht="25" customHeight="1">
      <x:c r="A1516" s="69" t="str">
        <x:v>summer-S26-1209</x:v>
      </x:c>
      <x:c r="B1516" s="69" t="str">
        <x:v>Leonardo Balerdi</x:v>
      </x:c>
      <x:c r="C1516" s="69"/>
      <x:c r="D1516" s="82" t="str">
        <x:f>IF(ISNUMBER('Transfer_Ratings'!K1516),'Transfer_Ratings'!K1516,"")</x:f>
      </x:c>
      <x:c r="E1516" s="86"/>
      <x:c r="F1516" s="86"/>
      <x:c r="G1516" s="86"/>
      <x:c r="H1516" s="86"/>
      <x:c r="I1516" s="86"/>
      <x:c r="J1516" s="82" t="str">
        <x:f>IF(C1516="","Choose position",IF(COUNT(E1516:I1516)&lt;5,"",IF(OR(MIN(E1516:I1516)&lt;0.1,MAX(E1516:I1516)&gt;10),"Invalid score",IF(INDEX('Position_Rubric'!$H$6:$H$14,M1516)&lt;&gt;1,"Check weights",ROUND(E1516*INDEX('Position_Rubric'!$C$6:$C$14,M1516)+F1516*INDEX('Position_Rubric'!$D$6:$D$14,M1516)+G1516*INDEX('Position_Rubric'!$E$6:$E$14,M1516)+H1516*INDEX('Position_Rubric'!$F$6:$F$14,M1516)+I1516*INDEX('Position_Rubric'!$G$6:$G$14,M1516),1)))))</x:f>
        <x:v>Choose position</x:v>
      </x:c>
      <x:c r="K1516" s="82" t="str">
        <x:f>IF(AND(ISNUMBER(J1516),ISNUMBER(D1516)),J1516-D1516,"")</x:f>
      </x:c>
      <x:c r="L1516" s="69" t="str">
        <x:f>IF(COUNT(E1516:I1516)&lt;5,"Needs component scores",IF(ISNUMBER(J1516),"Calculated",J1516))</x:f>
        <x:v>Needs component scores</x:v>
      </x:c>
      <x:c r="M1516" s="69" t="str">
        <x:f>IF(C1516="","",MATCH(C1516,'Position_Rubric'!$A$6:$A$14,0))</x:f>
      </x:c>
      <x:c r="N1516" s="69" t="str"/>
    </x:row>
    <x:row r="1517" ht="25" customHeight="1">
      <x:c r="A1517" s="69" t="str">
        <x:v>summer-S26-1210</x:v>
      </x:c>
      <x:c r="B1517" s="69" t="str">
        <x:v>Tyler Bindon</x:v>
      </x:c>
      <x:c r="C1517" s="69"/>
      <x:c r="D1517" s="82" t="str">
        <x:f>IF(ISNUMBER('Transfer_Ratings'!K1517),'Transfer_Ratings'!K1517,"")</x:f>
      </x:c>
      <x:c r="E1517" s="86"/>
      <x:c r="F1517" s="86"/>
      <x:c r="G1517" s="86"/>
      <x:c r="H1517" s="86"/>
      <x:c r="I1517" s="86"/>
      <x:c r="J1517" s="82" t="str">
        <x:f>IF(C1517="","Choose position",IF(COUNT(E1517:I1517)&lt;5,"",IF(OR(MIN(E1517:I1517)&lt;0.1,MAX(E1517:I1517)&gt;10),"Invalid score",IF(INDEX('Position_Rubric'!$H$6:$H$14,M1517)&lt;&gt;1,"Check weights",ROUND(E1517*INDEX('Position_Rubric'!$C$6:$C$14,M1517)+F1517*INDEX('Position_Rubric'!$D$6:$D$14,M1517)+G1517*INDEX('Position_Rubric'!$E$6:$E$14,M1517)+H1517*INDEX('Position_Rubric'!$F$6:$F$14,M1517)+I1517*INDEX('Position_Rubric'!$G$6:$G$14,M1517),1)))))</x:f>
        <x:v>Choose position</x:v>
      </x:c>
      <x:c r="K1517" s="82" t="str">
        <x:f>IF(AND(ISNUMBER(J1517),ISNUMBER(D1517)),J1517-D1517,"")</x:f>
      </x:c>
      <x:c r="L1517" s="69" t="str">
        <x:f>IF(COUNT(E1517:I1517)&lt;5,"Needs component scores",IF(ISNUMBER(J1517),"Calculated",J1517))</x:f>
        <x:v>Needs component scores</x:v>
      </x:c>
      <x:c r="M1517" s="69" t="str">
        <x:f>IF(C1517="","",MATCH(C1517,'Position_Rubric'!$A$6:$A$14,0))</x:f>
      </x:c>
      <x:c r="N1517" s="69" t="str"/>
    </x:row>
    <x:row r="1518" ht="25" customHeight="1">
      <x:c r="A1518" s="69" t="str">
        <x:v>summer-S26-1211</x:v>
      </x:c>
      <x:c r="B1518" s="69" t="str">
        <x:v>Nick Bätzner</x:v>
      </x:c>
      <x:c r="C1518" s="69"/>
      <x:c r="D1518" s="82" t="str">
        <x:f>IF(ISNUMBER('Transfer_Ratings'!K1518),'Transfer_Ratings'!K1518,"")</x:f>
      </x:c>
      <x:c r="E1518" s="86"/>
      <x:c r="F1518" s="86"/>
      <x:c r="G1518" s="86"/>
      <x:c r="H1518" s="86"/>
      <x:c r="I1518" s="86"/>
      <x:c r="J1518" s="82" t="str">
        <x:f>IF(C1518="","Choose position",IF(COUNT(E1518:I1518)&lt;5,"",IF(OR(MIN(E1518:I1518)&lt;0.1,MAX(E1518:I1518)&gt;10),"Invalid score",IF(INDEX('Position_Rubric'!$H$6:$H$14,M1518)&lt;&gt;1,"Check weights",ROUND(E1518*INDEX('Position_Rubric'!$C$6:$C$14,M1518)+F1518*INDEX('Position_Rubric'!$D$6:$D$14,M1518)+G1518*INDEX('Position_Rubric'!$E$6:$E$14,M1518)+H1518*INDEX('Position_Rubric'!$F$6:$F$14,M1518)+I1518*INDEX('Position_Rubric'!$G$6:$G$14,M1518),1)))))</x:f>
        <x:v>Choose position</x:v>
      </x:c>
      <x:c r="K1518" s="82" t="str">
        <x:f>IF(AND(ISNUMBER(J1518),ISNUMBER(D1518)),J1518-D1518,"")</x:f>
      </x:c>
      <x:c r="L1518" s="69" t="str">
        <x:f>IF(COUNT(E1518:I1518)&lt;5,"Needs component scores",IF(ISNUMBER(J1518),"Calculated",J1518))</x:f>
        <x:v>Needs component scores</x:v>
      </x:c>
      <x:c r="M1518" s="69" t="str">
        <x:f>IF(C1518="","",MATCH(C1518,'Position_Rubric'!$A$6:$A$14,0))</x:f>
      </x:c>
      <x:c r="N1518" s="69" t="str"/>
    </x:row>
    <x:row r="1519" ht="25" customHeight="1">
      <x:c r="A1519" s="69" t="str">
        <x:v>summer-S26-1213</x:v>
      </x:c>
      <x:c r="B1519" s="69" t="str">
        <x:v>Ernestas Lysionok</x:v>
      </x:c>
      <x:c r="C1519" s="69" t="str">
        <x:v>GK</x:v>
      </x:c>
      <x:c r="D1519" s="82" t="str">
        <x:f>IF(ISNUMBER('Transfer_Ratings'!K1519),'Transfer_Ratings'!K1519,"")</x:f>
      </x:c>
      <x:c r="E1519" s="86"/>
      <x:c r="F1519" s="86"/>
      <x:c r="G1519" s="86"/>
      <x:c r="H1519" s="86"/>
      <x:c r="I1519" s="86"/>
      <x:c r="J1519" s="82" t="str">
        <x:f>IF(C1519="","Choose position",IF(COUNT(E1519:I1519)&lt;5,"",IF(OR(MIN(E1519:I1519)&lt;0.1,MAX(E1519:I1519)&gt;10),"Invalid score",IF(INDEX('Position_Rubric'!$H$6:$H$14,M1519)&lt;&gt;1,"Check weights",ROUND(E1519*INDEX('Position_Rubric'!$C$6:$C$14,M1519)+F1519*INDEX('Position_Rubric'!$D$6:$D$14,M1519)+G1519*INDEX('Position_Rubric'!$E$6:$E$14,M1519)+H1519*INDEX('Position_Rubric'!$F$6:$F$14,M1519)+I1519*INDEX('Position_Rubric'!$G$6:$G$14,M1519),1)))))</x:f>
      </x:c>
      <x:c r="K1519" s="82" t="str">
        <x:f>IF(AND(ISNUMBER(J1519),ISNUMBER(D1519)),J1519-D1519,"")</x:f>
      </x:c>
      <x:c r="L1519" s="69" t="str">
        <x:f>IF(COUNT(E1519:I1519)&lt;5,"Needs component scores",IF(ISNUMBER(J1519),"Calculated",J1519))</x:f>
        <x:v>Needs component scores</x:v>
      </x:c>
      <x:c r="M1519" s="69" t="n">
        <x:f>IF(C1519="","",MATCH(C1519,'Position_Rubric'!$A$6:$A$14,0))</x:f>
        <x:v>9</x:v>
      </x:c>
      <x:c r="N1519" s="69" t="str"/>
    </x:row>
    <x:row r="1520" ht="25" customHeight="1">
      <x:c r="A1520" s="69" t="str">
        <x:v>summer-S26-1215</x:v>
      </x:c>
      <x:c r="B1520" s="69" t="str">
        <x:v>Stephen Mfuni</x:v>
      </x:c>
      <x:c r="C1520" s="69"/>
      <x:c r="D1520" s="82" t="str">
        <x:f>IF(ISNUMBER('Transfer_Ratings'!K1520),'Transfer_Ratings'!K1520,"")</x:f>
      </x:c>
      <x:c r="E1520" s="86"/>
      <x:c r="F1520" s="86"/>
      <x:c r="G1520" s="86"/>
      <x:c r="H1520" s="86"/>
      <x:c r="I1520" s="86"/>
      <x:c r="J1520" s="82" t="str">
        <x:f>IF(C1520="","Choose position",IF(COUNT(E1520:I1520)&lt;5,"",IF(OR(MIN(E1520:I1520)&lt;0.1,MAX(E1520:I1520)&gt;10),"Invalid score",IF(INDEX('Position_Rubric'!$H$6:$H$14,M1520)&lt;&gt;1,"Check weights",ROUND(E1520*INDEX('Position_Rubric'!$C$6:$C$14,M1520)+F1520*INDEX('Position_Rubric'!$D$6:$D$14,M1520)+G1520*INDEX('Position_Rubric'!$E$6:$E$14,M1520)+H1520*INDEX('Position_Rubric'!$F$6:$F$14,M1520)+I1520*INDEX('Position_Rubric'!$G$6:$G$14,M1520),1)))))</x:f>
        <x:v>Choose position</x:v>
      </x:c>
      <x:c r="K1520" s="82" t="str">
        <x:f>IF(AND(ISNUMBER(J1520),ISNUMBER(D1520)),J1520-D1520,"")</x:f>
      </x:c>
      <x:c r="L1520" s="69" t="str">
        <x:f>IF(COUNT(E1520:I1520)&lt;5,"Needs component scores",IF(ISNUMBER(J1520),"Calculated",J1520))</x:f>
        <x:v>Needs component scores</x:v>
      </x:c>
      <x:c r="M1520" s="69" t="str">
        <x:f>IF(C1520="","",MATCH(C1520,'Position_Rubric'!$A$6:$A$14,0))</x:f>
      </x:c>
      <x:c r="N1520" s="69" t="str"/>
    </x:row>
    <x:row r="1521" ht="25" customHeight="1">
      <x:c r="A1521" s="69" t="str">
        <x:v>summer-S26-1218</x:v>
      </x:c>
      <x:c r="B1521" s="69" t="str">
        <x:v>Matías Orozco</x:v>
      </x:c>
      <x:c r="C1521" s="69"/>
      <x:c r="D1521" s="82" t="str">
        <x:f>IF(ISNUMBER('Transfer_Ratings'!K1521),'Transfer_Ratings'!K1521,"")</x:f>
      </x:c>
      <x:c r="E1521" s="86"/>
      <x:c r="F1521" s="86"/>
      <x:c r="G1521" s="86"/>
      <x:c r="H1521" s="86"/>
      <x:c r="I1521" s="86"/>
      <x:c r="J1521" s="82" t="str">
        <x:f>IF(C1521="","Choose position",IF(COUNT(E1521:I1521)&lt;5,"",IF(OR(MIN(E1521:I1521)&lt;0.1,MAX(E1521:I1521)&gt;10),"Invalid score",IF(INDEX('Position_Rubric'!$H$6:$H$14,M1521)&lt;&gt;1,"Check weights",ROUND(E1521*INDEX('Position_Rubric'!$C$6:$C$14,M1521)+F1521*INDEX('Position_Rubric'!$D$6:$D$14,M1521)+G1521*INDEX('Position_Rubric'!$E$6:$E$14,M1521)+H1521*INDEX('Position_Rubric'!$F$6:$F$14,M1521)+I1521*INDEX('Position_Rubric'!$G$6:$G$14,M1521),1)))))</x:f>
        <x:v>Choose position</x:v>
      </x:c>
      <x:c r="K1521" s="82" t="str">
        <x:f>IF(AND(ISNUMBER(J1521),ISNUMBER(D1521)),J1521-D1521,"")</x:f>
      </x:c>
      <x:c r="L1521" s="69" t="str">
        <x:f>IF(COUNT(E1521:I1521)&lt;5,"Needs component scores",IF(ISNUMBER(J1521),"Calculated",J1521))</x:f>
        <x:v>Needs component scores</x:v>
      </x:c>
      <x:c r="M1521" s="69" t="str">
        <x:f>IF(C1521="","",MATCH(C1521,'Position_Rubric'!$A$6:$A$14,0))</x:f>
      </x:c>
      <x:c r="N1521" s="69" t="str"/>
    </x:row>
    <x:row r="1522" ht="25" customHeight="1">
      <x:c r="A1522" s="69" t="str">
        <x:v>summer-S26-1219</x:v>
      </x:c>
      <x:c r="B1522" s="69" t="str">
        <x:v>Ignace Van Der Brempt</x:v>
      </x:c>
      <x:c r="C1522" s="69"/>
      <x:c r="D1522" s="82" t="str">
        <x:f>IF(ISNUMBER('Transfer_Ratings'!K1522),'Transfer_Ratings'!K1522,"")</x:f>
      </x:c>
      <x:c r="E1522" s="86"/>
      <x:c r="F1522" s="86"/>
      <x:c r="G1522" s="86"/>
      <x:c r="H1522" s="86"/>
      <x:c r="I1522" s="86"/>
      <x:c r="J1522" s="82" t="str">
        <x:f>IF(C1522="","Choose position",IF(COUNT(E1522:I1522)&lt;5,"",IF(OR(MIN(E1522:I1522)&lt;0.1,MAX(E1522:I1522)&gt;10),"Invalid score",IF(INDEX('Position_Rubric'!$H$6:$H$14,M1522)&lt;&gt;1,"Check weights",ROUND(E1522*INDEX('Position_Rubric'!$C$6:$C$14,M1522)+F1522*INDEX('Position_Rubric'!$D$6:$D$14,M1522)+G1522*INDEX('Position_Rubric'!$E$6:$E$14,M1522)+H1522*INDEX('Position_Rubric'!$F$6:$F$14,M1522)+I1522*INDEX('Position_Rubric'!$G$6:$G$14,M1522),1)))))</x:f>
        <x:v>Choose position</x:v>
      </x:c>
      <x:c r="K1522" s="82" t="str">
        <x:f>IF(AND(ISNUMBER(J1522),ISNUMBER(D1522)),J1522-D1522,"")</x:f>
      </x:c>
      <x:c r="L1522" s="69" t="str">
        <x:f>IF(COUNT(E1522:I1522)&lt;5,"Needs component scores",IF(ISNUMBER(J1522),"Calculated",J1522))</x:f>
        <x:v>Needs component scores</x:v>
      </x:c>
      <x:c r="M1522" s="69" t="str">
        <x:f>IF(C1522="","",MATCH(C1522,'Position_Rubric'!$A$6:$A$14,0))</x:f>
      </x:c>
      <x:c r="N1522" s="69" t="str"/>
    </x:row>
    <x:row r="1523" ht="25" customHeight="1">
      <x:c r="A1523" s="69" t="str">
        <x:v>summer-S26-1221</x:v>
      </x:c>
      <x:c r="B1523" s="69" t="str">
        <x:v>Axel Tape</x:v>
      </x:c>
      <x:c r="C1523" s="69"/>
      <x:c r="D1523" s="82" t="str">
        <x:f>IF(ISNUMBER('Transfer_Ratings'!K1523),'Transfer_Ratings'!K1523,"")</x:f>
      </x:c>
      <x:c r="E1523" s="86"/>
      <x:c r="F1523" s="86"/>
      <x:c r="G1523" s="86"/>
      <x:c r="H1523" s="86"/>
      <x:c r="I1523" s="86"/>
      <x:c r="J1523" s="82" t="str">
        <x:f>IF(C1523="","Choose position",IF(COUNT(E1523:I1523)&lt;5,"",IF(OR(MIN(E1523:I1523)&lt;0.1,MAX(E1523:I1523)&gt;10),"Invalid score",IF(INDEX('Position_Rubric'!$H$6:$H$14,M1523)&lt;&gt;1,"Check weights",ROUND(E1523*INDEX('Position_Rubric'!$C$6:$C$14,M1523)+F1523*INDEX('Position_Rubric'!$D$6:$D$14,M1523)+G1523*INDEX('Position_Rubric'!$E$6:$E$14,M1523)+H1523*INDEX('Position_Rubric'!$F$6:$F$14,M1523)+I1523*INDEX('Position_Rubric'!$G$6:$G$14,M1523),1)))))</x:f>
        <x:v>Choose position</x:v>
      </x:c>
      <x:c r="K1523" s="82" t="str">
        <x:f>IF(AND(ISNUMBER(J1523),ISNUMBER(D1523)),J1523-D1523,"")</x:f>
      </x:c>
      <x:c r="L1523" s="69" t="str">
        <x:f>IF(COUNT(E1523:I1523)&lt;5,"Needs component scores",IF(ISNUMBER(J1523),"Calculated",J1523))</x:f>
        <x:v>Needs component scores</x:v>
      </x:c>
      <x:c r="M1523" s="69" t="str">
        <x:f>IF(C1523="","",MATCH(C1523,'Position_Rubric'!$A$6:$A$14,0))</x:f>
      </x:c>
      <x:c r="N1523" s="69" t="str"/>
    </x:row>
    <x:row r="1524" ht="25" customHeight="1">
      <x:c r="A1524" s="69" t="str">
        <x:v>summer-S26-1223</x:v>
      </x:c>
      <x:c r="B1524" s="69" t="str">
        <x:v>Ali Dembélé</x:v>
      </x:c>
      <x:c r="C1524" s="69"/>
      <x:c r="D1524" s="82" t="str">
        <x:f>IF(ISNUMBER('Transfer_Ratings'!K1524),'Transfer_Ratings'!K1524,"")</x:f>
      </x:c>
      <x:c r="E1524" s="86"/>
      <x:c r="F1524" s="86"/>
      <x:c r="G1524" s="86"/>
      <x:c r="H1524" s="86"/>
      <x:c r="I1524" s="86"/>
      <x:c r="J1524" s="82" t="str">
        <x:f>IF(C1524="","Choose position",IF(COUNT(E1524:I1524)&lt;5,"",IF(OR(MIN(E1524:I1524)&lt;0.1,MAX(E1524:I1524)&gt;10),"Invalid score",IF(INDEX('Position_Rubric'!$H$6:$H$14,M1524)&lt;&gt;1,"Check weights",ROUND(E1524*INDEX('Position_Rubric'!$C$6:$C$14,M1524)+F1524*INDEX('Position_Rubric'!$D$6:$D$14,M1524)+G1524*INDEX('Position_Rubric'!$E$6:$E$14,M1524)+H1524*INDEX('Position_Rubric'!$F$6:$F$14,M1524)+I1524*INDEX('Position_Rubric'!$G$6:$G$14,M1524),1)))))</x:f>
        <x:v>Choose position</x:v>
      </x:c>
      <x:c r="K1524" s="82" t="str">
        <x:f>IF(AND(ISNUMBER(J1524),ISNUMBER(D1524)),J1524-D1524,"")</x:f>
      </x:c>
      <x:c r="L1524" s="69" t="str">
        <x:f>IF(COUNT(E1524:I1524)&lt;5,"Needs component scores",IF(ISNUMBER(J1524),"Calculated",J1524))</x:f>
        <x:v>Needs component scores</x:v>
      </x:c>
      <x:c r="M1524" s="69" t="str">
        <x:f>IF(C1524="","",MATCH(C1524,'Position_Rubric'!$A$6:$A$14,0))</x:f>
      </x:c>
      <x:c r="N1524" s="69" t="str"/>
    </x:row>
    <x:row r="1525" ht="25" customHeight="1">
      <x:c r="A1525" s="69" t="str">
        <x:v>summer-S26-1225</x:v>
      </x:c>
      <x:c r="B1525" s="69" t="str">
        <x:v>Sergio Martínez</x:v>
      </x:c>
      <x:c r="C1525" s="69"/>
      <x:c r="D1525" s="82" t="str">
        <x:f>IF(ISNUMBER('Transfer_Ratings'!K1525),'Transfer_Ratings'!K1525,"")</x:f>
      </x:c>
      <x:c r="E1525" s="86"/>
      <x:c r="F1525" s="86"/>
      <x:c r="G1525" s="86"/>
      <x:c r="H1525" s="86"/>
      <x:c r="I1525" s="86"/>
      <x:c r="J1525" s="82" t="str">
        <x:f>IF(C1525="","Choose position",IF(COUNT(E1525:I1525)&lt;5,"",IF(OR(MIN(E1525:I1525)&lt;0.1,MAX(E1525:I1525)&gt;10),"Invalid score",IF(INDEX('Position_Rubric'!$H$6:$H$14,M1525)&lt;&gt;1,"Check weights",ROUND(E1525*INDEX('Position_Rubric'!$C$6:$C$14,M1525)+F1525*INDEX('Position_Rubric'!$D$6:$D$14,M1525)+G1525*INDEX('Position_Rubric'!$E$6:$E$14,M1525)+H1525*INDEX('Position_Rubric'!$F$6:$F$14,M1525)+I1525*INDEX('Position_Rubric'!$G$6:$G$14,M1525),1)))))</x:f>
        <x:v>Choose position</x:v>
      </x:c>
      <x:c r="K1525" s="82" t="str">
        <x:f>IF(AND(ISNUMBER(J1525),ISNUMBER(D1525)),J1525-D1525,"")</x:f>
      </x:c>
      <x:c r="L1525" s="69" t="str">
        <x:f>IF(COUNT(E1525:I1525)&lt;5,"Needs component scores",IF(ISNUMBER(J1525),"Calculated",J1525))</x:f>
        <x:v>Needs component scores</x:v>
      </x:c>
      <x:c r="M1525" s="69" t="str">
        <x:f>IF(C1525="","",MATCH(C1525,'Position_Rubric'!$A$6:$A$14,0))</x:f>
      </x:c>
      <x:c r="N1525" s="69" t="str"/>
    </x:row>
    <x:row r="1526" ht="25" customHeight="1">
      <x:c r="A1526" s="69" t="str">
        <x:v>summer-S26-1226</x:v>
      </x:c>
      <x:c r="B1526" s="69" t="str">
        <x:v>Yanis Massolin</x:v>
      </x:c>
      <x:c r="C1526" s="69"/>
      <x:c r="D1526" s="82" t="str">
        <x:f>IF(ISNUMBER('Transfer_Ratings'!K1526),'Transfer_Ratings'!K1526,"")</x:f>
      </x:c>
      <x:c r="E1526" s="86"/>
      <x:c r="F1526" s="86"/>
      <x:c r="G1526" s="86"/>
      <x:c r="H1526" s="86"/>
      <x:c r="I1526" s="86"/>
      <x:c r="J1526" s="82" t="str">
        <x:f>IF(C1526="","Choose position",IF(COUNT(E1526:I1526)&lt;5,"",IF(OR(MIN(E1526:I1526)&lt;0.1,MAX(E1526:I1526)&gt;10),"Invalid score",IF(INDEX('Position_Rubric'!$H$6:$H$14,M1526)&lt;&gt;1,"Check weights",ROUND(E1526*INDEX('Position_Rubric'!$C$6:$C$14,M1526)+F1526*INDEX('Position_Rubric'!$D$6:$D$14,M1526)+G1526*INDEX('Position_Rubric'!$E$6:$E$14,M1526)+H1526*INDEX('Position_Rubric'!$F$6:$F$14,M1526)+I1526*INDEX('Position_Rubric'!$G$6:$G$14,M1526),1)))))</x:f>
        <x:v>Choose position</x:v>
      </x:c>
      <x:c r="K1526" s="82" t="str">
        <x:f>IF(AND(ISNUMBER(J1526),ISNUMBER(D1526)),J1526-D1526,"")</x:f>
      </x:c>
      <x:c r="L1526" s="69" t="str">
        <x:f>IF(COUNT(E1526:I1526)&lt;5,"Needs component scores",IF(ISNUMBER(J1526),"Calculated",J1526))</x:f>
        <x:v>Needs component scores</x:v>
      </x:c>
      <x:c r="M1526" s="69" t="str">
        <x:f>IF(C1526="","",MATCH(C1526,'Position_Rubric'!$A$6:$A$14,0))</x:f>
      </x:c>
      <x:c r="N1526" s="69" t="str"/>
    </x:row>
    <x:row r="1527" ht="25" customHeight="1">
      <x:c r="A1527" s="69" t="str">
        <x:v>summer-S26-1227</x:v>
      </x:c>
      <x:c r="B1527" s="69" t="str">
        <x:v>Jayce Fitzgerald</x:v>
      </x:c>
      <x:c r="C1527" s="69"/>
      <x:c r="D1527" s="82" t="str">
        <x:f>IF(ISNUMBER('Transfer_Ratings'!K1527),'Transfer_Ratings'!K1527,"")</x:f>
      </x:c>
      <x:c r="E1527" s="86"/>
      <x:c r="F1527" s="86"/>
      <x:c r="G1527" s="86"/>
      <x:c r="H1527" s="86"/>
      <x:c r="I1527" s="86"/>
      <x:c r="J1527" s="82" t="str">
        <x:f>IF(C1527="","Choose position",IF(COUNT(E1527:I1527)&lt;5,"",IF(OR(MIN(E1527:I1527)&lt;0.1,MAX(E1527:I1527)&gt;10),"Invalid score",IF(INDEX('Position_Rubric'!$H$6:$H$14,M1527)&lt;&gt;1,"Check weights",ROUND(E1527*INDEX('Position_Rubric'!$C$6:$C$14,M1527)+F1527*INDEX('Position_Rubric'!$D$6:$D$14,M1527)+G1527*INDEX('Position_Rubric'!$E$6:$E$14,M1527)+H1527*INDEX('Position_Rubric'!$F$6:$F$14,M1527)+I1527*INDEX('Position_Rubric'!$G$6:$G$14,M1527),1)))))</x:f>
        <x:v>Choose position</x:v>
      </x:c>
      <x:c r="K1527" s="82" t="str">
        <x:f>IF(AND(ISNUMBER(J1527),ISNUMBER(D1527)),J1527-D1527,"")</x:f>
      </x:c>
      <x:c r="L1527" s="69" t="str">
        <x:f>IF(COUNT(E1527:I1527)&lt;5,"Needs component scores",IF(ISNUMBER(J1527),"Calculated",J1527))</x:f>
        <x:v>Needs component scores</x:v>
      </x:c>
      <x:c r="M1527" s="69" t="str">
        <x:f>IF(C1527="","",MATCH(C1527,'Position_Rubric'!$A$6:$A$14,0))</x:f>
      </x:c>
      <x:c r="N1527" s="69" t="str"/>
    </x:row>
    <x:row r="1528" ht="25" customHeight="1">
      <x:c r="A1528" s="69" t="str">
        <x:v>summer-S26-1228</x:v>
      </x:c>
      <x:c r="B1528" s="69" t="str">
        <x:v>Daniel Muñoz</x:v>
      </x:c>
      <x:c r="C1528" s="69"/>
      <x:c r="D1528" s="82" t="str">
        <x:f>IF(ISNUMBER('Transfer_Ratings'!K1528),'Transfer_Ratings'!K1528,"")</x:f>
      </x:c>
      <x:c r="E1528" s="86"/>
      <x:c r="F1528" s="86"/>
      <x:c r="G1528" s="86"/>
      <x:c r="H1528" s="86"/>
      <x:c r="I1528" s="86"/>
      <x:c r="J1528" s="82" t="str">
        <x:f>IF(C1528="","Choose position",IF(COUNT(E1528:I1528)&lt;5,"",IF(OR(MIN(E1528:I1528)&lt;0.1,MAX(E1528:I1528)&gt;10),"Invalid score",IF(INDEX('Position_Rubric'!$H$6:$H$14,M1528)&lt;&gt;1,"Check weights",ROUND(E1528*INDEX('Position_Rubric'!$C$6:$C$14,M1528)+F1528*INDEX('Position_Rubric'!$D$6:$D$14,M1528)+G1528*INDEX('Position_Rubric'!$E$6:$E$14,M1528)+H1528*INDEX('Position_Rubric'!$F$6:$F$14,M1528)+I1528*INDEX('Position_Rubric'!$G$6:$G$14,M1528),1)))))</x:f>
        <x:v>Choose position</x:v>
      </x:c>
      <x:c r="K1528" s="82" t="str">
        <x:f>IF(AND(ISNUMBER(J1528),ISNUMBER(D1528)),J1528-D1528,"")</x:f>
      </x:c>
      <x:c r="L1528" s="69" t="str">
        <x:f>IF(COUNT(E1528:I1528)&lt;5,"Needs component scores",IF(ISNUMBER(J1528),"Calculated",J1528))</x:f>
        <x:v>Needs component scores</x:v>
      </x:c>
      <x:c r="M1528" s="69" t="str">
        <x:f>IF(C1528="","",MATCH(C1528,'Position_Rubric'!$A$6:$A$14,0))</x:f>
      </x:c>
      <x:c r="N1528" s="69" t="str"/>
    </x:row>
    <x:row r="1529" ht="25" customHeight="1">
      <x:c r="A1529" s="69" t="str">
        <x:v>summer-S26-1231</x:v>
      </x:c>
      <x:c r="B1529" s="69" t="str">
        <x:v>Filippo Missori</x:v>
      </x:c>
      <x:c r="C1529" s="69"/>
      <x:c r="D1529" s="82" t="str">
        <x:f>IF(ISNUMBER('Transfer_Ratings'!K1529),'Transfer_Ratings'!K1529,"")</x:f>
      </x:c>
      <x:c r="E1529" s="86"/>
      <x:c r="F1529" s="86"/>
      <x:c r="G1529" s="86"/>
      <x:c r="H1529" s="86"/>
      <x:c r="I1529" s="86"/>
      <x:c r="J1529" s="82" t="str">
        <x:f>IF(C1529="","Choose position",IF(COUNT(E1529:I1529)&lt;5,"",IF(OR(MIN(E1529:I1529)&lt;0.1,MAX(E1529:I1529)&gt;10),"Invalid score",IF(INDEX('Position_Rubric'!$H$6:$H$14,M1529)&lt;&gt;1,"Check weights",ROUND(E1529*INDEX('Position_Rubric'!$C$6:$C$14,M1529)+F1529*INDEX('Position_Rubric'!$D$6:$D$14,M1529)+G1529*INDEX('Position_Rubric'!$E$6:$E$14,M1529)+H1529*INDEX('Position_Rubric'!$F$6:$F$14,M1529)+I1529*INDEX('Position_Rubric'!$G$6:$G$14,M1529),1)))))</x:f>
        <x:v>Choose position</x:v>
      </x:c>
      <x:c r="K1529" s="82" t="str">
        <x:f>IF(AND(ISNUMBER(J1529),ISNUMBER(D1529)),J1529-D1529,"")</x:f>
      </x:c>
      <x:c r="L1529" s="69" t="str">
        <x:f>IF(COUNT(E1529:I1529)&lt;5,"Needs component scores",IF(ISNUMBER(J1529),"Calculated",J1529))</x:f>
        <x:v>Needs component scores</x:v>
      </x:c>
      <x:c r="M1529" s="69" t="str">
        <x:f>IF(C1529="","",MATCH(C1529,'Position_Rubric'!$A$6:$A$14,0))</x:f>
      </x:c>
      <x:c r="N1529" s="69" t="str"/>
    </x:row>
    <x:row r="1530" ht="25" customHeight="1">
      <x:c r="A1530" s="69" t="str">
        <x:v>summer-S26-1233</x:v>
      </x:c>
      <x:c r="B1530" s="69" t="str">
        <x:v>Lino Sousa</x:v>
      </x:c>
      <x:c r="C1530" s="69"/>
      <x:c r="D1530" s="82" t="str">
        <x:f>IF(ISNUMBER('Transfer_Ratings'!K1530),'Transfer_Ratings'!K1530,"")</x:f>
      </x:c>
      <x:c r="E1530" s="86"/>
      <x:c r="F1530" s="86"/>
      <x:c r="G1530" s="86"/>
      <x:c r="H1530" s="86"/>
      <x:c r="I1530" s="86"/>
      <x:c r="J1530" s="82" t="str">
        <x:f>IF(C1530="","Choose position",IF(COUNT(E1530:I1530)&lt;5,"",IF(OR(MIN(E1530:I1530)&lt;0.1,MAX(E1530:I1530)&gt;10),"Invalid score",IF(INDEX('Position_Rubric'!$H$6:$H$14,M1530)&lt;&gt;1,"Check weights",ROUND(E1530*INDEX('Position_Rubric'!$C$6:$C$14,M1530)+F1530*INDEX('Position_Rubric'!$D$6:$D$14,M1530)+G1530*INDEX('Position_Rubric'!$E$6:$E$14,M1530)+H1530*INDEX('Position_Rubric'!$F$6:$F$14,M1530)+I1530*INDEX('Position_Rubric'!$G$6:$G$14,M1530),1)))))</x:f>
        <x:v>Choose position</x:v>
      </x:c>
      <x:c r="K1530" s="82" t="str">
        <x:f>IF(AND(ISNUMBER(J1530),ISNUMBER(D1530)),J1530-D1530,"")</x:f>
      </x:c>
      <x:c r="L1530" s="69" t="str">
        <x:f>IF(COUNT(E1530:I1530)&lt;5,"Needs component scores",IF(ISNUMBER(J1530),"Calculated",J1530))</x:f>
        <x:v>Needs component scores</x:v>
      </x:c>
      <x:c r="M1530" s="69" t="str">
        <x:f>IF(C1530="","",MATCH(C1530,'Position_Rubric'!$A$6:$A$14,0))</x:f>
      </x:c>
      <x:c r="N1530" s="69" t="str"/>
    </x:row>
    <x:row r="1531" ht="25" customHeight="1">
      <x:c r="A1531" s="69" t="str">
        <x:v>summer-S26-1234</x:v>
      </x:c>
      <x:c r="B1531" s="69" t="str">
        <x:v>Josh Feeney</x:v>
      </x:c>
      <x:c r="C1531" s="69"/>
      <x:c r="D1531" s="82" t="str">
        <x:f>IF(ISNUMBER('Transfer_Ratings'!K1531),'Transfer_Ratings'!K1531,"")</x:f>
      </x:c>
      <x:c r="E1531" s="86"/>
      <x:c r="F1531" s="86"/>
      <x:c r="G1531" s="86"/>
      <x:c r="H1531" s="86"/>
      <x:c r="I1531" s="86"/>
      <x:c r="J1531" s="82" t="str">
        <x:f>IF(C1531="","Choose position",IF(COUNT(E1531:I1531)&lt;5,"",IF(OR(MIN(E1531:I1531)&lt;0.1,MAX(E1531:I1531)&gt;10),"Invalid score",IF(INDEX('Position_Rubric'!$H$6:$H$14,M1531)&lt;&gt;1,"Check weights",ROUND(E1531*INDEX('Position_Rubric'!$C$6:$C$14,M1531)+F1531*INDEX('Position_Rubric'!$D$6:$D$14,M1531)+G1531*INDEX('Position_Rubric'!$E$6:$E$14,M1531)+H1531*INDEX('Position_Rubric'!$F$6:$F$14,M1531)+I1531*INDEX('Position_Rubric'!$G$6:$G$14,M1531),1)))))</x:f>
        <x:v>Choose position</x:v>
      </x:c>
      <x:c r="K1531" s="82" t="str">
        <x:f>IF(AND(ISNUMBER(J1531),ISNUMBER(D1531)),J1531-D1531,"")</x:f>
      </x:c>
      <x:c r="L1531" s="69" t="str">
        <x:f>IF(COUNT(E1531:I1531)&lt;5,"Needs component scores",IF(ISNUMBER(J1531),"Calculated",J1531))</x:f>
        <x:v>Needs component scores</x:v>
      </x:c>
      <x:c r="M1531" s="69" t="str">
        <x:f>IF(C1531="","",MATCH(C1531,'Position_Rubric'!$A$6:$A$14,0))</x:f>
      </x:c>
      <x:c r="N1531" s="69" t="str"/>
    </x:row>
    <x:row r="1532" ht="25" customHeight="1">
      <x:c r="A1532" s="69" t="str">
        <x:v>summer-S26-1238</x:v>
      </x:c>
      <x:c r="B1532" s="69" t="str">
        <x:v>Adam Aznou</x:v>
      </x:c>
      <x:c r="C1532" s="69"/>
      <x:c r="D1532" s="82" t="str">
        <x:f>IF(ISNUMBER('Transfer_Ratings'!K1532),'Transfer_Ratings'!K1532,"")</x:f>
      </x:c>
      <x:c r="E1532" s="86"/>
      <x:c r="F1532" s="86"/>
      <x:c r="G1532" s="86"/>
      <x:c r="H1532" s="86"/>
      <x:c r="I1532" s="86"/>
      <x:c r="J1532" s="82" t="str">
        <x:f>IF(C1532="","Choose position",IF(COUNT(E1532:I1532)&lt;5,"",IF(OR(MIN(E1532:I1532)&lt;0.1,MAX(E1532:I1532)&gt;10),"Invalid score",IF(INDEX('Position_Rubric'!$H$6:$H$14,M1532)&lt;&gt;1,"Check weights",ROUND(E1532*INDEX('Position_Rubric'!$C$6:$C$14,M1532)+F1532*INDEX('Position_Rubric'!$D$6:$D$14,M1532)+G1532*INDEX('Position_Rubric'!$E$6:$E$14,M1532)+H1532*INDEX('Position_Rubric'!$F$6:$F$14,M1532)+I1532*INDEX('Position_Rubric'!$G$6:$G$14,M1532),1)))))</x:f>
        <x:v>Choose position</x:v>
      </x:c>
      <x:c r="K1532" s="82" t="str">
        <x:f>IF(AND(ISNUMBER(J1532),ISNUMBER(D1532)),J1532-D1532,"")</x:f>
      </x:c>
      <x:c r="L1532" s="69" t="str">
        <x:f>IF(COUNT(E1532:I1532)&lt;5,"Needs component scores",IF(ISNUMBER(J1532),"Calculated",J1532))</x:f>
        <x:v>Needs component scores</x:v>
      </x:c>
      <x:c r="M1532" s="69" t="str">
        <x:f>IF(C1532="","",MATCH(C1532,'Position_Rubric'!$A$6:$A$14,0))</x:f>
      </x:c>
      <x:c r="N1532" s="69" t="str"/>
    </x:row>
    <x:row r="1533" ht="25" customHeight="1">
      <x:c r="A1533" s="69" t="str">
        <x:v>summer-S26-1243</x:v>
      </x:c>
      <x:c r="B1533" s="69" t="str">
        <x:v>Pasquale Mazzocchi</x:v>
      </x:c>
      <x:c r="C1533" s="69"/>
      <x:c r="D1533" s="82" t="str">
        <x:f>IF(ISNUMBER('Transfer_Ratings'!K1533),'Transfer_Ratings'!K1533,"")</x:f>
      </x:c>
      <x:c r="E1533" s="86"/>
      <x:c r="F1533" s="86"/>
      <x:c r="G1533" s="86"/>
      <x:c r="H1533" s="86"/>
      <x:c r="I1533" s="86"/>
      <x:c r="J1533" s="82" t="str">
        <x:f>IF(C1533="","Choose position",IF(COUNT(E1533:I1533)&lt;5,"",IF(OR(MIN(E1533:I1533)&lt;0.1,MAX(E1533:I1533)&gt;10),"Invalid score",IF(INDEX('Position_Rubric'!$H$6:$H$14,M1533)&lt;&gt;1,"Check weights",ROUND(E1533*INDEX('Position_Rubric'!$C$6:$C$14,M1533)+F1533*INDEX('Position_Rubric'!$D$6:$D$14,M1533)+G1533*INDEX('Position_Rubric'!$E$6:$E$14,M1533)+H1533*INDEX('Position_Rubric'!$F$6:$F$14,M1533)+I1533*INDEX('Position_Rubric'!$G$6:$G$14,M1533),1)))))</x:f>
        <x:v>Choose position</x:v>
      </x:c>
      <x:c r="K1533" s="82" t="str">
        <x:f>IF(AND(ISNUMBER(J1533),ISNUMBER(D1533)),J1533-D1533,"")</x:f>
      </x:c>
      <x:c r="L1533" s="69" t="str">
        <x:f>IF(COUNT(E1533:I1533)&lt;5,"Needs component scores",IF(ISNUMBER(J1533),"Calculated",J1533))</x:f>
        <x:v>Needs component scores</x:v>
      </x:c>
      <x:c r="M1533" s="69" t="str">
        <x:f>IF(C1533="","",MATCH(C1533,'Position_Rubric'!$A$6:$A$14,0))</x:f>
      </x:c>
      <x:c r="N1533" s="69" t="str"/>
    </x:row>
    <x:row r="1534" ht="25" customHeight="1">
      <x:c r="A1534" s="69" t="str">
        <x:v>summer-S26-1245</x:v>
      </x:c>
      <x:c r="B1534" s="69" t="str">
        <x:v>Duje Caleta-Car</x:v>
      </x:c>
      <x:c r="C1534" s="69"/>
      <x:c r="D1534" s="82" t="str">
        <x:f>IF(ISNUMBER('Transfer_Ratings'!K1534),'Transfer_Ratings'!K1534,"")</x:f>
      </x:c>
      <x:c r="E1534" s="86"/>
      <x:c r="F1534" s="86"/>
      <x:c r="G1534" s="86"/>
      <x:c r="H1534" s="86"/>
      <x:c r="I1534" s="86"/>
      <x:c r="J1534" s="82" t="str">
        <x:f>IF(C1534="","Choose position",IF(COUNT(E1534:I1534)&lt;5,"",IF(OR(MIN(E1534:I1534)&lt;0.1,MAX(E1534:I1534)&gt;10),"Invalid score",IF(INDEX('Position_Rubric'!$H$6:$H$14,M1534)&lt;&gt;1,"Check weights",ROUND(E1534*INDEX('Position_Rubric'!$C$6:$C$14,M1534)+F1534*INDEX('Position_Rubric'!$D$6:$D$14,M1534)+G1534*INDEX('Position_Rubric'!$E$6:$E$14,M1534)+H1534*INDEX('Position_Rubric'!$F$6:$F$14,M1534)+I1534*INDEX('Position_Rubric'!$G$6:$G$14,M1534),1)))))</x:f>
        <x:v>Choose position</x:v>
      </x:c>
      <x:c r="K1534" s="82" t="str">
        <x:f>IF(AND(ISNUMBER(J1534),ISNUMBER(D1534)),J1534-D1534,"")</x:f>
      </x:c>
      <x:c r="L1534" s="69" t="str">
        <x:f>IF(COUNT(E1534:I1534)&lt;5,"Needs component scores",IF(ISNUMBER(J1534),"Calculated",J1534))</x:f>
        <x:v>Needs component scores</x:v>
      </x:c>
      <x:c r="M1534" s="69" t="str">
        <x:f>IF(C1534="","",MATCH(C1534,'Position_Rubric'!$A$6:$A$14,0))</x:f>
      </x:c>
      <x:c r="N1534" s="69" t="str"/>
    </x:row>
    <x:row r="1535" ht="25" customHeight="1">
      <x:c r="A1535" s="69" t="str">
        <x:v>summer-S26-1246</x:v>
      </x:c>
      <x:c r="B1535" s="69" t="str">
        <x:v>Zakaria El Ouahdi</x:v>
      </x:c>
      <x:c r="C1535" s="69"/>
      <x:c r="D1535" s="82" t="str">
        <x:f>IF(ISNUMBER('Transfer_Ratings'!K1535),'Transfer_Ratings'!K1535,"")</x:f>
      </x:c>
      <x:c r="E1535" s="86"/>
      <x:c r="F1535" s="86"/>
      <x:c r="G1535" s="86"/>
      <x:c r="H1535" s="86"/>
      <x:c r="I1535" s="86"/>
      <x:c r="J1535" s="82" t="str">
        <x:f>IF(C1535="","Choose position",IF(COUNT(E1535:I1535)&lt;5,"",IF(OR(MIN(E1535:I1535)&lt;0.1,MAX(E1535:I1535)&gt;10),"Invalid score",IF(INDEX('Position_Rubric'!$H$6:$H$14,M1535)&lt;&gt;1,"Check weights",ROUND(E1535*INDEX('Position_Rubric'!$C$6:$C$14,M1535)+F1535*INDEX('Position_Rubric'!$D$6:$D$14,M1535)+G1535*INDEX('Position_Rubric'!$E$6:$E$14,M1535)+H1535*INDEX('Position_Rubric'!$F$6:$F$14,M1535)+I1535*INDEX('Position_Rubric'!$G$6:$G$14,M1535),1)))))</x:f>
        <x:v>Choose position</x:v>
      </x:c>
      <x:c r="K1535" s="82" t="str">
        <x:f>IF(AND(ISNUMBER(J1535),ISNUMBER(D1535)),J1535-D1535,"")</x:f>
      </x:c>
      <x:c r="L1535" s="69" t="str">
        <x:f>IF(COUNT(E1535:I1535)&lt;5,"Needs component scores",IF(ISNUMBER(J1535),"Calculated",J1535))</x:f>
        <x:v>Needs component scores</x:v>
      </x:c>
      <x:c r="M1535" s="69" t="str">
        <x:f>IF(C1535="","",MATCH(C1535,'Position_Rubric'!$A$6:$A$14,0))</x:f>
      </x:c>
      <x:c r="N1535" s="69" t="str"/>
    </x:row>
    <x:row r="1536" ht="25" customHeight="1">
      <x:c r="A1536" s="69" t="str">
        <x:v>summer-S26-1247</x:v>
      </x:c>
      <x:c r="B1536" s="69" t="str">
        <x:v>Aarón Martín</x:v>
      </x:c>
      <x:c r="C1536" s="69"/>
      <x:c r="D1536" s="82" t="str">
        <x:f>IF(ISNUMBER('Transfer_Ratings'!K1536),'Transfer_Ratings'!K1536,"")</x:f>
      </x:c>
      <x:c r="E1536" s="86"/>
      <x:c r="F1536" s="86"/>
      <x:c r="G1536" s="86"/>
      <x:c r="H1536" s="86"/>
      <x:c r="I1536" s="86"/>
      <x:c r="J1536" s="82" t="str">
        <x:f>IF(C1536="","Choose position",IF(COUNT(E1536:I1536)&lt;5,"",IF(OR(MIN(E1536:I1536)&lt;0.1,MAX(E1536:I1536)&gt;10),"Invalid score",IF(INDEX('Position_Rubric'!$H$6:$H$14,M1536)&lt;&gt;1,"Check weights",ROUND(E1536*INDEX('Position_Rubric'!$C$6:$C$14,M1536)+F1536*INDEX('Position_Rubric'!$D$6:$D$14,M1536)+G1536*INDEX('Position_Rubric'!$E$6:$E$14,M1536)+H1536*INDEX('Position_Rubric'!$F$6:$F$14,M1536)+I1536*INDEX('Position_Rubric'!$G$6:$G$14,M1536),1)))))</x:f>
        <x:v>Choose position</x:v>
      </x:c>
      <x:c r="K1536" s="82" t="str">
        <x:f>IF(AND(ISNUMBER(J1536),ISNUMBER(D1536)),J1536-D1536,"")</x:f>
      </x:c>
      <x:c r="L1536" s="69" t="str">
        <x:f>IF(COUNT(E1536:I1536)&lt;5,"Needs component scores",IF(ISNUMBER(J1536),"Calculated",J1536))</x:f>
        <x:v>Needs component scores</x:v>
      </x:c>
      <x:c r="M1536" s="69" t="str">
        <x:f>IF(C1536="","",MATCH(C1536,'Position_Rubric'!$A$6:$A$14,0))</x:f>
      </x:c>
      <x:c r="N1536" s="69" t="str"/>
    </x:row>
    <x:row r="1537" ht="25" customHeight="1">
      <x:c r="A1537" s="69" t="str">
        <x:v>summer-S26-1249</x:v>
      </x:c>
      <x:c r="B1537" s="69" t="str">
        <x:v>Souza</x:v>
      </x:c>
      <x:c r="C1537" s="69"/>
      <x:c r="D1537" s="82" t="str">
        <x:f>IF(ISNUMBER('Transfer_Ratings'!K1537),'Transfer_Ratings'!K1537,"")</x:f>
      </x:c>
      <x:c r="E1537" s="86"/>
      <x:c r="F1537" s="86"/>
      <x:c r="G1537" s="86"/>
      <x:c r="H1537" s="86"/>
      <x:c r="I1537" s="86"/>
      <x:c r="J1537" s="82" t="str">
        <x:f>IF(C1537="","Choose position",IF(COUNT(E1537:I1537)&lt;5,"",IF(OR(MIN(E1537:I1537)&lt;0.1,MAX(E1537:I1537)&gt;10),"Invalid score",IF(INDEX('Position_Rubric'!$H$6:$H$14,M1537)&lt;&gt;1,"Check weights",ROUND(E1537*INDEX('Position_Rubric'!$C$6:$C$14,M1537)+F1537*INDEX('Position_Rubric'!$D$6:$D$14,M1537)+G1537*INDEX('Position_Rubric'!$E$6:$E$14,M1537)+H1537*INDEX('Position_Rubric'!$F$6:$F$14,M1537)+I1537*INDEX('Position_Rubric'!$G$6:$G$14,M1537),1)))))</x:f>
        <x:v>Choose position</x:v>
      </x:c>
      <x:c r="K1537" s="82" t="str">
        <x:f>IF(AND(ISNUMBER(J1537),ISNUMBER(D1537)),J1537-D1537,"")</x:f>
      </x:c>
      <x:c r="L1537" s="69" t="str">
        <x:f>IF(COUNT(E1537:I1537)&lt;5,"Needs component scores",IF(ISNUMBER(J1537),"Calculated",J1537))</x:f>
        <x:v>Needs component scores</x:v>
      </x:c>
      <x:c r="M1537" s="69" t="str">
        <x:f>IF(C1537="","",MATCH(C1537,'Position_Rubric'!$A$6:$A$14,0))</x:f>
      </x:c>
      <x:c r="N1537" s="69" t="str"/>
    </x:row>
    <x:row r="1538" ht="25" customHeight="1">
      <x:c r="A1538" s="69" t="str">
        <x:v>summer-S26-1250</x:v>
      </x:c>
      <x:c r="B1538" s="69" t="str">
        <x:v>Nicolas Galazzi</x:v>
      </x:c>
      <x:c r="C1538" s="69"/>
      <x:c r="D1538" s="82" t="str">
        <x:f>IF(ISNUMBER('Transfer_Ratings'!K1538),'Transfer_Ratings'!K1538,"")</x:f>
      </x:c>
      <x:c r="E1538" s="86"/>
      <x:c r="F1538" s="86"/>
      <x:c r="G1538" s="86"/>
      <x:c r="H1538" s="86"/>
      <x:c r="I1538" s="86"/>
      <x:c r="J1538" s="82" t="str">
        <x:f>IF(C1538="","Choose position",IF(COUNT(E1538:I1538)&lt;5,"",IF(OR(MIN(E1538:I1538)&lt;0.1,MAX(E1538:I1538)&gt;10),"Invalid score",IF(INDEX('Position_Rubric'!$H$6:$H$14,M1538)&lt;&gt;1,"Check weights",ROUND(E1538*INDEX('Position_Rubric'!$C$6:$C$14,M1538)+F1538*INDEX('Position_Rubric'!$D$6:$D$14,M1538)+G1538*INDEX('Position_Rubric'!$E$6:$E$14,M1538)+H1538*INDEX('Position_Rubric'!$F$6:$F$14,M1538)+I1538*INDEX('Position_Rubric'!$G$6:$G$14,M1538),1)))))</x:f>
        <x:v>Choose position</x:v>
      </x:c>
      <x:c r="K1538" s="82" t="str">
        <x:f>IF(AND(ISNUMBER(J1538),ISNUMBER(D1538)),J1538-D1538,"")</x:f>
      </x:c>
      <x:c r="L1538" s="69" t="str">
        <x:f>IF(COUNT(E1538:I1538)&lt;5,"Needs component scores",IF(ISNUMBER(J1538),"Calculated",J1538))</x:f>
        <x:v>Needs component scores</x:v>
      </x:c>
      <x:c r="M1538" s="69" t="str">
        <x:f>IF(C1538="","",MATCH(C1538,'Position_Rubric'!$A$6:$A$14,0))</x:f>
      </x:c>
      <x:c r="N1538" s="69" t="str"/>
    </x:row>
    <x:row r="1539" ht="25" customHeight="1">
      <x:c r="A1539" s="69" t="str">
        <x:v>summer-S26-1251</x:v>
      </x:c>
      <x:c r="B1539" s="69" t="str">
        <x:v>John Chetauya</x:v>
      </x:c>
      <x:c r="C1539" s="69"/>
      <x:c r="D1539" s="82" t="str">
        <x:f>IF(ISNUMBER('Transfer_Ratings'!K1539),'Transfer_Ratings'!K1539,"")</x:f>
      </x:c>
      <x:c r="E1539" s="86"/>
      <x:c r="F1539" s="86"/>
      <x:c r="G1539" s="86"/>
      <x:c r="H1539" s="86"/>
      <x:c r="I1539" s="86"/>
      <x:c r="J1539" s="82" t="str">
        <x:f>IF(C1539="","Choose position",IF(COUNT(E1539:I1539)&lt;5,"",IF(OR(MIN(E1539:I1539)&lt;0.1,MAX(E1539:I1539)&gt;10),"Invalid score",IF(INDEX('Position_Rubric'!$H$6:$H$14,M1539)&lt;&gt;1,"Check weights",ROUND(E1539*INDEX('Position_Rubric'!$C$6:$C$14,M1539)+F1539*INDEX('Position_Rubric'!$D$6:$D$14,M1539)+G1539*INDEX('Position_Rubric'!$E$6:$E$14,M1539)+H1539*INDEX('Position_Rubric'!$F$6:$F$14,M1539)+I1539*INDEX('Position_Rubric'!$G$6:$G$14,M1539),1)))))</x:f>
        <x:v>Choose position</x:v>
      </x:c>
      <x:c r="K1539" s="82" t="str">
        <x:f>IF(AND(ISNUMBER(J1539),ISNUMBER(D1539)),J1539-D1539,"")</x:f>
      </x:c>
      <x:c r="L1539" s="69" t="str">
        <x:f>IF(COUNT(E1539:I1539)&lt;5,"Needs component scores",IF(ISNUMBER(J1539),"Calculated",J1539))</x:f>
        <x:v>Needs component scores</x:v>
      </x:c>
      <x:c r="M1539" s="69" t="str">
        <x:f>IF(C1539="","",MATCH(C1539,'Position_Rubric'!$A$6:$A$14,0))</x:f>
      </x:c>
      <x:c r="N1539" s="69" t="str"/>
    </x:row>
    <x:row r="1540" ht="25" customHeight="1">
      <x:c r="A1540" s="69" t="str">
        <x:v>summer-S26-1253</x:v>
      </x:c>
      <x:c r="B1540" s="69" t="str">
        <x:v>Mathis Amougou</x:v>
      </x:c>
      <x:c r="C1540" s="69"/>
      <x:c r="D1540" s="82" t="str">
        <x:f>IF(ISNUMBER('Transfer_Ratings'!K1540),'Transfer_Ratings'!K1540,"")</x:f>
      </x:c>
      <x:c r="E1540" s="86"/>
      <x:c r="F1540" s="86"/>
      <x:c r="G1540" s="86"/>
      <x:c r="H1540" s="86"/>
      <x:c r="I1540" s="86"/>
      <x:c r="J1540" s="82" t="str">
        <x:f>IF(C1540="","Choose position",IF(COUNT(E1540:I1540)&lt;5,"",IF(OR(MIN(E1540:I1540)&lt;0.1,MAX(E1540:I1540)&gt;10),"Invalid score",IF(INDEX('Position_Rubric'!$H$6:$H$14,M1540)&lt;&gt;1,"Check weights",ROUND(E1540*INDEX('Position_Rubric'!$C$6:$C$14,M1540)+F1540*INDEX('Position_Rubric'!$D$6:$D$14,M1540)+G1540*INDEX('Position_Rubric'!$E$6:$E$14,M1540)+H1540*INDEX('Position_Rubric'!$F$6:$F$14,M1540)+I1540*INDEX('Position_Rubric'!$G$6:$G$14,M1540),1)))))</x:f>
        <x:v>Choose position</x:v>
      </x:c>
      <x:c r="K1540" s="82" t="str">
        <x:f>IF(AND(ISNUMBER(J1540),ISNUMBER(D1540)),J1540-D1540,"")</x:f>
      </x:c>
      <x:c r="L1540" s="69" t="str">
        <x:f>IF(COUNT(E1540:I1540)&lt;5,"Needs component scores",IF(ISNUMBER(J1540),"Calculated",J1540))</x:f>
        <x:v>Needs component scores</x:v>
      </x:c>
      <x:c r="M1540" s="69" t="str">
        <x:f>IF(C1540="","",MATCH(C1540,'Position_Rubric'!$A$6:$A$14,0))</x:f>
      </x:c>
      <x:c r="N1540" s="69" t="str"/>
    </x:row>
    <x:row r="1541" ht="25" customHeight="1">
      <x:c r="A1541" s="69" t="str">
        <x:v>summer-S26-1255</x:v>
      </x:c>
      <x:c r="B1541" s="69" t="str">
        <x:v>Fábio Vieira</x:v>
      </x:c>
      <x:c r="C1541" s="69"/>
      <x:c r="D1541" s="82" t="str">
        <x:f>IF(ISNUMBER('Transfer_Ratings'!K1541),'Transfer_Ratings'!K1541,"")</x:f>
      </x:c>
      <x:c r="E1541" s="86"/>
      <x:c r="F1541" s="86"/>
      <x:c r="G1541" s="86"/>
      <x:c r="H1541" s="86"/>
      <x:c r="I1541" s="86"/>
      <x:c r="J1541" s="82" t="str">
        <x:f>IF(C1541="","Choose position",IF(COUNT(E1541:I1541)&lt;5,"",IF(OR(MIN(E1541:I1541)&lt;0.1,MAX(E1541:I1541)&gt;10),"Invalid score",IF(INDEX('Position_Rubric'!$H$6:$H$14,M1541)&lt;&gt;1,"Check weights",ROUND(E1541*INDEX('Position_Rubric'!$C$6:$C$14,M1541)+F1541*INDEX('Position_Rubric'!$D$6:$D$14,M1541)+G1541*INDEX('Position_Rubric'!$E$6:$E$14,M1541)+H1541*INDEX('Position_Rubric'!$F$6:$F$14,M1541)+I1541*INDEX('Position_Rubric'!$G$6:$G$14,M1541),1)))))</x:f>
        <x:v>Choose position</x:v>
      </x:c>
      <x:c r="K1541" s="82" t="str">
        <x:f>IF(AND(ISNUMBER(J1541),ISNUMBER(D1541)),J1541-D1541,"")</x:f>
      </x:c>
      <x:c r="L1541" s="69" t="str">
        <x:f>IF(COUNT(E1541:I1541)&lt;5,"Needs component scores",IF(ISNUMBER(J1541),"Calculated",J1541))</x:f>
        <x:v>Needs component scores</x:v>
      </x:c>
      <x:c r="M1541" s="69" t="str">
        <x:f>IF(C1541="","",MATCH(C1541,'Position_Rubric'!$A$6:$A$14,0))</x:f>
      </x:c>
      <x:c r="N1541" s="69" t="str"/>
    </x:row>
    <x:row r="1542" ht="25" customHeight="1">
      <x:c r="A1542" s="69" t="str">
        <x:v>summer-S26-1256</x:v>
      </x:c>
      <x:c r="B1542" s="69" t="str">
        <x:v>Kota Takai</x:v>
      </x:c>
      <x:c r="C1542" s="69"/>
      <x:c r="D1542" s="82" t="str">
        <x:f>IF(ISNUMBER('Transfer_Ratings'!K1542),'Transfer_Ratings'!K1542,"")</x:f>
      </x:c>
      <x:c r="E1542" s="86"/>
      <x:c r="F1542" s="86"/>
      <x:c r="G1542" s="86"/>
      <x:c r="H1542" s="86"/>
      <x:c r="I1542" s="86"/>
      <x:c r="J1542" s="82" t="str">
        <x:f>IF(C1542="","Choose position",IF(COUNT(E1542:I1542)&lt;5,"",IF(OR(MIN(E1542:I1542)&lt;0.1,MAX(E1542:I1542)&gt;10),"Invalid score",IF(INDEX('Position_Rubric'!$H$6:$H$14,M1542)&lt;&gt;1,"Check weights",ROUND(E1542*INDEX('Position_Rubric'!$C$6:$C$14,M1542)+F1542*INDEX('Position_Rubric'!$D$6:$D$14,M1542)+G1542*INDEX('Position_Rubric'!$E$6:$E$14,M1542)+H1542*INDEX('Position_Rubric'!$F$6:$F$14,M1542)+I1542*INDEX('Position_Rubric'!$G$6:$G$14,M1542),1)))))</x:f>
        <x:v>Choose position</x:v>
      </x:c>
      <x:c r="K1542" s="82" t="str">
        <x:f>IF(AND(ISNUMBER(J1542),ISNUMBER(D1542)),J1542-D1542,"")</x:f>
      </x:c>
      <x:c r="L1542" s="69" t="str">
        <x:f>IF(COUNT(E1542:I1542)&lt;5,"Needs component scores",IF(ISNUMBER(J1542),"Calculated",J1542))</x:f>
        <x:v>Needs component scores</x:v>
      </x:c>
      <x:c r="M1542" s="69" t="str">
        <x:f>IF(C1542="","",MATCH(C1542,'Position_Rubric'!$A$6:$A$14,0))</x:f>
      </x:c>
      <x:c r="N1542" s="69" t="str"/>
    </x:row>
    <x:row r="1543" ht="25" customHeight="1">
      <x:c r="A1543" s="69" t="str">
        <x:v>summer-S26-1257</x:v>
      </x:c>
      <x:c r="B1543" s="69" t="str">
        <x:v>Kastriot Imeri</x:v>
      </x:c>
      <x:c r="C1543" s="69"/>
      <x:c r="D1543" s="82" t="str">
        <x:f>IF(ISNUMBER('Transfer_Ratings'!K1543),'Transfer_Ratings'!K1543,"")</x:f>
      </x:c>
      <x:c r="E1543" s="86"/>
      <x:c r="F1543" s="86"/>
      <x:c r="G1543" s="86"/>
      <x:c r="H1543" s="86"/>
      <x:c r="I1543" s="86"/>
      <x:c r="J1543" s="82" t="str">
        <x:f>IF(C1543="","Choose position",IF(COUNT(E1543:I1543)&lt;5,"",IF(OR(MIN(E1543:I1543)&lt;0.1,MAX(E1543:I1543)&gt;10),"Invalid score",IF(INDEX('Position_Rubric'!$H$6:$H$14,M1543)&lt;&gt;1,"Check weights",ROUND(E1543*INDEX('Position_Rubric'!$C$6:$C$14,M1543)+F1543*INDEX('Position_Rubric'!$D$6:$D$14,M1543)+G1543*INDEX('Position_Rubric'!$E$6:$E$14,M1543)+H1543*INDEX('Position_Rubric'!$F$6:$F$14,M1543)+I1543*INDEX('Position_Rubric'!$G$6:$G$14,M1543),1)))))</x:f>
        <x:v>Choose position</x:v>
      </x:c>
      <x:c r="K1543" s="82" t="str">
        <x:f>IF(AND(ISNUMBER(J1543),ISNUMBER(D1543)),J1543-D1543,"")</x:f>
      </x:c>
      <x:c r="L1543" s="69" t="str">
        <x:f>IF(COUNT(E1543:I1543)&lt;5,"Needs component scores",IF(ISNUMBER(J1543),"Calculated",J1543))</x:f>
        <x:v>Needs component scores</x:v>
      </x:c>
      <x:c r="M1543" s="69" t="str">
        <x:f>IF(C1543="","",MATCH(C1543,'Position_Rubric'!$A$6:$A$14,0))</x:f>
      </x:c>
      <x:c r="N1543" s="69" t="str"/>
    </x:row>
    <x:row r="1544" ht="25" customHeight="1">
      <x:c r="A1544" s="69" t="str">
        <x:v>summer-S26-1258</x:v>
      </x:c>
      <x:c r="B1544" s="69" t="str">
        <x:v>Taylor Harwood-Bellis</x:v>
      </x:c>
      <x:c r="C1544" s="69"/>
      <x:c r="D1544" s="82" t="str">
        <x:f>IF(ISNUMBER('Transfer_Ratings'!K1544),'Transfer_Ratings'!K1544,"")</x:f>
      </x:c>
      <x:c r="E1544" s="86"/>
      <x:c r="F1544" s="86"/>
      <x:c r="G1544" s="86"/>
      <x:c r="H1544" s="86"/>
      <x:c r="I1544" s="86"/>
      <x:c r="J1544" s="82" t="str">
        <x:f>IF(C1544="","Choose position",IF(COUNT(E1544:I1544)&lt;5,"",IF(OR(MIN(E1544:I1544)&lt;0.1,MAX(E1544:I1544)&gt;10),"Invalid score",IF(INDEX('Position_Rubric'!$H$6:$H$14,M1544)&lt;&gt;1,"Check weights",ROUND(E1544*INDEX('Position_Rubric'!$C$6:$C$14,M1544)+F1544*INDEX('Position_Rubric'!$D$6:$D$14,M1544)+G1544*INDEX('Position_Rubric'!$E$6:$E$14,M1544)+H1544*INDEX('Position_Rubric'!$F$6:$F$14,M1544)+I1544*INDEX('Position_Rubric'!$G$6:$G$14,M1544),1)))))</x:f>
        <x:v>Choose position</x:v>
      </x:c>
      <x:c r="K1544" s="82" t="str">
        <x:f>IF(AND(ISNUMBER(J1544),ISNUMBER(D1544)),J1544-D1544,"")</x:f>
      </x:c>
      <x:c r="L1544" s="69" t="str">
        <x:f>IF(COUNT(E1544:I1544)&lt;5,"Needs component scores",IF(ISNUMBER(J1544),"Calculated",J1544))</x:f>
        <x:v>Needs component scores</x:v>
      </x:c>
      <x:c r="M1544" s="69" t="str">
        <x:f>IF(C1544="","",MATCH(C1544,'Position_Rubric'!$A$6:$A$14,0))</x:f>
      </x:c>
      <x:c r="N1544" s="69" t="str"/>
    </x:row>
    <x:row r="1545" ht="25" customHeight="1">
      <x:c r="A1545" s="69" t="str">
        <x:v>summer-S26-1260</x:v>
      </x:c>
      <x:c r="B1545" s="69" t="str">
        <x:v>Maurits Kjaergaard</x:v>
      </x:c>
      <x:c r="C1545" s="69"/>
      <x:c r="D1545" s="82" t="str">
        <x:f>IF(ISNUMBER('Transfer_Ratings'!K1545),'Transfer_Ratings'!K1545,"")</x:f>
      </x:c>
      <x:c r="E1545" s="86"/>
      <x:c r="F1545" s="86"/>
      <x:c r="G1545" s="86"/>
      <x:c r="H1545" s="86"/>
      <x:c r="I1545" s="86"/>
      <x:c r="J1545" s="82" t="str">
        <x:f>IF(C1545="","Choose position",IF(COUNT(E1545:I1545)&lt;5,"",IF(OR(MIN(E1545:I1545)&lt;0.1,MAX(E1545:I1545)&gt;10),"Invalid score",IF(INDEX('Position_Rubric'!$H$6:$H$14,M1545)&lt;&gt;1,"Check weights",ROUND(E1545*INDEX('Position_Rubric'!$C$6:$C$14,M1545)+F1545*INDEX('Position_Rubric'!$D$6:$D$14,M1545)+G1545*INDEX('Position_Rubric'!$E$6:$E$14,M1545)+H1545*INDEX('Position_Rubric'!$F$6:$F$14,M1545)+I1545*INDEX('Position_Rubric'!$G$6:$G$14,M1545),1)))))</x:f>
        <x:v>Choose position</x:v>
      </x:c>
      <x:c r="K1545" s="82" t="str">
        <x:f>IF(AND(ISNUMBER(J1545),ISNUMBER(D1545)),J1545-D1545,"")</x:f>
      </x:c>
      <x:c r="L1545" s="69" t="str">
        <x:f>IF(COUNT(E1545:I1545)&lt;5,"Needs component scores",IF(ISNUMBER(J1545),"Calculated",J1545))</x:f>
        <x:v>Needs component scores</x:v>
      </x:c>
      <x:c r="M1545" s="69" t="str">
        <x:f>IF(C1545="","",MATCH(C1545,'Position_Rubric'!$A$6:$A$14,0))</x:f>
      </x:c>
      <x:c r="N1545" s="69" t="str"/>
    </x:row>
    <x:row r="1546" ht="25" customHeight="1">
      <x:c r="A1546" s="69" t="str">
        <x:v>summer-S26-1264</x:v>
      </x:c>
      <x:c r="B1546" s="69" t="str">
        <x:v>Dylan Leonard</x:v>
      </x:c>
      <x:c r="C1546" s="69"/>
      <x:c r="D1546" s="82" t="str">
        <x:f>IF(ISNUMBER('Transfer_Ratings'!K1546),'Transfer_Ratings'!K1546,"")</x:f>
      </x:c>
      <x:c r="E1546" s="86"/>
      <x:c r="F1546" s="86"/>
      <x:c r="G1546" s="86"/>
      <x:c r="H1546" s="86"/>
      <x:c r="I1546" s="86"/>
      <x:c r="J1546" s="82" t="str">
        <x:f>IF(C1546="","Choose position",IF(COUNT(E1546:I1546)&lt;5,"",IF(OR(MIN(E1546:I1546)&lt;0.1,MAX(E1546:I1546)&gt;10),"Invalid score",IF(INDEX('Position_Rubric'!$H$6:$H$14,M1546)&lt;&gt;1,"Check weights",ROUND(E1546*INDEX('Position_Rubric'!$C$6:$C$14,M1546)+F1546*INDEX('Position_Rubric'!$D$6:$D$14,M1546)+G1546*INDEX('Position_Rubric'!$E$6:$E$14,M1546)+H1546*INDEX('Position_Rubric'!$F$6:$F$14,M1546)+I1546*INDEX('Position_Rubric'!$G$6:$G$14,M1546),1)))))</x:f>
        <x:v>Choose position</x:v>
      </x:c>
      <x:c r="K1546" s="82" t="str">
        <x:f>IF(AND(ISNUMBER(J1546),ISNUMBER(D1546)),J1546-D1546,"")</x:f>
      </x:c>
      <x:c r="L1546" s="69" t="str">
        <x:f>IF(COUNT(E1546:I1546)&lt;5,"Needs component scores",IF(ISNUMBER(J1546),"Calculated",J1546))</x:f>
        <x:v>Needs component scores</x:v>
      </x:c>
      <x:c r="M1546" s="69" t="str">
        <x:f>IF(C1546="","",MATCH(C1546,'Position_Rubric'!$A$6:$A$14,0))</x:f>
      </x:c>
      <x:c r="N1546" s="69" t="str"/>
    </x:row>
    <x:row r="1547" ht="25" customHeight="1">
      <x:c r="A1547" s="69" t="str">
        <x:v>summer-S26-1265</x:v>
      </x:c>
      <x:c r="B1547" s="69" t="str">
        <x:v>Mahamadou Diawara</x:v>
      </x:c>
      <x:c r="C1547" s="69"/>
      <x:c r="D1547" s="82" t="str">
        <x:f>IF(ISNUMBER('Transfer_Ratings'!K1547),'Transfer_Ratings'!K1547,"")</x:f>
      </x:c>
      <x:c r="E1547" s="86"/>
      <x:c r="F1547" s="86"/>
      <x:c r="G1547" s="86"/>
      <x:c r="H1547" s="86"/>
      <x:c r="I1547" s="86"/>
      <x:c r="J1547" s="82" t="str">
        <x:f>IF(C1547="","Choose position",IF(COUNT(E1547:I1547)&lt;5,"",IF(OR(MIN(E1547:I1547)&lt;0.1,MAX(E1547:I1547)&gt;10),"Invalid score",IF(INDEX('Position_Rubric'!$H$6:$H$14,M1547)&lt;&gt;1,"Check weights",ROUND(E1547*INDEX('Position_Rubric'!$C$6:$C$14,M1547)+F1547*INDEX('Position_Rubric'!$D$6:$D$14,M1547)+G1547*INDEX('Position_Rubric'!$E$6:$E$14,M1547)+H1547*INDEX('Position_Rubric'!$F$6:$F$14,M1547)+I1547*INDEX('Position_Rubric'!$G$6:$G$14,M1547),1)))))</x:f>
        <x:v>Choose position</x:v>
      </x:c>
      <x:c r="K1547" s="82" t="str">
        <x:f>IF(AND(ISNUMBER(J1547),ISNUMBER(D1547)),J1547-D1547,"")</x:f>
      </x:c>
      <x:c r="L1547" s="69" t="str">
        <x:f>IF(COUNT(E1547:I1547)&lt;5,"Needs component scores",IF(ISNUMBER(J1547),"Calculated",J1547))</x:f>
        <x:v>Needs component scores</x:v>
      </x:c>
      <x:c r="M1547" s="69" t="str">
        <x:f>IF(C1547="","",MATCH(C1547,'Position_Rubric'!$A$6:$A$14,0))</x:f>
      </x:c>
      <x:c r="N1547" s="69" t="str"/>
    </x:row>
    <x:row r="1548" ht="25" customHeight="1">
      <x:c r="A1548" s="69" t="str">
        <x:v>summer-S26-1266</x:v>
      </x:c>
      <x:c r="B1548" s="69" t="str">
        <x:v>Honest Ahanor</x:v>
      </x:c>
      <x:c r="C1548" s="69"/>
      <x:c r="D1548" s="82" t="str">
        <x:f>IF(ISNUMBER('Transfer_Ratings'!K1548),'Transfer_Ratings'!K1548,"")</x:f>
      </x:c>
      <x:c r="E1548" s="86"/>
      <x:c r="F1548" s="86"/>
      <x:c r="G1548" s="86"/>
      <x:c r="H1548" s="86"/>
      <x:c r="I1548" s="86"/>
      <x:c r="J1548" s="82" t="str">
        <x:f>IF(C1548="","Choose position",IF(COUNT(E1548:I1548)&lt;5,"",IF(OR(MIN(E1548:I1548)&lt;0.1,MAX(E1548:I1548)&gt;10),"Invalid score",IF(INDEX('Position_Rubric'!$H$6:$H$14,M1548)&lt;&gt;1,"Check weights",ROUND(E1548*INDEX('Position_Rubric'!$C$6:$C$14,M1548)+F1548*INDEX('Position_Rubric'!$D$6:$D$14,M1548)+G1548*INDEX('Position_Rubric'!$E$6:$E$14,M1548)+H1548*INDEX('Position_Rubric'!$F$6:$F$14,M1548)+I1548*INDEX('Position_Rubric'!$G$6:$G$14,M1548),1)))))</x:f>
        <x:v>Choose position</x:v>
      </x:c>
      <x:c r="K1548" s="82" t="str">
        <x:f>IF(AND(ISNUMBER(J1548),ISNUMBER(D1548)),J1548-D1548,"")</x:f>
      </x:c>
      <x:c r="L1548" s="69" t="str">
        <x:f>IF(COUNT(E1548:I1548)&lt;5,"Needs component scores",IF(ISNUMBER(J1548),"Calculated",J1548))</x:f>
        <x:v>Needs component scores</x:v>
      </x:c>
      <x:c r="M1548" s="69" t="str">
        <x:f>IF(C1548="","",MATCH(C1548,'Position_Rubric'!$A$6:$A$14,0))</x:f>
      </x:c>
      <x:c r="N1548" s="69" t="str"/>
    </x:row>
    <x:row r="1549" ht="25" customHeight="1">
      <x:c r="A1549" s="69" t="str">
        <x:v>summer-S26-1268</x:v>
      </x:c>
      <x:c r="B1549" s="69" t="str">
        <x:v>Cameron Humphreys</x:v>
      </x:c>
      <x:c r="C1549" s="69"/>
      <x:c r="D1549" s="82" t="str">
        <x:f>IF(ISNUMBER('Transfer_Ratings'!K1549),'Transfer_Ratings'!K1549,"")</x:f>
      </x:c>
      <x:c r="E1549" s="86"/>
      <x:c r="F1549" s="86"/>
      <x:c r="G1549" s="86"/>
      <x:c r="H1549" s="86"/>
      <x:c r="I1549" s="86"/>
      <x:c r="J1549" s="82" t="str">
        <x:f>IF(C1549="","Choose position",IF(COUNT(E1549:I1549)&lt;5,"",IF(OR(MIN(E1549:I1549)&lt;0.1,MAX(E1549:I1549)&gt;10),"Invalid score",IF(INDEX('Position_Rubric'!$H$6:$H$14,M1549)&lt;&gt;1,"Check weights",ROUND(E1549*INDEX('Position_Rubric'!$C$6:$C$14,M1549)+F1549*INDEX('Position_Rubric'!$D$6:$D$14,M1549)+G1549*INDEX('Position_Rubric'!$E$6:$E$14,M1549)+H1549*INDEX('Position_Rubric'!$F$6:$F$14,M1549)+I1549*INDEX('Position_Rubric'!$G$6:$G$14,M1549),1)))))</x:f>
        <x:v>Choose position</x:v>
      </x:c>
      <x:c r="K1549" s="82" t="str">
        <x:f>IF(AND(ISNUMBER(J1549),ISNUMBER(D1549)),J1549-D1549,"")</x:f>
      </x:c>
      <x:c r="L1549" s="69" t="str">
        <x:f>IF(COUNT(E1549:I1549)&lt;5,"Needs component scores",IF(ISNUMBER(J1549),"Calculated",J1549))</x:f>
        <x:v>Needs component scores</x:v>
      </x:c>
      <x:c r="M1549" s="69" t="str">
        <x:f>IF(C1549="","",MATCH(C1549,'Position_Rubric'!$A$6:$A$14,0))</x:f>
      </x:c>
      <x:c r="N1549" s="69" t="str"/>
    </x:row>
    <x:row r="1550" ht="25" customHeight="1">
      <x:c r="A1550" s="69" t="str">
        <x:v>summer-S26-1269</x:v>
      </x:c>
      <x:c r="B1550" s="69" t="str">
        <x:v>Botond Balogh</x:v>
      </x:c>
      <x:c r="C1550" s="69"/>
      <x:c r="D1550" s="82" t="str">
        <x:f>IF(ISNUMBER('Transfer_Ratings'!K1550),'Transfer_Ratings'!K1550,"")</x:f>
      </x:c>
      <x:c r="E1550" s="86"/>
      <x:c r="F1550" s="86"/>
      <x:c r="G1550" s="86"/>
      <x:c r="H1550" s="86"/>
      <x:c r="I1550" s="86"/>
      <x:c r="J1550" s="82" t="str">
        <x:f>IF(C1550="","Choose position",IF(COUNT(E1550:I1550)&lt;5,"",IF(OR(MIN(E1550:I1550)&lt;0.1,MAX(E1550:I1550)&gt;10),"Invalid score",IF(INDEX('Position_Rubric'!$H$6:$H$14,M1550)&lt;&gt;1,"Check weights",ROUND(E1550*INDEX('Position_Rubric'!$C$6:$C$14,M1550)+F1550*INDEX('Position_Rubric'!$D$6:$D$14,M1550)+G1550*INDEX('Position_Rubric'!$E$6:$E$14,M1550)+H1550*INDEX('Position_Rubric'!$F$6:$F$14,M1550)+I1550*INDEX('Position_Rubric'!$G$6:$G$14,M1550),1)))))</x:f>
        <x:v>Choose position</x:v>
      </x:c>
      <x:c r="K1550" s="82" t="str">
        <x:f>IF(AND(ISNUMBER(J1550),ISNUMBER(D1550)),J1550-D1550,"")</x:f>
      </x:c>
      <x:c r="L1550" s="69" t="str">
        <x:f>IF(COUNT(E1550:I1550)&lt;5,"Needs component scores",IF(ISNUMBER(J1550),"Calculated",J1550))</x:f>
        <x:v>Needs component scores</x:v>
      </x:c>
      <x:c r="M1550" s="69" t="str">
        <x:f>IF(C1550="","",MATCH(C1550,'Position_Rubric'!$A$6:$A$14,0))</x:f>
      </x:c>
      <x:c r="N1550" s="69" t="str"/>
    </x:row>
    <x:row r="1551" ht="25" customHeight="1">
      <x:c r="A1551" s="69" t="str">
        <x:v>summer-S26-1272</x:v>
      </x:c>
      <x:c r="B1551" s="69" t="str">
        <x:v>Moussa N'Diaye</x:v>
      </x:c>
      <x:c r="C1551" s="69"/>
      <x:c r="D1551" s="82" t="str">
        <x:f>IF(ISNUMBER('Transfer_Ratings'!K1551),'Transfer_Ratings'!K1551,"")</x:f>
      </x:c>
      <x:c r="E1551" s="86"/>
      <x:c r="F1551" s="86"/>
      <x:c r="G1551" s="86"/>
      <x:c r="H1551" s="86"/>
      <x:c r="I1551" s="86"/>
      <x:c r="J1551" s="82" t="str">
        <x:f>IF(C1551="","Choose position",IF(COUNT(E1551:I1551)&lt;5,"",IF(OR(MIN(E1551:I1551)&lt;0.1,MAX(E1551:I1551)&gt;10),"Invalid score",IF(INDEX('Position_Rubric'!$H$6:$H$14,M1551)&lt;&gt;1,"Check weights",ROUND(E1551*INDEX('Position_Rubric'!$C$6:$C$14,M1551)+F1551*INDEX('Position_Rubric'!$D$6:$D$14,M1551)+G1551*INDEX('Position_Rubric'!$E$6:$E$14,M1551)+H1551*INDEX('Position_Rubric'!$F$6:$F$14,M1551)+I1551*INDEX('Position_Rubric'!$G$6:$G$14,M1551),1)))))</x:f>
        <x:v>Choose position</x:v>
      </x:c>
      <x:c r="K1551" s="82" t="str">
        <x:f>IF(AND(ISNUMBER(J1551),ISNUMBER(D1551)),J1551-D1551,"")</x:f>
      </x:c>
      <x:c r="L1551" s="69" t="str">
        <x:f>IF(COUNT(E1551:I1551)&lt;5,"Needs component scores",IF(ISNUMBER(J1551),"Calculated",J1551))</x:f>
        <x:v>Needs component scores</x:v>
      </x:c>
      <x:c r="M1551" s="69" t="str">
        <x:f>IF(C1551="","",MATCH(C1551,'Position_Rubric'!$A$6:$A$14,0))</x:f>
      </x:c>
      <x:c r="N1551" s="69" t="str"/>
    </x:row>
    <x:row r="1552" ht="25" customHeight="1">
      <x:c r="A1552" s="69" t="str">
        <x:v>summer-S26-1273</x:v>
      </x:c>
      <x:c r="B1552" s="69" t="str">
        <x:v>Juan Berrocal</x:v>
      </x:c>
      <x:c r="C1552" s="69"/>
      <x:c r="D1552" s="82" t="str">
        <x:f>IF(ISNUMBER('Transfer_Ratings'!K1552),'Transfer_Ratings'!K1552,"")</x:f>
      </x:c>
      <x:c r="E1552" s="86"/>
      <x:c r="F1552" s="86"/>
      <x:c r="G1552" s="86"/>
      <x:c r="H1552" s="86"/>
      <x:c r="I1552" s="86"/>
      <x:c r="J1552" s="82" t="str">
        <x:f>IF(C1552="","Choose position",IF(COUNT(E1552:I1552)&lt;5,"",IF(OR(MIN(E1552:I1552)&lt;0.1,MAX(E1552:I1552)&gt;10),"Invalid score",IF(INDEX('Position_Rubric'!$H$6:$H$14,M1552)&lt;&gt;1,"Check weights",ROUND(E1552*INDEX('Position_Rubric'!$C$6:$C$14,M1552)+F1552*INDEX('Position_Rubric'!$D$6:$D$14,M1552)+G1552*INDEX('Position_Rubric'!$E$6:$E$14,M1552)+H1552*INDEX('Position_Rubric'!$F$6:$F$14,M1552)+I1552*INDEX('Position_Rubric'!$G$6:$G$14,M1552),1)))))</x:f>
        <x:v>Choose position</x:v>
      </x:c>
      <x:c r="K1552" s="82" t="str">
        <x:f>IF(AND(ISNUMBER(J1552),ISNUMBER(D1552)),J1552-D1552,"")</x:f>
      </x:c>
      <x:c r="L1552" s="69" t="str">
        <x:f>IF(COUNT(E1552:I1552)&lt;5,"Needs component scores",IF(ISNUMBER(J1552),"Calculated",J1552))</x:f>
        <x:v>Needs component scores</x:v>
      </x:c>
      <x:c r="M1552" s="69" t="str">
        <x:f>IF(C1552="","",MATCH(C1552,'Position_Rubric'!$A$6:$A$14,0))</x:f>
      </x:c>
      <x:c r="N1552" s="69" t="str"/>
    </x:row>
    <x:row r="1553" ht="25" customHeight="1">
      <x:c r="A1553" s="69" t="str">
        <x:v>summer-S26-1275</x:v>
      </x:c>
      <x:c r="B1553" s="69" t="str">
        <x:v>Edoardo Iannoni</x:v>
      </x:c>
      <x:c r="C1553" s="69"/>
      <x:c r="D1553" s="82" t="str">
        <x:f>IF(ISNUMBER('Transfer_Ratings'!K1553),'Transfer_Ratings'!K1553,"")</x:f>
      </x:c>
      <x:c r="E1553" s="86"/>
      <x:c r="F1553" s="86"/>
      <x:c r="G1553" s="86"/>
      <x:c r="H1553" s="86"/>
      <x:c r="I1553" s="86"/>
      <x:c r="J1553" s="82" t="str">
        <x:f>IF(C1553="","Choose position",IF(COUNT(E1553:I1553)&lt;5,"",IF(OR(MIN(E1553:I1553)&lt;0.1,MAX(E1553:I1553)&gt;10),"Invalid score",IF(INDEX('Position_Rubric'!$H$6:$H$14,M1553)&lt;&gt;1,"Check weights",ROUND(E1553*INDEX('Position_Rubric'!$C$6:$C$14,M1553)+F1553*INDEX('Position_Rubric'!$D$6:$D$14,M1553)+G1553*INDEX('Position_Rubric'!$E$6:$E$14,M1553)+H1553*INDEX('Position_Rubric'!$F$6:$F$14,M1553)+I1553*INDEX('Position_Rubric'!$G$6:$G$14,M1553),1)))))</x:f>
        <x:v>Choose position</x:v>
      </x:c>
      <x:c r="K1553" s="82" t="str">
        <x:f>IF(AND(ISNUMBER(J1553),ISNUMBER(D1553)),J1553-D1553,"")</x:f>
      </x:c>
      <x:c r="L1553" s="69" t="str">
        <x:f>IF(COUNT(E1553:I1553)&lt;5,"Needs component scores",IF(ISNUMBER(J1553),"Calculated",J1553))</x:f>
        <x:v>Needs component scores</x:v>
      </x:c>
      <x:c r="M1553" s="69" t="str">
        <x:f>IF(C1553="","",MATCH(C1553,'Position_Rubric'!$A$6:$A$14,0))</x:f>
      </x:c>
      <x:c r="N1553" s="69" t="str"/>
    </x:row>
    <x:row r="1554" ht="25" customHeight="1">
      <x:c r="A1554" s="69" t="str">
        <x:v>summer-S26-1276</x:v>
      </x:c>
      <x:c r="B1554" s="69" t="str">
        <x:v>Branimir Mlacic</x:v>
      </x:c>
      <x:c r="C1554" s="69"/>
      <x:c r="D1554" s="82" t="str">
        <x:f>IF(ISNUMBER('Transfer_Ratings'!K1554),'Transfer_Ratings'!K1554,"")</x:f>
      </x:c>
      <x:c r="E1554" s="86"/>
      <x:c r="F1554" s="86"/>
      <x:c r="G1554" s="86"/>
      <x:c r="H1554" s="86"/>
      <x:c r="I1554" s="86"/>
      <x:c r="J1554" s="82" t="str">
        <x:f>IF(C1554="","Choose position",IF(COUNT(E1554:I1554)&lt;5,"",IF(OR(MIN(E1554:I1554)&lt;0.1,MAX(E1554:I1554)&gt;10),"Invalid score",IF(INDEX('Position_Rubric'!$H$6:$H$14,M1554)&lt;&gt;1,"Check weights",ROUND(E1554*INDEX('Position_Rubric'!$C$6:$C$14,M1554)+F1554*INDEX('Position_Rubric'!$D$6:$D$14,M1554)+G1554*INDEX('Position_Rubric'!$E$6:$E$14,M1554)+H1554*INDEX('Position_Rubric'!$F$6:$F$14,M1554)+I1554*INDEX('Position_Rubric'!$G$6:$G$14,M1554),1)))))</x:f>
        <x:v>Choose position</x:v>
      </x:c>
      <x:c r="K1554" s="82" t="str">
        <x:f>IF(AND(ISNUMBER(J1554),ISNUMBER(D1554)),J1554-D1554,"")</x:f>
      </x:c>
      <x:c r="L1554" s="69" t="str">
        <x:f>IF(COUNT(E1554:I1554)&lt;5,"Needs component scores",IF(ISNUMBER(J1554),"Calculated",J1554))</x:f>
        <x:v>Needs component scores</x:v>
      </x:c>
      <x:c r="M1554" s="69" t="str">
        <x:f>IF(C1554="","",MATCH(C1554,'Position_Rubric'!$A$6:$A$14,0))</x:f>
      </x:c>
      <x:c r="N1554" s="69" t="str"/>
    </x:row>
    <x:row r="1555" ht="25" customHeight="1">
      <x:c r="A1555" s="69" t="str">
        <x:v>summer-S26-1277</x:v>
      </x:c>
      <x:c r="B1555" s="69" t="str">
        <x:v>Filippo Delli Carri</x:v>
      </x:c>
      <x:c r="C1555" s="69"/>
      <x:c r="D1555" s="82" t="str">
        <x:f>IF(ISNUMBER('Transfer_Ratings'!K1555),'Transfer_Ratings'!K1555,"")</x:f>
      </x:c>
      <x:c r="E1555" s="86"/>
      <x:c r="F1555" s="86"/>
      <x:c r="G1555" s="86"/>
      <x:c r="H1555" s="86"/>
      <x:c r="I1555" s="86"/>
      <x:c r="J1555" s="82" t="str">
        <x:f>IF(C1555="","Choose position",IF(COUNT(E1555:I1555)&lt;5,"",IF(OR(MIN(E1555:I1555)&lt;0.1,MAX(E1555:I1555)&gt;10),"Invalid score",IF(INDEX('Position_Rubric'!$H$6:$H$14,M1555)&lt;&gt;1,"Check weights",ROUND(E1555*INDEX('Position_Rubric'!$C$6:$C$14,M1555)+F1555*INDEX('Position_Rubric'!$D$6:$D$14,M1555)+G1555*INDEX('Position_Rubric'!$E$6:$E$14,M1555)+H1555*INDEX('Position_Rubric'!$F$6:$F$14,M1555)+I1555*INDEX('Position_Rubric'!$G$6:$G$14,M1555),1)))))</x:f>
        <x:v>Choose position</x:v>
      </x:c>
      <x:c r="K1555" s="82" t="str">
        <x:f>IF(AND(ISNUMBER(J1555),ISNUMBER(D1555)),J1555-D1555,"")</x:f>
      </x:c>
      <x:c r="L1555" s="69" t="str">
        <x:f>IF(COUNT(E1555:I1555)&lt;5,"Needs component scores",IF(ISNUMBER(J1555),"Calculated",J1555))</x:f>
        <x:v>Needs component scores</x:v>
      </x:c>
      <x:c r="M1555" s="69" t="str">
        <x:f>IF(C1555="","",MATCH(C1555,'Position_Rubric'!$A$6:$A$14,0))</x:f>
      </x:c>
      <x:c r="N1555" s="69" t="str"/>
    </x:row>
    <x:row r="1556" ht="25" customHeight="1">
      <x:c r="A1556" s="69" t="str">
        <x:v>summer-S26-1279</x:v>
      </x:c>
      <x:c r="B1556" s="69" t="str">
        <x:v>Joe Whitworth</x:v>
      </x:c>
      <x:c r="C1556" s="69" t="str">
        <x:v>GK</x:v>
      </x:c>
      <x:c r="D1556" s="82" t="str">
        <x:f>IF(ISNUMBER('Transfer_Ratings'!K1556),'Transfer_Ratings'!K1556,"")</x:f>
      </x:c>
      <x:c r="E1556" s="86"/>
      <x:c r="F1556" s="86"/>
      <x:c r="G1556" s="86"/>
      <x:c r="H1556" s="86"/>
      <x:c r="I1556" s="86"/>
      <x:c r="J1556" s="82" t="str">
        <x:f>IF(C1556="","Choose position",IF(COUNT(E1556:I1556)&lt;5,"",IF(OR(MIN(E1556:I1556)&lt;0.1,MAX(E1556:I1556)&gt;10),"Invalid score",IF(INDEX('Position_Rubric'!$H$6:$H$14,M1556)&lt;&gt;1,"Check weights",ROUND(E1556*INDEX('Position_Rubric'!$C$6:$C$14,M1556)+F1556*INDEX('Position_Rubric'!$D$6:$D$14,M1556)+G1556*INDEX('Position_Rubric'!$E$6:$E$14,M1556)+H1556*INDEX('Position_Rubric'!$F$6:$F$14,M1556)+I1556*INDEX('Position_Rubric'!$G$6:$G$14,M1556),1)))))</x:f>
      </x:c>
      <x:c r="K1556" s="82" t="str">
        <x:f>IF(AND(ISNUMBER(J1556),ISNUMBER(D1556)),J1556-D1556,"")</x:f>
      </x:c>
      <x:c r="L1556" s="69" t="str">
        <x:f>IF(COUNT(E1556:I1556)&lt;5,"Needs component scores",IF(ISNUMBER(J1556),"Calculated",J1556))</x:f>
        <x:v>Needs component scores</x:v>
      </x:c>
      <x:c r="M1556" s="69" t="n">
        <x:f>IF(C1556="","",MATCH(C1556,'Position_Rubric'!$A$6:$A$14,0))</x:f>
        <x:v>9</x:v>
      </x:c>
      <x:c r="N1556" s="69" t="str"/>
    </x:row>
    <x:row r="1557" ht="25" customHeight="1">
      <x:c r="A1557" s="69" t="str">
        <x:v>summer-S26-1281</x:v>
      </x:c>
      <x:c r="B1557" s="69" t="str">
        <x:v>Rui Modesto</x:v>
      </x:c>
      <x:c r="C1557" s="69"/>
      <x:c r="D1557" s="82" t="str">
        <x:f>IF(ISNUMBER('Transfer_Ratings'!K1557),'Transfer_Ratings'!K1557,"")</x:f>
      </x:c>
      <x:c r="E1557" s="86"/>
      <x:c r="F1557" s="86"/>
      <x:c r="G1557" s="86"/>
      <x:c r="H1557" s="86"/>
      <x:c r="I1557" s="86"/>
      <x:c r="J1557" s="82" t="str">
        <x:f>IF(C1557="","Choose position",IF(COUNT(E1557:I1557)&lt;5,"",IF(OR(MIN(E1557:I1557)&lt;0.1,MAX(E1557:I1557)&gt;10),"Invalid score",IF(INDEX('Position_Rubric'!$H$6:$H$14,M1557)&lt;&gt;1,"Check weights",ROUND(E1557*INDEX('Position_Rubric'!$C$6:$C$14,M1557)+F1557*INDEX('Position_Rubric'!$D$6:$D$14,M1557)+G1557*INDEX('Position_Rubric'!$E$6:$E$14,M1557)+H1557*INDEX('Position_Rubric'!$F$6:$F$14,M1557)+I1557*INDEX('Position_Rubric'!$G$6:$G$14,M1557),1)))))</x:f>
        <x:v>Choose position</x:v>
      </x:c>
      <x:c r="K1557" s="82" t="str">
        <x:f>IF(AND(ISNUMBER(J1557),ISNUMBER(D1557)),J1557-D1557,"")</x:f>
      </x:c>
      <x:c r="L1557" s="69" t="str">
        <x:f>IF(COUNT(E1557:I1557)&lt;5,"Needs component scores",IF(ISNUMBER(J1557),"Calculated",J1557))</x:f>
        <x:v>Needs component scores</x:v>
      </x:c>
      <x:c r="M1557" s="69" t="str">
        <x:f>IF(C1557="","",MATCH(C1557,'Position_Rubric'!$A$6:$A$14,0))</x:f>
      </x:c>
      <x:c r="N1557" s="69" t="str"/>
    </x:row>
    <x:row r="1558" ht="25" customHeight="1">
      <x:c r="A1558" s="69" t="str">
        <x:v>summer-S26-1285</x:v>
      </x:c>
      <x:c r="B1558" s="69" t="str">
        <x:v>Paolo Vismara</x:v>
      </x:c>
      <x:c r="C1558" s="69" t="str">
        <x:v>GK</x:v>
      </x:c>
      <x:c r="D1558" s="82" t="str">
        <x:f>IF(ISNUMBER('Transfer_Ratings'!K1558),'Transfer_Ratings'!K1558,"")</x:f>
      </x:c>
      <x:c r="E1558" s="86"/>
      <x:c r="F1558" s="86"/>
      <x:c r="G1558" s="86"/>
      <x:c r="H1558" s="86"/>
      <x:c r="I1558" s="86"/>
      <x:c r="J1558" s="82" t="str">
        <x:f>IF(C1558="","Choose position",IF(COUNT(E1558:I1558)&lt;5,"",IF(OR(MIN(E1558:I1558)&lt;0.1,MAX(E1558:I1558)&gt;10),"Invalid score",IF(INDEX('Position_Rubric'!$H$6:$H$14,M1558)&lt;&gt;1,"Check weights",ROUND(E1558*INDEX('Position_Rubric'!$C$6:$C$14,M1558)+F1558*INDEX('Position_Rubric'!$D$6:$D$14,M1558)+G1558*INDEX('Position_Rubric'!$E$6:$E$14,M1558)+H1558*INDEX('Position_Rubric'!$F$6:$F$14,M1558)+I1558*INDEX('Position_Rubric'!$G$6:$G$14,M1558),1)))))</x:f>
      </x:c>
      <x:c r="K1558" s="82" t="str">
        <x:f>IF(AND(ISNUMBER(J1558),ISNUMBER(D1558)),J1558-D1558,"")</x:f>
      </x:c>
      <x:c r="L1558" s="69" t="str">
        <x:f>IF(COUNT(E1558:I1558)&lt;5,"Needs component scores",IF(ISNUMBER(J1558),"Calculated",J1558))</x:f>
        <x:v>Needs component scores</x:v>
      </x:c>
      <x:c r="M1558" s="69" t="n">
        <x:f>IF(C1558="","",MATCH(C1558,'Position_Rubric'!$A$6:$A$14,0))</x:f>
        <x:v>9</x:v>
      </x:c>
      <x:c r="N1558" s="69" t="str"/>
    </x:row>
    <x:row r="1559" ht="25" customHeight="1">
      <x:c r="A1559" s="69" t="str">
        <x:v>summer-S26-1286</x:v>
      </x:c>
      <x:c r="B1559" s="69" t="str">
        <x:v>Mattia Mannini</x:v>
      </x:c>
      <x:c r="C1559" s="69"/>
      <x:c r="D1559" s="82" t="str">
        <x:f>IF(ISNUMBER('Transfer_Ratings'!K1559),'Transfer_Ratings'!K1559,"")</x:f>
      </x:c>
      <x:c r="E1559" s="86"/>
      <x:c r="F1559" s="86"/>
      <x:c r="G1559" s="86"/>
      <x:c r="H1559" s="86"/>
      <x:c r="I1559" s="86"/>
      <x:c r="J1559" s="82" t="str">
        <x:f>IF(C1559="","Choose position",IF(COUNT(E1559:I1559)&lt;5,"",IF(OR(MIN(E1559:I1559)&lt;0.1,MAX(E1559:I1559)&gt;10),"Invalid score",IF(INDEX('Position_Rubric'!$H$6:$H$14,M1559)&lt;&gt;1,"Check weights",ROUND(E1559*INDEX('Position_Rubric'!$C$6:$C$14,M1559)+F1559*INDEX('Position_Rubric'!$D$6:$D$14,M1559)+G1559*INDEX('Position_Rubric'!$E$6:$E$14,M1559)+H1559*INDEX('Position_Rubric'!$F$6:$F$14,M1559)+I1559*INDEX('Position_Rubric'!$G$6:$G$14,M1559),1)))))</x:f>
        <x:v>Choose position</x:v>
      </x:c>
      <x:c r="K1559" s="82" t="str">
        <x:f>IF(AND(ISNUMBER(J1559),ISNUMBER(D1559)),J1559-D1559,"")</x:f>
      </x:c>
      <x:c r="L1559" s="69" t="str">
        <x:f>IF(COUNT(E1559:I1559)&lt;5,"Needs component scores",IF(ISNUMBER(J1559),"Calculated",J1559))</x:f>
        <x:v>Needs component scores</x:v>
      </x:c>
      <x:c r="M1559" s="69" t="str">
        <x:f>IF(C1559="","",MATCH(C1559,'Position_Rubric'!$A$6:$A$14,0))</x:f>
      </x:c>
      <x:c r="N1559" s="69" t="str"/>
    </x:row>
    <x:row r="1560" ht="25" customHeight="1">
      <x:c r="A1560" s="69" t="str">
        <x:v>summer-S26-1287</x:v>
      </x:c>
      <x:c r="B1560" s="69" t="str">
        <x:v>Pape Matar Sarr</x:v>
      </x:c>
      <x:c r="C1560" s="69"/>
      <x:c r="D1560" s="82" t="str">
        <x:f>IF(ISNUMBER('Transfer_Ratings'!K1560),'Transfer_Ratings'!K1560,"")</x:f>
      </x:c>
      <x:c r="E1560" s="86"/>
      <x:c r="F1560" s="86"/>
      <x:c r="G1560" s="86"/>
      <x:c r="H1560" s="86"/>
      <x:c r="I1560" s="86"/>
      <x:c r="J1560" s="82" t="str">
        <x:f>IF(C1560="","Choose position",IF(COUNT(E1560:I1560)&lt;5,"",IF(OR(MIN(E1560:I1560)&lt;0.1,MAX(E1560:I1560)&gt;10),"Invalid score",IF(INDEX('Position_Rubric'!$H$6:$H$14,M1560)&lt;&gt;1,"Check weights",ROUND(E1560*INDEX('Position_Rubric'!$C$6:$C$14,M1560)+F1560*INDEX('Position_Rubric'!$D$6:$D$14,M1560)+G1560*INDEX('Position_Rubric'!$E$6:$E$14,M1560)+H1560*INDEX('Position_Rubric'!$F$6:$F$14,M1560)+I1560*INDEX('Position_Rubric'!$G$6:$G$14,M1560),1)))))</x:f>
        <x:v>Choose position</x:v>
      </x:c>
      <x:c r="K1560" s="82" t="str">
        <x:f>IF(AND(ISNUMBER(J1560),ISNUMBER(D1560)),J1560-D1560,"")</x:f>
      </x:c>
      <x:c r="L1560" s="69" t="str">
        <x:f>IF(COUNT(E1560:I1560)&lt;5,"Needs component scores",IF(ISNUMBER(J1560),"Calculated",J1560))</x:f>
        <x:v>Needs component scores</x:v>
      </x:c>
      <x:c r="M1560" s="69" t="str">
        <x:f>IF(C1560="","",MATCH(C1560,'Position_Rubric'!$A$6:$A$14,0))</x:f>
      </x:c>
      <x:c r="N1560" s="69" t="str"/>
    </x:row>
    <x:row r="1561" ht="25" customHeight="1">
      <x:c r="A1561" s="69" t="str">
        <x:v>summer-S26-1290</x:v>
      </x:c>
      <x:c r="B1561" s="69" t="str">
        <x:v>Jeanuël Belocian</x:v>
      </x:c>
      <x:c r="C1561" s="69"/>
      <x:c r="D1561" s="82" t="str">
        <x:f>IF(ISNUMBER('Transfer_Ratings'!K1561),'Transfer_Ratings'!K1561,"")</x:f>
      </x:c>
      <x:c r="E1561" s="86"/>
      <x:c r="F1561" s="86"/>
      <x:c r="G1561" s="86"/>
      <x:c r="H1561" s="86"/>
      <x:c r="I1561" s="86"/>
      <x:c r="J1561" s="82" t="str">
        <x:f>IF(C1561="","Choose position",IF(COUNT(E1561:I1561)&lt;5,"",IF(OR(MIN(E1561:I1561)&lt;0.1,MAX(E1561:I1561)&gt;10),"Invalid score",IF(INDEX('Position_Rubric'!$H$6:$H$14,M1561)&lt;&gt;1,"Check weights",ROUND(E1561*INDEX('Position_Rubric'!$C$6:$C$14,M1561)+F1561*INDEX('Position_Rubric'!$D$6:$D$14,M1561)+G1561*INDEX('Position_Rubric'!$E$6:$E$14,M1561)+H1561*INDEX('Position_Rubric'!$F$6:$F$14,M1561)+I1561*INDEX('Position_Rubric'!$G$6:$G$14,M1561),1)))))</x:f>
        <x:v>Choose position</x:v>
      </x:c>
      <x:c r="K1561" s="82" t="str">
        <x:f>IF(AND(ISNUMBER(J1561),ISNUMBER(D1561)),J1561-D1561,"")</x:f>
      </x:c>
      <x:c r="L1561" s="69" t="str">
        <x:f>IF(COUNT(E1561:I1561)&lt;5,"Needs component scores",IF(ISNUMBER(J1561),"Calculated",J1561))</x:f>
        <x:v>Needs component scores</x:v>
      </x:c>
      <x:c r="M1561" s="69" t="str">
        <x:f>IF(C1561="","",MATCH(C1561,'Position_Rubric'!$A$6:$A$14,0))</x:f>
      </x:c>
      <x:c r="N1561" s="69" t="str"/>
    </x:row>
    <x:row r="1562" ht="25" customHeight="1">
      <x:c r="A1562" s="69" t="str">
        <x:v>summer-S26-1291</x:v>
      </x:c>
      <x:c r="B1562" s="69" t="str">
        <x:v>Jean-Clair Todibo</x:v>
      </x:c>
      <x:c r="C1562" s="69"/>
      <x:c r="D1562" s="82" t="str">
        <x:f>IF(ISNUMBER('Transfer_Ratings'!K1562),'Transfer_Ratings'!K1562,"")</x:f>
      </x:c>
      <x:c r="E1562" s="86"/>
      <x:c r="F1562" s="86"/>
      <x:c r="G1562" s="86"/>
      <x:c r="H1562" s="86"/>
      <x:c r="I1562" s="86"/>
      <x:c r="J1562" s="82" t="str">
        <x:f>IF(C1562="","Choose position",IF(COUNT(E1562:I1562)&lt;5,"",IF(OR(MIN(E1562:I1562)&lt;0.1,MAX(E1562:I1562)&gt;10),"Invalid score",IF(INDEX('Position_Rubric'!$H$6:$H$14,M1562)&lt;&gt;1,"Check weights",ROUND(E1562*INDEX('Position_Rubric'!$C$6:$C$14,M1562)+F1562*INDEX('Position_Rubric'!$D$6:$D$14,M1562)+G1562*INDEX('Position_Rubric'!$E$6:$E$14,M1562)+H1562*INDEX('Position_Rubric'!$F$6:$F$14,M1562)+I1562*INDEX('Position_Rubric'!$G$6:$G$14,M1562),1)))))</x:f>
        <x:v>Choose position</x:v>
      </x:c>
      <x:c r="K1562" s="82" t="str">
        <x:f>IF(AND(ISNUMBER(J1562),ISNUMBER(D1562)),J1562-D1562,"")</x:f>
      </x:c>
      <x:c r="L1562" s="69" t="str">
        <x:f>IF(COUNT(E1562:I1562)&lt;5,"Needs component scores",IF(ISNUMBER(J1562),"Calculated",J1562))</x:f>
        <x:v>Needs component scores</x:v>
      </x:c>
      <x:c r="M1562" s="69" t="str">
        <x:f>IF(C1562="","",MATCH(C1562,'Position_Rubric'!$A$6:$A$14,0))</x:f>
      </x:c>
      <x:c r="N1562" s="69" t="str"/>
    </x:row>
    <x:row r="1563" ht="25" customHeight="1">
      <x:c r="A1563" s="69" t="str">
        <x:v>summer-S26-1293</x:v>
      </x:c>
      <x:c r="B1563" s="69" t="str">
        <x:v>Harvey Elliott</x:v>
      </x:c>
      <x:c r="C1563" s="69"/>
      <x:c r="D1563" s="82" t="str">
        <x:f>IF(ISNUMBER('Transfer_Ratings'!K1563),'Transfer_Ratings'!K1563,"")</x:f>
      </x:c>
      <x:c r="E1563" s="86"/>
      <x:c r="F1563" s="86"/>
      <x:c r="G1563" s="86"/>
      <x:c r="H1563" s="86"/>
      <x:c r="I1563" s="86"/>
      <x:c r="J1563" s="82" t="str">
        <x:f>IF(C1563="","Choose position",IF(COUNT(E1563:I1563)&lt;5,"",IF(OR(MIN(E1563:I1563)&lt;0.1,MAX(E1563:I1563)&gt;10),"Invalid score",IF(INDEX('Position_Rubric'!$H$6:$H$14,M1563)&lt;&gt;1,"Check weights",ROUND(E1563*INDEX('Position_Rubric'!$C$6:$C$14,M1563)+F1563*INDEX('Position_Rubric'!$D$6:$D$14,M1563)+G1563*INDEX('Position_Rubric'!$E$6:$E$14,M1563)+H1563*INDEX('Position_Rubric'!$F$6:$F$14,M1563)+I1563*INDEX('Position_Rubric'!$G$6:$G$14,M1563),1)))))</x:f>
        <x:v>Choose position</x:v>
      </x:c>
      <x:c r="K1563" s="82" t="str">
        <x:f>IF(AND(ISNUMBER(J1563),ISNUMBER(D1563)),J1563-D1563,"")</x:f>
      </x:c>
      <x:c r="L1563" s="69" t="str">
        <x:f>IF(COUNT(E1563:I1563)&lt;5,"Needs component scores",IF(ISNUMBER(J1563),"Calculated",J1563))</x:f>
        <x:v>Needs component scores</x:v>
      </x:c>
      <x:c r="M1563" s="69" t="str">
        <x:f>IF(C1563="","",MATCH(C1563,'Position_Rubric'!$A$6:$A$14,0))</x:f>
      </x:c>
      <x:c r="N1563" s="69" t="str"/>
    </x:row>
    <x:row r="1564" ht="25" customHeight="1">
      <x:c r="A1564" s="69" t="str">
        <x:v>summer-S26-1294</x:v>
      </x:c>
      <x:c r="B1564" s="69" t="str">
        <x:v>Joyeux Masanka Bungi</x:v>
      </x:c>
      <x:c r="C1564" s="69"/>
      <x:c r="D1564" s="82" t="str">
        <x:f>IF(ISNUMBER('Transfer_Ratings'!K1564),'Transfer_Ratings'!K1564,"")</x:f>
      </x:c>
      <x:c r="E1564" s="86"/>
      <x:c r="F1564" s="86"/>
      <x:c r="G1564" s="86"/>
      <x:c r="H1564" s="86"/>
      <x:c r="I1564" s="86"/>
      <x:c r="J1564" s="82" t="str">
        <x:f>IF(C1564="","Choose position",IF(COUNT(E1564:I1564)&lt;5,"",IF(OR(MIN(E1564:I1564)&lt;0.1,MAX(E1564:I1564)&gt;10),"Invalid score",IF(INDEX('Position_Rubric'!$H$6:$H$14,M1564)&lt;&gt;1,"Check weights",ROUND(E1564*INDEX('Position_Rubric'!$C$6:$C$14,M1564)+F1564*INDEX('Position_Rubric'!$D$6:$D$14,M1564)+G1564*INDEX('Position_Rubric'!$E$6:$E$14,M1564)+H1564*INDEX('Position_Rubric'!$F$6:$F$14,M1564)+I1564*INDEX('Position_Rubric'!$G$6:$G$14,M1564),1)))))</x:f>
        <x:v>Choose position</x:v>
      </x:c>
      <x:c r="K1564" s="82" t="str">
        <x:f>IF(AND(ISNUMBER(J1564),ISNUMBER(D1564)),J1564-D1564,"")</x:f>
      </x:c>
      <x:c r="L1564" s="69" t="str">
        <x:f>IF(COUNT(E1564:I1564)&lt;5,"Needs component scores",IF(ISNUMBER(J1564),"Calculated",J1564))</x:f>
        <x:v>Needs component scores</x:v>
      </x:c>
      <x:c r="M1564" s="69" t="str">
        <x:f>IF(C1564="","",MATCH(C1564,'Position_Rubric'!$A$6:$A$14,0))</x:f>
      </x:c>
      <x:c r="N1564" s="69" t="str"/>
    </x:row>
    <x:row r="1565" ht="25" customHeight="1">
      <x:c r="A1565" s="69" t="str">
        <x:v>summer-S26-1296</x:v>
      </x:c>
      <x:c r="B1565" s="69" t="str">
        <x:v>Oliver Sørensen</x:v>
      </x:c>
      <x:c r="C1565" s="69"/>
      <x:c r="D1565" s="82" t="str">
        <x:f>IF(ISNUMBER('Transfer_Ratings'!K1565),'Transfer_Ratings'!K1565,"")</x:f>
      </x:c>
      <x:c r="E1565" s="86"/>
      <x:c r="F1565" s="86"/>
      <x:c r="G1565" s="86"/>
      <x:c r="H1565" s="86"/>
      <x:c r="I1565" s="86"/>
      <x:c r="J1565" s="82" t="str">
        <x:f>IF(C1565="","Choose position",IF(COUNT(E1565:I1565)&lt;5,"",IF(OR(MIN(E1565:I1565)&lt;0.1,MAX(E1565:I1565)&gt;10),"Invalid score",IF(INDEX('Position_Rubric'!$H$6:$H$14,M1565)&lt;&gt;1,"Check weights",ROUND(E1565*INDEX('Position_Rubric'!$C$6:$C$14,M1565)+F1565*INDEX('Position_Rubric'!$D$6:$D$14,M1565)+G1565*INDEX('Position_Rubric'!$E$6:$E$14,M1565)+H1565*INDEX('Position_Rubric'!$F$6:$F$14,M1565)+I1565*INDEX('Position_Rubric'!$G$6:$G$14,M1565),1)))))</x:f>
        <x:v>Choose position</x:v>
      </x:c>
      <x:c r="K1565" s="82" t="str">
        <x:f>IF(AND(ISNUMBER(J1565),ISNUMBER(D1565)),J1565-D1565,"")</x:f>
      </x:c>
      <x:c r="L1565" s="69" t="str">
        <x:f>IF(COUNT(E1565:I1565)&lt;5,"Needs component scores",IF(ISNUMBER(J1565),"Calculated",J1565))</x:f>
        <x:v>Needs component scores</x:v>
      </x:c>
      <x:c r="M1565" s="69" t="str">
        <x:f>IF(C1565="","",MATCH(C1565,'Position_Rubric'!$A$6:$A$14,0))</x:f>
      </x:c>
      <x:c r="N1565" s="69" t="str"/>
    </x:row>
    <x:row r="1566" ht="25" customHeight="1">
      <x:c r="A1566" s="69" t="str">
        <x:v>summer-S26-1297</x:v>
      </x:c>
      <x:c r="B1566" s="69" t="str">
        <x:v>Arthur</x:v>
      </x:c>
      <x:c r="C1566" s="69"/>
      <x:c r="D1566" s="82" t="str">
        <x:f>IF(ISNUMBER('Transfer_Ratings'!K1566),'Transfer_Ratings'!K1566,"")</x:f>
      </x:c>
      <x:c r="E1566" s="86"/>
      <x:c r="F1566" s="86"/>
      <x:c r="G1566" s="86"/>
      <x:c r="H1566" s="86"/>
      <x:c r="I1566" s="86"/>
      <x:c r="J1566" s="82" t="str">
        <x:f>IF(C1566="","Choose position",IF(COUNT(E1566:I1566)&lt;5,"",IF(OR(MIN(E1566:I1566)&lt;0.1,MAX(E1566:I1566)&gt;10),"Invalid score",IF(INDEX('Position_Rubric'!$H$6:$H$14,M1566)&lt;&gt;1,"Check weights",ROUND(E1566*INDEX('Position_Rubric'!$C$6:$C$14,M1566)+F1566*INDEX('Position_Rubric'!$D$6:$D$14,M1566)+G1566*INDEX('Position_Rubric'!$E$6:$E$14,M1566)+H1566*INDEX('Position_Rubric'!$F$6:$F$14,M1566)+I1566*INDEX('Position_Rubric'!$G$6:$G$14,M1566),1)))))</x:f>
        <x:v>Choose position</x:v>
      </x:c>
      <x:c r="K1566" s="82" t="str">
        <x:f>IF(AND(ISNUMBER(J1566),ISNUMBER(D1566)),J1566-D1566,"")</x:f>
      </x:c>
      <x:c r="L1566" s="69" t="str">
        <x:f>IF(COUNT(E1566:I1566)&lt;5,"Needs component scores",IF(ISNUMBER(J1566),"Calculated",J1566))</x:f>
        <x:v>Needs component scores</x:v>
      </x:c>
      <x:c r="M1566" s="69" t="str">
        <x:f>IF(C1566="","",MATCH(C1566,'Position_Rubric'!$A$6:$A$14,0))</x:f>
      </x:c>
      <x:c r="N1566" s="69" t="str"/>
    </x:row>
    <x:row r="1567" ht="25" customHeight="1">
      <x:c r="A1567" s="69" t="str">
        <x:v>summer-S26-1301</x:v>
      </x:c>
      <x:c r="B1567" s="69" t="str">
        <x:v>Freddie Simmonds</x:v>
      </x:c>
      <x:c r="C1567" s="69"/>
      <x:c r="D1567" s="82" t="str">
        <x:f>IF(ISNUMBER('Transfer_Ratings'!K1567),'Transfer_Ratings'!K1567,"")</x:f>
      </x:c>
      <x:c r="E1567" s="86"/>
      <x:c r="F1567" s="86"/>
      <x:c r="G1567" s="86"/>
      <x:c r="H1567" s="86"/>
      <x:c r="I1567" s="86"/>
      <x:c r="J1567" s="82" t="str">
        <x:f>IF(C1567="","Choose position",IF(COUNT(E1567:I1567)&lt;5,"",IF(OR(MIN(E1567:I1567)&lt;0.1,MAX(E1567:I1567)&gt;10),"Invalid score",IF(INDEX('Position_Rubric'!$H$6:$H$14,M1567)&lt;&gt;1,"Check weights",ROUND(E1567*INDEX('Position_Rubric'!$C$6:$C$14,M1567)+F1567*INDEX('Position_Rubric'!$D$6:$D$14,M1567)+G1567*INDEX('Position_Rubric'!$E$6:$E$14,M1567)+H1567*INDEX('Position_Rubric'!$F$6:$F$14,M1567)+I1567*INDEX('Position_Rubric'!$G$6:$G$14,M1567),1)))))</x:f>
        <x:v>Choose position</x:v>
      </x:c>
      <x:c r="K1567" s="82" t="str">
        <x:f>IF(AND(ISNUMBER(J1567),ISNUMBER(D1567)),J1567-D1567,"")</x:f>
      </x:c>
      <x:c r="L1567" s="69" t="str">
        <x:f>IF(COUNT(E1567:I1567)&lt;5,"Needs component scores",IF(ISNUMBER(J1567),"Calculated",J1567))</x:f>
        <x:v>Needs component scores</x:v>
      </x:c>
      <x:c r="M1567" s="69" t="str">
        <x:f>IF(C1567="","",MATCH(C1567,'Position_Rubric'!$A$6:$A$14,0))</x:f>
      </x:c>
      <x:c r="N1567" s="69" t="str"/>
    </x:row>
    <x:row r="1568" ht="25" customHeight="1">
      <x:c r="A1568" s="69" t="str">
        <x:v>summer-S26-1304</x:v>
      </x:c>
      <x:c r="B1568" s="69" t="str">
        <x:v>Jaden Heskey</x:v>
      </x:c>
      <x:c r="C1568" s="69"/>
      <x:c r="D1568" s="82" t="str">
        <x:f>IF(ISNUMBER('Transfer_Ratings'!K1568),'Transfer_Ratings'!K1568,"")</x:f>
      </x:c>
      <x:c r="E1568" s="86"/>
      <x:c r="F1568" s="86"/>
      <x:c r="G1568" s="86"/>
      <x:c r="H1568" s="86"/>
      <x:c r="I1568" s="86"/>
      <x:c r="J1568" s="82" t="str">
        <x:f>IF(C1568="","Choose position",IF(COUNT(E1568:I1568)&lt;5,"",IF(OR(MIN(E1568:I1568)&lt;0.1,MAX(E1568:I1568)&gt;10),"Invalid score",IF(INDEX('Position_Rubric'!$H$6:$H$14,M1568)&lt;&gt;1,"Check weights",ROUND(E1568*INDEX('Position_Rubric'!$C$6:$C$14,M1568)+F1568*INDEX('Position_Rubric'!$D$6:$D$14,M1568)+G1568*INDEX('Position_Rubric'!$E$6:$E$14,M1568)+H1568*INDEX('Position_Rubric'!$F$6:$F$14,M1568)+I1568*INDEX('Position_Rubric'!$G$6:$G$14,M1568),1)))))</x:f>
        <x:v>Choose position</x:v>
      </x:c>
      <x:c r="K1568" s="82" t="str">
        <x:f>IF(AND(ISNUMBER(J1568),ISNUMBER(D1568)),J1568-D1568,"")</x:f>
      </x:c>
      <x:c r="L1568" s="69" t="str">
        <x:f>IF(COUNT(E1568:I1568)&lt;5,"Needs component scores",IF(ISNUMBER(J1568),"Calculated",J1568))</x:f>
        <x:v>Needs component scores</x:v>
      </x:c>
      <x:c r="M1568" s="69" t="str">
        <x:f>IF(C1568="","",MATCH(C1568,'Position_Rubric'!$A$6:$A$14,0))</x:f>
      </x:c>
      <x:c r="N1568" s="69" t="str"/>
    </x:row>
    <x:row r="1569" ht="25" customHeight="1">
      <x:c r="A1569" s="69" t="str">
        <x:v>summer-S26-1305</x:v>
      </x:c>
      <x:c r="B1569" s="69" t="str">
        <x:v>Sam Chambers</x:v>
      </x:c>
      <x:c r="C1569" s="69"/>
      <x:c r="D1569" s="82" t="str">
        <x:f>IF(ISNUMBER('Transfer_Ratings'!K1569),'Transfer_Ratings'!K1569,"")</x:f>
      </x:c>
      <x:c r="E1569" s="86"/>
      <x:c r="F1569" s="86"/>
      <x:c r="G1569" s="86"/>
      <x:c r="H1569" s="86"/>
      <x:c r="I1569" s="86"/>
      <x:c r="J1569" s="82" t="str">
        <x:f>IF(C1569="","Choose position",IF(COUNT(E1569:I1569)&lt;5,"",IF(OR(MIN(E1569:I1569)&lt;0.1,MAX(E1569:I1569)&gt;10),"Invalid score",IF(INDEX('Position_Rubric'!$H$6:$H$14,M1569)&lt;&gt;1,"Check weights",ROUND(E1569*INDEX('Position_Rubric'!$C$6:$C$14,M1569)+F1569*INDEX('Position_Rubric'!$D$6:$D$14,M1569)+G1569*INDEX('Position_Rubric'!$E$6:$E$14,M1569)+H1569*INDEX('Position_Rubric'!$F$6:$F$14,M1569)+I1569*INDEX('Position_Rubric'!$G$6:$G$14,M1569),1)))))</x:f>
        <x:v>Choose position</x:v>
      </x:c>
      <x:c r="K1569" s="82" t="str">
        <x:f>IF(AND(ISNUMBER(J1569),ISNUMBER(D1569)),J1569-D1569,"")</x:f>
      </x:c>
      <x:c r="L1569" s="69" t="str">
        <x:f>IF(COUNT(E1569:I1569)&lt;5,"Needs component scores",IF(ISNUMBER(J1569),"Calculated",J1569))</x:f>
        <x:v>Needs component scores</x:v>
      </x:c>
      <x:c r="M1569" s="69" t="str">
        <x:f>IF(C1569="","",MATCH(C1569,'Position_Rubric'!$A$6:$A$14,0))</x:f>
      </x:c>
      <x:c r="N1569" s="69" t="str"/>
    </x:row>
    <x:row r="1570" ht="25" customHeight="1">
      <x:c r="A1570" s="69" t="str">
        <x:v>summer-S26-1306</x:v>
      </x:c>
      <x:c r="B1570" s="69" t="str">
        <x:v>Josh Powell</x:v>
      </x:c>
      <x:c r="C1570" s="69"/>
      <x:c r="D1570" s="82" t="str">
        <x:f>IF(ISNUMBER('Transfer_Ratings'!K1570),'Transfer_Ratings'!K1570,"")</x:f>
      </x:c>
      <x:c r="E1570" s="86"/>
      <x:c r="F1570" s="86"/>
      <x:c r="G1570" s="86"/>
      <x:c r="H1570" s="86"/>
      <x:c r="I1570" s="86"/>
      <x:c r="J1570" s="82" t="str">
        <x:f>IF(C1570="","Choose position",IF(COUNT(E1570:I1570)&lt;5,"",IF(OR(MIN(E1570:I1570)&lt;0.1,MAX(E1570:I1570)&gt;10),"Invalid score",IF(INDEX('Position_Rubric'!$H$6:$H$14,M1570)&lt;&gt;1,"Check weights",ROUND(E1570*INDEX('Position_Rubric'!$C$6:$C$14,M1570)+F1570*INDEX('Position_Rubric'!$D$6:$D$14,M1570)+G1570*INDEX('Position_Rubric'!$E$6:$E$14,M1570)+H1570*INDEX('Position_Rubric'!$F$6:$F$14,M1570)+I1570*INDEX('Position_Rubric'!$G$6:$G$14,M1570),1)))))</x:f>
        <x:v>Choose position</x:v>
      </x:c>
      <x:c r="K1570" s="82" t="str">
        <x:f>IF(AND(ISNUMBER(J1570),ISNUMBER(D1570)),J1570-D1570,"")</x:f>
      </x:c>
      <x:c r="L1570" s="69" t="str">
        <x:f>IF(COUNT(E1570:I1570)&lt;5,"Needs component scores",IF(ISNUMBER(J1570),"Calculated",J1570))</x:f>
        <x:v>Needs component scores</x:v>
      </x:c>
      <x:c r="M1570" s="69" t="str">
        <x:f>IF(C1570="","",MATCH(C1570,'Position_Rubric'!$A$6:$A$14,0))</x:f>
      </x:c>
      <x:c r="N1570" s="69" t="str"/>
    </x:row>
    <x:row r="1571" ht="25" customHeight="1">
      <x:c r="A1571" s="69" t="str">
        <x:v>summer-S26-1309</x:v>
      </x:c>
      <x:c r="B1571" s="69" t="str">
        <x:v>Dan Gore</x:v>
      </x:c>
      <x:c r="C1571" s="69"/>
      <x:c r="D1571" s="82" t="str">
        <x:f>IF(ISNUMBER('Transfer_Ratings'!K1571),'Transfer_Ratings'!K1571,"")</x:f>
      </x:c>
      <x:c r="E1571" s="86"/>
      <x:c r="F1571" s="86"/>
      <x:c r="G1571" s="86"/>
      <x:c r="H1571" s="86"/>
      <x:c r="I1571" s="86"/>
      <x:c r="J1571" s="82" t="str">
        <x:f>IF(C1571="","Choose position",IF(COUNT(E1571:I1571)&lt;5,"",IF(OR(MIN(E1571:I1571)&lt;0.1,MAX(E1571:I1571)&gt;10),"Invalid score",IF(INDEX('Position_Rubric'!$H$6:$H$14,M1571)&lt;&gt;1,"Check weights",ROUND(E1571*INDEX('Position_Rubric'!$C$6:$C$14,M1571)+F1571*INDEX('Position_Rubric'!$D$6:$D$14,M1571)+G1571*INDEX('Position_Rubric'!$E$6:$E$14,M1571)+H1571*INDEX('Position_Rubric'!$F$6:$F$14,M1571)+I1571*INDEX('Position_Rubric'!$G$6:$G$14,M1571),1)))))</x:f>
        <x:v>Choose position</x:v>
      </x:c>
      <x:c r="K1571" s="82" t="str">
        <x:f>IF(AND(ISNUMBER(J1571),ISNUMBER(D1571)),J1571-D1571,"")</x:f>
      </x:c>
      <x:c r="L1571" s="69" t="str">
        <x:f>IF(COUNT(E1571:I1571)&lt;5,"Needs component scores",IF(ISNUMBER(J1571),"Calculated",J1571))</x:f>
        <x:v>Needs component scores</x:v>
      </x:c>
      <x:c r="M1571" s="69" t="str">
        <x:f>IF(C1571="","",MATCH(C1571,'Position_Rubric'!$A$6:$A$14,0))</x:f>
      </x:c>
      <x:c r="N1571" s="69" t="str"/>
    </x:row>
    <x:row r="1572" ht="25" customHeight="1">
      <x:c r="A1572" s="69" t="str">
        <x:v>summer-S26-1312</x:v>
      </x:c>
      <x:c r="B1572" s="69" t="str">
        <x:v>Diego Carlos</x:v>
      </x:c>
      <x:c r="C1572" s="69"/>
      <x:c r="D1572" s="82" t="str">
        <x:f>IF(ISNUMBER('Transfer_Ratings'!K1572),'Transfer_Ratings'!K1572,"")</x:f>
      </x:c>
      <x:c r="E1572" s="86"/>
      <x:c r="F1572" s="86"/>
      <x:c r="G1572" s="86"/>
      <x:c r="H1572" s="86"/>
      <x:c r="I1572" s="86"/>
      <x:c r="J1572" s="82" t="str">
        <x:f>IF(C1572="","Choose position",IF(COUNT(E1572:I1572)&lt;5,"",IF(OR(MIN(E1572:I1572)&lt;0.1,MAX(E1572:I1572)&gt;10),"Invalid score",IF(INDEX('Position_Rubric'!$H$6:$H$14,M1572)&lt;&gt;1,"Check weights",ROUND(E1572*INDEX('Position_Rubric'!$C$6:$C$14,M1572)+F1572*INDEX('Position_Rubric'!$D$6:$D$14,M1572)+G1572*INDEX('Position_Rubric'!$E$6:$E$14,M1572)+H1572*INDEX('Position_Rubric'!$F$6:$F$14,M1572)+I1572*INDEX('Position_Rubric'!$G$6:$G$14,M1572),1)))))</x:f>
        <x:v>Choose position</x:v>
      </x:c>
      <x:c r="K1572" s="82" t="str">
        <x:f>IF(AND(ISNUMBER(J1572),ISNUMBER(D1572)),J1572-D1572,"")</x:f>
      </x:c>
      <x:c r="L1572" s="69" t="str">
        <x:f>IF(COUNT(E1572:I1572)&lt;5,"Needs component scores",IF(ISNUMBER(J1572),"Calculated",J1572))</x:f>
        <x:v>Needs component scores</x:v>
      </x:c>
      <x:c r="M1572" s="69" t="str">
        <x:f>IF(C1572="","",MATCH(C1572,'Position_Rubric'!$A$6:$A$14,0))</x:f>
      </x:c>
      <x:c r="N1572" s="69" t="str"/>
    </x:row>
    <x:row r="1573" ht="25" customHeight="1">
      <x:c r="A1573" s="69" t="str">
        <x:v>summer-S26-1313</x:v>
      </x:c>
      <x:c r="B1573" s="69" t="str">
        <x:v>Andreas Hanche-Olsen</x:v>
      </x:c>
      <x:c r="C1573" s="69"/>
      <x:c r="D1573" s="82" t="str">
        <x:f>IF(ISNUMBER('Transfer_Ratings'!K1573),'Transfer_Ratings'!K1573,"")</x:f>
      </x:c>
      <x:c r="E1573" s="86"/>
      <x:c r="F1573" s="86"/>
      <x:c r="G1573" s="86"/>
      <x:c r="H1573" s="86"/>
      <x:c r="I1573" s="86"/>
      <x:c r="J1573" s="82" t="str">
        <x:f>IF(C1573="","Choose position",IF(COUNT(E1573:I1573)&lt;5,"",IF(OR(MIN(E1573:I1573)&lt;0.1,MAX(E1573:I1573)&gt;10),"Invalid score",IF(INDEX('Position_Rubric'!$H$6:$H$14,M1573)&lt;&gt;1,"Check weights",ROUND(E1573*INDEX('Position_Rubric'!$C$6:$C$14,M1573)+F1573*INDEX('Position_Rubric'!$D$6:$D$14,M1573)+G1573*INDEX('Position_Rubric'!$E$6:$E$14,M1573)+H1573*INDEX('Position_Rubric'!$F$6:$F$14,M1573)+I1573*INDEX('Position_Rubric'!$G$6:$G$14,M1573),1)))))</x:f>
        <x:v>Choose position</x:v>
      </x:c>
      <x:c r="K1573" s="82" t="str">
        <x:f>IF(AND(ISNUMBER(J1573),ISNUMBER(D1573)),J1573-D1573,"")</x:f>
      </x:c>
      <x:c r="L1573" s="69" t="str">
        <x:f>IF(COUNT(E1573:I1573)&lt;5,"Needs component scores",IF(ISNUMBER(J1573),"Calculated",J1573))</x:f>
        <x:v>Needs component scores</x:v>
      </x:c>
      <x:c r="M1573" s="69" t="str">
        <x:f>IF(C1573="","",MATCH(C1573,'Position_Rubric'!$A$6:$A$14,0))</x:f>
      </x:c>
      <x:c r="N1573" s="69" t="str"/>
    </x:row>
    <x:row r="1574" ht="25" customHeight="1">
      <x:c r="A1574" s="69" t="str">
        <x:v>summer-S26-1315</x:v>
      </x:c>
      <x:c r="B1574" s="69" t="str">
        <x:v>David Møller Wolfe</x:v>
      </x:c>
      <x:c r="C1574" s="69"/>
      <x:c r="D1574" s="82" t="str">
        <x:f>IF(ISNUMBER('Transfer_Ratings'!K1574),'Transfer_Ratings'!K1574,"")</x:f>
      </x:c>
      <x:c r="E1574" s="86"/>
      <x:c r="F1574" s="86"/>
      <x:c r="G1574" s="86"/>
      <x:c r="H1574" s="86"/>
      <x:c r="I1574" s="86"/>
      <x:c r="J1574" s="82" t="str">
        <x:f>IF(C1574="","Choose position",IF(COUNT(E1574:I1574)&lt;5,"",IF(OR(MIN(E1574:I1574)&lt;0.1,MAX(E1574:I1574)&gt;10),"Invalid score",IF(INDEX('Position_Rubric'!$H$6:$H$14,M1574)&lt;&gt;1,"Check weights",ROUND(E1574*INDEX('Position_Rubric'!$C$6:$C$14,M1574)+F1574*INDEX('Position_Rubric'!$D$6:$D$14,M1574)+G1574*INDEX('Position_Rubric'!$E$6:$E$14,M1574)+H1574*INDEX('Position_Rubric'!$F$6:$F$14,M1574)+I1574*INDEX('Position_Rubric'!$G$6:$G$14,M1574),1)))))</x:f>
        <x:v>Choose position</x:v>
      </x:c>
      <x:c r="K1574" s="82" t="str">
        <x:f>IF(AND(ISNUMBER(J1574),ISNUMBER(D1574)),J1574-D1574,"")</x:f>
      </x:c>
      <x:c r="L1574" s="69" t="str">
        <x:f>IF(COUNT(E1574:I1574)&lt;5,"Needs component scores",IF(ISNUMBER(J1574),"Calculated",J1574))</x:f>
        <x:v>Needs component scores</x:v>
      </x:c>
      <x:c r="M1574" s="69" t="str">
        <x:f>IF(C1574="","",MATCH(C1574,'Position_Rubric'!$A$6:$A$14,0))</x:f>
      </x:c>
      <x:c r="N1574" s="69" t="str"/>
    </x:row>
    <x:row r="1575" ht="25" customHeight="1">
      <x:c r="A1575" s="69" t="str">
        <x:v>summer-S26-1319</x:v>
      </x:c>
      <x:c r="B1575" s="69" t="str">
        <x:v>André Almeida</x:v>
      </x:c>
      <x:c r="C1575" s="69"/>
      <x:c r="D1575" s="82" t="str">
        <x:f>IF(ISNUMBER('Transfer_Ratings'!K1575),'Transfer_Ratings'!K1575,"")</x:f>
      </x:c>
      <x:c r="E1575" s="86"/>
      <x:c r="F1575" s="86"/>
      <x:c r="G1575" s="86"/>
      <x:c r="H1575" s="86"/>
      <x:c r="I1575" s="86"/>
      <x:c r="J1575" s="82" t="str">
        <x:f>IF(C1575="","Choose position",IF(COUNT(E1575:I1575)&lt;5,"",IF(OR(MIN(E1575:I1575)&lt;0.1,MAX(E1575:I1575)&gt;10),"Invalid score",IF(INDEX('Position_Rubric'!$H$6:$H$14,M1575)&lt;&gt;1,"Check weights",ROUND(E1575*INDEX('Position_Rubric'!$C$6:$C$14,M1575)+F1575*INDEX('Position_Rubric'!$D$6:$D$14,M1575)+G1575*INDEX('Position_Rubric'!$E$6:$E$14,M1575)+H1575*INDEX('Position_Rubric'!$F$6:$F$14,M1575)+I1575*INDEX('Position_Rubric'!$G$6:$G$14,M1575),1)))))</x:f>
        <x:v>Choose position</x:v>
      </x:c>
      <x:c r="K1575" s="82" t="str">
        <x:f>IF(AND(ISNUMBER(J1575),ISNUMBER(D1575)),J1575-D1575,"")</x:f>
      </x:c>
      <x:c r="L1575" s="69" t="str">
        <x:f>IF(COUNT(E1575:I1575)&lt;5,"Needs component scores",IF(ISNUMBER(J1575),"Calculated",J1575))</x:f>
        <x:v>Needs component scores</x:v>
      </x:c>
      <x:c r="M1575" s="69" t="str">
        <x:f>IF(C1575="","",MATCH(C1575,'Position_Rubric'!$A$6:$A$14,0))</x:f>
      </x:c>
      <x:c r="N1575" s="69" t="str"/>
    </x:row>
    <x:row r="1576" ht="25" customHeight="1">
      <x:c r="A1576" s="69" t="str">
        <x:v>summer-S26-1322</x:v>
      </x:c>
      <x:c r="B1576" s="69" t="str">
        <x:v>Guéla Doué</x:v>
      </x:c>
      <x:c r="C1576" s="69"/>
      <x:c r="D1576" s="82" t="str">
        <x:f>IF(ISNUMBER('Transfer_Ratings'!K1576),'Transfer_Ratings'!K1576,"")</x:f>
      </x:c>
      <x:c r="E1576" s="86"/>
      <x:c r="F1576" s="86"/>
      <x:c r="G1576" s="86"/>
      <x:c r="H1576" s="86"/>
      <x:c r="I1576" s="86"/>
      <x:c r="J1576" s="82" t="str">
        <x:f>IF(C1576="","Choose position",IF(COUNT(E1576:I1576)&lt;5,"",IF(OR(MIN(E1576:I1576)&lt;0.1,MAX(E1576:I1576)&gt;10),"Invalid score",IF(INDEX('Position_Rubric'!$H$6:$H$14,M1576)&lt;&gt;1,"Check weights",ROUND(E1576*INDEX('Position_Rubric'!$C$6:$C$14,M1576)+F1576*INDEX('Position_Rubric'!$D$6:$D$14,M1576)+G1576*INDEX('Position_Rubric'!$E$6:$E$14,M1576)+H1576*INDEX('Position_Rubric'!$F$6:$F$14,M1576)+I1576*INDEX('Position_Rubric'!$G$6:$G$14,M1576),1)))))</x:f>
        <x:v>Choose position</x:v>
      </x:c>
      <x:c r="K1576" s="82" t="str">
        <x:f>IF(AND(ISNUMBER(J1576),ISNUMBER(D1576)),J1576-D1576,"")</x:f>
      </x:c>
      <x:c r="L1576" s="69" t="str">
        <x:f>IF(COUNT(E1576:I1576)&lt;5,"Needs component scores",IF(ISNUMBER(J1576),"Calculated",J1576))</x:f>
        <x:v>Needs component scores</x:v>
      </x:c>
      <x:c r="M1576" s="69" t="str">
        <x:f>IF(C1576="","",MATCH(C1576,'Position_Rubric'!$A$6:$A$14,0))</x:f>
      </x:c>
      <x:c r="N1576" s="69" t="str"/>
    </x:row>
    <x:row r="1577" ht="25" customHeight="1">
      <x:c r="A1577" s="69" t="str">
        <x:v>summer-S26-1325</x:v>
      </x:c>
      <x:c r="B1577" s="69" t="str">
        <x:v>Yukinari Sugawara</x:v>
      </x:c>
      <x:c r="C1577" s="69"/>
      <x:c r="D1577" s="82" t="str">
        <x:f>IF(ISNUMBER('Transfer_Ratings'!K1577),'Transfer_Ratings'!K1577,"")</x:f>
      </x:c>
      <x:c r="E1577" s="86"/>
      <x:c r="F1577" s="86"/>
      <x:c r="G1577" s="86"/>
      <x:c r="H1577" s="86"/>
      <x:c r="I1577" s="86"/>
      <x:c r="J1577" s="82" t="str">
        <x:f>IF(C1577="","Choose position",IF(COUNT(E1577:I1577)&lt;5,"",IF(OR(MIN(E1577:I1577)&lt;0.1,MAX(E1577:I1577)&gt;10),"Invalid score",IF(INDEX('Position_Rubric'!$H$6:$H$14,M1577)&lt;&gt;1,"Check weights",ROUND(E1577*INDEX('Position_Rubric'!$C$6:$C$14,M1577)+F1577*INDEX('Position_Rubric'!$D$6:$D$14,M1577)+G1577*INDEX('Position_Rubric'!$E$6:$E$14,M1577)+H1577*INDEX('Position_Rubric'!$F$6:$F$14,M1577)+I1577*INDEX('Position_Rubric'!$G$6:$G$14,M1577),1)))))</x:f>
        <x:v>Choose position</x:v>
      </x:c>
      <x:c r="K1577" s="82" t="str">
        <x:f>IF(AND(ISNUMBER(J1577),ISNUMBER(D1577)),J1577-D1577,"")</x:f>
      </x:c>
      <x:c r="L1577" s="69" t="str">
        <x:f>IF(COUNT(E1577:I1577)&lt;5,"Needs component scores",IF(ISNUMBER(J1577),"Calculated",J1577))</x:f>
        <x:v>Needs component scores</x:v>
      </x:c>
      <x:c r="M1577" s="69" t="str">
        <x:f>IF(C1577="","",MATCH(C1577,'Position_Rubric'!$A$6:$A$14,0))</x:f>
      </x:c>
      <x:c r="N1577" s="69" t="str"/>
    </x:row>
    <x:row r="1578" ht="25" customHeight="1">
      <x:c r="A1578" s="69" t="str">
        <x:v>summer-S26-1326</x:v>
      </x:c>
      <x:c r="B1578" s="69" t="str">
        <x:v>Axel Tuanzebe</x:v>
      </x:c>
      <x:c r="C1578" s="69"/>
      <x:c r="D1578" s="82" t="str">
        <x:f>IF(ISNUMBER('Transfer_Ratings'!K1578),'Transfer_Ratings'!K1578,"")</x:f>
      </x:c>
      <x:c r="E1578" s="86"/>
      <x:c r="F1578" s="86"/>
      <x:c r="G1578" s="86"/>
      <x:c r="H1578" s="86"/>
      <x:c r="I1578" s="86"/>
      <x:c r="J1578" s="82" t="str">
        <x:f>IF(C1578="","Choose position",IF(COUNT(E1578:I1578)&lt;5,"",IF(OR(MIN(E1578:I1578)&lt;0.1,MAX(E1578:I1578)&gt;10),"Invalid score",IF(INDEX('Position_Rubric'!$H$6:$H$14,M1578)&lt;&gt;1,"Check weights",ROUND(E1578*INDEX('Position_Rubric'!$C$6:$C$14,M1578)+F1578*INDEX('Position_Rubric'!$D$6:$D$14,M1578)+G1578*INDEX('Position_Rubric'!$E$6:$E$14,M1578)+H1578*INDEX('Position_Rubric'!$F$6:$F$14,M1578)+I1578*INDEX('Position_Rubric'!$G$6:$G$14,M1578),1)))))</x:f>
        <x:v>Choose position</x:v>
      </x:c>
      <x:c r="K1578" s="82" t="str">
        <x:f>IF(AND(ISNUMBER(J1578),ISNUMBER(D1578)),J1578-D1578,"")</x:f>
      </x:c>
      <x:c r="L1578" s="69" t="str">
        <x:f>IF(COUNT(E1578:I1578)&lt;5,"Needs component scores",IF(ISNUMBER(J1578),"Calculated",J1578))</x:f>
        <x:v>Needs component scores</x:v>
      </x:c>
      <x:c r="M1578" s="69" t="str">
        <x:f>IF(C1578="","",MATCH(C1578,'Position_Rubric'!$A$6:$A$14,0))</x:f>
      </x:c>
      <x:c r="N1578" s="69" t="str"/>
    </x:row>
    <x:row r="1579" ht="25" customHeight="1">
      <x:c r="A1579" s="69" t="str">
        <x:v>summer-S26-1327</x:v>
      </x:c>
      <x:c r="B1579" s="69" t="str">
        <x:v>Jesper Lindstrøm</x:v>
      </x:c>
      <x:c r="C1579" s="69"/>
      <x:c r="D1579" s="82" t="str">
        <x:f>IF(ISNUMBER('Transfer_Ratings'!K1579),'Transfer_Ratings'!K1579,"")</x:f>
      </x:c>
      <x:c r="E1579" s="86"/>
      <x:c r="F1579" s="86"/>
      <x:c r="G1579" s="86"/>
      <x:c r="H1579" s="86"/>
      <x:c r="I1579" s="86"/>
      <x:c r="J1579" s="82" t="str">
        <x:f>IF(C1579="","Choose position",IF(COUNT(E1579:I1579)&lt;5,"",IF(OR(MIN(E1579:I1579)&lt;0.1,MAX(E1579:I1579)&gt;10),"Invalid score",IF(INDEX('Position_Rubric'!$H$6:$H$14,M1579)&lt;&gt;1,"Check weights",ROUND(E1579*INDEX('Position_Rubric'!$C$6:$C$14,M1579)+F1579*INDEX('Position_Rubric'!$D$6:$D$14,M1579)+G1579*INDEX('Position_Rubric'!$E$6:$E$14,M1579)+H1579*INDEX('Position_Rubric'!$F$6:$F$14,M1579)+I1579*INDEX('Position_Rubric'!$G$6:$G$14,M1579),1)))))</x:f>
        <x:v>Choose position</x:v>
      </x:c>
      <x:c r="K1579" s="82" t="str">
        <x:f>IF(AND(ISNUMBER(J1579),ISNUMBER(D1579)),J1579-D1579,"")</x:f>
      </x:c>
      <x:c r="L1579" s="69" t="str">
        <x:f>IF(COUNT(E1579:I1579)&lt;5,"Needs component scores",IF(ISNUMBER(J1579),"Calculated",J1579))</x:f>
        <x:v>Needs component scores</x:v>
      </x:c>
      <x:c r="M1579" s="69" t="str">
        <x:f>IF(C1579="","",MATCH(C1579,'Position_Rubric'!$A$6:$A$14,0))</x:f>
      </x:c>
      <x:c r="N1579" s="69" t="str"/>
    </x:row>
    <x:row r="1580" ht="25" customHeight="1">
      <x:c r="A1580" s="69" t="str">
        <x:v>summer-S26-1330</x:v>
      </x:c>
      <x:c r="B1580" s="69" t="str">
        <x:v>Mikel Goti</x:v>
      </x:c>
      <x:c r="C1580" s="69"/>
      <x:c r="D1580" s="82" t="str">
        <x:f>IF(ISNUMBER('Transfer_Ratings'!K1580),'Transfer_Ratings'!K1580,"")</x:f>
      </x:c>
      <x:c r="E1580" s="86"/>
      <x:c r="F1580" s="86"/>
      <x:c r="G1580" s="86"/>
      <x:c r="H1580" s="86"/>
      <x:c r="I1580" s="86"/>
      <x:c r="J1580" s="82" t="str">
        <x:f>IF(C1580="","Choose position",IF(COUNT(E1580:I1580)&lt;5,"",IF(OR(MIN(E1580:I1580)&lt;0.1,MAX(E1580:I1580)&gt;10),"Invalid score",IF(INDEX('Position_Rubric'!$H$6:$H$14,M1580)&lt;&gt;1,"Check weights",ROUND(E1580*INDEX('Position_Rubric'!$C$6:$C$14,M1580)+F1580*INDEX('Position_Rubric'!$D$6:$D$14,M1580)+G1580*INDEX('Position_Rubric'!$E$6:$E$14,M1580)+H1580*INDEX('Position_Rubric'!$F$6:$F$14,M1580)+I1580*INDEX('Position_Rubric'!$G$6:$G$14,M1580),1)))))</x:f>
        <x:v>Choose position</x:v>
      </x:c>
      <x:c r="K1580" s="82" t="str">
        <x:f>IF(AND(ISNUMBER(J1580),ISNUMBER(D1580)),J1580-D1580,"")</x:f>
      </x:c>
      <x:c r="L1580" s="69" t="str">
        <x:f>IF(COUNT(E1580:I1580)&lt;5,"Needs component scores",IF(ISNUMBER(J1580),"Calculated",J1580))</x:f>
        <x:v>Needs component scores</x:v>
      </x:c>
      <x:c r="M1580" s="69" t="str">
        <x:f>IF(C1580="","",MATCH(C1580,'Position_Rubric'!$A$6:$A$14,0))</x:f>
      </x:c>
      <x:c r="N1580" s="69" t="str"/>
    </x:row>
    <x:row r="1581" ht="25" customHeight="1">
      <x:c r="A1581" s="69" t="str">
        <x:v>summer-S26-1331</x:v>
      </x:c>
      <x:c r="B1581" s="69" t="str">
        <x:v>Guille Fernández</x:v>
      </x:c>
      <x:c r="C1581" s="69"/>
      <x:c r="D1581" s="82" t="str">
        <x:f>IF(ISNUMBER('Transfer_Ratings'!K1581),'Transfer_Ratings'!K1581,"")</x:f>
      </x:c>
      <x:c r="E1581" s="86"/>
      <x:c r="F1581" s="86"/>
      <x:c r="G1581" s="86"/>
      <x:c r="H1581" s="86"/>
      <x:c r="I1581" s="86"/>
      <x:c r="J1581" s="82" t="str">
        <x:f>IF(C1581="","Choose position",IF(COUNT(E1581:I1581)&lt;5,"",IF(OR(MIN(E1581:I1581)&lt;0.1,MAX(E1581:I1581)&gt;10),"Invalid score",IF(INDEX('Position_Rubric'!$H$6:$H$14,M1581)&lt;&gt;1,"Check weights",ROUND(E1581*INDEX('Position_Rubric'!$C$6:$C$14,M1581)+F1581*INDEX('Position_Rubric'!$D$6:$D$14,M1581)+G1581*INDEX('Position_Rubric'!$E$6:$E$14,M1581)+H1581*INDEX('Position_Rubric'!$F$6:$F$14,M1581)+I1581*INDEX('Position_Rubric'!$G$6:$G$14,M1581),1)))))</x:f>
        <x:v>Choose position</x:v>
      </x:c>
      <x:c r="K1581" s="82" t="str">
        <x:f>IF(AND(ISNUMBER(J1581),ISNUMBER(D1581)),J1581-D1581,"")</x:f>
      </x:c>
      <x:c r="L1581" s="69" t="str">
        <x:f>IF(COUNT(E1581:I1581)&lt;5,"Needs component scores",IF(ISNUMBER(J1581),"Calculated",J1581))</x:f>
        <x:v>Needs component scores</x:v>
      </x:c>
      <x:c r="M1581" s="69" t="str">
        <x:f>IF(C1581="","",MATCH(C1581,'Position_Rubric'!$A$6:$A$14,0))</x:f>
      </x:c>
      <x:c r="N1581" s="69" t="str"/>
    </x:row>
    <x:row r="1582" ht="25" customHeight="1">
      <x:c r="A1582" s="69" t="str">
        <x:v>summer-S26-1334</x:v>
      </x:c>
      <x:c r="B1582" s="69" t="str">
        <x:v>Fodé Doucouré</x:v>
      </x:c>
      <x:c r="C1582" s="69"/>
      <x:c r="D1582" s="82" t="str">
        <x:f>IF(ISNUMBER('Transfer_Ratings'!K1582),'Transfer_Ratings'!K1582,"")</x:f>
      </x:c>
      <x:c r="E1582" s="86"/>
      <x:c r="F1582" s="86"/>
      <x:c r="G1582" s="86"/>
      <x:c r="H1582" s="86"/>
      <x:c r="I1582" s="86"/>
      <x:c r="J1582" s="82" t="str">
        <x:f>IF(C1582="","Choose position",IF(COUNT(E1582:I1582)&lt;5,"",IF(OR(MIN(E1582:I1582)&lt;0.1,MAX(E1582:I1582)&gt;10),"Invalid score",IF(INDEX('Position_Rubric'!$H$6:$H$14,M1582)&lt;&gt;1,"Check weights",ROUND(E1582*INDEX('Position_Rubric'!$C$6:$C$14,M1582)+F1582*INDEX('Position_Rubric'!$D$6:$D$14,M1582)+G1582*INDEX('Position_Rubric'!$E$6:$E$14,M1582)+H1582*INDEX('Position_Rubric'!$F$6:$F$14,M1582)+I1582*INDEX('Position_Rubric'!$G$6:$G$14,M1582),1)))))</x:f>
        <x:v>Choose position</x:v>
      </x:c>
      <x:c r="K1582" s="82" t="str">
        <x:f>IF(AND(ISNUMBER(J1582),ISNUMBER(D1582)),J1582-D1582,"")</x:f>
      </x:c>
      <x:c r="L1582" s="69" t="str">
        <x:f>IF(COUNT(E1582:I1582)&lt;5,"Needs component scores",IF(ISNUMBER(J1582),"Calculated",J1582))</x:f>
        <x:v>Needs component scores</x:v>
      </x:c>
      <x:c r="M1582" s="69" t="str">
        <x:f>IF(C1582="","",MATCH(C1582,'Position_Rubric'!$A$6:$A$14,0))</x:f>
      </x:c>
      <x:c r="N1582" s="69" t="str"/>
    </x:row>
    <x:row r="1583" ht="25" customHeight="1">
      <x:c r="A1583" s="69" t="str">
        <x:v>summer-S26-1336</x:v>
      </x:c>
      <x:c r="B1583" s="69" t="str">
        <x:v>Rubén Sánchez</x:v>
      </x:c>
      <x:c r="C1583" s="69"/>
      <x:c r="D1583" s="82" t="str">
        <x:f>IF(ISNUMBER('Transfer_Ratings'!K1583),'Transfer_Ratings'!K1583,"")</x:f>
      </x:c>
      <x:c r="E1583" s="86"/>
      <x:c r="F1583" s="86"/>
      <x:c r="G1583" s="86"/>
      <x:c r="H1583" s="86"/>
      <x:c r="I1583" s="86"/>
      <x:c r="J1583" s="82" t="str">
        <x:f>IF(C1583="","Choose position",IF(COUNT(E1583:I1583)&lt;5,"",IF(OR(MIN(E1583:I1583)&lt;0.1,MAX(E1583:I1583)&gt;10),"Invalid score",IF(INDEX('Position_Rubric'!$H$6:$H$14,M1583)&lt;&gt;1,"Check weights",ROUND(E1583*INDEX('Position_Rubric'!$C$6:$C$14,M1583)+F1583*INDEX('Position_Rubric'!$D$6:$D$14,M1583)+G1583*INDEX('Position_Rubric'!$E$6:$E$14,M1583)+H1583*INDEX('Position_Rubric'!$F$6:$F$14,M1583)+I1583*INDEX('Position_Rubric'!$G$6:$G$14,M1583),1)))))</x:f>
        <x:v>Choose position</x:v>
      </x:c>
      <x:c r="K1583" s="82" t="str">
        <x:f>IF(AND(ISNUMBER(J1583),ISNUMBER(D1583)),J1583-D1583,"")</x:f>
      </x:c>
      <x:c r="L1583" s="69" t="str">
        <x:f>IF(COUNT(E1583:I1583)&lt;5,"Needs component scores",IF(ISNUMBER(J1583),"Calculated",J1583))</x:f>
        <x:v>Needs component scores</x:v>
      </x:c>
      <x:c r="M1583" s="69" t="str">
        <x:f>IF(C1583="","",MATCH(C1583,'Position_Rubric'!$A$6:$A$14,0))</x:f>
      </x:c>
      <x:c r="N1583" s="69" t="str"/>
    </x:row>
    <x:row r="1584" ht="25" customHeight="1">
      <x:c r="A1584" s="69" t="str">
        <x:v>summer-S26-1337</x:v>
      </x:c>
      <x:c r="B1584" s="69" t="str">
        <x:v>Zach Abbott</x:v>
      </x:c>
      <x:c r="C1584" s="69"/>
      <x:c r="D1584" s="82" t="str">
        <x:f>IF(ISNUMBER('Transfer_Ratings'!K1584),'Transfer_Ratings'!K1584,"")</x:f>
      </x:c>
      <x:c r="E1584" s="86"/>
      <x:c r="F1584" s="86"/>
      <x:c r="G1584" s="86"/>
      <x:c r="H1584" s="86"/>
      <x:c r="I1584" s="86"/>
      <x:c r="J1584" s="82" t="str">
        <x:f>IF(C1584="","Choose position",IF(COUNT(E1584:I1584)&lt;5,"",IF(OR(MIN(E1584:I1584)&lt;0.1,MAX(E1584:I1584)&gt;10),"Invalid score",IF(INDEX('Position_Rubric'!$H$6:$H$14,M1584)&lt;&gt;1,"Check weights",ROUND(E1584*INDEX('Position_Rubric'!$C$6:$C$14,M1584)+F1584*INDEX('Position_Rubric'!$D$6:$D$14,M1584)+G1584*INDEX('Position_Rubric'!$E$6:$E$14,M1584)+H1584*INDEX('Position_Rubric'!$F$6:$F$14,M1584)+I1584*INDEX('Position_Rubric'!$G$6:$G$14,M1584),1)))))</x:f>
        <x:v>Choose position</x:v>
      </x:c>
      <x:c r="K1584" s="82" t="str">
        <x:f>IF(AND(ISNUMBER(J1584),ISNUMBER(D1584)),J1584-D1584,"")</x:f>
      </x:c>
      <x:c r="L1584" s="69" t="str">
        <x:f>IF(COUNT(E1584:I1584)&lt;5,"Needs component scores",IF(ISNUMBER(J1584),"Calculated",J1584))</x:f>
        <x:v>Needs component scores</x:v>
      </x:c>
      <x:c r="M1584" s="69" t="str">
        <x:f>IF(C1584="","",MATCH(C1584,'Position_Rubric'!$A$6:$A$14,0))</x:f>
      </x:c>
      <x:c r="N1584" s="69" t="str"/>
    </x:row>
    <x:row r="1585" ht="25" customHeight="1">
      <x:c r="A1585" s="69" t="str">
        <x:v>summer-S26-1338</x:v>
      </x:c>
      <x:c r="B1585" s="69" t="str">
        <x:v>Lucca Brughmans</x:v>
      </x:c>
      <x:c r="C1585" s="69" t="str">
        <x:v>GK</x:v>
      </x:c>
      <x:c r="D1585" s="82" t="str">
        <x:f>IF(ISNUMBER('Transfer_Ratings'!K1585),'Transfer_Ratings'!K1585,"")</x:f>
      </x:c>
      <x:c r="E1585" s="86"/>
      <x:c r="F1585" s="86"/>
      <x:c r="G1585" s="86"/>
      <x:c r="H1585" s="86"/>
      <x:c r="I1585" s="86"/>
      <x:c r="J1585" s="82" t="str">
        <x:f>IF(C1585="","Choose position",IF(COUNT(E1585:I1585)&lt;5,"",IF(OR(MIN(E1585:I1585)&lt;0.1,MAX(E1585:I1585)&gt;10),"Invalid score",IF(INDEX('Position_Rubric'!$H$6:$H$14,M1585)&lt;&gt;1,"Check weights",ROUND(E1585*INDEX('Position_Rubric'!$C$6:$C$14,M1585)+F1585*INDEX('Position_Rubric'!$D$6:$D$14,M1585)+G1585*INDEX('Position_Rubric'!$E$6:$E$14,M1585)+H1585*INDEX('Position_Rubric'!$F$6:$F$14,M1585)+I1585*INDEX('Position_Rubric'!$G$6:$G$14,M1585),1)))))</x:f>
      </x:c>
      <x:c r="K1585" s="82" t="str">
        <x:f>IF(AND(ISNUMBER(J1585),ISNUMBER(D1585)),J1585-D1585,"")</x:f>
      </x:c>
      <x:c r="L1585" s="69" t="str">
        <x:f>IF(COUNT(E1585:I1585)&lt;5,"Needs component scores",IF(ISNUMBER(J1585),"Calculated",J1585))</x:f>
        <x:v>Needs component scores</x:v>
      </x:c>
      <x:c r="M1585" s="69" t="n">
        <x:f>IF(C1585="","",MATCH(C1585,'Position_Rubric'!$A$6:$A$14,0))</x:f>
        <x:v>9</x:v>
      </x:c>
      <x:c r="N1585" s="69" t="str"/>
    </x:row>
    <x:row r="1586" ht="25" customHeight="1">
      <x:c r="A1586" s="69" t="str">
        <x:v>summer-S26-1339</x:v>
      </x:c>
      <x:c r="B1586" s="69" t="str">
        <x:v>Ethan Nwaneri</x:v>
      </x:c>
      <x:c r="C1586" s="69"/>
      <x:c r="D1586" s="82" t="str">
        <x:f>IF(ISNUMBER('Transfer_Ratings'!K1586),'Transfer_Ratings'!K1586,"")</x:f>
      </x:c>
      <x:c r="E1586" s="86"/>
      <x:c r="F1586" s="86"/>
      <x:c r="G1586" s="86"/>
      <x:c r="H1586" s="86"/>
      <x:c r="I1586" s="86"/>
      <x:c r="J1586" s="82" t="str">
        <x:f>IF(C1586="","Choose position",IF(COUNT(E1586:I1586)&lt;5,"",IF(OR(MIN(E1586:I1586)&lt;0.1,MAX(E1586:I1586)&gt;10),"Invalid score",IF(INDEX('Position_Rubric'!$H$6:$H$14,M1586)&lt;&gt;1,"Check weights",ROUND(E1586*INDEX('Position_Rubric'!$C$6:$C$14,M1586)+F1586*INDEX('Position_Rubric'!$D$6:$D$14,M1586)+G1586*INDEX('Position_Rubric'!$E$6:$E$14,M1586)+H1586*INDEX('Position_Rubric'!$F$6:$F$14,M1586)+I1586*INDEX('Position_Rubric'!$G$6:$G$14,M1586),1)))))</x:f>
        <x:v>Choose position</x:v>
      </x:c>
      <x:c r="K1586" s="82" t="str">
        <x:f>IF(AND(ISNUMBER(J1586),ISNUMBER(D1586)),J1586-D1586,"")</x:f>
      </x:c>
      <x:c r="L1586" s="69" t="str">
        <x:f>IF(COUNT(E1586:I1586)&lt;5,"Needs component scores",IF(ISNUMBER(J1586),"Calculated",J1586))</x:f>
        <x:v>Needs component scores</x:v>
      </x:c>
      <x:c r="M1586" s="69" t="str">
        <x:f>IF(C1586="","",MATCH(C1586,'Position_Rubric'!$A$6:$A$14,0))</x:f>
      </x:c>
      <x:c r="N1586" s="69" t="str"/>
    </x:row>
    <x:row r="1587" ht="25" customHeight="1">
      <x:c r="A1587" s="69" t="str">
        <x:v>summer-S26-1340</x:v>
      </x:c>
      <x:c r="B1587" s="69" t="str">
        <x:v>Oluwaseun Ogbemudia</x:v>
      </x:c>
      <x:c r="C1587" s="69"/>
      <x:c r="D1587" s="82" t="str">
        <x:f>IF(ISNUMBER('Transfer_Ratings'!K1587),'Transfer_Ratings'!K1587,"")</x:f>
      </x:c>
      <x:c r="E1587" s="86"/>
      <x:c r="F1587" s="86"/>
      <x:c r="G1587" s="86"/>
      <x:c r="H1587" s="86"/>
      <x:c r="I1587" s="86"/>
      <x:c r="J1587" s="82" t="str">
        <x:f>IF(C1587="","Choose position",IF(COUNT(E1587:I1587)&lt;5,"",IF(OR(MIN(E1587:I1587)&lt;0.1,MAX(E1587:I1587)&gt;10),"Invalid score",IF(INDEX('Position_Rubric'!$H$6:$H$14,M1587)&lt;&gt;1,"Check weights",ROUND(E1587*INDEX('Position_Rubric'!$C$6:$C$14,M1587)+F1587*INDEX('Position_Rubric'!$D$6:$D$14,M1587)+G1587*INDEX('Position_Rubric'!$E$6:$E$14,M1587)+H1587*INDEX('Position_Rubric'!$F$6:$F$14,M1587)+I1587*INDEX('Position_Rubric'!$G$6:$G$14,M1587),1)))))</x:f>
        <x:v>Choose position</x:v>
      </x:c>
      <x:c r="K1587" s="82" t="str">
        <x:f>IF(AND(ISNUMBER(J1587),ISNUMBER(D1587)),J1587-D1587,"")</x:f>
      </x:c>
      <x:c r="L1587" s="69" t="str">
        <x:f>IF(COUNT(E1587:I1587)&lt;5,"Needs component scores",IF(ISNUMBER(J1587),"Calculated",J1587))</x:f>
        <x:v>Needs component scores</x:v>
      </x:c>
      <x:c r="M1587" s="69" t="str">
        <x:f>IF(C1587="","",MATCH(C1587,'Position_Rubric'!$A$6:$A$14,0))</x:f>
      </x:c>
      <x:c r="N1587" s="69" t="str"/>
    </x:row>
    <x:row r="1588" ht="25" customHeight="1">
      <x:c r="A1588" s="69" t="str">
        <x:v>summer-S26-1345</x:v>
      </x:c>
      <x:c r="B1588" s="69" t="str">
        <x:v>Robert Sánchez</x:v>
      </x:c>
      <x:c r="C1588" s="69" t="str">
        <x:v>GK</x:v>
      </x:c>
      <x:c r="D1588" s="82" t="str">
        <x:f>IF(ISNUMBER('Transfer_Ratings'!K1588),'Transfer_Ratings'!K1588,"")</x:f>
      </x:c>
      <x:c r="E1588" s="86"/>
      <x:c r="F1588" s="86"/>
      <x:c r="G1588" s="86"/>
      <x:c r="H1588" s="86"/>
      <x:c r="I1588" s="86"/>
      <x:c r="J1588" s="82" t="str">
        <x:f>IF(C1588="","Choose position",IF(COUNT(E1588:I1588)&lt;5,"",IF(OR(MIN(E1588:I1588)&lt;0.1,MAX(E1588:I1588)&gt;10),"Invalid score",IF(INDEX('Position_Rubric'!$H$6:$H$14,M1588)&lt;&gt;1,"Check weights",ROUND(E1588*INDEX('Position_Rubric'!$C$6:$C$14,M1588)+F1588*INDEX('Position_Rubric'!$D$6:$D$14,M1588)+G1588*INDEX('Position_Rubric'!$E$6:$E$14,M1588)+H1588*INDEX('Position_Rubric'!$F$6:$F$14,M1588)+I1588*INDEX('Position_Rubric'!$G$6:$G$14,M1588),1)))))</x:f>
      </x:c>
      <x:c r="K1588" s="82" t="str">
        <x:f>IF(AND(ISNUMBER(J1588),ISNUMBER(D1588)),J1588-D1588,"")</x:f>
      </x:c>
      <x:c r="L1588" s="69" t="str">
        <x:f>IF(COUNT(E1588:I1588)&lt;5,"Needs component scores",IF(ISNUMBER(J1588),"Calculated",J1588))</x:f>
        <x:v>Needs component scores</x:v>
      </x:c>
      <x:c r="M1588" s="69" t="n">
        <x:f>IF(C1588="","",MATCH(C1588,'Position_Rubric'!$A$6:$A$14,0))</x:f>
        <x:v>9</x:v>
      </x:c>
      <x:c r="N1588" s="69" t="str"/>
    </x:row>
    <x:row r="1589" ht="25" customHeight="1">
      <x:c r="A1589" s="69" t="str">
        <x:v>summer-S26-1346</x:v>
      </x:c>
      <x:c r="B1589" s="69" t="str">
        <x:v>Eiran Cashin</x:v>
      </x:c>
      <x:c r="C1589" s="69"/>
      <x:c r="D1589" s="82" t="str">
        <x:f>IF(ISNUMBER('Transfer_Ratings'!K1589),'Transfer_Ratings'!K1589,"")</x:f>
      </x:c>
      <x:c r="E1589" s="86"/>
      <x:c r="F1589" s="86"/>
      <x:c r="G1589" s="86"/>
      <x:c r="H1589" s="86"/>
      <x:c r="I1589" s="86"/>
      <x:c r="J1589" s="82" t="str">
        <x:f>IF(C1589="","Choose position",IF(COUNT(E1589:I1589)&lt;5,"",IF(OR(MIN(E1589:I1589)&lt;0.1,MAX(E1589:I1589)&gt;10),"Invalid score",IF(INDEX('Position_Rubric'!$H$6:$H$14,M1589)&lt;&gt;1,"Check weights",ROUND(E1589*INDEX('Position_Rubric'!$C$6:$C$14,M1589)+F1589*INDEX('Position_Rubric'!$D$6:$D$14,M1589)+G1589*INDEX('Position_Rubric'!$E$6:$E$14,M1589)+H1589*INDEX('Position_Rubric'!$F$6:$F$14,M1589)+I1589*INDEX('Position_Rubric'!$G$6:$G$14,M1589),1)))))</x:f>
        <x:v>Choose position</x:v>
      </x:c>
      <x:c r="K1589" s="82" t="str">
        <x:f>IF(AND(ISNUMBER(J1589),ISNUMBER(D1589)),J1589-D1589,"")</x:f>
      </x:c>
      <x:c r="L1589" s="69" t="str">
        <x:f>IF(COUNT(E1589:I1589)&lt;5,"Needs component scores",IF(ISNUMBER(J1589),"Calculated",J1589))</x:f>
        <x:v>Needs component scores</x:v>
      </x:c>
      <x:c r="M1589" s="69" t="str">
        <x:f>IF(C1589="","",MATCH(C1589,'Position_Rubric'!$A$6:$A$14,0))</x:f>
      </x:c>
      <x:c r="N1589" s="69" t="str"/>
    </x:row>
    <x:row r="1590" ht="25" customHeight="1">
      <x:c r="A1590" s="69" t="str">
        <x:v>summer-S26-1349</x:v>
      </x:c>
      <x:c r="B1590" s="69" t="str">
        <x:v>Andoni Gorosabel</x:v>
      </x:c>
      <x:c r="C1590" s="69"/>
      <x:c r="D1590" s="82" t="str">
        <x:f>IF(ISNUMBER('Transfer_Ratings'!K1590),'Transfer_Ratings'!K1590,"")</x:f>
      </x:c>
      <x:c r="E1590" s="86"/>
      <x:c r="F1590" s="86"/>
      <x:c r="G1590" s="86"/>
      <x:c r="H1590" s="86"/>
      <x:c r="I1590" s="86"/>
      <x:c r="J1590" s="82" t="str">
        <x:f>IF(C1590="","Choose position",IF(COUNT(E1590:I1590)&lt;5,"",IF(OR(MIN(E1590:I1590)&lt;0.1,MAX(E1590:I1590)&gt;10),"Invalid score",IF(INDEX('Position_Rubric'!$H$6:$H$14,M1590)&lt;&gt;1,"Check weights",ROUND(E1590*INDEX('Position_Rubric'!$C$6:$C$14,M1590)+F1590*INDEX('Position_Rubric'!$D$6:$D$14,M1590)+G1590*INDEX('Position_Rubric'!$E$6:$E$14,M1590)+H1590*INDEX('Position_Rubric'!$F$6:$F$14,M1590)+I1590*INDEX('Position_Rubric'!$G$6:$G$14,M1590),1)))))</x:f>
        <x:v>Choose position</x:v>
      </x:c>
      <x:c r="K1590" s="82" t="str">
        <x:f>IF(AND(ISNUMBER(J1590),ISNUMBER(D1590)),J1590-D1590,"")</x:f>
      </x:c>
      <x:c r="L1590" s="69" t="str">
        <x:f>IF(COUNT(E1590:I1590)&lt;5,"Needs component scores",IF(ISNUMBER(J1590),"Calculated",J1590))</x:f>
        <x:v>Needs component scores</x:v>
      </x:c>
      <x:c r="M1590" s="69" t="str">
        <x:f>IF(C1590="","",MATCH(C1590,'Position_Rubric'!$A$6:$A$14,0))</x:f>
      </x:c>
      <x:c r="N1590" s="69" t="str"/>
    </x:row>
    <x:row r="1591" ht="25" customHeight="1">
      <x:c r="A1591" s="69" t="str">
        <x:v>summer-S26-1352</x:v>
      </x:c>
      <x:c r="B1591" s="69" t="str">
        <x:v>Kevin Danso</x:v>
      </x:c>
      <x:c r="C1591" s="69"/>
      <x:c r="D1591" s="82" t="str">
        <x:f>IF(ISNUMBER('Transfer_Ratings'!K1591),'Transfer_Ratings'!K1591,"")</x:f>
      </x:c>
      <x:c r="E1591" s="86"/>
      <x:c r="F1591" s="86"/>
      <x:c r="G1591" s="86"/>
      <x:c r="H1591" s="86"/>
      <x:c r="I1591" s="86"/>
      <x:c r="J1591" s="82" t="str">
        <x:f>IF(C1591="","Choose position",IF(COUNT(E1591:I1591)&lt;5,"",IF(OR(MIN(E1591:I1591)&lt;0.1,MAX(E1591:I1591)&gt;10),"Invalid score",IF(INDEX('Position_Rubric'!$H$6:$H$14,M1591)&lt;&gt;1,"Check weights",ROUND(E1591*INDEX('Position_Rubric'!$C$6:$C$14,M1591)+F1591*INDEX('Position_Rubric'!$D$6:$D$14,M1591)+G1591*INDEX('Position_Rubric'!$E$6:$E$14,M1591)+H1591*INDEX('Position_Rubric'!$F$6:$F$14,M1591)+I1591*INDEX('Position_Rubric'!$G$6:$G$14,M1591),1)))))</x:f>
        <x:v>Choose position</x:v>
      </x:c>
      <x:c r="K1591" s="82" t="str">
        <x:f>IF(AND(ISNUMBER(J1591),ISNUMBER(D1591)),J1591-D1591,"")</x:f>
      </x:c>
      <x:c r="L1591" s="69" t="str">
        <x:f>IF(COUNT(E1591:I1591)&lt;5,"Needs component scores",IF(ISNUMBER(J1591),"Calculated",J1591))</x:f>
        <x:v>Needs component scores</x:v>
      </x:c>
      <x:c r="M1591" s="69" t="str">
        <x:f>IF(C1591="","",MATCH(C1591,'Position_Rubric'!$A$6:$A$14,0))</x:f>
      </x:c>
      <x:c r="N1591" s="69" t="str"/>
    </x:row>
    <x:row r="1592" ht="25" customHeight="1">
      <x:c r="A1592" s="69" t="str">
        <x:v>summer-S26-1353</x:v>
      </x:c>
      <x:c r="B1592" s="69" t="str">
        <x:v>Igor Julio</x:v>
      </x:c>
      <x:c r="C1592" s="69"/>
      <x:c r="D1592" s="82" t="str">
        <x:f>IF(ISNUMBER('Transfer_Ratings'!K1592),'Transfer_Ratings'!K1592,"")</x:f>
      </x:c>
      <x:c r="E1592" s="86"/>
      <x:c r="F1592" s="86"/>
      <x:c r="G1592" s="86"/>
      <x:c r="H1592" s="86"/>
      <x:c r="I1592" s="86"/>
      <x:c r="J1592" s="82" t="str">
        <x:f>IF(C1592="","Choose position",IF(COUNT(E1592:I1592)&lt;5,"",IF(OR(MIN(E1592:I1592)&lt;0.1,MAX(E1592:I1592)&gt;10),"Invalid score",IF(INDEX('Position_Rubric'!$H$6:$H$14,M1592)&lt;&gt;1,"Check weights",ROUND(E1592*INDEX('Position_Rubric'!$C$6:$C$14,M1592)+F1592*INDEX('Position_Rubric'!$D$6:$D$14,M1592)+G1592*INDEX('Position_Rubric'!$E$6:$E$14,M1592)+H1592*INDEX('Position_Rubric'!$F$6:$F$14,M1592)+I1592*INDEX('Position_Rubric'!$G$6:$G$14,M1592),1)))))</x:f>
        <x:v>Choose position</x:v>
      </x:c>
      <x:c r="K1592" s="82" t="str">
        <x:f>IF(AND(ISNUMBER(J1592),ISNUMBER(D1592)),J1592-D1592,"")</x:f>
      </x:c>
      <x:c r="L1592" s="69" t="str">
        <x:f>IF(COUNT(E1592:I1592)&lt;5,"Needs component scores",IF(ISNUMBER(J1592),"Calculated",J1592))</x:f>
        <x:v>Needs component scores</x:v>
      </x:c>
      <x:c r="M1592" s="69" t="str">
        <x:f>IF(C1592="","",MATCH(C1592,'Position_Rubric'!$A$6:$A$14,0))</x:f>
      </x:c>
      <x:c r="N1592" s="69" t="str"/>
    </x:row>
    <x:row r="1593" ht="25" customHeight="1">
      <x:c r="A1593" s="69" t="str">
        <x:v>summer-S26-1355</x:v>
      </x:c>
      <x:c r="B1593" s="69" t="str">
        <x:v>Liam Kitching</x:v>
      </x:c>
      <x:c r="C1593" s="69"/>
      <x:c r="D1593" s="82" t="str">
        <x:f>IF(ISNUMBER('Transfer_Ratings'!K1593),'Transfer_Ratings'!K1593,"")</x:f>
      </x:c>
      <x:c r="E1593" s="86"/>
      <x:c r="F1593" s="86"/>
      <x:c r="G1593" s="86"/>
      <x:c r="H1593" s="86"/>
      <x:c r="I1593" s="86"/>
      <x:c r="J1593" s="82" t="str">
        <x:f>IF(C1593="","Choose position",IF(COUNT(E1593:I1593)&lt;5,"",IF(OR(MIN(E1593:I1593)&lt;0.1,MAX(E1593:I1593)&gt;10),"Invalid score",IF(INDEX('Position_Rubric'!$H$6:$H$14,M1593)&lt;&gt;1,"Check weights",ROUND(E1593*INDEX('Position_Rubric'!$C$6:$C$14,M1593)+F1593*INDEX('Position_Rubric'!$D$6:$D$14,M1593)+G1593*INDEX('Position_Rubric'!$E$6:$E$14,M1593)+H1593*INDEX('Position_Rubric'!$F$6:$F$14,M1593)+I1593*INDEX('Position_Rubric'!$G$6:$G$14,M1593),1)))))</x:f>
        <x:v>Choose position</x:v>
      </x:c>
      <x:c r="K1593" s="82" t="str">
        <x:f>IF(AND(ISNUMBER(J1593),ISNUMBER(D1593)),J1593-D1593,"")</x:f>
      </x:c>
      <x:c r="L1593" s="69" t="str">
        <x:f>IF(COUNT(E1593:I1593)&lt;5,"Needs component scores",IF(ISNUMBER(J1593),"Calculated",J1593))</x:f>
        <x:v>Needs component scores</x:v>
      </x:c>
      <x:c r="M1593" s="69" t="str">
        <x:f>IF(C1593="","",MATCH(C1593,'Position_Rubric'!$A$6:$A$14,0))</x:f>
      </x:c>
      <x:c r="N1593" s="69" t="str"/>
    </x:row>
    <x:row r="1594" ht="25" customHeight="1">
      <x:c r="A1594" s="69" t="str">
        <x:v>summer-S26-1356</x:v>
      </x:c>
      <x:c r="B1594" s="69" t="str">
        <x:v>Borna Sosa</x:v>
      </x:c>
      <x:c r="C1594" s="69"/>
      <x:c r="D1594" s="82" t="str">
        <x:f>IF(ISNUMBER('Transfer_Ratings'!K1594),'Transfer_Ratings'!K1594,"")</x:f>
      </x:c>
      <x:c r="E1594" s="86"/>
      <x:c r="F1594" s="86"/>
      <x:c r="G1594" s="86"/>
      <x:c r="H1594" s="86"/>
      <x:c r="I1594" s="86"/>
      <x:c r="J1594" s="82" t="str">
        <x:f>IF(C1594="","Choose position",IF(COUNT(E1594:I1594)&lt;5,"",IF(OR(MIN(E1594:I1594)&lt;0.1,MAX(E1594:I1594)&gt;10),"Invalid score",IF(INDEX('Position_Rubric'!$H$6:$H$14,M1594)&lt;&gt;1,"Check weights",ROUND(E1594*INDEX('Position_Rubric'!$C$6:$C$14,M1594)+F1594*INDEX('Position_Rubric'!$D$6:$D$14,M1594)+G1594*INDEX('Position_Rubric'!$E$6:$E$14,M1594)+H1594*INDEX('Position_Rubric'!$F$6:$F$14,M1594)+I1594*INDEX('Position_Rubric'!$G$6:$G$14,M1594),1)))))</x:f>
        <x:v>Choose position</x:v>
      </x:c>
      <x:c r="K1594" s="82" t="str">
        <x:f>IF(AND(ISNUMBER(J1594),ISNUMBER(D1594)),J1594-D1594,"")</x:f>
      </x:c>
      <x:c r="L1594" s="69" t="str">
        <x:f>IF(COUNT(E1594:I1594)&lt;5,"Needs component scores",IF(ISNUMBER(J1594),"Calculated",J1594))</x:f>
        <x:v>Needs component scores</x:v>
      </x:c>
      <x:c r="M1594" s="69" t="str">
        <x:f>IF(C1594="","",MATCH(C1594,'Position_Rubric'!$A$6:$A$14,0))</x:f>
      </x:c>
      <x:c r="N1594" s="69" t="str"/>
    </x:row>
    <x:row r="1595" ht="25" customHeight="1">
      <x:c r="A1595" s="69" t="str">
        <x:v>summer-S26-1358</x:v>
      </x:c>
      <x:c r="B1595" s="69" t="str">
        <x:v>Roy Revivo</x:v>
      </x:c>
      <x:c r="C1595" s="69"/>
      <x:c r="D1595" s="82" t="str">
        <x:f>IF(ISNUMBER('Transfer_Ratings'!K1595),'Transfer_Ratings'!K1595,"")</x:f>
      </x:c>
      <x:c r="E1595" s="86"/>
      <x:c r="F1595" s="86"/>
      <x:c r="G1595" s="86"/>
      <x:c r="H1595" s="86"/>
      <x:c r="I1595" s="86"/>
      <x:c r="J1595" s="82" t="str">
        <x:f>IF(C1595="","Choose position",IF(COUNT(E1595:I1595)&lt;5,"",IF(OR(MIN(E1595:I1595)&lt;0.1,MAX(E1595:I1595)&gt;10),"Invalid score",IF(INDEX('Position_Rubric'!$H$6:$H$14,M1595)&lt;&gt;1,"Check weights",ROUND(E1595*INDEX('Position_Rubric'!$C$6:$C$14,M1595)+F1595*INDEX('Position_Rubric'!$D$6:$D$14,M1595)+G1595*INDEX('Position_Rubric'!$E$6:$E$14,M1595)+H1595*INDEX('Position_Rubric'!$F$6:$F$14,M1595)+I1595*INDEX('Position_Rubric'!$G$6:$G$14,M1595),1)))))</x:f>
        <x:v>Choose position</x:v>
      </x:c>
      <x:c r="K1595" s="82" t="str">
        <x:f>IF(AND(ISNUMBER(J1595),ISNUMBER(D1595)),J1595-D1595,"")</x:f>
      </x:c>
      <x:c r="L1595" s="69" t="str">
        <x:f>IF(COUNT(E1595:I1595)&lt;5,"Needs component scores",IF(ISNUMBER(J1595),"Calculated",J1595))</x:f>
        <x:v>Needs component scores</x:v>
      </x:c>
      <x:c r="M1595" s="69" t="str">
        <x:f>IF(C1595="","",MATCH(C1595,'Position_Rubric'!$A$6:$A$14,0))</x:f>
      </x:c>
      <x:c r="N1595" s="69" t="str"/>
    </x:row>
    <x:row r="1596" ht="25" customHeight="1">
      <x:c r="A1596" s="69" t="str">
        <x:v>summer-S26-1359</x:v>
      </x:c>
      <x:c r="B1596" s="69" t="str">
        <x:v>Morato</x:v>
      </x:c>
      <x:c r="C1596" s="69"/>
      <x:c r="D1596" s="82" t="str">
        <x:f>IF(ISNUMBER('Transfer_Ratings'!K1596),'Transfer_Ratings'!K1596,"")</x:f>
      </x:c>
      <x:c r="E1596" s="86"/>
      <x:c r="F1596" s="86"/>
      <x:c r="G1596" s="86"/>
      <x:c r="H1596" s="86"/>
      <x:c r="I1596" s="86"/>
      <x:c r="J1596" s="82" t="str">
        <x:f>IF(C1596="","Choose position",IF(COUNT(E1596:I1596)&lt;5,"",IF(OR(MIN(E1596:I1596)&lt;0.1,MAX(E1596:I1596)&gt;10),"Invalid score",IF(INDEX('Position_Rubric'!$H$6:$H$14,M1596)&lt;&gt;1,"Check weights",ROUND(E1596*INDEX('Position_Rubric'!$C$6:$C$14,M1596)+F1596*INDEX('Position_Rubric'!$D$6:$D$14,M1596)+G1596*INDEX('Position_Rubric'!$E$6:$E$14,M1596)+H1596*INDEX('Position_Rubric'!$F$6:$F$14,M1596)+I1596*INDEX('Position_Rubric'!$G$6:$G$14,M1596),1)))))</x:f>
        <x:v>Choose position</x:v>
      </x:c>
      <x:c r="K1596" s="82" t="str">
        <x:f>IF(AND(ISNUMBER(J1596),ISNUMBER(D1596)),J1596-D1596,"")</x:f>
      </x:c>
      <x:c r="L1596" s="69" t="str">
        <x:f>IF(COUNT(E1596:I1596)&lt;5,"Needs component scores",IF(ISNUMBER(J1596),"Calculated",J1596))</x:f>
        <x:v>Needs component scores</x:v>
      </x:c>
      <x:c r="M1596" s="69" t="str">
        <x:f>IF(C1596="","",MATCH(C1596,'Position_Rubric'!$A$6:$A$14,0))</x:f>
      </x:c>
      <x:c r="N1596" s="69" t="str"/>
    </x:row>
    <x:row r="1597" ht="25" customHeight="1">
      <x:c r="A1597" s="69" t="str">
        <x:v>summer-S26-1362</x:v>
      </x:c>
      <x:c r="B1597" s="69" t="str">
        <x:v>Elijah Campbell</x:v>
      </x:c>
      <x:c r="C1597" s="69"/>
      <x:c r="D1597" s="82" t="str">
        <x:f>IF(ISNUMBER('Transfer_Ratings'!K1597),'Transfer_Ratings'!K1597,"")</x:f>
      </x:c>
      <x:c r="E1597" s="86"/>
      <x:c r="F1597" s="86"/>
      <x:c r="G1597" s="86"/>
      <x:c r="H1597" s="86"/>
      <x:c r="I1597" s="86"/>
      <x:c r="J1597" s="82" t="str">
        <x:f>IF(C1597="","Choose position",IF(COUNT(E1597:I1597)&lt;5,"",IF(OR(MIN(E1597:I1597)&lt;0.1,MAX(E1597:I1597)&gt;10),"Invalid score",IF(INDEX('Position_Rubric'!$H$6:$H$14,M1597)&lt;&gt;1,"Check weights",ROUND(E1597*INDEX('Position_Rubric'!$C$6:$C$14,M1597)+F1597*INDEX('Position_Rubric'!$D$6:$D$14,M1597)+G1597*INDEX('Position_Rubric'!$E$6:$E$14,M1597)+H1597*INDEX('Position_Rubric'!$F$6:$F$14,M1597)+I1597*INDEX('Position_Rubric'!$G$6:$G$14,M1597),1)))))</x:f>
        <x:v>Choose position</x:v>
      </x:c>
      <x:c r="K1597" s="82" t="str">
        <x:f>IF(AND(ISNUMBER(J1597),ISNUMBER(D1597)),J1597-D1597,"")</x:f>
      </x:c>
      <x:c r="L1597" s="69" t="str">
        <x:f>IF(COUNT(E1597:I1597)&lt;5,"Needs component scores",IF(ISNUMBER(J1597),"Calculated",J1597))</x:f>
        <x:v>Needs component scores</x:v>
      </x:c>
      <x:c r="M1597" s="69" t="str">
        <x:f>IF(C1597="","",MATCH(C1597,'Position_Rubric'!$A$6:$A$14,0))</x:f>
      </x:c>
      <x:c r="N1597" s="69" t="str"/>
    </x:row>
    <x:row r="1598" ht="25" customHeight="1">
      <x:c r="A1598" s="69" t="str">
        <x:v>summer-S26-1363</x:v>
      </x:c>
      <x:c r="B1598" s="69" t="str">
        <x:v>Brad Burrowes</x:v>
      </x:c>
      <x:c r="C1598" s="69"/>
      <x:c r="D1598" s="82" t="str">
        <x:f>IF(ISNUMBER('Transfer_Ratings'!K1598),'Transfer_Ratings'!K1598,"")</x:f>
      </x:c>
      <x:c r="E1598" s="86"/>
      <x:c r="F1598" s="86"/>
      <x:c r="G1598" s="86"/>
      <x:c r="H1598" s="86"/>
      <x:c r="I1598" s="86"/>
      <x:c r="J1598" s="82" t="str">
        <x:f>IF(C1598="","Choose position",IF(COUNT(E1598:I1598)&lt;5,"",IF(OR(MIN(E1598:I1598)&lt;0.1,MAX(E1598:I1598)&gt;10),"Invalid score",IF(INDEX('Position_Rubric'!$H$6:$H$14,M1598)&lt;&gt;1,"Check weights",ROUND(E1598*INDEX('Position_Rubric'!$C$6:$C$14,M1598)+F1598*INDEX('Position_Rubric'!$D$6:$D$14,M1598)+G1598*INDEX('Position_Rubric'!$E$6:$E$14,M1598)+H1598*INDEX('Position_Rubric'!$F$6:$F$14,M1598)+I1598*INDEX('Position_Rubric'!$G$6:$G$14,M1598),1)))))</x:f>
        <x:v>Choose position</x:v>
      </x:c>
      <x:c r="K1598" s="82" t="str">
        <x:f>IF(AND(ISNUMBER(J1598),ISNUMBER(D1598)),J1598-D1598,"")</x:f>
      </x:c>
      <x:c r="L1598" s="69" t="str">
        <x:f>IF(COUNT(E1598:I1598)&lt;5,"Needs component scores",IF(ISNUMBER(J1598),"Calculated",J1598))</x:f>
        <x:v>Needs component scores</x:v>
      </x:c>
      <x:c r="M1598" s="69" t="str">
        <x:f>IF(C1598="","",MATCH(C1598,'Position_Rubric'!$A$6:$A$14,0))</x:f>
      </x:c>
      <x:c r="N1598" s="69" t="str"/>
    </x:row>
    <x:row r="1599" ht="25" customHeight="1">
      <x:c r="A1599" s="69" t="str">
        <x:v>summer-S26-1366</x:v>
      </x:c>
      <x:c r="B1599" s="69" t="str">
        <x:v>Neil El Aynaoui</x:v>
      </x:c>
      <x:c r="C1599" s="69"/>
      <x:c r="D1599" s="82" t="str">
        <x:f>IF(ISNUMBER('Transfer_Ratings'!K1599),'Transfer_Ratings'!K1599,"")</x:f>
      </x:c>
      <x:c r="E1599" s="86"/>
      <x:c r="F1599" s="86"/>
      <x:c r="G1599" s="86"/>
      <x:c r="H1599" s="86"/>
      <x:c r="I1599" s="86"/>
      <x:c r="J1599" s="82" t="str">
        <x:f>IF(C1599="","Choose position",IF(COUNT(E1599:I1599)&lt;5,"",IF(OR(MIN(E1599:I1599)&lt;0.1,MAX(E1599:I1599)&gt;10),"Invalid score",IF(INDEX('Position_Rubric'!$H$6:$H$14,M1599)&lt;&gt;1,"Check weights",ROUND(E1599*INDEX('Position_Rubric'!$C$6:$C$14,M1599)+F1599*INDEX('Position_Rubric'!$D$6:$D$14,M1599)+G1599*INDEX('Position_Rubric'!$E$6:$E$14,M1599)+H1599*INDEX('Position_Rubric'!$F$6:$F$14,M1599)+I1599*INDEX('Position_Rubric'!$G$6:$G$14,M1599),1)))))</x:f>
        <x:v>Choose position</x:v>
      </x:c>
      <x:c r="K1599" s="82" t="str">
        <x:f>IF(AND(ISNUMBER(J1599),ISNUMBER(D1599)),J1599-D1599,"")</x:f>
      </x:c>
      <x:c r="L1599" s="69" t="str">
        <x:f>IF(COUNT(E1599:I1599)&lt;5,"Needs component scores",IF(ISNUMBER(J1599),"Calculated",J1599))</x:f>
        <x:v>Needs component scores</x:v>
      </x:c>
      <x:c r="M1599" s="69" t="str">
        <x:f>IF(C1599="","",MATCH(C1599,'Position_Rubric'!$A$6:$A$14,0))</x:f>
      </x:c>
      <x:c r="N1599" s="69" t="str"/>
    </x:row>
    <x:row r="1600" ht="25" customHeight="1">
      <x:c r="A1600" s="69" t="str">
        <x:v>summer-S26-1367</x:v>
      </x:c>
      <x:c r="B1600" s="69" t="str">
        <x:v>Federico Cassa</x:v>
      </x:c>
      <x:c r="C1600" s="69"/>
      <x:c r="D1600" s="82" t="str">
        <x:f>IF(ISNUMBER('Transfer_Ratings'!K1600),'Transfer_Ratings'!K1600,"")</x:f>
      </x:c>
      <x:c r="E1600" s="86"/>
      <x:c r="F1600" s="86"/>
      <x:c r="G1600" s="86"/>
      <x:c r="H1600" s="86"/>
      <x:c r="I1600" s="86"/>
      <x:c r="J1600" s="82" t="str">
        <x:f>IF(C1600="","Choose position",IF(COUNT(E1600:I1600)&lt;5,"",IF(OR(MIN(E1600:I1600)&lt;0.1,MAX(E1600:I1600)&gt;10),"Invalid score",IF(INDEX('Position_Rubric'!$H$6:$H$14,M1600)&lt;&gt;1,"Check weights",ROUND(E1600*INDEX('Position_Rubric'!$C$6:$C$14,M1600)+F1600*INDEX('Position_Rubric'!$D$6:$D$14,M1600)+G1600*INDEX('Position_Rubric'!$E$6:$E$14,M1600)+H1600*INDEX('Position_Rubric'!$F$6:$F$14,M1600)+I1600*INDEX('Position_Rubric'!$G$6:$G$14,M1600),1)))))</x:f>
        <x:v>Choose position</x:v>
      </x:c>
      <x:c r="K1600" s="82" t="str">
        <x:f>IF(AND(ISNUMBER(J1600),ISNUMBER(D1600)),J1600-D1600,"")</x:f>
      </x:c>
      <x:c r="L1600" s="69" t="str">
        <x:f>IF(COUNT(E1600:I1600)&lt;5,"Needs component scores",IF(ISNUMBER(J1600),"Calculated",J1600))</x:f>
        <x:v>Needs component scores</x:v>
      </x:c>
      <x:c r="M1600" s="69" t="str">
        <x:f>IF(C1600="","",MATCH(C1600,'Position_Rubric'!$A$6:$A$14,0))</x:f>
      </x:c>
      <x:c r="N1600" s="69" t="str"/>
    </x:row>
    <x:row r="1601" ht="25" customHeight="1">
      <x:c r="A1601" s="69" t="str">
        <x:v>summer-S26-1368</x:v>
      </x:c>
      <x:c r="B1601" s="69" t="str">
        <x:v>George Abbott</x:v>
      </x:c>
      <x:c r="C1601" s="69"/>
      <x:c r="D1601" s="82" t="str">
        <x:f>IF(ISNUMBER('Transfer_Ratings'!K1601),'Transfer_Ratings'!K1601,"")</x:f>
      </x:c>
      <x:c r="E1601" s="86"/>
      <x:c r="F1601" s="86"/>
      <x:c r="G1601" s="86"/>
      <x:c r="H1601" s="86"/>
      <x:c r="I1601" s="86"/>
      <x:c r="J1601" s="82" t="str">
        <x:f>IF(C1601="","Choose position",IF(COUNT(E1601:I1601)&lt;5,"",IF(OR(MIN(E1601:I1601)&lt;0.1,MAX(E1601:I1601)&gt;10),"Invalid score",IF(INDEX('Position_Rubric'!$H$6:$H$14,M1601)&lt;&gt;1,"Check weights",ROUND(E1601*INDEX('Position_Rubric'!$C$6:$C$14,M1601)+F1601*INDEX('Position_Rubric'!$D$6:$D$14,M1601)+G1601*INDEX('Position_Rubric'!$E$6:$E$14,M1601)+H1601*INDEX('Position_Rubric'!$F$6:$F$14,M1601)+I1601*INDEX('Position_Rubric'!$G$6:$G$14,M1601),1)))))</x:f>
        <x:v>Choose position</x:v>
      </x:c>
      <x:c r="K1601" s="82" t="str">
        <x:f>IF(AND(ISNUMBER(J1601),ISNUMBER(D1601)),J1601-D1601,"")</x:f>
      </x:c>
      <x:c r="L1601" s="69" t="str">
        <x:f>IF(COUNT(E1601:I1601)&lt;5,"Needs component scores",IF(ISNUMBER(J1601),"Calculated",J1601))</x:f>
        <x:v>Needs component scores</x:v>
      </x:c>
      <x:c r="M1601" s="69" t="str">
        <x:f>IF(C1601="","",MATCH(C1601,'Position_Rubric'!$A$6:$A$14,0))</x:f>
      </x:c>
      <x:c r="N1601" s="69" t="str"/>
    </x:row>
    <x:row r="1602" ht="25" customHeight="1">
      <x:c r="A1602" s="69" t="str">
        <x:v>summer-S26-1369</x:v>
      </x:c>
      <x:c r="B1602" s="69" t="str">
        <x:v>Sebastián Cáceres</x:v>
      </x:c>
      <x:c r="C1602" s="69"/>
      <x:c r="D1602" s="82" t="str">
        <x:f>IF(ISNUMBER('Transfer_Ratings'!K1602),'Transfer_Ratings'!K1602,"")</x:f>
      </x:c>
      <x:c r="E1602" s="86"/>
      <x:c r="F1602" s="86"/>
      <x:c r="G1602" s="86"/>
      <x:c r="H1602" s="86"/>
      <x:c r="I1602" s="86"/>
      <x:c r="J1602" s="82" t="str">
        <x:f>IF(C1602="","Choose position",IF(COUNT(E1602:I1602)&lt;5,"",IF(OR(MIN(E1602:I1602)&lt;0.1,MAX(E1602:I1602)&gt;10),"Invalid score",IF(INDEX('Position_Rubric'!$H$6:$H$14,M1602)&lt;&gt;1,"Check weights",ROUND(E1602*INDEX('Position_Rubric'!$C$6:$C$14,M1602)+F1602*INDEX('Position_Rubric'!$D$6:$D$14,M1602)+G1602*INDEX('Position_Rubric'!$E$6:$E$14,M1602)+H1602*INDEX('Position_Rubric'!$F$6:$F$14,M1602)+I1602*INDEX('Position_Rubric'!$G$6:$G$14,M1602),1)))))</x:f>
        <x:v>Choose position</x:v>
      </x:c>
      <x:c r="K1602" s="82" t="str">
        <x:f>IF(AND(ISNUMBER(J1602),ISNUMBER(D1602)),J1602-D1602,"")</x:f>
      </x:c>
      <x:c r="L1602" s="69" t="str">
        <x:f>IF(COUNT(E1602:I1602)&lt;5,"Needs component scores",IF(ISNUMBER(J1602),"Calculated",J1602))</x:f>
        <x:v>Needs component scores</x:v>
      </x:c>
      <x:c r="M1602" s="69" t="str">
        <x:f>IF(C1602="","",MATCH(C1602,'Position_Rubric'!$A$6:$A$14,0))</x:f>
      </x:c>
      <x:c r="N1602" s="69" t="str"/>
    </x:row>
    <x:row r="1603" ht="25" customHeight="1">
      <x:c r="A1603" s="69" t="str">
        <x:v>summer-S26-1370</x:v>
      </x:c>
      <x:c r="B1603" s="69" t="str">
        <x:v>Mujaid Sadick</x:v>
      </x:c>
      <x:c r="C1603" s="69"/>
      <x:c r="D1603" s="82" t="str">
        <x:f>IF(ISNUMBER('Transfer_Ratings'!K1603),'Transfer_Ratings'!K1603,"")</x:f>
      </x:c>
      <x:c r="E1603" s="86"/>
      <x:c r="F1603" s="86"/>
      <x:c r="G1603" s="86"/>
      <x:c r="H1603" s="86"/>
      <x:c r="I1603" s="86"/>
      <x:c r="J1603" s="82" t="str">
        <x:f>IF(C1603="","Choose position",IF(COUNT(E1603:I1603)&lt;5,"",IF(OR(MIN(E1603:I1603)&lt;0.1,MAX(E1603:I1603)&gt;10),"Invalid score",IF(INDEX('Position_Rubric'!$H$6:$H$14,M1603)&lt;&gt;1,"Check weights",ROUND(E1603*INDEX('Position_Rubric'!$C$6:$C$14,M1603)+F1603*INDEX('Position_Rubric'!$D$6:$D$14,M1603)+G1603*INDEX('Position_Rubric'!$E$6:$E$14,M1603)+H1603*INDEX('Position_Rubric'!$F$6:$F$14,M1603)+I1603*INDEX('Position_Rubric'!$G$6:$G$14,M1603),1)))))</x:f>
        <x:v>Choose position</x:v>
      </x:c>
      <x:c r="K1603" s="82" t="str">
        <x:f>IF(AND(ISNUMBER(J1603),ISNUMBER(D1603)),J1603-D1603,"")</x:f>
      </x:c>
      <x:c r="L1603" s="69" t="str">
        <x:f>IF(COUNT(E1603:I1603)&lt;5,"Needs component scores",IF(ISNUMBER(J1603),"Calculated",J1603))</x:f>
        <x:v>Needs component scores</x:v>
      </x:c>
      <x:c r="M1603" s="69" t="str">
        <x:f>IF(C1603="","",MATCH(C1603,'Position_Rubric'!$A$6:$A$14,0))</x:f>
      </x:c>
      <x:c r="N1603" s="69" t="str"/>
    </x:row>
    <x:row r="1604" ht="25" customHeight="1">
      <x:c r="A1604" s="69" t="str">
        <x:v>summer-S26-1371</x:v>
      </x:c>
      <x:c r="B1604" s="69" t="str">
        <x:v>Tom Wisbereit</x:v>
      </x:c>
      <x:c r="C1604" s="69" t="str">
        <x:v>GK</x:v>
      </x:c>
      <x:c r="D1604" s="82" t="str">
        <x:f>IF(ISNUMBER('Transfer_Ratings'!K1604),'Transfer_Ratings'!K1604,"")</x:f>
      </x:c>
      <x:c r="E1604" s="86"/>
      <x:c r="F1604" s="86"/>
      <x:c r="G1604" s="86"/>
      <x:c r="H1604" s="86"/>
      <x:c r="I1604" s="86"/>
      <x:c r="J1604" s="82" t="str">
        <x:f>IF(C1604="","Choose position",IF(COUNT(E1604:I1604)&lt;5,"",IF(OR(MIN(E1604:I1604)&lt;0.1,MAX(E1604:I1604)&gt;10),"Invalid score",IF(INDEX('Position_Rubric'!$H$6:$H$14,M1604)&lt;&gt;1,"Check weights",ROUND(E1604*INDEX('Position_Rubric'!$C$6:$C$14,M1604)+F1604*INDEX('Position_Rubric'!$D$6:$D$14,M1604)+G1604*INDEX('Position_Rubric'!$E$6:$E$14,M1604)+H1604*INDEX('Position_Rubric'!$F$6:$F$14,M1604)+I1604*INDEX('Position_Rubric'!$G$6:$G$14,M1604),1)))))</x:f>
      </x:c>
      <x:c r="K1604" s="82" t="str">
        <x:f>IF(AND(ISNUMBER(J1604),ISNUMBER(D1604)),J1604-D1604,"")</x:f>
      </x:c>
      <x:c r="L1604" s="69" t="str">
        <x:f>IF(COUNT(E1604:I1604)&lt;5,"Needs component scores",IF(ISNUMBER(J1604),"Calculated",J1604))</x:f>
        <x:v>Needs component scores</x:v>
      </x:c>
      <x:c r="M1604" s="69" t="n">
        <x:f>IF(C1604="","",MATCH(C1604,'Position_Rubric'!$A$6:$A$14,0))</x:f>
        <x:v>9</x:v>
      </x:c>
      <x:c r="N1604" s="69" t="str"/>
    </x:row>
    <x:row r="1605" ht="25" customHeight="1">
      <x:c r="A1605" s="69" t="str">
        <x:v>summer-S26-1373</x:v>
      </x:c>
      <x:c r="B1605" s="69" t="str">
        <x:v>Álvaro Cortés</x:v>
      </x:c>
      <x:c r="C1605" s="69"/>
      <x:c r="D1605" s="82" t="str">
        <x:f>IF(ISNUMBER('Transfer_Ratings'!K1605),'Transfer_Ratings'!K1605,"")</x:f>
      </x:c>
      <x:c r="E1605" s="86"/>
      <x:c r="F1605" s="86"/>
      <x:c r="G1605" s="86"/>
      <x:c r="H1605" s="86"/>
      <x:c r="I1605" s="86"/>
      <x:c r="J1605" s="82" t="str">
        <x:f>IF(C1605="","Choose position",IF(COUNT(E1605:I1605)&lt;5,"",IF(OR(MIN(E1605:I1605)&lt;0.1,MAX(E1605:I1605)&gt;10),"Invalid score",IF(INDEX('Position_Rubric'!$H$6:$H$14,M1605)&lt;&gt;1,"Check weights",ROUND(E1605*INDEX('Position_Rubric'!$C$6:$C$14,M1605)+F1605*INDEX('Position_Rubric'!$D$6:$D$14,M1605)+G1605*INDEX('Position_Rubric'!$E$6:$E$14,M1605)+H1605*INDEX('Position_Rubric'!$F$6:$F$14,M1605)+I1605*INDEX('Position_Rubric'!$G$6:$G$14,M1605),1)))))</x:f>
        <x:v>Choose position</x:v>
      </x:c>
      <x:c r="K1605" s="82" t="str">
        <x:f>IF(AND(ISNUMBER(J1605),ISNUMBER(D1605)),J1605-D1605,"")</x:f>
      </x:c>
      <x:c r="L1605" s="69" t="str">
        <x:f>IF(COUNT(E1605:I1605)&lt;5,"Needs component scores",IF(ISNUMBER(J1605),"Calculated",J1605))</x:f>
        <x:v>Needs component scores</x:v>
      </x:c>
      <x:c r="M1605" s="69" t="str">
        <x:f>IF(C1605="","",MATCH(C1605,'Position_Rubric'!$A$6:$A$14,0))</x:f>
      </x:c>
      <x:c r="N1605" s="69" t="str"/>
    </x:row>
    <x:row r="1606" ht="25" customHeight="1">
      <x:c r="A1606" s="69" t="str">
        <x:v>summer-S26-1374</x:v>
      </x:c>
      <x:c r="B1606" s="69" t="str">
        <x:v>Manuel Ángel</x:v>
      </x:c>
      <x:c r="C1606" s="69"/>
      <x:c r="D1606" s="82" t="str">
        <x:f>IF(ISNUMBER('Transfer_Ratings'!K1606),'Transfer_Ratings'!K1606,"")</x:f>
      </x:c>
      <x:c r="E1606" s="86"/>
      <x:c r="F1606" s="86"/>
      <x:c r="G1606" s="86"/>
      <x:c r="H1606" s="86"/>
      <x:c r="I1606" s="86"/>
      <x:c r="J1606" s="82" t="str">
        <x:f>IF(C1606="","Choose position",IF(COUNT(E1606:I1606)&lt;5,"",IF(OR(MIN(E1606:I1606)&lt;0.1,MAX(E1606:I1606)&gt;10),"Invalid score",IF(INDEX('Position_Rubric'!$H$6:$H$14,M1606)&lt;&gt;1,"Check weights",ROUND(E1606*INDEX('Position_Rubric'!$C$6:$C$14,M1606)+F1606*INDEX('Position_Rubric'!$D$6:$D$14,M1606)+G1606*INDEX('Position_Rubric'!$E$6:$E$14,M1606)+H1606*INDEX('Position_Rubric'!$F$6:$F$14,M1606)+I1606*INDEX('Position_Rubric'!$G$6:$G$14,M1606),1)))))</x:f>
        <x:v>Choose position</x:v>
      </x:c>
      <x:c r="K1606" s="82" t="str">
        <x:f>IF(AND(ISNUMBER(J1606),ISNUMBER(D1606)),J1606-D1606,"")</x:f>
      </x:c>
      <x:c r="L1606" s="69" t="str">
        <x:f>IF(COUNT(E1606:I1606)&lt;5,"Needs component scores",IF(ISNUMBER(J1606),"Calculated",J1606))</x:f>
        <x:v>Needs component scores</x:v>
      </x:c>
      <x:c r="M1606" s="69" t="str">
        <x:f>IF(C1606="","",MATCH(C1606,'Position_Rubric'!$A$6:$A$14,0))</x:f>
      </x:c>
      <x:c r="N1606" s="69" t="str"/>
    </x:row>
    <x:row r="1607" ht="25" customHeight="1">
      <x:c r="A1607" s="69" t="str">
        <x:v>summer-S26-1375</x:v>
      </x:c>
      <x:c r="B1607" s="69" t="str">
        <x:v>Lilian Brassier</x:v>
      </x:c>
      <x:c r="C1607" s="69"/>
      <x:c r="D1607" s="82" t="str">
        <x:f>IF(ISNUMBER('Transfer_Ratings'!K1607),'Transfer_Ratings'!K1607,"")</x:f>
      </x:c>
      <x:c r="E1607" s="86"/>
      <x:c r="F1607" s="86"/>
      <x:c r="G1607" s="86"/>
      <x:c r="H1607" s="86"/>
      <x:c r="I1607" s="86"/>
      <x:c r="J1607" s="82" t="str">
        <x:f>IF(C1607="","Choose position",IF(COUNT(E1607:I1607)&lt;5,"",IF(OR(MIN(E1607:I1607)&lt;0.1,MAX(E1607:I1607)&gt;10),"Invalid score",IF(INDEX('Position_Rubric'!$H$6:$H$14,M1607)&lt;&gt;1,"Check weights",ROUND(E1607*INDEX('Position_Rubric'!$C$6:$C$14,M1607)+F1607*INDEX('Position_Rubric'!$D$6:$D$14,M1607)+G1607*INDEX('Position_Rubric'!$E$6:$E$14,M1607)+H1607*INDEX('Position_Rubric'!$F$6:$F$14,M1607)+I1607*INDEX('Position_Rubric'!$G$6:$G$14,M1607),1)))))</x:f>
        <x:v>Choose position</x:v>
      </x:c>
      <x:c r="K1607" s="82" t="str">
        <x:f>IF(AND(ISNUMBER(J1607),ISNUMBER(D1607)),J1607-D1607,"")</x:f>
      </x:c>
      <x:c r="L1607" s="69" t="str">
        <x:f>IF(COUNT(E1607:I1607)&lt;5,"Needs component scores",IF(ISNUMBER(J1607),"Calculated",J1607))</x:f>
        <x:v>Needs component scores</x:v>
      </x:c>
      <x:c r="M1607" s="69" t="str">
        <x:f>IF(C1607="","",MATCH(C1607,'Position_Rubric'!$A$6:$A$14,0))</x:f>
      </x:c>
      <x:c r="N1607" s="69" t="str"/>
    </x:row>
    <x:row r="1608" ht="25" customHeight="1">
      <x:c r="A1608" s="69" t="str">
        <x:v>summer-S26-1377</x:v>
      </x:c>
      <x:c r="B1608" s="69" t="str">
        <x:v>Alessandro Di Bitonto</x:v>
      </x:c>
      <x:c r="C1608" s="69"/>
      <x:c r="D1608" s="82" t="str">
        <x:f>IF(ISNUMBER('Transfer_Ratings'!K1608),'Transfer_Ratings'!K1608,"")</x:f>
      </x:c>
      <x:c r="E1608" s="86"/>
      <x:c r="F1608" s="86"/>
      <x:c r="G1608" s="86"/>
      <x:c r="H1608" s="86"/>
      <x:c r="I1608" s="86"/>
      <x:c r="J1608" s="82" t="str">
        <x:f>IF(C1608="","Choose position",IF(COUNT(E1608:I1608)&lt;5,"",IF(OR(MIN(E1608:I1608)&lt;0.1,MAX(E1608:I1608)&gt;10),"Invalid score",IF(INDEX('Position_Rubric'!$H$6:$H$14,M1608)&lt;&gt;1,"Check weights",ROUND(E1608*INDEX('Position_Rubric'!$C$6:$C$14,M1608)+F1608*INDEX('Position_Rubric'!$D$6:$D$14,M1608)+G1608*INDEX('Position_Rubric'!$E$6:$E$14,M1608)+H1608*INDEX('Position_Rubric'!$F$6:$F$14,M1608)+I1608*INDEX('Position_Rubric'!$G$6:$G$14,M1608),1)))))</x:f>
        <x:v>Choose position</x:v>
      </x:c>
      <x:c r="K1608" s="82" t="str">
        <x:f>IF(AND(ISNUMBER(J1608),ISNUMBER(D1608)),J1608-D1608,"")</x:f>
      </x:c>
      <x:c r="L1608" s="69" t="str">
        <x:f>IF(COUNT(E1608:I1608)&lt;5,"Needs component scores",IF(ISNUMBER(J1608),"Calculated",J1608))</x:f>
        <x:v>Needs component scores</x:v>
      </x:c>
      <x:c r="M1608" s="69" t="str">
        <x:f>IF(C1608="","",MATCH(C1608,'Position_Rubric'!$A$6:$A$14,0))</x:f>
      </x:c>
      <x:c r="N1608" s="69" t="str"/>
    </x:row>
    <x:row r="1609" ht="25" customHeight="1">
      <x:c r="A1609" s="69" t="str">
        <x:v>summer-S26-1379</x:v>
      </x:c>
      <x:c r="B1609" s="69" t="str">
        <x:v>Rolando Mandragora</x:v>
      </x:c>
      <x:c r="C1609" s="69"/>
      <x:c r="D1609" s="82" t="str">
        <x:f>IF(ISNUMBER('Transfer_Ratings'!K1609),'Transfer_Ratings'!K1609,"")</x:f>
      </x:c>
      <x:c r="E1609" s="86"/>
      <x:c r="F1609" s="86"/>
      <x:c r="G1609" s="86"/>
      <x:c r="H1609" s="86"/>
      <x:c r="I1609" s="86"/>
      <x:c r="J1609" s="82" t="str">
        <x:f>IF(C1609="","Choose position",IF(COUNT(E1609:I1609)&lt;5,"",IF(OR(MIN(E1609:I1609)&lt;0.1,MAX(E1609:I1609)&gt;10),"Invalid score",IF(INDEX('Position_Rubric'!$H$6:$H$14,M1609)&lt;&gt;1,"Check weights",ROUND(E1609*INDEX('Position_Rubric'!$C$6:$C$14,M1609)+F1609*INDEX('Position_Rubric'!$D$6:$D$14,M1609)+G1609*INDEX('Position_Rubric'!$E$6:$E$14,M1609)+H1609*INDEX('Position_Rubric'!$F$6:$F$14,M1609)+I1609*INDEX('Position_Rubric'!$G$6:$G$14,M1609),1)))))</x:f>
        <x:v>Choose position</x:v>
      </x:c>
      <x:c r="K1609" s="82" t="str">
        <x:f>IF(AND(ISNUMBER(J1609),ISNUMBER(D1609)),J1609-D1609,"")</x:f>
      </x:c>
      <x:c r="L1609" s="69" t="str">
        <x:f>IF(COUNT(E1609:I1609)&lt;5,"Needs component scores",IF(ISNUMBER(J1609),"Calculated",J1609))</x:f>
        <x:v>Needs component scores</x:v>
      </x:c>
      <x:c r="M1609" s="69" t="str">
        <x:f>IF(C1609="","",MATCH(C1609,'Position_Rubric'!$A$6:$A$14,0))</x:f>
      </x:c>
      <x:c r="N1609" s="69" t="str"/>
    </x:row>
    <x:row r="1610" ht="25" customHeight="1">
      <x:c r="A1610" s="69" t="str">
        <x:v>summer-S26-1381</x:v>
      </x:c>
      <x:c r="B1610" s="69" t="str">
        <x:v>Jeremiah Mensah</x:v>
      </x:c>
      <x:c r="C1610" s="69"/>
      <x:c r="D1610" s="82" t="str">
        <x:f>IF(ISNUMBER('Transfer_Ratings'!K1610),'Transfer_Ratings'!K1610,"")</x:f>
      </x:c>
      <x:c r="E1610" s="86"/>
      <x:c r="F1610" s="86"/>
      <x:c r="G1610" s="86"/>
      <x:c r="H1610" s="86"/>
      <x:c r="I1610" s="86"/>
      <x:c r="J1610" s="82" t="str">
        <x:f>IF(C1610="","Choose position",IF(COUNT(E1610:I1610)&lt;5,"",IF(OR(MIN(E1610:I1610)&lt;0.1,MAX(E1610:I1610)&gt;10),"Invalid score",IF(INDEX('Position_Rubric'!$H$6:$H$14,M1610)&lt;&gt;1,"Check weights",ROUND(E1610*INDEX('Position_Rubric'!$C$6:$C$14,M1610)+F1610*INDEX('Position_Rubric'!$D$6:$D$14,M1610)+G1610*INDEX('Position_Rubric'!$E$6:$E$14,M1610)+H1610*INDEX('Position_Rubric'!$F$6:$F$14,M1610)+I1610*INDEX('Position_Rubric'!$G$6:$G$14,M1610),1)))))</x:f>
        <x:v>Choose position</x:v>
      </x:c>
      <x:c r="K1610" s="82" t="str">
        <x:f>IF(AND(ISNUMBER(J1610),ISNUMBER(D1610)),J1610-D1610,"")</x:f>
      </x:c>
      <x:c r="L1610" s="69" t="str">
        <x:f>IF(COUNT(E1610:I1610)&lt;5,"Needs component scores",IF(ISNUMBER(J1610),"Calculated",J1610))</x:f>
        <x:v>Needs component scores</x:v>
      </x:c>
      <x:c r="M1610" s="69" t="str">
        <x:f>IF(C1610="","",MATCH(C1610,'Position_Rubric'!$A$6:$A$14,0))</x:f>
      </x:c>
      <x:c r="N1610" s="69" t="str"/>
    </x:row>
    <x:row r="1611" ht="25" customHeight="1">
      <x:c r="A1611" s="69" t="str">
        <x:v>summer-S26-1383</x:v>
      </x:c>
      <x:c r="B1611" s="69" t="str">
        <x:v>Andrea Natali</x:v>
      </x:c>
      <x:c r="C1611" s="69"/>
      <x:c r="D1611" s="82" t="str">
        <x:f>IF(ISNUMBER('Transfer_Ratings'!K1611),'Transfer_Ratings'!K1611,"")</x:f>
      </x:c>
      <x:c r="E1611" s="86"/>
      <x:c r="F1611" s="86"/>
      <x:c r="G1611" s="86"/>
      <x:c r="H1611" s="86"/>
      <x:c r="I1611" s="86"/>
      <x:c r="J1611" s="82" t="str">
        <x:f>IF(C1611="","Choose position",IF(COUNT(E1611:I1611)&lt;5,"",IF(OR(MIN(E1611:I1611)&lt;0.1,MAX(E1611:I1611)&gt;10),"Invalid score",IF(INDEX('Position_Rubric'!$H$6:$H$14,M1611)&lt;&gt;1,"Check weights",ROUND(E1611*INDEX('Position_Rubric'!$C$6:$C$14,M1611)+F1611*INDEX('Position_Rubric'!$D$6:$D$14,M1611)+G1611*INDEX('Position_Rubric'!$E$6:$E$14,M1611)+H1611*INDEX('Position_Rubric'!$F$6:$F$14,M1611)+I1611*INDEX('Position_Rubric'!$G$6:$G$14,M1611),1)))))</x:f>
        <x:v>Choose position</x:v>
      </x:c>
      <x:c r="K1611" s="82" t="str">
        <x:f>IF(AND(ISNUMBER(J1611),ISNUMBER(D1611)),J1611-D1611,"")</x:f>
      </x:c>
      <x:c r="L1611" s="69" t="str">
        <x:f>IF(COUNT(E1611:I1611)&lt;5,"Needs component scores",IF(ISNUMBER(J1611),"Calculated",J1611))</x:f>
        <x:v>Needs component scores</x:v>
      </x:c>
      <x:c r="M1611" s="69" t="str">
        <x:f>IF(C1611="","",MATCH(C1611,'Position_Rubric'!$A$6:$A$14,0))</x:f>
      </x:c>
      <x:c r="N1611" s="69" t="str"/>
    </x:row>
    <x:row r="1612" ht="25" customHeight="1">
      <x:c r="A1612" s="69" t="str">
        <x:v>summer-S26-1385</x:v>
      </x:c>
      <x:c r="B1612" s="69" t="str">
        <x:v>Hugo Larsson</x:v>
      </x:c>
      <x:c r="C1612" s="69"/>
      <x:c r="D1612" s="82" t="str">
        <x:f>IF(ISNUMBER('Transfer_Ratings'!K1612),'Transfer_Ratings'!K1612,"")</x:f>
      </x:c>
      <x:c r="E1612" s="86"/>
      <x:c r="F1612" s="86"/>
      <x:c r="G1612" s="86"/>
      <x:c r="H1612" s="86"/>
      <x:c r="I1612" s="86"/>
      <x:c r="J1612" s="82" t="str">
        <x:f>IF(C1612="","Choose position",IF(COUNT(E1612:I1612)&lt;5,"",IF(OR(MIN(E1612:I1612)&lt;0.1,MAX(E1612:I1612)&gt;10),"Invalid score",IF(INDEX('Position_Rubric'!$H$6:$H$14,M1612)&lt;&gt;1,"Check weights",ROUND(E1612*INDEX('Position_Rubric'!$C$6:$C$14,M1612)+F1612*INDEX('Position_Rubric'!$D$6:$D$14,M1612)+G1612*INDEX('Position_Rubric'!$E$6:$E$14,M1612)+H1612*INDEX('Position_Rubric'!$F$6:$F$14,M1612)+I1612*INDEX('Position_Rubric'!$G$6:$G$14,M1612),1)))))</x:f>
        <x:v>Choose position</x:v>
      </x:c>
      <x:c r="K1612" s="82" t="str">
        <x:f>IF(AND(ISNUMBER(J1612),ISNUMBER(D1612)),J1612-D1612,"")</x:f>
      </x:c>
      <x:c r="L1612" s="69" t="str">
        <x:f>IF(COUNT(E1612:I1612)&lt;5,"Needs component scores",IF(ISNUMBER(J1612),"Calculated",J1612))</x:f>
        <x:v>Needs component scores</x:v>
      </x:c>
      <x:c r="M1612" s="69" t="str">
        <x:f>IF(C1612="","",MATCH(C1612,'Position_Rubric'!$A$6:$A$14,0))</x:f>
      </x:c>
      <x:c r="N1612" s="69" t="str"/>
    </x:row>
    <x:row r="1613" ht="25" customHeight="1">
      <x:c r="A1613" s="69" t="str">
        <x:v>summer-S26-1388</x:v>
      </x:c>
      <x:c r="B1613" s="69" t="str">
        <x:v>Javier Fernández</x:v>
      </x:c>
      <x:c r="C1613" s="69"/>
      <x:c r="D1613" s="82" t="str">
        <x:f>IF(ISNUMBER('Transfer_Ratings'!K1613),'Transfer_Ratings'!K1613,"")</x:f>
      </x:c>
      <x:c r="E1613" s="86"/>
      <x:c r="F1613" s="86"/>
      <x:c r="G1613" s="86"/>
      <x:c r="H1613" s="86"/>
      <x:c r="I1613" s="86"/>
      <x:c r="J1613" s="82" t="str">
        <x:f>IF(C1613="","Choose position",IF(COUNT(E1613:I1613)&lt;5,"",IF(OR(MIN(E1613:I1613)&lt;0.1,MAX(E1613:I1613)&gt;10),"Invalid score",IF(INDEX('Position_Rubric'!$H$6:$H$14,M1613)&lt;&gt;1,"Check weights",ROUND(E1613*INDEX('Position_Rubric'!$C$6:$C$14,M1613)+F1613*INDEX('Position_Rubric'!$D$6:$D$14,M1613)+G1613*INDEX('Position_Rubric'!$E$6:$E$14,M1613)+H1613*INDEX('Position_Rubric'!$F$6:$F$14,M1613)+I1613*INDEX('Position_Rubric'!$G$6:$G$14,M1613),1)))))</x:f>
        <x:v>Choose position</x:v>
      </x:c>
      <x:c r="K1613" s="82" t="str">
        <x:f>IF(AND(ISNUMBER(J1613),ISNUMBER(D1613)),J1613-D1613,"")</x:f>
      </x:c>
      <x:c r="L1613" s="69" t="str">
        <x:f>IF(COUNT(E1613:I1613)&lt;5,"Needs component scores",IF(ISNUMBER(J1613),"Calculated",J1613))</x:f>
        <x:v>Needs component scores</x:v>
      </x:c>
      <x:c r="M1613" s="69" t="str">
        <x:f>IF(C1613="","",MATCH(C1613,'Position_Rubric'!$A$6:$A$14,0))</x:f>
      </x:c>
      <x:c r="N1613" s="69" t="str"/>
    </x:row>
    <x:row r="1614" ht="25" customHeight="1">
      <x:c r="A1614" s="69" t="str">
        <x:v>summer-S26-1391</x:v>
      </x:c>
      <x:c r="B1614" s="69" t="str">
        <x:v>Brooke Norton-Cuffy</x:v>
      </x:c>
      <x:c r="C1614" s="69"/>
      <x:c r="D1614" s="82" t="str">
        <x:f>IF(ISNUMBER('Transfer_Ratings'!K1614),'Transfer_Ratings'!K1614,"")</x:f>
      </x:c>
      <x:c r="E1614" s="86"/>
      <x:c r="F1614" s="86"/>
      <x:c r="G1614" s="86"/>
      <x:c r="H1614" s="86"/>
      <x:c r="I1614" s="86"/>
      <x:c r="J1614" s="82" t="str">
        <x:f>IF(C1614="","Choose position",IF(COUNT(E1614:I1614)&lt;5,"",IF(OR(MIN(E1614:I1614)&lt;0.1,MAX(E1614:I1614)&gt;10),"Invalid score",IF(INDEX('Position_Rubric'!$H$6:$H$14,M1614)&lt;&gt;1,"Check weights",ROUND(E1614*INDEX('Position_Rubric'!$C$6:$C$14,M1614)+F1614*INDEX('Position_Rubric'!$D$6:$D$14,M1614)+G1614*INDEX('Position_Rubric'!$E$6:$E$14,M1614)+H1614*INDEX('Position_Rubric'!$F$6:$F$14,M1614)+I1614*INDEX('Position_Rubric'!$G$6:$G$14,M1614),1)))))</x:f>
        <x:v>Choose position</x:v>
      </x:c>
      <x:c r="K1614" s="82" t="str">
        <x:f>IF(AND(ISNUMBER(J1614),ISNUMBER(D1614)),J1614-D1614,"")</x:f>
      </x:c>
      <x:c r="L1614" s="69" t="str">
        <x:f>IF(COUNT(E1614:I1614)&lt;5,"Needs component scores",IF(ISNUMBER(J1614),"Calculated",J1614))</x:f>
        <x:v>Needs component scores</x:v>
      </x:c>
      <x:c r="M1614" s="69" t="str">
        <x:f>IF(C1614="","",MATCH(C1614,'Position_Rubric'!$A$6:$A$14,0))</x:f>
      </x:c>
      <x:c r="N1614" s="69" t="str"/>
    </x:row>
    <x:row r="1615" ht="25" customHeight="1">
      <x:c r="A1615" s="69" t="str">
        <x:v>summer-S26-1392</x:v>
      </x:c>
      <x:c r="B1615" s="69" t="str">
        <x:v>Cody Drameh</x:v>
      </x:c>
      <x:c r="C1615" s="69"/>
      <x:c r="D1615" s="82" t="str">
        <x:f>IF(ISNUMBER('Transfer_Ratings'!K1615),'Transfer_Ratings'!K1615,"")</x:f>
      </x:c>
      <x:c r="E1615" s="86"/>
      <x:c r="F1615" s="86"/>
      <x:c r="G1615" s="86"/>
      <x:c r="H1615" s="86"/>
      <x:c r="I1615" s="86"/>
      <x:c r="J1615" s="82" t="str">
        <x:f>IF(C1615="","Choose position",IF(COUNT(E1615:I1615)&lt;5,"",IF(OR(MIN(E1615:I1615)&lt;0.1,MAX(E1615:I1615)&gt;10),"Invalid score",IF(INDEX('Position_Rubric'!$H$6:$H$14,M1615)&lt;&gt;1,"Check weights",ROUND(E1615*INDEX('Position_Rubric'!$C$6:$C$14,M1615)+F1615*INDEX('Position_Rubric'!$D$6:$D$14,M1615)+G1615*INDEX('Position_Rubric'!$E$6:$E$14,M1615)+H1615*INDEX('Position_Rubric'!$F$6:$F$14,M1615)+I1615*INDEX('Position_Rubric'!$G$6:$G$14,M1615),1)))))</x:f>
        <x:v>Choose position</x:v>
      </x:c>
      <x:c r="K1615" s="82" t="str">
        <x:f>IF(AND(ISNUMBER(J1615),ISNUMBER(D1615)),J1615-D1615,"")</x:f>
      </x:c>
      <x:c r="L1615" s="69" t="str">
        <x:f>IF(COUNT(E1615:I1615)&lt;5,"Needs component scores",IF(ISNUMBER(J1615),"Calculated",J1615))</x:f>
        <x:v>Needs component scores</x:v>
      </x:c>
      <x:c r="M1615" s="69" t="str">
        <x:f>IF(C1615="","",MATCH(C1615,'Position_Rubric'!$A$6:$A$14,0))</x:f>
      </x:c>
      <x:c r="N1615" s="69" t="str"/>
    </x:row>
    <x:row r="1616" ht="25" customHeight="1">
      <x:c r="A1616" s="69" t="str">
        <x:v>summer-S26-1393</x:v>
      </x:c>
      <x:c r="B1616" s="69" t="str">
        <x:v>Joane Gadou</x:v>
      </x:c>
      <x:c r="C1616" s="69"/>
      <x:c r="D1616" s="82" t="str">
        <x:f>IF(ISNUMBER('Transfer_Ratings'!K1616),'Transfer_Ratings'!K1616,"")</x:f>
      </x:c>
      <x:c r="E1616" s="86"/>
      <x:c r="F1616" s="86"/>
      <x:c r="G1616" s="86"/>
      <x:c r="H1616" s="86"/>
      <x:c r="I1616" s="86"/>
      <x:c r="J1616" s="82" t="str">
        <x:f>IF(C1616="","Choose position",IF(COUNT(E1616:I1616)&lt;5,"",IF(OR(MIN(E1616:I1616)&lt;0.1,MAX(E1616:I1616)&gt;10),"Invalid score",IF(INDEX('Position_Rubric'!$H$6:$H$14,M1616)&lt;&gt;1,"Check weights",ROUND(E1616*INDEX('Position_Rubric'!$C$6:$C$14,M1616)+F1616*INDEX('Position_Rubric'!$D$6:$D$14,M1616)+G1616*INDEX('Position_Rubric'!$E$6:$E$14,M1616)+H1616*INDEX('Position_Rubric'!$F$6:$F$14,M1616)+I1616*INDEX('Position_Rubric'!$G$6:$G$14,M1616),1)))))</x:f>
        <x:v>Choose position</x:v>
      </x:c>
      <x:c r="K1616" s="82" t="str">
        <x:f>IF(AND(ISNUMBER(J1616),ISNUMBER(D1616)),J1616-D1616,"")</x:f>
      </x:c>
      <x:c r="L1616" s="69" t="str">
        <x:f>IF(COUNT(E1616:I1616)&lt;5,"Needs component scores",IF(ISNUMBER(J1616),"Calculated",J1616))</x:f>
        <x:v>Needs component scores</x:v>
      </x:c>
      <x:c r="M1616" s="69" t="str">
        <x:f>IF(C1616="","",MATCH(C1616,'Position_Rubric'!$A$6:$A$14,0))</x:f>
      </x:c>
      <x:c r="N1616" s="69" t="str"/>
    </x:row>
    <x:row r="1617" ht="25" customHeight="1">
      <x:c r="A1617" s="69" t="str">
        <x:v>summer-S26-1394</x:v>
      </x:c>
      <x:c r="B1617" s="69" t="str">
        <x:v>Justin Lerma</x:v>
      </x:c>
      <x:c r="C1617" s="69"/>
      <x:c r="D1617" s="82" t="str">
        <x:f>IF(ISNUMBER('Transfer_Ratings'!K1617),'Transfer_Ratings'!K1617,"")</x:f>
      </x:c>
      <x:c r="E1617" s="86"/>
      <x:c r="F1617" s="86"/>
      <x:c r="G1617" s="86"/>
      <x:c r="H1617" s="86"/>
      <x:c r="I1617" s="86"/>
      <x:c r="J1617" s="82" t="str">
        <x:f>IF(C1617="","Choose position",IF(COUNT(E1617:I1617)&lt;5,"",IF(OR(MIN(E1617:I1617)&lt;0.1,MAX(E1617:I1617)&gt;10),"Invalid score",IF(INDEX('Position_Rubric'!$H$6:$H$14,M1617)&lt;&gt;1,"Check weights",ROUND(E1617*INDEX('Position_Rubric'!$C$6:$C$14,M1617)+F1617*INDEX('Position_Rubric'!$D$6:$D$14,M1617)+G1617*INDEX('Position_Rubric'!$E$6:$E$14,M1617)+H1617*INDEX('Position_Rubric'!$F$6:$F$14,M1617)+I1617*INDEX('Position_Rubric'!$G$6:$G$14,M1617),1)))))</x:f>
        <x:v>Choose position</x:v>
      </x:c>
      <x:c r="K1617" s="82" t="str">
        <x:f>IF(AND(ISNUMBER(J1617),ISNUMBER(D1617)),J1617-D1617,"")</x:f>
      </x:c>
      <x:c r="L1617" s="69" t="str">
        <x:f>IF(COUNT(E1617:I1617)&lt;5,"Needs component scores",IF(ISNUMBER(J1617),"Calculated",J1617))</x:f>
        <x:v>Needs component scores</x:v>
      </x:c>
      <x:c r="M1617" s="69" t="str">
        <x:f>IF(C1617="","",MATCH(C1617,'Position_Rubric'!$A$6:$A$14,0))</x:f>
      </x:c>
      <x:c r="N1617" s="69" t="str"/>
    </x:row>
    <x:row r="1618" ht="25" customHeight="1">
      <x:c r="A1618" s="69" t="str">
        <x:v>summer-S26-1395</x:v>
      </x:c>
      <x:c r="B1618" s="69" t="str">
        <x:v>Elias Benkara</x:v>
      </x:c>
      <x:c r="C1618" s="69"/>
      <x:c r="D1618" s="82" t="str">
        <x:f>IF(ISNUMBER('Transfer_Ratings'!K1618),'Transfer_Ratings'!K1618,"")</x:f>
      </x:c>
      <x:c r="E1618" s="86"/>
      <x:c r="F1618" s="86"/>
      <x:c r="G1618" s="86"/>
      <x:c r="H1618" s="86"/>
      <x:c r="I1618" s="86"/>
      <x:c r="J1618" s="82" t="str">
        <x:f>IF(C1618="","Choose position",IF(COUNT(E1618:I1618)&lt;5,"",IF(OR(MIN(E1618:I1618)&lt;0.1,MAX(E1618:I1618)&gt;10),"Invalid score",IF(INDEX('Position_Rubric'!$H$6:$H$14,M1618)&lt;&gt;1,"Check weights",ROUND(E1618*INDEX('Position_Rubric'!$C$6:$C$14,M1618)+F1618*INDEX('Position_Rubric'!$D$6:$D$14,M1618)+G1618*INDEX('Position_Rubric'!$E$6:$E$14,M1618)+H1618*INDEX('Position_Rubric'!$F$6:$F$14,M1618)+I1618*INDEX('Position_Rubric'!$G$6:$G$14,M1618),1)))))</x:f>
        <x:v>Choose position</x:v>
      </x:c>
      <x:c r="K1618" s="82" t="str">
        <x:f>IF(AND(ISNUMBER(J1618),ISNUMBER(D1618)),J1618-D1618,"")</x:f>
      </x:c>
      <x:c r="L1618" s="69" t="str">
        <x:f>IF(COUNT(E1618:I1618)&lt;5,"Needs component scores",IF(ISNUMBER(J1618),"Calculated",J1618))</x:f>
        <x:v>Needs component scores</x:v>
      </x:c>
      <x:c r="M1618" s="69" t="str">
        <x:f>IF(C1618="","",MATCH(C1618,'Position_Rubric'!$A$6:$A$14,0))</x:f>
      </x:c>
      <x:c r="N1618" s="69" t="str"/>
    </x:row>
    <x:row r="1619" ht="25" customHeight="1">
      <x:c r="A1619" s="69" t="str">
        <x:v>summer-S26-1398</x:v>
      </x:c>
      <x:c r="B1619" s="69" t="str">
        <x:v>Thomas Lemar</x:v>
      </x:c>
      <x:c r="C1619" s="69"/>
      <x:c r="D1619" s="82" t="str">
        <x:f>IF(ISNUMBER('Transfer_Ratings'!K1619),'Transfer_Ratings'!K1619,"")</x:f>
      </x:c>
      <x:c r="E1619" s="86"/>
      <x:c r="F1619" s="86"/>
      <x:c r="G1619" s="86"/>
      <x:c r="H1619" s="86"/>
      <x:c r="I1619" s="86"/>
      <x:c r="J1619" s="82" t="str">
        <x:f>IF(C1619="","Choose position",IF(COUNT(E1619:I1619)&lt;5,"",IF(OR(MIN(E1619:I1619)&lt;0.1,MAX(E1619:I1619)&gt;10),"Invalid score",IF(INDEX('Position_Rubric'!$H$6:$H$14,M1619)&lt;&gt;1,"Check weights",ROUND(E1619*INDEX('Position_Rubric'!$C$6:$C$14,M1619)+F1619*INDEX('Position_Rubric'!$D$6:$D$14,M1619)+G1619*INDEX('Position_Rubric'!$E$6:$E$14,M1619)+H1619*INDEX('Position_Rubric'!$F$6:$F$14,M1619)+I1619*INDEX('Position_Rubric'!$G$6:$G$14,M1619),1)))))</x:f>
        <x:v>Choose position</x:v>
      </x:c>
      <x:c r="K1619" s="82" t="str">
        <x:f>IF(AND(ISNUMBER(J1619),ISNUMBER(D1619)),J1619-D1619,"")</x:f>
      </x:c>
      <x:c r="L1619" s="69" t="str">
        <x:f>IF(COUNT(E1619:I1619)&lt;5,"Needs component scores",IF(ISNUMBER(J1619),"Calculated",J1619))</x:f>
        <x:v>Needs component scores</x:v>
      </x:c>
      <x:c r="M1619" s="69" t="str">
        <x:f>IF(C1619="","",MATCH(C1619,'Position_Rubric'!$A$6:$A$14,0))</x:f>
      </x:c>
      <x:c r="N1619" s="69" t="str"/>
    </x:row>
    <x:row r="1620" ht="25" customHeight="1">
      <x:c r="A1620" s="69" t="str">
        <x:v>summer-S26-1400</x:v>
      </x:c>
      <x:c r="B1620" s="69" t="str">
        <x:v>Niklas Süle</x:v>
      </x:c>
      <x:c r="C1620" s="69"/>
      <x:c r="D1620" s="82" t="str">
        <x:f>IF(ISNUMBER('Transfer_Ratings'!K1620),'Transfer_Ratings'!K1620,"")</x:f>
      </x:c>
      <x:c r="E1620" s="86"/>
      <x:c r="F1620" s="86"/>
      <x:c r="G1620" s="86"/>
      <x:c r="H1620" s="86"/>
      <x:c r="I1620" s="86"/>
      <x:c r="J1620" s="82" t="str">
        <x:f>IF(C1620="","Choose position",IF(COUNT(E1620:I1620)&lt;5,"",IF(OR(MIN(E1620:I1620)&lt;0.1,MAX(E1620:I1620)&gt;10),"Invalid score",IF(INDEX('Position_Rubric'!$H$6:$H$14,M1620)&lt;&gt;1,"Check weights",ROUND(E1620*INDEX('Position_Rubric'!$C$6:$C$14,M1620)+F1620*INDEX('Position_Rubric'!$D$6:$D$14,M1620)+G1620*INDEX('Position_Rubric'!$E$6:$E$14,M1620)+H1620*INDEX('Position_Rubric'!$F$6:$F$14,M1620)+I1620*INDEX('Position_Rubric'!$G$6:$G$14,M1620),1)))))</x:f>
        <x:v>Choose position</x:v>
      </x:c>
      <x:c r="K1620" s="82" t="str">
        <x:f>IF(AND(ISNUMBER(J1620),ISNUMBER(D1620)),J1620-D1620,"")</x:f>
      </x:c>
      <x:c r="L1620" s="69" t="str">
        <x:f>IF(COUNT(E1620:I1620)&lt;5,"Needs component scores",IF(ISNUMBER(J1620),"Calculated",J1620))</x:f>
        <x:v>Needs component scores</x:v>
      </x:c>
      <x:c r="M1620" s="69" t="str">
        <x:f>IF(C1620="","",MATCH(C1620,'Position_Rubric'!$A$6:$A$14,0))</x:f>
      </x:c>
      <x:c r="N1620" s="69" t="str"/>
    </x:row>
    <x:row r="1621" ht="25" customHeight="1">
      <x:c r="A1621" s="69" t="str">
        <x:v>summer-S26-1401</x:v>
      </x:c>
      <x:c r="B1621" s="69" t="str">
        <x:v>Nathan Patterson</x:v>
      </x:c>
      <x:c r="C1621" s="69"/>
      <x:c r="D1621" s="82" t="str">
        <x:f>IF(ISNUMBER('Transfer_Ratings'!K1621),'Transfer_Ratings'!K1621,"")</x:f>
      </x:c>
      <x:c r="E1621" s="86"/>
      <x:c r="F1621" s="86"/>
      <x:c r="G1621" s="86"/>
      <x:c r="H1621" s="86"/>
      <x:c r="I1621" s="86"/>
      <x:c r="J1621" s="82" t="str">
        <x:f>IF(C1621="","Choose position",IF(COUNT(E1621:I1621)&lt;5,"",IF(OR(MIN(E1621:I1621)&lt;0.1,MAX(E1621:I1621)&gt;10),"Invalid score",IF(INDEX('Position_Rubric'!$H$6:$H$14,M1621)&lt;&gt;1,"Check weights",ROUND(E1621*INDEX('Position_Rubric'!$C$6:$C$14,M1621)+F1621*INDEX('Position_Rubric'!$D$6:$D$14,M1621)+G1621*INDEX('Position_Rubric'!$E$6:$E$14,M1621)+H1621*INDEX('Position_Rubric'!$F$6:$F$14,M1621)+I1621*INDEX('Position_Rubric'!$G$6:$G$14,M1621),1)))))</x:f>
        <x:v>Choose position</x:v>
      </x:c>
      <x:c r="K1621" s="82" t="str">
        <x:f>IF(AND(ISNUMBER(J1621),ISNUMBER(D1621)),J1621-D1621,"")</x:f>
      </x:c>
      <x:c r="L1621" s="69" t="str">
        <x:f>IF(COUNT(E1621:I1621)&lt;5,"Needs component scores",IF(ISNUMBER(J1621),"Calculated",J1621))</x:f>
        <x:v>Needs component scores</x:v>
      </x:c>
      <x:c r="M1621" s="69" t="str">
        <x:f>IF(C1621="","",MATCH(C1621,'Position_Rubric'!$A$6:$A$14,0))</x:f>
      </x:c>
      <x:c r="N1621" s="69" t="str"/>
    </x:row>
    <x:row r="1622" ht="25" customHeight="1">
      <x:c r="A1622" s="69" t="str">
        <x:v>summer-S26-1403</x:v>
      </x:c>
      <x:c r="B1622" s="69" t="str">
        <x:v>Tommy Setford</x:v>
      </x:c>
      <x:c r="C1622" s="69" t="str">
        <x:v>GK</x:v>
      </x:c>
      <x:c r="D1622" s="82" t="str">
        <x:f>IF(ISNUMBER('Transfer_Ratings'!K1622),'Transfer_Ratings'!K1622,"")</x:f>
      </x:c>
      <x:c r="E1622" s="86"/>
      <x:c r="F1622" s="86"/>
      <x:c r="G1622" s="86"/>
      <x:c r="H1622" s="86"/>
      <x:c r="I1622" s="86"/>
      <x:c r="J1622" s="82" t="str">
        <x:f>IF(C1622="","Choose position",IF(COUNT(E1622:I1622)&lt;5,"",IF(OR(MIN(E1622:I1622)&lt;0.1,MAX(E1622:I1622)&gt;10),"Invalid score",IF(INDEX('Position_Rubric'!$H$6:$H$14,M1622)&lt;&gt;1,"Check weights",ROUND(E1622*INDEX('Position_Rubric'!$C$6:$C$14,M1622)+F1622*INDEX('Position_Rubric'!$D$6:$D$14,M1622)+G1622*INDEX('Position_Rubric'!$E$6:$E$14,M1622)+H1622*INDEX('Position_Rubric'!$F$6:$F$14,M1622)+I1622*INDEX('Position_Rubric'!$G$6:$G$14,M1622),1)))))</x:f>
      </x:c>
      <x:c r="K1622" s="82" t="str">
        <x:f>IF(AND(ISNUMBER(J1622),ISNUMBER(D1622)),J1622-D1622,"")</x:f>
      </x:c>
      <x:c r="L1622" s="69" t="str">
        <x:f>IF(COUNT(E1622:I1622)&lt;5,"Needs component scores",IF(ISNUMBER(J1622),"Calculated",J1622))</x:f>
        <x:v>Needs component scores</x:v>
      </x:c>
      <x:c r="M1622" s="69" t="n">
        <x:f>IF(C1622="","",MATCH(C1622,'Position_Rubric'!$A$6:$A$14,0))</x:f>
        <x:v>9</x:v>
      </x:c>
      <x:c r="N1622" s="69" t="str"/>
    </x:row>
    <x:row r="1623" ht="25" customHeight="1">
      <x:c r="A1623" s="69" t="str">
        <x:v>summer-S26-1404</x:v>
      </x:c>
      <x:c r="B1623" s="69" t="str">
        <x:v>Jayden Meghoma</x:v>
      </x:c>
      <x:c r="C1623" s="69"/>
      <x:c r="D1623" s="82" t="str">
        <x:f>IF(ISNUMBER('Transfer_Ratings'!K1623),'Transfer_Ratings'!K1623,"")</x:f>
      </x:c>
      <x:c r="E1623" s="86"/>
      <x:c r="F1623" s="86"/>
      <x:c r="G1623" s="86"/>
      <x:c r="H1623" s="86"/>
      <x:c r="I1623" s="86"/>
      <x:c r="J1623" s="82" t="str">
        <x:f>IF(C1623="","Choose position",IF(COUNT(E1623:I1623)&lt;5,"",IF(OR(MIN(E1623:I1623)&lt;0.1,MAX(E1623:I1623)&gt;10),"Invalid score",IF(INDEX('Position_Rubric'!$H$6:$H$14,M1623)&lt;&gt;1,"Check weights",ROUND(E1623*INDEX('Position_Rubric'!$C$6:$C$14,M1623)+F1623*INDEX('Position_Rubric'!$D$6:$D$14,M1623)+G1623*INDEX('Position_Rubric'!$E$6:$E$14,M1623)+H1623*INDEX('Position_Rubric'!$F$6:$F$14,M1623)+I1623*INDEX('Position_Rubric'!$G$6:$G$14,M1623),1)))))</x:f>
        <x:v>Choose position</x:v>
      </x:c>
      <x:c r="K1623" s="82" t="str">
        <x:f>IF(AND(ISNUMBER(J1623),ISNUMBER(D1623)),J1623-D1623,"")</x:f>
      </x:c>
      <x:c r="L1623" s="69" t="str">
        <x:f>IF(COUNT(E1623:I1623)&lt;5,"Needs component scores",IF(ISNUMBER(J1623),"Calculated",J1623))</x:f>
        <x:v>Needs component scores</x:v>
      </x:c>
      <x:c r="M1623" s="69" t="str">
        <x:f>IF(C1623="","",MATCH(C1623,'Position_Rubric'!$A$6:$A$14,0))</x:f>
      </x:c>
      <x:c r="N1623" s="69" t="str"/>
    </x:row>
    <x:row r="1624" ht="25" customHeight="1">
      <x:c r="A1624" s="69" t="str">
        <x:v>summer-S26-1406</x:v>
      </x:c>
      <x:c r="B1624" s="69" t="str">
        <x:v>Daniel Batz</x:v>
      </x:c>
      <x:c r="C1624" s="69" t="str">
        <x:v>GK</x:v>
      </x:c>
      <x:c r="D1624" s="82" t="str">
        <x:f>IF(ISNUMBER('Transfer_Ratings'!K1624),'Transfer_Ratings'!K1624,"")</x:f>
      </x:c>
      <x:c r="E1624" s="86"/>
      <x:c r="F1624" s="86"/>
      <x:c r="G1624" s="86"/>
      <x:c r="H1624" s="86"/>
      <x:c r="I1624" s="86"/>
      <x:c r="J1624" s="82" t="str">
        <x:f>IF(C1624="","Choose position",IF(COUNT(E1624:I1624)&lt;5,"",IF(OR(MIN(E1624:I1624)&lt;0.1,MAX(E1624:I1624)&gt;10),"Invalid score",IF(INDEX('Position_Rubric'!$H$6:$H$14,M1624)&lt;&gt;1,"Check weights",ROUND(E1624*INDEX('Position_Rubric'!$C$6:$C$14,M1624)+F1624*INDEX('Position_Rubric'!$D$6:$D$14,M1624)+G1624*INDEX('Position_Rubric'!$E$6:$E$14,M1624)+H1624*INDEX('Position_Rubric'!$F$6:$F$14,M1624)+I1624*INDEX('Position_Rubric'!$G$6:$G$14,M1624),1)))))</x:f>
      </x:c>
      <x:c r="K1624" s="82" t="str">
        <x:f>IF(AND(ISNUMBER(J1624),ISNUMBER(D1624)),J1624-D1624,"")</x:f>
      </x:c>
      <x:c r="L1624" s="69" t="str">
        <x:f>IF(COUNT(E1624:I1624)&lt;5,"Needs component scores",IF(ISNUMBER(J1624),"Calculated",J1624))</x:f>
        <x:v>Needs component scores</x:v>
      </x:c>
      <x:c r="M1624" s="69" t="n">
        <x:f>IF(C1624="","",MATCH(C1624,'Position_Rubric'!$A$6:$A$14,0))</x:f>
        <x:v>9</x:v>
      </x:c>
      <x:c r="N1624" s="69" t="str"/>
    </x:row>
    <x:row r="1625" ht="25" customHeight="1">
      <x:c r="A1625" s="69" t="str">
        <x:v>summer-S26-1407</x:v>
      </x:c>
      <x:c r="B1625" s="69" t="str">
        <x:v>Melvin Bard</x:v>
      </x:c>
      <x:c r="C1625" s="69"/>
      <x:c r="D1625" s="82" t="str">
        <x:f>IF(ISNUMBER('Transfer_Ratings'!K1625),'Transfer_Ratings'!K1625,"")</x:f>
      </x:c>
      <x:c r="E1625" s="86"/>
      <x:c r="F1625" s="86"/>
      <x:c r="G1625" s="86"/>
      <x:c r="H1625" s="86"/>
      <x:c r="I1625" s="86"/>
      <x:c r="J1625" s="82" t="str">
        <x:f>IF(C1625="","Choose position",IF(COUNT(E1625:I1625)&lt;5,"",IF(OR(MIN(E1625:I1625)&lt;0.1,MAX(E1625:I1625)&gt;10),"Invalid score",IF(INDEX('Position_Rubric'!$H$6:$H$14,M1625)&lt;&gt;1,"Check weights",ROUND(E1625*INDEX('Position_Rubric'!$C$6:$C$14,M1625)+F1625*INDEX('Position_Rubric'!$D$6:$D$14,M1625)+G1625*INDEX('Position_Rubric'!$E$6:$E$14,M1625)+H1625*INDEX('Position_Rubric'!$F$6:$F$14,M1625)+I1625*INDEX('Position_Rubric'!$G$6:$G$14,M1625),1)))))</x:f>
        <x:v>Choose position</x:v>
      </x:c>
      <x:c r="K1625" s="82" t="str">
        <x:f>IF(AND(ISNUMBER(J1625),ISNUMBER(D1625)),J1625-D1625,"")</x:f>
      </x:c>
      <x:c r="L1625" s="69" t="str">
        <x:f>IF(COUNT(E1625:I1625)&lt;5,"Needs component scores",IF(ISNUMBER(J1625),"Calculated",J1625))</x:f>
        <x:v>Needs component scores</x:v>
      </x:c>
      <x:c r="M1625" s="69" t="str">
        <x:f>IF(C1625="","",MATCH(C1625,'Position_Rubric'!$A$6:$A$14,0))</x:f>
      </x:c>
      <x:c r="N1625" s="69" t="str"/>
    </x:row>
    <x:row r="1626" ht="25" customHeight="1">
      <x:c r="A1626" s="69" t="str">
        <x:v>summer-S26-1408</x:v>
      </x:c>
      <x:c r="B1626" s="69" t="str">
        <x:v>Hugo Bolin</x:v>
      </x:c>
      <x:c r="C1626" s="69"/>
      <x:c r="D1626" s="82" t="str">
        <x:f>IF(ISNUMBER('Transfer_Ratings'!K1626),'Transfer_Ratings'!K1626,"")</x:f>
      </x:c>
      <x:c r="E1626" s="86"/>
      <x:c r="F1626" s="86"/>
      <x:c r="G1626" s="86"/>
      <x:c r="H1626" s="86"/>
      <x:c r="I1626" s="86"/>
      <x:c r="J1626" s="82" t="str">
        <x:f>IF(C1626="","Choose position",IF(COUNT(E1626:I1626)&lt;5,"",IF(OR(MIN(E1626:I1626)&lt;0.1,MAX(E1626:I1626)&gt;10),"Invalid score",IF(INDEX('Position_Rubric'!$H$6:$H$14,M1626)&lt;&gt;1,"Check weights",ROUND(E1626*INDEX('Position_Rubric'!$C$6:$C$14,M1626)+F1626*INDEX('Position_Rubric'!$D$6:$D$14,M1626)+G1626*INDEX('Position_Rubric'!$E$6:$E$14,M1626)+H1626*INDEX('Position_Rubric'!$F$6:$F$14,M1626)+I1626*INDEX('Position_Rubric'!$G$6:$G$14,M1626),1)))))</x:f>
        <x:v>Choose position</x:v>
      </x:c>
      <x:c r="K1626" s="82" t="str">
        <x:f>IF(AND(ISNUMBER(J1626),ISNUMBER(D1626)),J1626-D1626,"")</x:f>
      </x:c>
      <x:c r="L1626" s="69" t="str">
        <x:f>IF(COUNT(E1626:I1626)&lt;5,"Needs component scores",IF(ISNUMBER(J1626),"Calculated",J1626))</x:f>
        <x:v>Needs component scores</x:v>
      </x:c>
      <x:c r="M1626" s="69" t="str">
        <x:f>IF(C1626="","",MATCH(C1626,'Position_Rubric'!$A$6:$A$14,0))</x:f>
      </x:c>
      <x:c r="N1626" s="69" t="str"/>
    </x:row>
    <x:row r="1627" ht="25" customHeight="1">
      <x:c r="A1627" s="69" t="str">
        <x:v>summer-S26-1409</x:v>
      </x:c>
      <x:c r="B1627" s="69" t="str">
        <x:v>David Herold</x:v>
      </x:c>
      <x:c r="C1627" s="69"/>
      <x:c r="D1627" s="82" t="str">
        <x:f>IF(ISNUMBER('Transfer_Ratings'!K1627),'Transfer_Ratings'!K1627,"")</x:f>
      </x:c>
      <x:c r="E1627" s="86"/>
      <x:c r="F1627" s="86"/>
      <x:c r="G1627" s="86"/>
      <x:c r="H1627" s="86"/>
      <x:c r="I1627" s="86"/>
      <x:c r="J1627" s="82" t="str">
        <x:f>IF(C1627="","Choose position",IF(COUNT(E1627:I1627)&lt;5,"",IF(OR(MIN(E1627:I1627)&lt;0.1,MAX(E1627:I1627)&gt;10),"Invalid score",IF(INDEX('Position_Rubric'!$H$6:$H$14,M1627)&lt;&gt;1,"Check weights",ROUND(E1627*INDEX('Position_Rubric'!$C$6:$C$14,M1627)+F1627*INDEX('Position_Rubric'!$D$6:$D$14,M1627)+G1627*INDEX('Position_Rubric'!$E$6:$E$14,M1627)+H1627*INDEX('Position_Rubric'!$F$6:$F$14,M1627)+I1627*INDEX('Position_Rubric'!$G$6:$G$14,M1627),1)))))</x:f>
        <x:v>Choose position</x:v>
      </x:c>
      <x:c r="K1627" s="82" t="str">
        <x:f>IF(AND(ISNUMBER(J1627),ISNUMBER(D1627)),J1627-D1627,"")</x:f>
      </x:c>
      <x:c r="L1627" s="69" t="str">
        <x:f>IF(COUNT(E1627:I1627)&lt;5,"Needs component scores",IF(ISNUMBER(J1627),"Calculated",J1627))</x:f>
        <x:v>Needs component scores</x:v>
      </x:c>
      <x:c r="M1627" s="69" t="str">
        <x:f>IF(C1627="","",MATCH(C1627,'Position_Rubric'!$A$6:$A$14,0))</x:f>
      </x:c>
      <x:c r="N1627" s="69" t="str"/>
    </x:row>
    <x:row r="1628" ht="25" customHeight="1">
      <x:c r="A1628" s="69" t="str">
        <x:v>summer-S26-1410</x:v>
      </x:c>
      <x:c r="B1628" s="69" t="str">
        <x:v>Tosin Adarabioyo</x:v>
      </x:c>
      <x:c r="C1628" s="69"/>
      <x:c r="D1628" s="82" t="str">
        <x:f>IF(ISNUMBER('Transfer_Ratings'!K1628),'Transfer_Ratings'!K1628,"")</x:f>
      </x:c>
      <x:c r="E1628" s="86"/>
      <x:c r="F1628" s="86"/>
      <x:c r="G1628" s="86"/>
      <x:c r="H1628" s="86"/>
      <x:c r="I1628" s="86"/>
      <x:c r="J1628" s="82" t="str">
        <x:f>IF(C1628="","Choose position",IF(COUNT(E1628:I1628)&lt;5,"",IF(OR(MIN(E1628:I1628)&lt;0.1,MAX(E1628:I1628)&gt;10),"Invalid score",IF(INDEX('Position_Rubric'!$H$6:$H$14,M1628)&lt;&gt;1,"Check weights",ROUND(E1628*INDEX('Position_Rubric'!$C$6:$C$14,M1628)+F1628*INDEX('Position_Rubric'!$D$6:$D$14,M1628)+G1628*INDEX('Position_Rubric'!$E$6:$E$14,M1628)+H1628*INDEX('Position_Rubric'!$F$6:$F$14,M1628)+I1628*INDEX('Position_Rubric'!$G$6:$G$14,M1628),1)))))</x:f>
        <x:v>Choose position</x:v>
      </x:c>
      <x:c r="K1628" s="82" t="str">
        <x:f>IF(AND(ISNUMBER(J1628),ISNUMBER(D1628)),J1628-D1628,"")</x:f>
      </x:c>
      <x:c r="L1628" s="69" t="str">
        <x:f>IF(COUNT(E1628:I1628)&lt;5,"Needs component scores",IF(ISNUMBER(J1628),"Calculated",J1628))</x:f>
        <x:v>Needs component scores</x:v>
      </x:c>
      <x:c r="M1628" s="69" t="str">
        <x:f>IF(C1628="","",MATCH(C1628,'Position_Rubric'!$A$6:$A$14,0))</x:f>
      </x:c>
      <x:c r="N1628" s="69" t="str"/>
    </x:row>
    <x:row r="1629" ht="25" customHeight="1">
      <x:c r="A1629" s="69" t="str">
        <x:v>summer-S26-1411</x:v>
      </x:c>
      <x:c r="B1629" s="69" t="str">
        <x:v>Yukhym Konoplia</x:v>
      </x:c>
      <x:c r="C1629" s="69"/>
      <x:c r="D1629" s="82" t="str">
        <x:f>IF(ISNUMBER('Transfer_Ratings'!K1629),'Transfer_Ratings'!K1629,"")</x:f>
      </x:c>
      <x:c r="E1629" s="86"/>
      <x:c r="F1629" s="86"/>
      <x:c r="G1629" s="86"/>
      <x:c r="H1629" s="86"/>
      <x:c r="I1629" s="86"/>
      <x:c r="J1629" s="82" t="str">
        <x:f>IF(C1629="","Choose position",IF(COUNT(E1629:I1629)&lt;5,"",IF(OR(MIN(E1629:I1629)&lt;0.1,MAX(E1629:I1629)&gt;10),"Invalid score",IF(INDEX('Position_Rubric'!$H$6:$H$14,M1629)&lt;&gt;1,"Check weights",ROUND(E1629*INDEX('Position_Rubric'!$C$6:$C$14,M1629)+F1629*INDEX('Position_Rubric'!$D$6:$D$14,M1629)+G1629*INDEX('Position_Rubric'!$E$6:$E$14,M1629)+H1629*INDEX('Position_Rubric'!$F$6:$F$14,M1629)+I1629*INDEX('Position_Rubric'!$G$6:$G$14,M1629),1)))))</x:f>
        <x:v>Choose position</x:v>
      </x:c>
      <x:c r="K1629" s="82" t="str">
        <x:f>IF(AND(ISNUMBER(J1629),ISNUMBER(D1629)),J1629-D1629,"")</x:f>
      </x:c>
      <x:c r="L1629" s="69" t="str">
        <x:f>IF(COUNT(E1629:I1629)&lt;5,"Needs component scores",IF(ISNUMBER(J1629),"Calculated",J1629))</x:f>
        <x:v>Needs component scores</x:v>
      </x:c>
      <x:c r="M1629" s="69" t="str">
        <x:f>IF(C1629="","",MATCH(C1629,'Position_Rubric'!$A$6:$A$14,0))</x:f>
      </x:c>
      <x:c r="N1629" s="69" t="str"/>
    </x:row>
    <x:row r="1630" ht="25" customHeight="1">
      <x:c r="A1630" s="69" t="str">
        <x:v>summer-S26-1415</x:v>
      </x:c>
      <x:c r="B1630" s="69" t="str">
        <x:v>Emil Audero</x:v>
      </x:c>
      <x:c r="C1630" s="69" t="str">
        <x:v>GK</x:v>
      </x:c>
      <x:c r="D1630" s="82" t="str">
        <x:f>IF(ISNUMBER('Transfer_Ratings'!K1630),'Transfer_Ratings'!K1630,"")</x:f>
      </x:c>
      <x:c r="E1630" s="86"/>
      <x:c r="F1630" s="86"/>
      <x:c r="G1630" s="86"/>
      <x:c r="H1630" s="86"/>
      <x:c r="I1630" s="86"/>
      <x:c r="J1630" s="82" t="str">
        <x:f>IF(C1630="","Choose position",IF(COUNT(E1630:I1630)&lt;5,"",IF(OR(MIN(E1630:I1630)&lt;0.1,MAX(E1630:I1630)&gt;10),"Invalid score",IF(INDEX('Position_Rubric'!$H$6:$H$14,M1630)&lt;&gt;1,"Check weights",ROUND(E1630*INDEX('Position_Rubric'!$C$6:$C$14,M1630)+F1630*INDEX('Position_Rubric'!$D$6:$D$14,M1630)+G1630*INDEX('Position_Rubric'!$E$6:$E$14,M1630)+H1630*INDEX('Position_Rubric'!$F$6:$F$14,M1630)+I1630*INDEX('Position_Rubric'!$G$6:$G$14,M1630),1)))))</x:f>
      </x:c>
      <x:c r="K1630" s="82" t="str">
        <x:f>IF(AND(ISNUMBER(J1630),ISNUMBER(D1630)),J1630-D1630,"")</x:f>
      </x:c>
      <x:c r="L1630" s="69" t="str">
        <x:f>IF(COUNT(E1630:I1630)&lt;5,"Needs component scores",IF(ISNUMBER(J1630),"Calculated",J1630))</x:f>
        <x:v>Needs component scores</x:v>
      </x:c>
      <x:c r="M1630" s="69" t="n">
        <x:f>IF(C1630="","",MATCH(C1630,'Position_Rubric'!$A$6:$A$14,0))</x:f>
        <x:v>9</x:v>
      </x:c>
      <x:c r="N1630" s="69" t="str"/>
    </x:row>
    <x:row r="1631" ht="25" customHeight="1">
      <x:c r="A1631" s="69" t="str">
        <x:v>summer-S26-1417</x:v>
      </x:c>
      <x:c r="B1631" s="69" t="str">
        <x:v>Soumaïla Coulibaly</x:v>
      </x:c>
      <x:c r="C1631" s="69"/>
      <x:c r="D1631" s="82" t="str">
        <x:f>IF(ISNUMBER('Transfer_Ratings'!K1631),'Transfer_Ratings'!K1631,"")</x:f>
      </x:c>
      <x:c r="E1631" s="86"/>
      <x:c r="F1631" s="86"/>
      <x:c r="G1631" s="86"/>
      <x:c r="H1631" s="86"/>
      <x:c r="I1631" s="86"/>
      <x:c r="J1631" s="82" t="str">
        <x:f>IF(C1631="","Choose position",IF(COUNT(E1631:I1631)&lt;5,"",IF(OR(MIN(E1631:I1631)&lt;0.1,MAX(E1631:I1631)&gt;10),"Invalid score",IF(INDEX('Position_Rubric'!$H$6:$H$14,M1631)&lt;&gt;1,"Check weights",ROUND(E1631*INDEX('Position_Rubric'!$C$6:$C$14,M1631)+F1631*INDEX('Position_Rubric'!$D$6:$D$14,M1631)+G1631*INDEX('Position_Rubric'!$E$6:$E$14,M1631)+H1631*INDEX('Position_Rubric'!$F$6:$F$14,M1631)+I1631*INDEX('Position_Rubric'!$G$6:$G$14,M1631),1)))))</x:f>
        <x:v>Choose position</x:v>
      </x:c>
      <x:c r="K1631" s="82" t="str">
        <x:f>IF(AND(ISNUMBER(J1631),ISNUMBER(D1631)),J1631-D1631,"")</x:f>
      </x:c>
      <x:c r="L1631" s="69" t="str">
        <x:f>IF(COUNT(E1631:I1631)&lt;5,"Needs component scores",IF(ISNUMBER(J1631),"Calculated",J1631))</x:f>
        <x:v>Needs component scores</x:v>
      </x:c>
      <x:c r="M1631" s="69" t="str">
        <x:f>IF(C1631="","",MATCH(C1631,'Position_Rubric'!$A$6:$A$14,0))</x:f>
      </x:c>
      <x:c r="N1631" s="69" t="str"/>
    </x:row>
    <x:row r="1632" ht="25" customHeight="1">
      <x:c r="A1632" s="69" t="str">
        <x:v>summer-S26-1421</x:v>
      </x:c>
      <x:c r="B1632" s="69" t="str">
        <x:v>José María Giménez</x:v>
      </x:c>
      <x:c r="C1632" s="69"/>
      <x:c r="D1632" s="82" t="str">
        <x:f>IF(ISNUMBER('Transfer_Ratings'!K1632),'Transfer_Ratings'!K1632,"")</x:f>
      </x:c>
      <x:c r="E1632" s="86"/>
      <x:c r="F1632" s="86"/>
      <x:c r="G1632" s="86"/>
      <x:c r="H1632" s="86"/>
      <x:c r="I1632" s="86"/>
      <x:c r="J1632" s="82" t="str">
        <x:f>IF(C1632="","Choose position",IF(COUNT(E1632:I1632)&lt;5,"",IF(OR(MIN(E1632:I1632)&lt;0.1,MAX(E1632:I1632)&gt;10),"Invalid score",IF(INDEX('Position_Rubric'!$H$6:$H$14,M1632)&lt;&gt;1,"Check weights",ROUND(E1632*INDEX('Position_Rubric'!$C$6:$C$14,M1632)+F1632*INDEX('Position_Rubric'!$D$6:$D$14,M1632)+G1632*INDEX('Position_Rubric'!$E$6:$E$14,M1632)+H1632*INDEX('Position_Rubric'!$F$6:$F$14,M1632)+I1632*INDEX('Position_Rubric'!$G$6:$G$14,M1632),1)))))</x:f>
        <x:v>Choose position</x:v>
      </x:c>
      <x:c r="K1632" s="82" t="str">
        <x:f>IF(AND(ISNUMBER(J1632),ISNUMBER(D1632)),J1632-D1632,"")</x:f>
      </x:c>
      <x:c r="L1632" s="69" t="str">
        <x:f>IF(COUNT(E1632:I1632)&lt;5,"Needs component scores",IF(ISNUMBER(J1632),"Calculated",J1632))</x:f>
        <x:v>Needs component scores</x:v>
      </x:c>
      <x:c r="M1632" s="69" t="str">
        <x:f>IF(C1632="","",MATCH(C1632,'Position_Rubric'!$A$6:$A$14,0))</x:f>
      </x:c>
      <x:c r="N1632" s="69" t="str"/>
    </x:row>
    <x:row r="1633" ht="25" customHeight="1">
      <x:c r="A1633" s="69" t="str">
        <x:v>summer-S26-1424</x:v>
      </x:c>
      <x:c r="B1633" s="69" t="str">
        <x:v>Ben Chilwell</x:v>
      </x:c>
      <x:c r="C1633" s="69"/>
      <x:c r="D1633" s="82" t="str">
        <x:f>IF(ISNUMBER('Transfer_Ratings'!K1633),'Transfer_Ratings'!K1633,"")</x:f>
      </x:c>
      <x:c r="E1633" s="86"/>
      <x:c r="F1633" s="86"/>
      <x:c r="G1633" s="86"/>
      <x:c r="H1633" s="86"/>
      <x:c r="I1633" s="86"/>
      <x:c r="J1633" s="82" t="str">
        <x:f>IF(C1633="","Choose position",IF(COUNT(E1633:I1633)&lt;5,"",IF(OR(MIN(E1633:I1633)&lt;0.1,MAX(E1633:I1633)&gt;10),"Invalid score",IF(INDEX('Position_Rubric'!$H$6:$H$14,M1633)&lt;&gt;1,"Check weights",ROUND(E1633*INDEX('Position_Rubric'!$C$6:$C$14,M1633)+F1633*INDEX('Position_Rubric'!$D$6:$D$14,M1633)+G1633*INDEX('Position_Rubric'!$E$6:$E$14,M1633)+H1633*INDEX('Position_Rubric'!$F$6:$F$14,M1633)+I1633*INDEX('Position_Rubric'!$G$6:$G$14,M1633),1)))))</x:f>
        <x:v>Choose position</x:v>
      </x:c>
      <x:c r="K1633" s="82" t="str">
        <x:f>IF(AND(ISNUMBER(J1633),ISNUMBER(D1633)),J1633-D1633,"")</x:f>
      </x:c>
      <x:c r="L1633" s="69" t="str">
        <x:f>IF(COUNT(E1633:I1633)&lt;5,"Needs component scores",IF(ISNUMBER(J1633),"Calculated",J1633))</x:f>
        <x:v>Needs component scores</x:v>
      </x:c>
      <x:c r="M1633" s="69" t="str">
        <x:f>IF(C1633="","",MATCH(C1633,'Position_Rubric'!$A$6:$A$14,0))</x:f>
      </x:c>
      <x:c r="N1633" s="69" t="str"/>
    </x:row>
    <x:row r="1634" ht="25" customHeight="1">
      <x:c r="A1634" s="69" t="str">
        <x:v>summer-S26-1425</x:v>
      </x:c>
      <x:c r="B1634" s="69" t="str">
        <x:v>Christos Mouzakitis</x:v>
      </x:c>
      <x:c r="C1634" s="69"/>
      <x:c r="D1634" s="82" t="str">
        <x:f>IF(ISNUMBER('Transfer_Ratings'!K1634),'Transfer_Ratings'!K1634,"")</x:f>
      </x:c>
      <x:c r="E1634" s="86"/>
      <x:c r="F1634" s="86"/>
      <x:c r="G1634" s="86"/>
      <x:c r="H1634" s="86"/>
      <x:c r="I1634" s="86"/>
      <x:c r="J1634" s="82" t="str">
        <x:f>IF(C1634="","Choose position",IF(COUNT(E1634:I1634)&lt;5,"",IF(OR(MIN(E1634:I1634)&lt;0.1,MAX(E1634:I1634)&gt;10),"Invalid score",IF(INDEX('Position_Rubric'!$H$6:$H$14,M1634)&lt;&gt;1,"Check weights",ROUND(E1634*INDEX('Position_Rubric'!$C$6:$C$14,M1634)+F1634*INDEX('Position_Rubric'!$D$6:$D$14,M1634)+G1634*INDEX('Position_Rubric'!$E$6:$E$14,M1634)+H1634*INDEX('Position_Rubric'!$F$6:$F$14,M1634)+I1634*INDEX('Position_Rubric'!$G$6:$G$14,M1634),1)))))</x:f>
        <x:v>Choose position</x:v>
      </x:c>
      <x:c r="K1634" s="82" t="str">
        <x:f>IF(AND(ISNUMBER(J1634),ISNUMBER(D1634)),J1634-D1634,"")</x:f>
      </x:c>
      <x:c r="L1634" s="69" t="str">
        <x:f>IF(COUNT(E1634:I1634)&lt;5,"Needs component scores",IF(ISNUMBER(J1634),"Calculated",J1634))</x:f>
        <x:v>Needs component scores</x:v>
      </x:c>
      <x:c r="M1634" s="69" t="str">
        <x:f>IF(C1634="","",MATCH(C1634,'Position_Rubric'!$A$6:$A$14,0))</x:f>
      </x:c>
      <x:c r="N1634" s="69" t="str"/>
    </x:row>
    <x:row r="1635" ht="25" customHeight="1">
      <x:c r="A1635" s="69" t="str">
        <x:v>summer-S26-1426</x:v>
      </x:c>
      <x:c r="B1635" s="69" t="str">
        <x:v>Kevin Lomónaco</x:v>
      </x:c>
      <x:c r="C1635" s="69"/>
      <x:c r="D1635" s="82" t="str">
        <x:f>IF(ISNUMBER('Transfer_Ratings'!K1635),'Transfer_Ratings'!K1635,"")</x:f>
      </x:c>
      <x:c r="E1635" s="86"/>
      <x:c r="F1635" s="86"/>
      <x:c r="G1635" s="86"/>
      <x:c r="H1635" s="86"/>
      <x:c r="I1635" s="86"/>
      <x:c r="J1635" s="82" t="str">
        <x:f>IF(C1635="","Choose position",IF(COUNT(E1635:I1635)&lt;5,"",IF(OR(MIN(E1635:I1635)&lt;0.1,MAX(E1635:I1635)&gt;10),"Invalid score",IF(INDEX('Position_Rubric'!$H$6:$H$14,M1635)&lt;&gt;1,"Check weights",ROUND(E1635*INDEX('Position_Rubric'!$C$6:$C$14,M1635)+F1635*INDEX('Position_Rubric'!$D$6:$D$14,M1635)+G1635*INDEX('Position_Rubric'!$E$6:$E$14,M1635)+H1635*INDEX('Position_Rubric'!$F$6:$F$14,M1635)+I1635*INDEX('Position_Rubric'!$G$6:$G$14,M1635),1)))))</x:f>
        <x:v>Choose position</x:v>
      </x:c>
      <x:c r="K1635" s="82" t="str">
        <x:f>IF(AND(ISNUMBER(J1635),ISNUMBER(D1635)),J1635-D1635,"")</x:f>
      </x:c>
      <x:c r="L1635" s="69" t="str">
        <x:f>IF(COUNT(E1635:I1635)&lt;5,"Needs component scores",IF(ISNUMBER(J1635),"Calculated",J1635))</x:f>
        <x:v>Needs component scores</x:v>
      </x:c>
      <x:c r="M1635" s="69" t="str">
        <x:f>IF(C1635="","",MATCH(C1635,'Position_Rubric'!$A$6:$A$14,0))</x:f>
      </x:c>
      <x:c r="N1635" s="69" t="str"/>
    </x:row>
    <x:row r="1636" ht="25" customHeight="1">
      <x:c r="A1636" s="69" t="str">
        <x:v>summer-S26-1427</x:v>
      </x:c>
      <x:c r="B1636" s="69" t="str">
        <x:v>Mirza Catovic</x:v>
      </x:c>
      <x:c r="C1636" s="69"/>
      <x:c r="D1636" s="82" t="str">
        <x:f>IF(ISNUMBER('Transfer_Ratings'!K1636),'Transfer_Ratings'!K1636,"")</x:f>
      </x:c>
      <x:c r="E1636" s="86"/>
      <x:c r="F1636" s="86"/>
      <x:c r="G1636" s="86"/>
      <x:c r="H1636" s="86"/>
      <x:c r="I1636" s="86"/>
      <x:c r="J1636" s="82" t="str">
        <x:f>IF(C1636="","Choose position",IF(COUNT(E1636:I1636)&lt;5,"",IF(OR(MIN(E1636:I1636)&lt;0.1,MAX(E1636:I1636)&gt;10),"Invalid score",IF(INDEX('Position_Rubric'!$H$6:$H$14,M1636)&lt;&gt;1,"Check weights",ROUND(E1636*INDEX('Position_Rubric'!$C$6:$C$14,M1636)+F1636*INDEX('Position_Rubric'!$D$6:$D$14,M1636)+G1636*INDEX('Position_Rubric'!$E$6:$E$14,M1636)+H1636*INDEX('Position_Rubric'!$F$6:$F$14,M1636)+I1636*INDEX('Position_Rubric'!$G$6:$G$14,M1636),1)))))</x:f>
        <x:v>Choose position</x:v>
      </x:c>
      <x:c r="K1636" s="82" t="str">
        <x:f>IF(AND(ISNUMBER(J1636),ISNUMBER(D1636)),J1636-D1636,"")</x:f>
      </x:c>
      <x:c r="L1636" s="69" t="str">
        <x:f>IF(COUNT(E1636:I1636)&lt;5,"Needs component scores",IF(ISNUMBER(J1636),"Calculated",J1636))</x:f>
        <x:v>Needs component scores</x:v>
      </x:c>
      <x:c r="M1636" s="69" t="str">
        <x:f>IF(C1636="","",MATCH(C1636,'Position_Rubric'!$A$6:$A$14,0))</x:f>
      </x:c>
      <x:c r="N1636" s="69" t="str"/>
    </x:row>
    <x:row r="1637" ht="25" customHeight="1">
      <x:c r="A1637" s="69" t="str">
        <x:v>summer-S26-1429</x:v>
      </x:c>
      <x:c r="B1637" s="69" t="str">
        <x:v>David Affengruber</x:v>
      </x:c>
      <x:c r="C1637" s="69"/>
      <x:c r="D1637" s="82" t="str">
        <x:f>IF(ISNUMBER('Transfer_Ratings'!K1637),'Transfer_Ratings'!K1637,"")</x:f>
      </x:c>
      <x:c r="E1637" s="86"/>
      <x:c r="F1637" s="86"/>
      <x:c r="G1637" s="86"/>
      <x:c r="H1637" s="86"/>
      <x:c r="I1637" s="86"/>
      <x:c r="J1637" s="82" t="str">
        <x:f>IF(C1637="","Choose position",IF(COUNT(E1637:I1637)&lt;5,"",IF(OR(MIN(E1637:I1637)&lt;0.1,MAX(E1637:I1637)&gt;10),"Invalid score",IF(INDEX('Position_Rubric'!$H$6:$H$14,M1637)&lt;&gt;1,"Check weights",ROUND(E1637*INDEX('Position_Rubric'!$C$6:$C$14,M1637)+F1637*INDEX('Position_Rubric'!$D$6:$D$14,M1637)+G1637*INDEX('Position_Rubric'!$E$6:$E$14,M1637)+H1637*INDEX('Position_Rubric'!$F$6:$F$14,M1637)+I1637*INDEX('Position_Rubric'!$G$6:$G$14,M1637),1)))))</x:f>
        <x:v>Choose position</x:v>
      </x:c>
      <x:c r="K1637" s="82" t="str">
        <x:f>IF(AND(ISNUMBER(J1637),ISNUMBER(D1637)),J1637-D1637,"")</x:f>
      </x:c>
      <x:c r="L1637" s="69" t="str">
        <x:f>IF(COUNT(E1637:I1637)&lt;5,"Needs component scores",IF(ISNUMBER(J1637),"Calculated",J1637))</x:f>
        <x:v>Needs component scores</x:v>
      </x:c>
      <x:c r="M1637" s="69" t="str">
        <x:f>IF(C1637="","",MATCH(C1637,'Position_Rubric'!$A$6:$A$14,0))</x:f>
      </x:c>
      <x:c r="N1637" s="69" t="str"/>
    </x:row>
    <x:row r="1638" ht="25" customHeight="1">
      <x:c r="A1638" s="69" t="str">
        <x:v>summer-S26-1430</x:v>
      </x:c>
      <x:c r="B1638" s="69" t="str">
        <x:v>Ainsley Maitland-Niles</x:v>
      </x:c>
      <x:c r="C1638" s="69"/>
      <x:c r="D1638" s="82" t="str">
        <x:f>IF(ISNUMBER('Transfer_Ratings'!K1638),'Transfer_Ratings'!K1638,"")</x:f>
      </x:c>
      <x:c r="E1638" s="86"/>
      <x:c r="F1638" s="86"/>
      <x:c r="G1638" s="86"/>
      <x:c r="H1638" s="86"/>
      <x:c r="I1638" s="86"/>
      <x:c r="J1638" s="82" t="str">
        <x:f>IF(C1638="","Choose position",IF(COUNT(E1638:I1638)&lt;5,"",IF(OR(MIN(E1638:I1638)&lt;0.1,MAX(E1638:I1638)&gt;10),"Invalid score",IF(INDEX('Position_Rubric'!$H$6:$H$14,M1638)&lt;&gt;1,"Check weights",ROUND(E1638*INDEX('Position_Rubric'!$C$6:$C$14,M1638)+F1638*INDEX('Position_Rubric'!$D$6:$D$14,M1638)+G1638*INDEX('Position_Rubric'!$E$6:$E$14,M1638)+H1638*INDEX('Position_Rubric'!$F$6:$F$14,M1638)+I1638*INDEX('Position_Rubric'!$G$6:$G$14,M1638),1)))))</x:f>
        <x:v>Choose position</x:v>
      </x:c>
      <x:c r="K1638" s="82" t="str">
        <x:f>IF(AND(ISNUMBER(J1638),ISNUMBER(D1638)),J1638-D1638,"")</x:f>
      </x:c>
      <x:c r="L1638" s="69" t="str">
        <x:f>IF(COUNT(E1638:I1638)&lt;5,"Needs component scores",IF(ISNUMBER(J1638),"Calculated",J1638))</x:f>
        <x:v>Needs component scores</x:v>
      </x:c>
      <x:c r="M1638" s="69" t="str">
        <x:f>IF(C1638="","",MATCH(C1638,'Position_Rubric'!$A$6:$A$14,0))</x:f>
      </x:c>
      <x:c r="N1638" s="69" t="str"/>
    </x:row>
    <x:row r="1639" ht="25" customHeight="1">
      <x:c r="A1639" s="69" t="str">
        <x:v>summer-S26-1433</x:v>
      </x:c>
      <x:c r="B1639" s="69" t="str">
        <x:v>Quinten Timber</x:v>
      </x:c>
      <x:c r="C1639" s="69"/>
      <x:c r="D1639" s="82" t="str">
        <x:f>IF(ISNUMBER('Transfer_Ratings'!K1639),'Transfer_Ratings'!K1639,"")</x:f>
      </x:c>
      <x:c r="E1639" s="86"/>
      <x:c r="F1639" s="86"/>
      <x:c r="G1639" s="86"/>
      <x:c r="H1639" s="86"/>
      <x:c r="I1639" s="86"/>
      <x:c r="J1639" s="82" t="str">
        <x:f>IF(C1639="","Choose position",IF(COUNT(E1639:I1639)&lt;5,"",IF(OR(MIN(E1639:I1639)&lt;0.1,MAX(E1639:I1639)&gt;10),"Invalid score",IF(INDEX('Position_Rubric'!$H$6:$H$14,M1639)&lt;&gt;1,"Check weights",ROUND(E1639*INDEX('Position_Rubric'!$C$6:$C$14,M1639)+F1639*INDEX('Position_Rubric'!$D$6:$D$14,M1639)+G1639*INDEX('Position_Rubric'!$E$6:$E$14,M1639)+H1639*INDEX('Position_Rubric'!$F$6:$F$14,M1639)+I1639*INDEX('Position_Rubric'!$G$6:$G$14,M1639),1)))))</x:f>
        <x:v>Choose position</x:v>
      </x:c>
      <x:c r="K1639" s="82" t="str">
        <x:f>IF(AND(ISNUMBER(J1639),ISNUMBER(D1639)),J1639-D1639,"")</x:f>
      </x:c>
      <x:c r="L1639" s="69" t="str">
        <x:f>IF(COUNT(E1639:I1639)&lt;5,"Needs component scores",IF(ISNUMBER(J1639),"Calculated",J1639))</x:f>
        <x:v>Needs component scores</x:v>
      </x:c>
      <x:c r="M1639" s="69" t="str">
        <x:f>IF(C1639="","",MATCH(C1639,'Position_Rubric'!$A$6:$A$14,0))</x:f>
      </x:c>
      <x:c r="N1639" s="69" t="str"/>
    </x:row>
    <x:row r="1640" ht="25" customHeight="1">
      <x:c r="A1640" s="69" t="str">
        <x:v>summer-S26-1436</x:v>
      </x:c>
      <x:c r="B1640" s="69" t="str">
        <x:v>Michael Zetterer</x:v>
      </x:c>
      <x:c r="C1640" s="69" t="str">
        <x:v>GK</x:v>
      </x:c>
      <x:c r="D1640" s="82" t="str">
        <x:f>IF(ISNUMBER('Transfer_Ratings'!K1640),'Transfer_Ratings'!K1640,"")</x:f>
      </x:c>
      <x:c r="E1640" s="86"/>
      <x:c r="F1640" s="86"/>
      <x:c r="G1640" s="86"/>
      <x:c r="H1640" s="86"/>
      <x:c r="I1640" s="86"/>
      <x:c r="J1640" s="82" t="str">
        <x:f>IF(C1640="","Choose position",IF(COUNT(E1640:I1640)&lt;5,"",IF(OR(MIN(E1640:I1640)&lt;0.1,MAX(E1640:I1640)&gt;10),"Invalid score",IF(INDEX('Position_Rubric'!$H$6:$H$14,M1640)&lt;&gt;1,"Check weights",ROUND(E1640*INDEX('Position_Rubric'!$C$6:$C$14,M1640)+F1640*INDEX('Position_Rubric'!$D$6:$D$14,M1640)+G1640*INDEX('Position_Rubric'!$E$6:$E$14,M1640)+H1640*INDEX('Position_Rubric'!$F$6:$F$14,M1640)+I1640*INDEX('Position_Rubric'!$G$6:$G$14,M1640),1)))))</x:f>
      </x:c>
      <x:c r="K1640" s="82" t="str">
        <x:f>IF(AND(ISNUMBER(J1640),ISNUMBER(D1640)),J1640-D1640,"")</x:f>
      </x:c>
      <x:c r="L1640" s="69" t="str">
        <x:f>IF(COUNT(E1640:I1640)&lt;5,"Needs component scores",IF(ISNUMBER(J1640),"Calculated",J1640))</x:f>
        <x:v>Needs component scores</x:v>
      </x:c>
      <x:c r="M1640" s="69" t="n">
        <x:f>IF(C1640="","",MATCH(C1640,'Position_Rubric'!$A$6:$A$14,0))</x:f>
        <x:v>9</x:v>
      </x:c>
      <x:c r="N1640" s="69" t="str"/>
    </x:row>
    <x:row r="1641" ht="25" customHeight="1">
      <x:c r="A1641" s="69" t="str">
        <x:v>summer-S26-1437</x:v>
      </x:c>
      <x:c r="B1641" s="69" t="str">
        <x:v>Femi Azeez</x:v>
      </x:c>
      <x:c r="C1641" s="69"/>
      <x:c r="D1641" s="82" t="str">
        <x:f>IF(ISNUMBER('Transfer_Ratings'!K1641),'Transfer_Ratings'!K1641,"")</x:f>
      </x:c>
      <x:c r="E1641" s="86"/>
      <x:c r="F1641" s="86"/>
      <x:c r="G1641" s="86"/>
      <x:c r="H1641" s="86"/>
      <x:c r="I1641" s="86"/>
      <x:c r="J1641" s="82" t="str">
        <x:f>IF(C1641="","Choose position",IF(COUNT(E1641:I1641)&lt;5,"",IF(OR(MIN(E1641:I1641)&lt;0.1,MAX(E1641:I1641)&gt;10),"Invalid score",IF(INDEX('Position_Rubric'!$H$6:$H$14,M1641)&lt;&gt;1,"Check weights",ROUND(E1641*INDEX('Position_Rubric'!$C$6:$C$14,M1641)+F1641*INDEX('Position_Rubric'!$D$6:$D$14,M1641)+G1641*INDEX('Position_Rubric'!$E$6:$E$14,M1641)+H1641*INDEX('Position_Rubric'!$F$6:$F$14,M1641)+I1641*INDEX('Position_Rubric'!$G$6:$G$14,M1641),1)))))</x:f>
        <x:v>Choose position</x:v>
      </x:c>
      <x:c r="K1641" s="82" t="str">
        <x:f>IF(AND(ISNUMBER(J1641),ISNUMBER(D1641)),J1641-D1641,"")</x:f>
      </x:c>
      <x:c r="L1641" s="69" t="str">
        <x:f>IF(COUNT(E1641:I1641)&lt;5,"Needs component scores",IF(ISNUMBER(J1641),"Calculated",J1641))</x:f>
        <x:v>Needs component scores</x:v>
      </x:c>
      <x:c r="M1641" s="69" t="str">
        <x:f>IF(C1641="","",MATCH(C1641,'Position_Rubric'!$A$6:$A$14,0))</x:f>
      </x:c>
      <x:c r="N1641" s="69" t="str"/>
    </x:row>
    <x:row r="1642" ht="25" customHeight="1">
      <x:c r="A1642" s="69" t="str">
        <x:v>summer-S26-1439</x:v>
      </x:c>
      <x:c r="B1642" s="69" t="str">
        <x:v>Kamari Doyle</x:v>
      </x:c>
      <x:c r="C1642" s="69"/>
      <x:c r="D1642" s="82" t="str">
        <x:f>IF(ISNUMBER('Transfer_Ratings'!K1642),'Transfer_Ratings'!K1642,"")</x:f>
      </x:c>
      <x:c r="E1642" s="86"/>
      <x:c r="F1642" s="86"/>
      <x:c r="G1642" s="86"/>
      <x:c r="H1642" s="86"/>
      <x:c r="I1642" s="86"/>
      <x:c r="J1642" s="82" t="str">
        <x:f>IF(C1642="","Choose position",IF(COUNT(E1642:I1642)&lt;5,"",IF(OR(MIN(E1642:I1642)&lt;0.1,MAX(E1642:I1642)&gt;10),"Invalid score",IF(INDEX('Position_Rubric'!$H$6:$H$14,M1642)&lt;&gt;1,"Check weights",ROUND(E1642*INDEX('Position_Rubric'!$C$6:$C$14,M1642)+F1642*INDEX('Position_Rubric'!$D$6:$D$14,M1642)+G1642*INDEX('Position_Rubric'!$E$6:$E$14,M1642)+H1642*INDEX('Position_Rubric'!$F$6:$F$14,M1642)+I1642*INDEX('Position_Rubric'!$G$6:$G$14,M1642),1)))))</x:f>
        <x:v>Choose position</x:v>
      </x:c>
      <x:c r="K1642" s="82" t="str">
        <x:f>IF(AND(ISNUMBER(J1642),ISNUMBER(D1642)),J1642-D1642,"")</x:f>
      </x:c>
      <x:c r="L1642" s="69" t="str">
        <x:f>IF(COUNT(E1642:I1642)&lt;5,"Needs component scores",IF(ISNUMBER(J1642),"Calculated",J1642))</x:f>
        <x:v>Needs component scores</x:v>
      </x:c>
      <x:c r="M1642" s="69" t="str">
        <x:f>IF(C1642="","",MATCH(C1642,'Position_Rubric'!$A$6:$A$14,0))</x:f>
      </x:c>
      <x:c r="N1642" s="69" t="str"/>
    </x:row>
    <x:row r="1643" ht="25" customHeight="1">
      <x:c r="A1643" s="69" t="str">
        <x:v>summer-S26-1440</x:v>
      </x:c>
      <x:c r="B1643" s="69" t="str">
        <x:v>Adama Boiro</x:v>
      </x:c>
      <x:c r="C1643" s="69"/>
      <x:c r="D1643" s="82" t="str">
        <x:f>IF(ISNUMBER('Transfer_Ratings'!K1643),'Transfer_Ratings'!K1643,"")</x:f>
      </x:c>
      <x:c r="E1643" s="86"/>
      <x:c r="F1643" s="86"/>
      <x:c r="G1643" s="86"/>
      <x:c r="H1643" s="86"/>
      <x:c r="I1643" s="86"/>
      <x:c r="J1643" s="82" t="str">
        <x:f>IF(C1643="","Choose position",IF(COUNT(E1643:I1643)&lt;5,"",IF(OR(MIN(E1643:I1643)&lt;0.1,MAX(E1643:I1643)&gt;10),"Invalid score",IF(INDEX('Position_Rubric'!$H$6:$H$14,M1643)&lt;&gt;1,"Check weights",ROUND(E1643*INDEX('Position_Rubric'!$C$6:$C$14,M1643)+F1643*INDEX('Position_Rubric'!$D$6:$D$14,M1643)+G1643*INDEX('Position_Rubric'!$E$6:$E$14,M1643)+H1643*INDEX('Position_Rubric'!$F$6:$F$14,M1643)+I1643*INDEX('Position_Rubric'!$G$6:$G$14,M1643),1)))))</x:f>
        <x:v>Choose position</x:v>
      </x:c>
      <x:c r="K1643" s="82" t="str">
        <x:f>IF(AND(ISNUMBER(J1643),ISNUMBER(D1643)),J1643-D1643,"")</x:f>
      </x:c>
      <x:c r="L1643" s="69" t="str">
        <x:f>IF(COUNT(E1643:I1643)&lt;5,"Needs component scores",IF(ISNUMBER(J1643),"Calculated",J1643))</x:f>
        <x:v>Needs component scores</x:v>
      </x:c>
      <x:c r="M1643" s="69" t="str">
        <x:f>IF(C1643="","",MATCH(C1643,'Position_Rubric'!$A$6:$A$14,0))</x:f>
      </x:c>
      <x:c r="N1643" s="69" t="str"/>
    </x:row>
    <x:row r="1644" ht="25" customHeight="1">
      <x:c r="A1644" s="69" t="str">
        <x:v>summer-S26-1441</x:v>
      </x:c>
      <x:c r="B1644" s="69" t="str">
        <x:v>Yvan Neyou</x:v>
      </x:c>
      <x:c r="C1644" s="69"/>
      <x:c r="D1644" s="82" t="str">
        <x:f>IF(ISNUMBER('Transfer_Ratings'!K1644),'Transfer_Ratings'!K1644,"")</x:f>
      </x:c>
      <x:c r="E1644" s="86"/>
      <x:c r="F1644" s="86"/>
      <x:c r="G1644" s="86"/>
      <x:c r="H1644" s="86"/>
      <x:c r="I1644" s="86"/>
      <x:c r="J1644" s="82" t="str">
        <x:f>IF(C1644="","Choose position",IF(COUNT(E1644:I1644)&lt;5,"",IF(OR(MIN(E1644:I1644)&lt;0.1,MAX(E1644:I1644)&gt;10),"Invalid score",IF(INDEX('Position_Rubric'!$H$6:$H$14,M1644)&lt;&gt;1,"Check weights",ROUND(E1644*INDEX('Position_Rubric'!$C$6:$C$14,M1644)+F1644*INDEX('Position_Rubric'!$D$6:$D$14,M1644)+G1644*INDEX('Position_Rubric'!$E$6:$E$14,M1644)+H1644*INDEX('Position_Rubric'!$F$6:$F$14,M1644)+I1644*INDEX('Position_Rubric'!$G$6:$G$14,M1644),1)))))</x:f>
        <x:v>Choose position</x:v>
      </x:c>
      <x:c r="K1644" s="82" t="str">
        <x:f>IF(AND(ISNUMBER(J1644),ISNUMBER(D1644)),J1644-D1644,"")</x:f>
      </x:c>
      <x:c r="L1644" s="69" t="str">
        <x:f>IF(COUNT(E1644:I1644)&lt;5,"Needs component scores",IF(ISNUMBER(J1644),"Calculated",J1644))</x:f>
        <x:v>Needs component scores</x:v>
      </x:c>
      <x:c r="M1644" s="69" t="str">
        <x:f>IF(C1644="","",MATCH(C1644,'Position_Rubric'!$A$6:$A$14,0))</x:f>
      </x:c>
      <x:c r="N1644" s="69" t="str"/>
    </x:row>
    <x:row r="1645" ht="25" customHeight="1">
      <x:c r="A1645" s="69" t="str">
        <x:v>summer-S26-1443</x:v>
      </x:c>
      <x:c r="B1645" s="69" t="str">
        <x:v>Julian Pauli</x:v>
      </x:c>
      <x:c r="C1645" s="69"/>
      <x:c r="D1645" s="82" t="str">
        <x:f>IF(ISNUMBER('Transfer_Ratings'!K1645),'Transfer_Ratings'!K1645,"")</x:f>
      </x:c>
      <x:c r="E1645" s="86"/>
      <x:c r="F1645" s="86"/>
      <x:c r="G1645" s="86"/>
      <x:c r="H1645" s="86"/>
      <x:c r="I1645" s="86"/>
      <x:c r="J1645" s="82" t="str">
        <x:f>IF(C1645="","Choose position",IF(COUNT(E1645:I1645)&lt;5,"",IF(OR(MIN(E1645:I1645)&lt;0.1,MAX(E1645:I1645)&gt;10),"Invalid score",IF(INDEX('Position_Rubric'!$H$6:$H$14,M1645)&lt;&gt;1,"Check weights",ROUND(E1645*INDEX('Position_Rubric'!$C$6:$C$14,M1645)+F1645*INDEX('Position_Rubric'!$D$6:$D$14,M1645)+G1645*INDEX('Position_Rubric'!$E$6:$E$14,M1645)+H1645*INDEX('Position_Rubric'!$F$6:$F$14,M1645)+I1645*INDEX('Position_Rubric'!$G$6:$G$14,M1645),1)))))</x:f>
        <x:v>Choose position</x:v>
      </x:c>
      <x:c r="K1645" s="82" t="str">
        <x:f>IF(AND(ISNUMBER(J1645),ISNUMBER(D1645)),J1645-D1645,"")</x:f>
      </x:c>
      <x:c r="L1645" s="69" t="str">
        <x:f>IF(COUNT(E1645:I1645)&lt;5,"Needs component scores",IF(ISNUMBER(J1645),"Calculated",J1645))</x:f>
        <x:v>Needs component scores</x:v>
      </x:c>
      <x:c r="M1645" s="69" t="str">
        <x:f>IF(C1645="","",MATCH(C1645,'Position_Rubric'!$A$6:$A$14,0))</x:f>
      </x:c>
      <x:c r="N1645" s="69" t="str"/>
    </x:row>
    <x:row r="1646" ht="25" customHeight="1">
      <x:c r="A1646" s="69" t="str">
        <x:v>summer-S26-1444</x:v>
      </x:c>
      <x:c r="B1646" s="69" t="str">
        <x:v>Thilo Kehrer</x:v>
      </x:c>
      <x:c r="C1646" s="69"/>
      <x:c r="D1646" s="82" t="str">
        <x:f>IF(ISNUMBER('Transfer_Ratings'!K1646),'Transfer_Ratings'!K1646,"")</x:f>
      </x:c>
      <x:c r="E1646" s="86"/>
      <x:c r="F1646" s="86"/>
      <x:c r="G1646" s="86"/>
      <x:c r="H1646" s="86"/>
      <x:c r="I1646" s="86"/>
      <x:c r="J1646" s="82" t="str">
        <x:f>IF(C1646="","Choose position",IF(COUNT(E1646:I1646)&lt;5,"",IF(OR(MIN(E1646:I1646)&lt;0.1,MAX(E1646:I1646)&gt;10),"Invalid score",IF(INDEX('Position_Rubric'!$H$6:$H$14,M1646)&lt;&gt;1,"Check weights",ROUND(E1646*INDEX('Position_Rubric'!$C$6:$C$14,M1646)+F1646*INDEX('Position_Rubric'!$D$6:$D$14,M1646)+G1646*INDEX('Position_Rubric'!$E$6:$E$14,M1646)+H1646*INDEX('Position_Rubric'!$F$6:$F$14,M1646)+I1646*INDEX('Position_Rubric'!$G$6:$G$14,M1646),1)))))</x:f>
        <x:v>Choose position</x:v>
      </x:c>
      <x:c r="K1646" s="82" t="str">
        <x:f>IF(AND(ISNUMBER(J1646),ISNUMBER(D1646)),J1646-D1646,"")</x:f>
      </x:c>
      <x:c r="L1646" s="69" t="str">
        <x:f>IF(COUNT(E1646:I1646)&lt;5,"Needs component scores",IF(ISNUMBER(J1646),"Calculated",J1646))</x:f>
        <x:v>Needs component scores</x:v>
      </x:c>
      <x:c r="M1646" s="69" t="str">
        <x:f>IF(C1646="","",MATCH(C1646,'Position_Rubric'!$A$6:$A$14,0))</x:f>
      </x:c>
      <x:c r="N1646" s="69" t="str"/>
    </x:row>
    <x:row r="1647" ht="25" customHeight="1">
      <x:c r="A1647" s="69" t="str">
        <x:v>summer-S26-1445</x:v>
      </x:c>
      <x:c r="B1647" s="69" t="str">
        <x:v>El Chadaille Bitshiabu</x:v>
      </x:c>
      <x:c r="C1647" s="69"/>
      <x:c r="D1647" s="82" t="str">
        <x:f>IF(ISNUMBER('Transfer_Ratings'!K1647),'Transfer_Ratings'!K1647,"")</x:f>
      </x:c>
      <x:c r="E1647" s="86"/>
      <x:c r="F1647" s="86"/>
      <x:c r="G1647" s="86"/>
      <x:c r="H1647" s="86"/>
      <x:c r="I1647" s="86"/>
      <x:c r="J1647" s="82" t="str">
        <x:f>IF(C1647="","Choose position",IF(COUNT(E1647:I1647)&lt;5,"",IF(OR(MIN(E1647:I1647)&lt;0.1,MAX(E1647:I1647)&gt;10),"Invalid score",IF(INDEX('Position_Rubric'!$H$6:$H$14,M1647)&lt;&gt;1,"Check weights",ROUND(E1647*INDEX('Position_Rubric'!$C$6:$C$14,M1647)+F1647*INDEX('Position_Rubric'!$D$6:$D$14,M1647)+G1647*INDEX('Position_Rubric'!$E$6:$E$14,M1647)+H1647*INDEX('Position_Rubric'!$F$6:$F$14,M1647)+I1647*INDEX('Position_Rubric'!$G$6:$G$14,M1647),1)))))</x:f>
        <x:v>Choose position</x:v>
      </x:c>
      <x:c r="K1647" s="82" t="str">
        <x:f>IF(AND(ISNUMBER(J1647),ISNUMBER(D1647)),J1647-D1647,"")</x:f>
      </x:c>
      <x:c r="L1647" s="69" t="str">
        <x:f>IF(COUNT(E1647:I1647)&lt;5,"Needs component scores",IF(ISNUMBER(J1647),"Calculated",J1647))</x:f>
        <x:v>Needs component scores</x:v>
      </x:c>
      <x:c r="M1647" s="69" t="str">
        <x:f>IF(C1647="","",MATCH(C1647,'Position_Rubric'!$A$6:$A$14,0))</x:f>
      </x:c>
      <x:c r="N1647" s="69" t="str"/>
    </x:row>
    <x:row r="1648" ht="25" customHeight="1">
      <x:c r="A1648" s="69" t="str">
        <x:v>summer-S26-1447</x:v>
      </x:c>
      <x:c r="B1648" s="69" t="str">
        <x:v>Juma Bah</x:v>
      </x:c>
      <x:c r="C1648" s="69"/>
      <x:c r="D1648" s="82" t="str">
        <x:f>IF(ISNUMBER('Transfer_Ratings'!K1648),'Transfer_Ratings'!K1648,"")</x:f>
      </x:c>
      <x:c r="E1648" s="86"/>
      <x:c r="F1648" s="86"/>
      <x:c r="G1648" s="86"/>
      <x:c r="H1648" s="86"/>
      <x:c r="I1648" s="86"/>
      <x:c r="J1648" s="82" t="str">
        <x:f>IF(C1648="","Choose position",IF(COUNT(E1648:I1648)&lt;5,"",IF(OR(MIN(E1648:I1648)&lt;0.1,MAX(E1648:I1648)&gt;10),"Invalid score",IF(INDEX('Position_Rubric'!$H$6:$H$14,M1648)&lt;&gt;1,"Check weights",ROUND(E1648*INDEX('Position_Rubric'!$C$6:$C$14,M1648)+F1648*INDEX('Position_Rubric'!$D$6:$D$14,M1648)+G1648*INDEX('Position_Rubric'!$E$6:$E$14,M1648)+H1648*INDEX('Position_Rubric'!$F$6:$F$14,M1648)+I1648*INDEX('Position_Rubric'!$G$6:$G$14,M1648),1)))))</x:f>
        <x:v>Choose position</x:v>
      </x:c>
      <x:c r="K1648" s="82" t="str">
        <x:f>IF(AND(ISNUMBER(J1648),ISNUMBER(D1648)),J1648-D1648,"")</x:f>
      </x:c>
      <x:c r="L1648" s="69" t="str">
        <x:f>IF(COUNT(E1648:I1648)&lt;5,"Needs component scores",IF(ISNUMBER(J1648),"Calculated",J1648))</x:f>
        <x:v>Needs component scores</x:v>
      </x:c>
      <x:c r="M1648" s="69" t="str">
        <x:f>IF(C1648="","",MATCH(C1648,'Position_Rubric'!$A$6:$A$14,0))</x:f>
      </x:c>
      <x:c r="N1648" s="69" t="str"/>
    </x:row>
    <x:row r="1649" ht="25" customHeight="1">
      <x:c r="A1649" s="69" t="str">
        <x:v>summer-S26-1449</x:v>
      </x:c>
      <x:c r="B1649" s="69" t="str">
        <x:v>Justin Devenny</x:v>
      </x:c>
      <x:c r="C1649" s="69"/>
      <x:c r="D1649" s="82" t="str">
        <x:f>IF(ISNUMBER('Transfer_Ratings'!K1649),'Transfer_Ratings'!K1649,"")</x:f>
      </x:c>
      <x:c r="E1649" s="86"/>
      <x:c r="F1649" s="86"/>
      <x:c r="G1649" s="86"/>
      <x:c r="H1649" s="86"/>
      <x:c r="I1649" s="86"/>
      <x:c r="J1649" s="82" t="str">
        <x:f>IF(C1649="","Choose position",IF(COUNT(E1649:I1649)&lt;5,"",IF(OR(MIN(E1649:I1649)&lt;0.1,MAX(E1649:I1649)&gt;10),"Invalid score",IF(INDEX('Position_Rubric'!$H$6:$H$14,M1649)&lt;&gt;1,"Check weights",ROUND(E1649*INDEX('Position_Rubric'!$C$6:$C$14,M1649)+F1649*INDEX('Position_Rubric'!$D$6:$D$14,M1649)+G1649*INDEX('Position_Rubric'!$E$6:$E$14,M1649)+H1649*INDEX('Position_Rubric'!$F$6:$F$14,M1649)+I1649*INDEX('Position_Rubric'!$G$6:$G$14,M1649),1)))))</x:f>
        <x:v>Choose position</x:v>
      </x:c>
      <x:c r="K1649" s="82" t="str">
        <x:f>IF(AND(ISNUMBER(J1649),ISNUMBER(D1649)),J1649-D1649,"")</x:f>
      </x:c>
      <x:c r="L1649" s="69" t="str">
        <x:f>IF(COUNT(E1649:I1649)&lt;5,"Needs component scores",IF(ISNUMBER(J1649),"Calculated",J1649))</x:f>
        <x:v>Needs component scores</x:v>
      </x:c>
      <x:c r="M1649" s="69" t="str">
        <x:f>IF(C1649="","",MATCH(C1649,'Position_Rubric'!$A$6:$A$14,0))</x:f>
      </x:c>
      <x:c r="N1649" s="69" t="str"/>
    </x:row>
    <x:row r="1650" ht="25" customHeight="1">
      <x:c r="A1650" s="69" t="str">
        <x:v>summer-S26-1451</x:v>
      </x:c>
      <x:c r="B1650" s="69" t="str">
        <x:v>Oliver Dovin</x:v>
      </x:c>
      <x:c r="C1650" s="69" t="str">
        <x:v>GK</x:v>
      </x:c>
      <x:c r="D1650" s="82" t="str">
        <x:f>IF(ISNUMBER('Transfer_Ratings'!K1650),'Transfer_Ratings'!K1650,"")</x:f>
      </x:c>
      <x:c r="E1650" s="86"/>
      <x:c r="F1650" s="86"/>
      <x:c r="G1650" s="86"/>
      <x:c r="H1650" s="86"/>
      <x:c r="I1650" s="86"/>
      <x:c r="J1650" s="82" t="str">
        <x:f>IF(C1650="","Choose position",IF(COUNT(E1650:I1650)&lt;5,"",IF(OR(MIN(E1650:I1650)&lt;0.1,MAX(E1650:I1650)&gt;10),"Invalid score",IF(INDEX('Position_Rubric'!$H$6:$H$14,M1650)&lt;&gt;1,"Check weights",ROUND(E1650*INDEX('Position_Rubric'!$C$6:$C$14,M1650)+F1650*INDEX('Position_Rubric'!$D$6:$D$14,M1650)+G1650*INDEX('Position_Rubric'!$E$6:$E$14,M1650)+H1650*INDEX('Position_Rubric'!$F$6:$F$14,M1650)+I1650*INDEX('Position_Rubric'!$G$6:$G$14,M1650),1)))))</x:f>
      </x:c>
      <x:c r="K1650" s="82" t="str">
        <x:f>IF(AND(ISNUMBER(J1650),ISNUMBER(D1650)),J1650-D1650,"")</x:f>
      </x:c>
      <x:c r="L1650" s="69" t="str">
        <x:f>IF(COUNT(E1650:I1650)&lt;5,"Needs component scores",IF(ISNUMBER(J1650),"Calculated",J1650))</x:f>
        <x:v>Needs component scores</x:v>
      </x:c>
      <x:c r="M1650" s="69" t="n">
        <x:f>IF(C1650="","",MATCH(C1650,'Position_Rubric'!$A$6:$A$14,0))</x:f>
        <x:v>9</x:v>
      </x:c>
      <x:c r="N1650" s="69" t="str"/>
    </x:row>
    <x:row r="1651" ht="25" customHeight="1">
      <x:c r="A1651" s="69" t="str">
        <x:v>summer-S26-1453</x:v>
      </x:c>
      <x:c r="B1651" s="69" t="str">
        <x:v>Enzo Leopold</x:v>
      </x:c>
      <x:c r="C1651" s="69"/>
      <x:c r="D1651" s="82" t="str">
        <x:f>IF(ISNUMBER('Transfer_Ratings'!K1651),'Transfer_Ratings'!K1651,"")</x:f>
      </x:c>
      <x:c r="E1651" s="86"/>
      <x:c r="F1651" s="86"/>
      <x:c r="G1651" s="86"/>
      <x:c r="H1651" s="86"/>
      <x:c r="I1651" s="86"/>
      <x:c r="J1651" s="82" t="str">
        <x:f>IF(C1651="","Choose position",IF(COUNT(E1651:I1651)&lt;5,"",IF(OR(MIN(E1651:I1651)&lt;0.1,MAX(E1651:I1651)&gt;10),"Invalid score",IF(INDEX('Position_Rubric'!$H$6:$H$14,M1651)&lt;&gt;1,"Check weights",ROUND(E1651*INDEX('Position_Rubric'!$C$6:$C$14,M1651)+F1651*INDEX('Position_Rubric'!$D$6:$D$14,M1651)+G1651*INDEX('Position_Rubric'!$E$6:$E$14,M1651)+H1651*INDEX('Position_Rubric'!$F$6:$F$14,M1651)+I1651*INDEX('Position_Rubric'!$G$6:$G$14,M1651),1)))))</x:f>
        <x:v>Choose position</x:v>
      </x:c>
      <x:c r="K1651" s="82" t="str">
        <x:f>IF(AND(ISNUMBER(J1651),ISNUMBER(D1651)),J1651-D1651,"")</x:f>
      </x:c>
      <x:c r="L1651" s="69" t="str">
        <x:f>IF(COUNT(E1651:I1651)&lt;5,"Needs component scores",IF(ISNUMBER(J1651),"Calculated",J1651))</x:f>
        <x:v>Needs component scores</x:v>
      </x:c>
      <x:c r="M1651" s="69" t="str">
        <x:f>IF(C1651="","",MATCH(C1651,'Position_Rubric'!$A$6:$A$14,0))</x:f>
      </x:c>
      <x:c r="N1651" s="69" t="str"/>
    </x:row>
    <x:row r="1652" ht="25" customHeight="1">
      <x:c r="A1652" s="69" t="str">
        <x:v>summer-S26-1454</x:v>
      </x:c>
      <x:c r="B1652" s="69" t="str">
        <x:v>Jan Leszczynski</x:v>
      </x:c>
      <x:c r="C1652" s="69"/>
      <x:c r="D1652" s="82" t="str">
        <x:f>IF(ISNUMBER('Transfer_Ratings'!K1652),'Transfer_Ratings'!K1652,"")</x:f>
      </x:c>
      <x:c r="E1652" s="86"/>
      <x:c r="F1652" s="86"/>
      <x:c r="G1652" s="86"/>
      <x:c r="H1652" s="86"/>
      <x:c r="I1652" s="86"/>
      <x:c r="J1652" s="82" t="str">
        <x:f>IF(C1652="","Choose position",IF(COUNT(E1652:I1652)&lt;5,"",IF(OR(MIN(E1652:I1652)&lt;0.1,MAX(E1652:I1652)&gt;10),"Invalid score",IF(INDEX('Position_Rubric'!$H$6:$H$14,M1652)&lt;&gt;1,"Check weights",ROUND(E1652*INDEX('Position_Rubric'!$C$6:$C$14,M1652)+F1652*INDEX('Position_Rubric'!$D$6:$D$14,M1652)+G1652*INDEX('Position_Rubric'!$E$6:$E$14,M1652)+H1652*INDEX('Position_Rubric'!$F$6:$F$14,M1652)+I1652*INDEX('Position_Rubric'!$G$6:$G$14,M1652),1)))))</x:f>
        <x:v>Choose position</x:v>
      </x:c>
      <x:c r="K1652" s="82" t="str">
        <x:f>IF(AND(ISNUMBER(J1652),ISNUMBER(D1652)),J1652-D1652,"")</x:f>
      </x:c>
      <x:c r="L1652" s="69" t="str">
        <x:f>IF(COUNT(E1652:I1652)&lt;5,"Needs component scores",IF(ISNUMBER(J1652),"Calculated",J1652))</x:f>
        <x:v>Needs component scores</x:v>
      </x:c>
      <x:c r="M1652" s="69" t="str">
        <x:f>IF(C1652="","",MATCH(C1652,'Position_Rubric'!$A$6:$A$14,0))</x:f>
      </x:c>
      <x:c r="N1652" s="69" t="str"/>
    </x:row>
    <x:row r="1653" ht="25" customHeight="1">
      <x:c r="A1653" s="69" t="str">
        <x:v>summer-S26-1455</x:v>
      </x:c>
      <x:c r="B1653" s="69" t="str">
        <x:v>Niko Horvat</x:v>
      </x:c>
      <x:c r="C1653" s="69"/>
      <x:c r="D1653" s="82" t="str">
        <x:f>IF(ISNUMBER('Transfer_Ratings'!K1653),'Transfer_Ratings'!K1653,"")</x:f>
      </x:c>
      <x:c r="E1653" s="86"/>
      <x:c r="F1653" s="86"/>
      <x:c r="G1653" s="86"/>
      <x:c r="H1653" s="86"/>
      <x:c r="I1653" s="86"/>
      <x:c r="J1653" s="82" t="str">
        <x:f>IF(C1653="","Choose position",IF(COUNT(E1653:I1653)&lt;5,"",IF(OR(MIN(E1653:I1653)&lt;0.1,MAX(E1653:I1653)&gt;10),"Invalid score",IF(INDEX('Position_Rubric'!$H$6:$H$14,M1653)&lt;&gt;1,"Check weights",ROUND(E1653*INDEX('Position_Rubric'!$C$6:$C$14,M1653)+F1653*INDEX('Position_Rubric'!$D$6:$D$14,M1653)+G1653*INDEX('Position_Rubric'!$E$6:$E$14,M1653)+H1653*INDEX('Position_Rubric'!$F$6:$F$14,M1653)+I1653*INDEX('Position_Rubric'!$G$6:$G$14,M1653),1)))))</x:f>
        <x:v>Choose position</x:v>
      </x:c>
      <x:c r="K1653" s="82" t="str">
        <x:f>IF(AND(ISNUMBER(J1653),ISNUMBER(D1653)),J1653-D1653,"")</x:f>
      </x:c>
      <x:c r="L1653" s="69" t="str">
        <x:f>IF(COUNT(E1653:I1653)&lt;5,"Needs component scores",IF(ISNUMBER(J1653),"Calculated",J1653))</x:f>
        <x:v>Needs component scores</x:v>
      </x:c>
      <x:c r="M1653" s="69" t="str">
        <x:f>IF(C1653="","",MATCH(C1653,'Position_Rubric'!$A$6:$A$14,0))</x:f>
      </x:c>
      <x:c r="N1653" s="69" t="str"/>
    </x:row>
    <x:row r="1654" ht="25" customHeight="1">
      <x:c r="A1654" s="69" t="str">
        <x:v>summer-S26-1456</x:v>
      </x:c>
      <x:c r="B1654" s="69" t="str">
        <x:v>Rocco Reitz</x:v>
      </x:c>
      <x:c r="C1654" s="69"/>
      <x:c r="D1654" s="82" t="str">
        <x:f>IF(ISNUMBER('Transfer_Ratings'!K1654),'Transfer_Ratings'!K1654,"")</x:f>
      </x:c>
      <x:c r="E1654" s="86"/>
      <x:c r="F1654" s="86"/>
      <x:c r="G1654" s="86"/>
      <x:c r="H1654" s="86"/>
      <x:c r="I1654" s="86"/>
      <x:c r="J1654" s="82" t="str">
        <x:f>IF(C1654="","Choose position",IF(COUNT(E1654:I1654)&lt;5,"",IF(OR(MIN(E1654:I1654)&lt;0.1,MAX(E1654:I1654)&gt;10),"Invalid score",IF(INDEX('Position_Rubric'!$H$6:$H$14,M1654)&lt;&gt;1,"Check weights",ROUND(E1654*INDEX('Position_Rubric'!$C$6:$C$14,M1654)+F1654*INDEX('Position_Rubric'!$D$6:$D$14,M1654)+G1654*INDEX('Position_Rubric'!$E$6:$E$14,M1654)+H1654*INDEX('Position_Rubric'!$F$6:$F$14,M1654)+I1654*INDEX('Position_Rubric'!$G$6:$G$14,M1654),1)))))</x:f>
        <x:v>Choose position</x:v>
      </x:c>
      <x:c r="K1654" s="82" t="str">
        <x:f>IF(AND(ISNUMBER(J1654),ISNUMBER(D1654)),J1654-D1654,"")</x:f>
      </x:c>
      <x:c r="L1654" s="69" t="str">
        <x:f>IF(COUNT(E1654:I1654)&lt;5,"Needs component scores",IF(ISNUMBER(J1654),"Calculated",J1654))</x:f>
        <x:v>Needs component scores</x:v>
      </x:c>
      <x:c r="M1654" s="69" t="str">
        <x:f>IF(C1654="","",MATCH(C1654,'Position_Rubric'!$A$6:$A$14,0))</x:f>
      </x:c>
      <x:c r="N1654" s="69" t="str"/>
    </x:row>
    <x:row r="1655" ht="25" customHeight="1">
      <x:c r="A1655" s="69" t="str">
        <x:v>summer-S26-1457</x:v>
      </x:c>
      <x:c r="B1655" s="69" t="str">
        <x:v>Niklas Swider</x:v>
      </x:c>
      <x:c r="C1655" s="69"/>
      <x:c r="D1655" s="82" t="str">
        <x:f>IF(ISNUMBER('Transfer_Ratings'!K1655),'Transfer_Ratings'!K1655,"")</x:f>
      </x:c>
      <x:c r="E1655" s="86"/>
      <x:c r="F1655" s="86"/>
      <x:c r="G1655" s="86"/>
      <x:c r="H1655" s="86"/>
      <x:c r="I1655" s="86"/>
      <x:c r="J1655" s="82" t="str">
        <x:f>IF(C1655="","Choose position",IF(COUNT(E1655:I1655)&lt;5,"",IF(OR(MIN(E1655:I1655)&lt;0.1,MAX(E1655:I1655)&gt;10),"Invalid score",IF(INDEX('Position_Rubric'!$H$6:$H$14,M1655)&lt;&gt;1,"Check weights",ROUND(E1655*INDEX('Position_Rubric'!$C$6:$C$14,M1655)+F1655*INDEX('Position_Rubric'!$D$6:$D$14,M1655)+G1655*INDEX('Position_Rubric'!$E$6:$E$14,M1655)+H1655*INDEX('Position_Rubric'!$F$6:$F$14,M1655)+I1655*INDEX('Position_Rubric'!$G$6:$G$14,M1655),1)))))</x:f>
        <x:v>Choose position</x:v>
      </x:c>
      <x:c r="K1655" s="82" t="str">
        <x:f>IF(AND(ISNUMBER(J1655),ISNUMBER(D1655)),J1655-D1655,"")</x:f>
      </x:c>
      <x:c r="L1655" s="69" t="str">
        <x:f>IF(COUNT(E1655:I1655)&lt;5,"Needs component scores",IF(ISNUMBER(J1655),"Calculated",J1655))</x:f>
        <x:v>Needs component scores</x:v>
      </x:c>
      <x:c r="M1655" s="69" t="str">
        <x:f>IF(C1655="","",MATCH(C1655,'Position_Rubric'!$A$6:$A$14,0))</x:f>
      </x:c>
      <x:c r="N1655" s="69" t="str"/>
    </x:row>
    <x:row r="1656" ht="25" customHeight="1">
      <x:c r="A1656" s="69" t="str">
        <x:v>summer-S26-1462</x:v>
      </x:c>
      <x:c r="B1656" s="69" t="str">
        <x:v>Claudio Echeverri</x:v>
      </x:c>
      <x:c r="C1656" s="69"/>
      <x:c r="D1656" s="82" t="str">
        <x:f>IF(ISNUMBER('Transfer_Ratings'!K1656),'Transfer_Ratings'!K1656,"")</x:f>
      </x:c>
      <x:c r="E1656" s="86"/>
      <x:c r="F1656" s="86"/>
      <x:c r="G1656" s="86"/>
      <x:c r="H1656" s="86"/>
      <x:c r="I1656" s="86"/>
      <x:c r="J1656" s="82" t="str">
        <x:f>IF(C1656="","Choose position",IF(COUNT(E1656:I1656)&lt;5,"",IF(OR(MIN(E1656:I1656)&lt;0.1,MAX(E1656:I1656)&gt;10),"Invalid score",IF(INDEX('Position_Rubric'!$H$6:$H$14,M1656)&lt;&gt;1,"Check weights",ROUND(E1656*INDEX('Position_Rubric'!$C$6:$C$14,M1656)+F1656*INDEX('Position_Rubric'!$D$6:$D$14,M1656)+G1656*INDEX('Position_Rubric'!$E$6:$E$14,M1656)+H1656*INDEX('Position_Rubric'!$F$6:$F$14,M1656)+I1656*INDEX('Position_Rubric'!$G$6:$G$14,M1656),1)))))</x:f>
        <x:v>Choose position</x:v>
      </x:c>
      <x:c r="K1656" s="82" t="str">
        <x:f>IF(AND(ISNUMBER(J1656),ISNUMBER(D1656)),J1656-D1656,"")</x:f>
      </x:c>
      <x:c r="L1656" s="69" t="str">
        <x:f>IF(COUNT(E1656:I1656)&lt;5,"Needs component scores",IF(ISNUMBER(J1656),"Calculated",J1656))</x:f>
        <x:v>Needs component scores</x:v>
      </x:c>
      <x:c r="M1656" s="69" t="str">
        <x:f>IF(C1656="","",MATCH(C1656,'Position_Rubric'!$A$6:$A$14,0))</x:f>
      </x:c>
      <x:c r="N1656" s="69" t="str"/>
    </x:row>
    <x:row r="1657" ht="25" customHeight="1">
      <x:c r="A1657" s="69" t="str">
        <x:v>summer-S26-1466</x:v>
      </x:c>
      <x:c r="B1657" s="69" t="str">
        <x:v>Martin James</x:v>
      </x:c>
      <x:c r="C1657" s="69" t="str">
        <x:v>GK</x:v>
      </x:c>
      <x:c r="D1657" s="82" t="str">
        <x:f>IF(ISNUMBER('Transfer_Ratings'!K1657),'Transfer_Ratings'!K1657,"")</x:f>
      </x:c>
      <x:c r="E1657" s="86"/>
      <x:c r="F1657" s="86"/>
      <x:c r="G1657" s="86"/>
      <x:c r="H1657" s="86"/>
      <x:c r="I1657" s="86"/>
      <x:c r="J1657" s="82" t="str">
        <x:f>IF(C1657="","Choose position",IF(COUNT(E1657:I1657)&lt;5,"",IF(OR(MIN(E1657:I1657)&lt;0.1,MAX(E1657:I1657)&gt;10),"Invalid score",IF(INDEX('Position_Rubric'!$H$6:$H$14,M1657)&lt;&gt;1,"Check weights",ROUND(E1657*INDEX('Position_Rubric'!$C$6:$C$14,M1657)+F1657*INDEX('Position_Rubric'!$D$6:$D$14,M1657)+G1657*INDEX('Position_Rubric'!$E$6:$E$14,M1657)+H1657*INDEX('Position_Rubric'!$F$6:$F$14,M1657)+I1657*INDEX('Position_Rubric'!$G$6:$G$14,M1657),1)))))</x:f>
      </x:c>
      <x:c r="K1657" s="82" t="str">
        <x:f>IF(AND(ISNUMBER(J1657),ISNUMBER(D1657)),J1657-D1657,"")</x:f>
      </x:c>
      <x:c r="L1657" s="69" t="str">
        <x:f>IF(COUNT(E1657:I1657)&lt;5,"Needs component scores",IF(ISNUMBER(J1657),"Calculated",J1657))</x:f>
        <x:v>Needs component scores</x:v>
      </x:c>
      <x:c r="M1657" s="69" t="n">
        <x:f>IF(C1657="","",MATCH(C1657,'Position_Rubric'!$A$6:$A$14,0))</x:f>
        <x:v>9</x:v>
      </x:c>
      <x:c r="N1657" s="69" t="str"/>
    </x:row>
    <x:row r="1658" ht="25" customHeight="1">
      <x:c r="A1658" s="69" t="str">
        <x:v>summer-S26-1468</x:v>
      </x:c>
      <x:c r="B1658" s="69" t="str">
        <x:v>Elias Bakatukanda</x:v>
      </x:c>
      <x:c r="C1658" s="69"/>
      <x:c r="D1658" s="82" t="str">
        <x:f>IF(ISNUMBER('Transfer_Ratings'!K1658),'Transfer_Ratings'!K1658,"")</x:f>
      </x:c>
      <x:c r="E1658" s="86"/>
      <x:c r="F1658" s="86"/>
      <x:c r="G1658" s="86"/>
      <x:c r="H1658" s="86"/>
      <x:c r="I1658" s="86"/>
      <x:c r="J1658" s="82" t="str">
        <x:f>IF(C1658="","Choose position",IF(COUNT(E1658:I1658)&lt;5,"",IF(OR(MIN(E1658:I1658)&lt;0.1,MAX(E1658:I1658)&gt;10),"Invalid score",IF(INDEX('Position_Rubric'!$H$6:$H$14,M1658)&lt;&gt;1,"Check weights",ROUND(E1658*INDEX('Position_Rubric'!$C$6:$C$14,M1658)+F1658*INDEX('Position_Rubric'!$D$6:$D$14,M1658)+G1658*INDEX('Position_Rubric'!$E$6:$E$14,M1658)+H1658*INDEX('Position_Rubric'!$F$6:$F$14,M1658)+I1658*INDEX('Position_Rubric'!$G$6:$G$14,M1658),1)))))</x:f>
        <x:v>Choose position</x:v>
      </x:c>
      <x:c r="K1658" s="82" t="str">
        <x:f>IF(AND(ISNUMBER(J1658),ISNUMBER(D1658)),J1658-D1658,"")</x:f>
      </x:c>
      <x:c r="L1658" s="69" t="str">
        <x:f>IF(COUNT(E1658:I1658)&lt;5,"Needs component scores",IF(ISNUMBER(J1658),"Calculated",J1658))</x:f>
        <x:v>Needs component scores</x:v>
      </x:c>
      <x:c r="M1658" s="69" t="str">
        <x:f>IF(C1658="","",MATCH(C1658,'Position_Rubric'!$A$6:$A$14,0))</x:f>
      </x:c>
      <x:c r="N1658" s="69" t="str"/>
    </x:row>
    <x:row r="1659" ht="25" customHeight="1">
      <x:c r="A1659" s="69" t="str">
        <x:v>summer-S26-1470</x:v>
      </x:c>
      <x:c r="B1659" s="69" t="str">
        <x:v>Patrik Kristal</x:v>
      </x:c>
      <x:c r="C1659" s="69"/>
      <x:c r="D1659" s="82" t="str">
        <x:f>IF(ISNUMBER('Transfer_Ratings'!K1659),'Transfer_Ratings'!K1659,"")</x:f>
      </x:c>
      <x:c r="E1659" s="86"/>
      <x:c r="F1659" s="86"/>
      <x:c r="G1659" s="86"/>
      <x:c r="H1659" s="86"/>
      <x:c r="I1659" s="86"/>
      <x:c r="J1659" s="82" t="str">
        <x:f>IF(C1659="","Choose position",IF(COUNT(E1659:I1659)&lt;5,"",IF(OR(MIN(E1659:I1659)&lt;0.1,MAX(E1659:I1659)&gt;10),"Invalid score",IF(INDEX('Position_Rubric'!$H$6:$H$14,M1659)&lt;&gt;1,"Check weights",ROUND(E1659*INDEX('Position_Rubric'!$C$6:$C$14,M1659)+F1659*INDEX('Position_Rubric'!$D$6:$D$14,M1659)+G1659*INDEX('Position_Rubric'!$E$6:$E$14,M1659)+H1659*INDEX('Position_Rubric'!$F$6:$F$14,M1659)+I1659*INDEX('Position_Rubric'!$G$6:$G$14,M1659),1)))))</x:f>
        <x:v>Choose position</x:v>
      </x:c>
      <x:c r="K1659" s="82" t="str">
        <x:f>IF(AND(ISNUMBER(J1659),ISNUMBER(D1659)),J1659-D1659,"")</x:f>
      </x:c>
      <x:c r="L1659" s="69" t="str">
        <x:f>IF(COUNT(E1659:I1659)&lt;5,"Needs component scores",IF(ISNUMBER(J1659),"Calculated",J1659))</x:f>
        <x:v>Needs component scores</x:v>
      </x:c>
      <x:c r="M1659" s="69" t="str">
        <x:f>IF(C1659="","",MATCH(C1659,'Position_Rubric'!$A$6:$A$14,0))</x:f>
      </x:c>
      <x:c r="N1659" s="69" t="str"/>
    </x:row>
    <x:row r="1660" ht="25" customHeight="1">
      <x:c r="A1660" s="69" t="str">
        <x:v>summer-S26-1473</x:v>
      </x:c>
      <x:c r="B1660" s="69" t="str">
        <x:v>Rayane Belaid</x:v>
      </x:c>
      <x:c r="C1660" s="69"/>
      <x:c r="D1660" s="82" t="str">
        <x:f>IF(ISNUMBER('Transfer_Ratings'!K1660),'Transfer_Ratings'!K1660,"")</x:f>
      </x:c>
      <x:c r="E1660" s="86"/>
      <x:c r="F1660" s="86"/>
      <x:c r="G1660" s="86"/>
      <x:c r="H1660" s="86"/>
      <x:c r="I1660" s="86"/>
      <x:c r="J1660" s="82" t="str">
        <x:f>IF(C1660="","Choose position",IF(COUNT(E1660:I1660)&lt;5,"",IF(OR(MIN(E1660:I1660)&lt;0.1,MAX(E1660:I1660)&gt;10),"Invalid score",IF(INDEX('Position_Rubric'!$H$6:$H$14,M1660)&lt;&gt;1,"Check weights",ROUND(E1660*INDEX('Position_Rubric'!$C$6:$C$14,M1660)+F1660*INDEX('Position_Rubric'!$D$6:$D$14,M1660)+G1660*INDEX('Position_Rubric'!$E$6:$E$14,M1660)+H1660*INDEX('Position_Rubric'!$F$6:$F$14,M1660)+I1660*INDEX('Position_Rubric'!$G$6:$G$14,M1660),1)))))</x:f>
        <x:v>Choose position</x:v>
      </x:c>
      <x:c r="K1660" s="82" t="str">
        <x:f>IF(AND(ISNUMBER(J1660),ISNUMBER(D1660)),J1660-D1660,"")</x:f>
      </x:c>
      <x:c r="L1660" s="69" t="str">
        <x:f>IF(COUNT(E1660:I1660)&lt;5,"Needs component scores",IF(ISNUMBER(J1660),"Calculated",J1660))</x:f>
        <x:v>Needs component scores</x:v>
      </x:c>
      <x:c r="M1660" s="69" t="str">
        <x:f>IF(C1660="","",MATCH(C1660,'Position_Rubric'!$A$6:$A$14,0))</x:f>
      </x:c>
      <x:c r="N1660" s="69" t="str"/>
    </x:row>
    <x:row r="1661" ht="25" customHeight="1">
      <x:c r="A1661" s="69" t="str">
        <x:v>summer-S26-1474</x:v>
      </x:c>
      <x:c r="B1661" s="69" t="str">
        <x:v>Carlos Álvarez</x:v>
      </x:c>
      <x:c r="C1661" s="69"/>
      <x:c r="D1661" s="82" t="str">
        <x:f>IF(ISNUMBER('Transfer_Ratings'!K1661),'Transfer_Ratings'!K1661,"")</x:f>
      </x:c>
      <x:c r="E1661" s="86"/>
      <x:c r="F1661" s="86"/>
      <x:c r="G1661" s="86"/>
      <x:c r="H1661" s="86"/>
      <x:c r="I1661" s="86"/>
      <x:c r="J1661" s="82" t="str">
        <x:f>IF(C1661="","Choose position",IF(COUNT(E1661:I1661)&lt;5,"",IF(OR(MIN(E1661:I1661)&lt;0.1,MAX(E1661:I1661)&gt;10),"Invalid score",IF(INDEX('Position_Rubric'!$H$6:$H$14,M1661)&lt;&gt;1,"Check weights",ROUND(E1661*INDEX('Position_Rubric'!$C$6:$C$14,M1661)+F1661*INDEX('Position_Rubric'!$D$6:$D$14,M1661)+G1661*INDEX('Position_Rubric'!$E$6:$E$14,M1661)+H1661*INDEX('Position_Rubric'!$F$6:$F$14,M1661)+I1661*INDEX('Position_Rubric'!$G$6:$G$14,M1661),1)))))</x:f>
        <x:v>Choose position</x:v>
      </x:c>
      <x:c r="K1661" s="82" t="str">
        <x:f>IF(AND(ISNUMBER(J1661),ISNUMBER(D1661)),J1661-D1661,"")</x:f>
      </x:c>
      <x:c r="L1661" s="69" t="str">
        <x:f>IF(COUNT(E1661:I1661)&lt;5,"Needs component scores",IF(ISNUMBER(J1661),"Calculated",J1661))</x:f>
        <x:v>Needs component scores</x:v>
      </x:c>
      <x:c r="M1661" s="69" t="str">
        <x:f>IF(C1661="","",MATCH(C1661,'Position_Rubric'!$A$6:$A$14,0))</x:f>
      </x:c>
      <x:c r="N1661" s="69" t="str"/>
    </x:row>
    <x:row r="1662" ht="25" customHeight="1">
      <x:c r="A1662" s="69" t="str">
        <x:v>summer-S26-1477</x:v>
      </x:c>
      <x:c r="B1662" s="69" t="str">
        <x:v>Brad Mantsounga</x:v>
      </x:c>
      <x:c r="C1662" s="69"/>
      <x:c r="D1662" s="82" t="str">
        <x:f>IF(ISNUMBER('Transfer_Ratings'!K1662),'Transfer_Ratings'!K1662,"")</x:f>
      </x:c>
      <x:c r="E1662" s="86"/>
      <x:c r="F1662" s="86"/>
      <x:c r="G1662" s="86"/>
      <x:c r="H1662" s="86"/>
      <x:c r="I1662" s="86"/>
      <x:c r="J1662" s="82" t="str">
        <x:f>IF(C1662="","Choose position",IF(COUNT(E1662:I1662)&lt;5,"",IF(OR(MIN(E1662:I1662)&lt;0.1,MAX(E1662:I1662)&gt;10),"Invalid score",IF(INDEX('Position_Rubric'!$H$6:$H$14,M1662)&lt;&gt;1,"Check weights",ROUND(E1662*INDEX('Position_Rubric'!$C$6:$C$14,M1662)+F1662*INDEX('Position_Rubric'!$D$6:$D$14,M1662)+G1662*INDEX('Position_Rubric'!$E$6:$E$14,M1662)+H1662*INDEX('Position_Rubric'!$F$6:$F$14,M1662)+I1662*INDEX('Position_Rubric'!$G$6:$G$14,M1662),1)))))</x:f>
        <x:v>Choose position</x:v>
      </x:c>
      <x:c r="K1662" s="82" t="str">
        <x:f>IF(AND(ISNUMBER(J1662),ISNUMBER(D1662)),J1662-D1662,"")</x:f>
      </x:c>
      <x:c r="L1662" s="69" t="str">
        <x:f>IF(COUNT(E1662:I1662)&lt;5,"Needs component scores",IF(ISNUMBER(J1662),"Calculated",J1662))</x:f>
        <x:v>Needs component scores</x:v>
      </x:c>
      <x:c r="M1662" s="69" t="str">
        <x:f>IF(C1662="","",MATCH(C1662,'Position_Rubric'!$A$6:$A$14,0))</x:f>
      </x:c>
      <x:c r="N1662" s="69" t="str"/>
    </x:row>
    <x:row r="1663" ht="25" customHeight="1">
      <x:c r="A1663" s="69" t="str">
        <x:v>summer-S26-1479</x:v>
      </x:c>
      <x:c r="B1663" s="69" t="str">
        <x:v>Xavi Grande</x:v>
      </x:c>
      <x:c r="C1663" s="69"/>
      <x:c r="D1663" s="82" t="str">
        <x:f>IF(ISNUMBER('Transfer_Ratings'!K1663),'Transfer_Ratings'!K1663,"")</x:f>
      </x:c>
      <x:c r="E1663" s="86"/>
      <x:c r="F1663" s="86"/>
      <x:c r="G1663" s="86"/>
      <x:c r="H1663" s="86"/>
      <x:c r="I1663" s="86"/>
      <x:c r="J1663" s="82" t="str">
        <x:f>IF(C1663="","Choose position",IF(COUNT(E1663:I1663)&lt;5,"",IF(OR(MIN(E1663:I1663)&lt;0.1,MAX(E1663:I1663)&gt;10),"Invalid score",IF(INDEX('Position_Rubric'!$H$6:$H$14,M1663)&lt;&gt;1,"Check weights",ROUND(E1663*INDEX('Position_Rubric'!$C$6:$C$14,M1663)+F1663*INDEX('Position_Rubric'!$D$6:$D$14,M1663)+G1663*INDEX('Position_Rubric'!$E$6:$E$14,M1663)+H1663*INDEX('Position_Rubric'!$F$6:$F$14,M1663)+I1663*INDEX('Position_Rubric'!$G$6:$G$14,M1663),1)))))</x:f>
        <x:v>Choose position</x:v>
      </x:c>
      <x:c r="K1663" s="82" t="str">
        <x:f>IF(AND(ISNUMBER(J1663),ISNUMBER(D1663)),J1663-D1663,"")</x:f>
      </x:c>
      <x:c r="L1663" s="69" t="str">
        <x:f>IF(COUNT(E1663:I1663)&lt;5,"Needs component scores",IF(ISNUMBER(J1663),"Calculated",J1663))</x:f>
        <x:v>Needs component scores</x:v>
      </x:c>
      <x:c r="M1663" s="69" t="str">
        <x:f>IF(C1663="","",MATCH(C1663,'Position_Rubric'!$A$6:$A$14,0))</x:f>
      </x:c>
      <x:c r="N1663" s="69" t="str"/>
    </x:row>
    <x:row r="1664" ht="25" customHeight="1">
      <x:c r="A1664" s="69" t="str">
        <x:v>summer-S26-1483</x:v>
      </x:c>
      <x:c r="B1664" s="69" t="str">
        <x:v>Gerónimo Spina</x:v>
      </x:c>
      <x:c r="C1664" s="69"/>
      <x:c r="D1664" s="82" t="str">
        <x:f>IF(ISNUMBER('Transfer_Ratings'!K1664),'Transfer_Ratings'!K1664,"")</x:f>
      </x:c>
      <x:c r="E1664" s="86"/>
      <x:c r="F1664" s="86"/>
      <x:c r="G1664" s="86"/>
      <x:c r="H1664" s="86"/>
      <x:c r="I1664" s="86"/>
      <x:c r="J1664" s="82" t="str">
        <x:f>IF(C1664="","Choose position",IF(COUNT(E1664:I1664)&lt;5,"",IF(OR(MIN(E1664:I1664)&lt;0.1,MAX(E1664:I1664)&gt;10),"Invalid score",IF(INDEX('Position_Rubric'!$H$6:$H$14,M1664)&lt;&gt;1,"Check weights",ROUND(E1664*INDEX('Position_Rubric'!$C$6:$C$14,M1664)+F1664*INDEX('Position_Rubric'!$D$6:$D$14,M1664)+G1664*INDEX('Position_Rubric'!$E$6:$E$14,M1664)+H1664*INDEX('Position_Rubric'!$F$6:$F$14,M1664)+I1664*INDEX('Position_Rubric'!$G$6:$G$14,M1664),1)))))</x:f>
        <x:v>Choose position</x:v>
      </x:c>
      <x:c r="K1664" s="82" t="str">
        <x:f>IF(AND(ISNUMBER(J1664),ISNUMBER(D1664)),J1664-D1664,"")</x:f>
      </x:c>
      <x:c r="L1664" s="69" t="str">
        <x:f>IF(COUNT(E1664:I1664)&lt;5,"Needs component scores",IF(ISNUMBER(J1664),"Calculated",J1664))</x:f>
        <x:v>Needs component scores</x:v>
      </x:c>
      <x:c r="M1664" s="69" t="str">
        <x:f>IF(C1664="","",MATCH(C1664,'Position_Rubric'!$A$6:$A$14,0))</x:f>
      </x:c>
      <x:c r="N1664" s="69" t="str"/>
    </x:row>
    <x:row r="1665" ht="25" customHeight="1">
      <x:c r="A1665" s="69" t="str">
        <x:v>summer-S26-1485</x:v>
      </x:c>
      <x:c r="B1665" s="69" t="str">
        <x:v>Charlie Patiño</x:v>
      </x:c>
      <x:c r="C1665" s="69"/>
      <x:c r="D1665" s="82" t="str">
        <x:f>IF(ISNUMBER('Transfer_Ratings'!K1665),'Transfer_Ratings'!K1665,"")</x:f>
      </x:c>
      <x:c r="E1665" s="86"/>
      <x:c r="F1665" s="86"/>
      <x:c r="G1665" s="86"/>
      <x:c r="H1665" s="86"/>
      <x:c r="I1665" s="86"/>
      <x:c r="J1665" s="82" t="str">
        <x:f>IF(C1665="","Choose position",IF(COUNT(E1665:I1665)&lt;5,"",IF(OR(MIN(E1665:I1665)&lt;0.1,MAX(E1665:I1665)&gt;10),"Invalid score",IF(INDEX('Position_Rubric'!$H$6:$H$14,M1665)&lt;&gt;1,"Check weights",ROUND(E1665*INDEX('Position_Rubric'!$C$6:$C$14,M1665)+F1665*INDEX('Position_Rubric'!$D$6:$D$14,M1665)+G1665*INDEX('Position_Rubric'!$E$6:$E$14,M1665)+H1665*INDEX('Position_Rubric'!$F$6:$F$14,M1665)+I1665*INDEX('Position_Rubric'!$G$6:$G$14,M1665),1)))))</x:f>
        <x:v>Choose position</x:v>
      </x:c>
      <x:c r="K1665" s="82" t="str">
        <x:f>IF(AND(ISNUMBER(J1665),ISNUMBER(D1665)),J1665-D1665,"")</x:f>
      </x:c>
      <x:c r="L1665" s="69" t="str">
        <x:f>IF(COUNT(E1665:I1665)&lt;5,"Needs component scores",IF(ISNUMBER(J1665),"Calculated",J1665))</x:f>
        <x:v>Needs component scores</x:v>
      </x:c>
      <x:c r="M1665" s="69" t="str">
        <x:f>IF(C1665="","",MATCH(C1665,'Position_Rubric'!$A$6:$A$14,0))</x:f>
      </x:c>
      <x:c r="N1665" s="69" t="str"/>
    </x:row>
    <x:row r="1666" ht="25" customHeight="1">
      <x:c r="A1666" s="69" t="str">
        <x:v>summer-S26-1486</x:v>
      </x:c>
      <x:c r="B1666" s="69" t="str">
        <x:v>Héctor Fort</x:v>
      </x:c>
      <x:c r="C1666" s="69"/>
      <x:c r="D1666" s="82" t="str">
        <x:f>IF(ISNUMBER('Transfer_Ratings'!K1666),'Transfer_Ratings'!K1666,"")</x:f>
      </x:c>
      <x:c r="E1666" s="86"/>
      <x:c r="F1666" s="86"/>
      <x:c r="G1666" s="86"/>
      <x:c r="H1666" s="86"/>
      <x:c r="I1666" s="86"/>
      <x:c r="J1666" s="82" t="str">
        <x:f>IF(C1666="","Choose position",IF(COUNT(E1666:I1666)&lt;5,"",IF(OR(MIN(E1666:I1666)&lt;0.1,MAX(E1666:I1666)&gt;10),"Invalid score",IF(INDEX('Position_Rubric'!$H$6:$H$14,M1666)&lt;&gt;1,"Check weights",ROUND(E1666*INDEX('Position_Rubric'!$C$6:$C$14,M1666)+F1666*INDEX('Position_Rubric'!$D$6:$D$14,M1666)+G1666*INDEX('Position_Rubric'!$E$6:$E$14,M1666)+H1666*INDEX('Position_Rubric'!$F$6:$F$14,M1666)+I1666*INDEX('Position_Rubric'!$G$6:$G$14,M1666),1)))))</x:f>
        <x:v>Choose position</x:v>
      </x:c>
      <x:c r="K1666" s="82" t="str">
        <x:f>IF(AND(ISNUMBER(J1666),ISNUMBER(D1666)),J1666-D1666,"")</x:f>
      </x:c>
      <x:c r="L1666" s="69" t="str">
        <x:f>IF(COUNT(E1666:I1666)&lt;5,"Needs component scores",IF(ISNUMBER(J1666),"Calculated",J1666))</x:f>
        <x:v>Needs component scores</x:v>
      </x:c>
      <x:c r="M1666" s="69" t="str">
        <x:f>IF(C1666="","",MATCH(C1666,'Position_Rubric'!$A$6:$A$14,0))</x:f>
      </x:c>
      <x:c r="N1666" s="69" t="str"/>
    </x:row>
    <x:row r="1667" ht="25" customHeight="1">
      <x:c r="A1667" s="69" t="str">
        <x:v>summer-S26-1487</x:v>
      </x:c>
      <x:c r="B1667" s="69" t="str">
        <x:v>Oscar Naasei</x:v>
      </x:c>
      <x:c r="C1667" s="69"/>
      <x:c r="D1667" s="82" t="str">
        <x:f>IF(ISNUMBER('Transfer_Ratings'!K1667),'Transfer_Ratings'!K1667,"")</x:f>
      </x:c>
      <x:c r="E1667" s="86"/>
      <x:c r="F1667" s="86"/>
      <x:c r="G1667" s="86"/>
      <x:c r="H1667" s="86"/>
      <x:c r="I1667" s="86"/>
      <x:c r="J1667" s="82" t="str">
        <x:f>IF(C1667="","Choose position",IF(COUNT(E1667:I1667)&lt;5,"",IF(OR(MIN(E1667:I1667)&lt;0.1,MAX(E1667:I1667)&gt;10),"Invalid score",IF(INDEX('Position_Rubric'!$H$6:$H$14,M1667)&lt;&gt;1,"Check weights",ROUND(E1667*INDEX('Position_Rubric'!$C$6:$C$14,M1667)+F1667*INDEX('Position_Rubric'!$D$6:$D$14,M1667)+G1667*INDEX('Position_Rubric'!$E$6:$E$14,M1667)+H1667*INDEX('Position_Rubric'!$F$6:$F$14,M1667)+I1667*INDEX('Position_Rubric'!$G$6:$G$14,M1667),1)))))</x:f>
        <x:v>Choose position</x:v>
      </x:c>
      <x:c r="K1667" s="82" t="str">
        <x:f>IF(AND(ISNUMBER(J1667),ISNUMBER(D1667)),J1667-D1667,"")</x:f>
      </x:c>
      <x:c r="L1667" s="69" t="str">
        <x:f>IF(COUNT(E1667:I1667)&lt;5,"Needs component scores",IF(ISNUMBER(J1667),"Calculated",J1667))</x:f>
        <x:v>Needs component scores</x:v>
      </x:c>
      <x:c r="M1667" s="69" t="str">
        <x:f>IF(C1667="","",MATCH(C1667,'Position_Rubric'!$A$6:$A$14,0))</x:f>
      </x:c>
      <x:c r="N1667" s="69" t="str"/>
    </x:row>
    <x:row r="1668" ht="25" customHeight="1">
      <x:c r="A1668" s="69" t="str">
        <x:v>summer-S26-1488</x:v>
      </x:c>
      <x:c r="B1668" s="69" t="str">
        <x:v>Javier Boñar</x:v>
      </x:c>
      <x:c r="C1668" s="69"/>
      <x:c r="D1668" s="82" t="str">
        <x:f>IF(ISNUMBER('Transfer_Ratings'!K1668),'Transfer_Ratings'!K1668,"")</x:f>
      </x:c>
      <x:c r="E1668" s="86"/>
      <x:c r="F1668" s="86"/>
      <x:c r="G1668" s="86"/>
      <x:c r="H1668" s="86"/>
      <x:c r="I1668" s="86"/>
      <x:c r="J1668" s="82" t="str">
        <x:f>IF(C1668="","Choose position",IF(COUNT(E1668:I1668)&lt;5,"",IF(OR(MIN(E1668:I1668)&lt;0.1,MAX(E1668:I1668)&gt;10),"Invalid score",IF(INDEX('Position_Rubric'!$H$6:$H$14,M1668)&lt;&gt;1,"Check weights",ROUND(E1668*INDEX('Position_Rubric'!$C$6:$C$14,M1668)+F1668*INDEX('Position_Rubric'!$D$6:$D$14,M1668)+G1668*INDEX('Position_Rubric'!$E$6:$E$14,M1668)+H1668*INDEX('Position_Rubric'!$F$6:$F$14,M1668)+I1668*INDEX('Position_Rubric'!$G$6:$G$14,M1668),1)))))</x:f>
        <x:v>Choose position</x:v>
      </x:c>
      <x:c r="K1668" s="82" t="str">
        <x:f>IF(AND(ISNUMBER(J1668),ISNUMBER(D1668)),J1668-D1668,"")</x:f>
      </x:c>
      <x:c r="L1668" s="69" t="str">
        <x:f>IF(COUNT(E1668:I1668)&lt;5,"Needs component scores",IF(ISNUMBER(J1668),"Calculated",J1668))</x:f>
        <x:v>Needs component scores</x:v>
      </x:c>
      <x:c r="M1668" s="69" t="str">
        <x:f>IF(C1668="","",MATCH(C1668,'Position_Rubric'!$A$6:$A$14,0))</x:f>
      </x:c>
      <x:c r="N1668" s="69" t="str"/>
    </x:row>
    <x:row r="1669" ht="25" customHeight="1">
      <x:c r="A1669" s="69" t="str">
        <x:v>summer-S26-1491</x:v>
      </x:c>
      <x:c r="B1669" s="69" t="str">
        <x:v>Srdjan Kuzmic</x:v>
      </x:c>
      <x:c r="C1669" s="69"/>
      <x:c r="D1669" s="82" t="str">
        <x:f>IF(ISNUMBER('Transfer_Ratings'!K1669),'Transfer_Ratings'!K1669,"")</x:f>
      </x:c>
      <x:c r="E1669" s="86"/>
      <x:c r="F1669" s="86"/>
      <x:c r="G1669" s="86"/>
      <x:c r="H1669" s="86"/>
      <x:c r="I1669" s="86"/>
      <x:c r="J1669" s="82" t="str">
        <x:f>IF(C1669="","Choose position",IF(COUNT(E1669:I1669)&lt;5,"",IF(OR(MIN(E1669:I1669)&lt;0.1,MAX(E1669:I1669)&gt;10),"Invalid score",IF(INDEX('Position_Rubric'!$H$6:$H$14,M1669)&lt;&gt;1,"Check weights",ROUND(E1669*INDEX('Position_Rubric'!$C$6:$C$14,M1669)+F1669*INDEX('Position_Rubric'!$D$6:$D$14,M1669)+G1669*INDEX('Position_Rubric'!$E$6:$E$14,M1669)+H1669*INDEX('Position_Rubric'!$F$6:$F$14,M1669)+I1669*INDEX('Position_Rubric'!$G$6:$G$14,M1669),1)))))</x:f>
        <x:v>Choose position</x:v>
      </x:c>
      <x:c r="K1669" s="82" t="str">
        <x:f>IF(AND(ISNUMBER(J1669),ISNUMBER(D1669)),J1669-D1669,"")</x:f>
      </x:c>
      <x:c r="L1669" s="69" t="str">
        <x:f>IF(COUNT(E1669:I1669)&lt;5,"Needs component scores",IF(ISNUMBER(J1669),"Calculated",J1669))</x:f>
        <x:v>Needs component scores</x:v>
      </x:c>
      <x:c r="M1669" s="69" t="str">
        <x:f>IF(C1669="","",MATCH(C1669,'Position_Rubric'!$A$6:$A$14,0))</x:f>
      </x:c>
      <x:c r="N1669" s="69" t="str"/>
    </x:row>
    <x:row r="1670" ht="25" customHeight="1">
      <x:c r="A1670" s="69" t="str">
        <x:v>summer-S26-1493</x:v>
      </x:c>
      <x:c r="B1670" s="69" t="str">
        <x:v>Pape Diong</x:v>
      </x:c>
      <x:c r="C1670" s="69"/>
      <x:c r="D1670" s="82" t="str">
        <x:f>IF(ISNUMBER('Transfer_Ratings'!K1670),'Transfer_Ratings'!K1670,"")</x:f>
      </x:c>
      <x:c r="E1670" s="86"/>
      <x:c r="F1670" s="86"/>
      <x:c r="G1670" s="86"/>
      <x:c r="H1670" s="86"/>
      <x:c r="I1670" s="86"/>
      <x:c r="J1670" s="82" t="str">
        <x:f>IF(C1670="","Choose position",IF(COUNT(E1670:I1670)&lt;5,"",IF(OR(MIN(E1670:I1670)&lt;0.1,MAX(E1670:I1670)&gt;10),"Invalid score",IF(INDEX('Position_Rubric'!$H$6:$H$14,M1670)&lt;&gt;1,"Check weights",ROUND(E1670*INDEX('Position_Rubric'!$C$6:$C$14,M1670)+F1670*INDEX('Position_Rubric'!$D$6:$D$14,M1670)+G1670*INDEX('Position_Rubric'!$E$6:$E$14,M1670)+H1670*INDEX('Position_Rubric'!$F$6:$F$14,M1670)+I1670*INDEX('Position_Rubric'!$G$6:$G$14,M1670),1)))))</x:f>
        <x:v>Choose position</x:v>
      </x:c>
      <x:c r="K1670" s="82" t="str">
        <x:f>IF(AND(ISNUMBER(J1670),ISNUMBER(D1670)),J1670-D1670,"")</x:f>
      </x:c>
      <x:c r="L1670" s="69" t="str">
        <x:f>IF(COUNT(E1670:I1670)&lt;5,"Needs component scores",IF(ISNUMBER(J1670),"Calculated",J1670))</x:f>
        <x:v>Needs component scores</x:v>
      </x:c>
      <x:c r="M1670" s="69" t="str">
        <x:f>IF(C1670="","",MATCH(C1670,'Position_Rubric'!$A$6:$A$14,0))</x:f>
      </x:c>
      <x:c r="N1670" s="69" t="str"/>
    </x:row>
    <x:row r="1671" ht="25" customHeight="1">
      <x:c r="A1671" s="69" t="str">
        <x:v>summer-S26-1494</x:v>
      </x:c>
      <x:c r="B1671" s="69" t="str">
        <x:v>Jacques Ekomié</x:v>
      </x:c>
      <x:c r="C1671" s="69"/>
      <x:c r="D1671" s="82" t="str">
        <x:f>IF(ISNUMBER('Transfer_Ratings'!K1671),'Transfer_Ratings'!K1671,"")</x:f>
      </x:c>
      <x:c r="E1671" s="86"/>
      <x:c r="F1671" s="86"/>
      <x:c r="G1671" s="86"/>
      <x:c r="H1671" s="86"/>
      <x:c r="I1671" s="86"/>
      <x:c r="J1671" s="82" t="str">
        <x:f>IF(C1671="","Choose position",IF(COUNT(E1671:I1671)&lt;5,"",IF(OR(MIN(E1671:I1671)&lt;0.1,MAX(E1671:I1671)&gt;10),"Invalid score",IF(INDEX('Position_Rubric'!$H$6:$H$14,M1671)&lt;&gt;1,"Check weights",ROUND(E1671*INDEX('Position_Rubric'!$C$6:$C$14,M1671)+F1671*INDEX('Position_Rubric'!$D$6:$D$14,M1671)+G1671*INDEX('Position_Rubric'!$E$6:$E$14,M1671)+H1671*INDEX('Position_Rubric'!$F$6:$F$14,M1671)+I1671*INDEX('Position_Rubric'!$G$6:$G$14,M1671),1)))))</x:f>
        <x:v>Choose position</x:v>
      </x:c>
      <x:c r="K1671" s="82" t="str">
        <x:f>IF(AND(ISNUMBER(J1671),ISNUMBER(D1671)),J1671-D1671,"")</x:f>
      </x:c>
      <x:c r="L1671" s="69" t="str">
        <x:f>IF(COUNT(E1671:I1671)&lt;5,"Needs component scores",IF(ISNUMBER(J1671),"Calculated",J1671))</x:f>
        <x:v>Needs component scores</x:v>
      </x:c>
      <x:c r="M1671" s="69" t="str">
        <x:f>IF(C1671="","",MATCH(C1671,'Position_Rubric'!$A$6:$A$14,0))</x:f>
      </x:c>
      <x:c r="N1671" s="69" t="str"/>
    </x:row>
    <x:row r="1672" ht="25" customHeight="1">
      <x:c r="A1672" s="69" t="str">
        <x:v>summer-S26-1496</x:v>
      </x:c>
      <x:c r="B1672" s="69" t="str">
        <x:v>Mory Diaw</x:v>
      </x:c>
      <x:c r="C1672" s="69" t="str">
        <x:v>GK</x:v>
      </x:c>
      <x:c r="D1672" s="82" t="str">
        <x:f>IF(ISNUMBER('Transfer_Ratings'!K1672),'Transfer_Ratings'!K1672,"")</x:f>
      </x:c>
      <x:c r="E1672" s="86"/>
      <x:c r="F1672" s="86"/>
      <x:c r="G1672" s="86"/>
      <x:c r="H1672" s="86"/>
      <x:c r="I1672" s="86"/>
      <x:c r="J1672" s="82" t="str">
        <x:f>IF(C1672="","Choose position",IF(COUNT(E1672:I1672)&lt;5,"",IF(OR(MIN(E1672:I1672)&lt;0.1,MAX(E1672:I1672)&gt;10),"Invalid score",IF(INDEX('Position_Rubric'!$H$6:$H$14,M1672)&lt;&gt;1,"Check weights",ROUND(E1672*INDEX('Position_Rubric'!$C$6:$C$14,M1672)+F1672*INDEX('Position_Rubric'!$D$6:$D$14,M1672)+G1672*INDEX('Position_Rubric'!$E$6:$E$14,M1672)+H1672*INDEX('Position_Rubric'!$F$6:$F$14,M1672)+I1672*INDEX('Position_Rubric'!$G$6:$G$14,M1672),1)))))</x:f>
      </x:c>
      <x:c r="K1672" s="82" t="str">
        <x:f>IF(AND(ISNUMBER(J1672),ISNUMBER(D1672)),J1672-D1672,"")</x:f>
      </x:c>
      <x:c r="L1672" s="69" t="str">
        <x:f>IF(COUNT(E1672:I1672)&lt;5,"Needs component scores",IF(ISNUMBER(J1672),"Calculated",J1672))</x:f>
        <x:v>Needs component scores</x:v>
      </x:c>
      <x:c r="M1672" s="69" t="n">
        <x:f>IF(C1672="","",MATCH(C1672,'Position_Rubric'!$A$6:$A$14,0))</x:f>
        <x:v>9</x:v>
      </x:c>
      <x:c r="N1672" s="69" t="str"/>
    </x:row>
    <x:row r="1673" ht="25" customHeight="1">
      <x:c r="A1673" s="69" t="str">
        <x:v>summer-S26-1497</x:v>
      </x:c>
      <x:c r="B1673" s="69" t="str">
        <x:v>Joseph Kalulu</x:v>
      </x:c>
      <x:c r="C1673" s="69"/>
      <x:c r="D1673" s="82" t="str">
        <x:f>IF(ISNUMBER('Transfer_Ratings'!K1673),'Transfer_Ratings'!K1673,"")</x:f>
      </x:c>
      <x:c r="E1673" s="86"/>
      <x:c r="F1673" s="86"/>
      <x:c r="G1673" s="86"/>
      <x:c r="H1673" s="86"/>
      <x:c r="I1673" s="86"/>
      <x:c r="J1673" s="82" t="str">
        <x:f>IF(C1673="","Choose position",IF(COUNT(E1673:I1673)&lt;5,"",IF(OR(MIN(E1673:I1673)&lt;0.1,MAX(E1673:I1673)&gt;10),"Invalid score",IF(INDEX('Position_Rubric'!$H$6:$H$14,M1673)&lt;&gt;1,"Check weights",ROUND(E1673*INDEX('Position_Rubric'!$C$6:$C$14,M1673)+F1673*INDEX('Position_Rubric'!$D$6:$D$14,M1673)+G1673*INDEX('Position_Rubric'!$E$6:$E$14,M1673)+H1673*INDEX('Position_Rubric'!$F$6:$F$14,M1673)+I1673*INDEX('Position_Rubric'!$G$6:$G$14,M1673),1)))))</x:f>
        <x:v>Choose position</x:v>
      </x:c>
      <x:c r="K1673" s="82" t="str">
        <x:f>IF(AND(ISNUMBER(J1673),ISNUMBER(D1673)),J1673-D1673,"")</x:f>
      </x:c>
      <x:c r="L1673" s="69" t="str">
        <x:f>IF(COUNT(E1673:I1673)&lt;5,"Needs component scores",IF(ISNUMBER(J1673),"Calculated",J1673))</x:f>
        <x:v>Needs component scores</x:v>
      </x:c>
      <x:c r="M1673" s="69" t="str">
        <x:f>IF(C1673="","",MATCH(C1673,'Position_Rubric'!$A$6:$A$14,0))</x:f>
      </x:c>
      <x:c r="N1673" s="69" t="str"/>
    </x:row>
    <x:row r="1674" ht="25" customHeight="1">
      <x:c r="A1674" s="69" t="str">
        <x:v>summer-S26-1499</x:v>
      </x:c>
      <x:c r="B1674" s="69" t="str">
        <x:v>Kiano Dyer</x:v>
      </x:c>
      <x:c r="C1674" s="69"/>
      <x:c r="D1674" s="82" t="str">
        <x:f>IF(ISNUMBER('Transfer_Ratings'!K1674),'Transfer_Ratings'!K1674,"")</x:f>
      </x:c>
      <x:c r="E1674" s="86"/>
      <x:c r="F1674" s="86"/>
      <x:c r="G1674" s="86"/>
      <x:c r="H1674" s="86"/>
      <x:c r="I1674" s="86"/>
      <x:c r="J1674" s="82" t="str">
        <x:f>IF(C1674="","Choose position",IF(COUNT(E1674:I1674)&lt;5,"",IF(OR(MIN(E1674:I1674)&lt;0.1,MAX(E1674:I1674)&gt;10),"Invalid score",IF(INDEX('Position_Rubric'!$H$6:$H$14,M1674)&lt;&gt;1,"Check weights",ROUND(E1674*INDEX('Position_Rubric'!$C$6:$C$14,M1674)+F1674*INDEX('Position_Rubric'!$D$6:$D$14,M1674)+G1674*INDEX('Position_Rubric'!$E$6:$E$14,M1674)+H1674*INDEX('Position_Rubric'!$F$6:$F$14,M1674)+I1674*INDEX('Position_Rubric'!$G$6:$G$14,M1674),1)))))</x:f>
        <x:v>Choose position</x:v>
      </x:c>
      <x:c r="K1674" s="82" t="str">
        <x:f>IF(AND(ISNUMBER(J1674),ISNUMBER(D1674)),J1674-D1674,"")</x:f>
      </x:c>
      <x:c r="L1674" s="69" t="str">
        <x:f>IF(COUNT(E1674:I1674)&lt;5,"Needs component scores",IF(ISNUMBER(J1674),"Calculated",J1674))</x:f>
        <x:v>Needs component scores</x:v>
      </x:c>
      <x:c r="M1674" s="69" t="str">
        <x:f>IF(C1674="","",MATCH(C1674,'Position_Rubric'!$A$6:$A$14,0))</x:f>
      </x:c>
      <x:c r="N1674" s="69" t="str"/>
    </x:row>
    <x:row r="1675" ht="25" customHeight="1">
      <x:c r="A1675" s="69" t="str">
        <x:v>summer-S26-1500</x:v>
      </x:c>
      <x:c r="B1675" s="69" t="str">
        <x:v>Mathys De Carvalho</x:v>
      </x:c>
      <x:c r="C1675" s="69"/>
      <x:c r="D1675" s="82" t="str">
        <x:f>IF(ISNUMBER('Transfer_Ratings'!K1675),'Transfer_Ratings'!K1675,"")</x:f>
      </x:c>
      <x:c r="E1675" s="86"/>
      <x:c r="F1675" s="86"/>
      <x:c r="G1675" s="86"/>
      <x:c r="H1675" s="86"/>
      <x:c r="I1675" s="86"/>
      <x:c r="J1675" s="82" t="str">
        <x:f>IF(C1675="","Choose position",IF(COUNT(E1675:I1675)&lt;5,"",IF(OR(MIN(E1675:I1675)&lt;0.1,MAX(E1675:I1675)&gt;10),"Invalid score",IF(INDEX('Position_Rubric'!$H$6:$H$14,M1675)&lt;&gt;1,"Check weights",ROUND(E1675*INDEX('Position_Rubric'!$C$6:$C$14,M1675)+F1675*INDEX('Position_Rubric'!$D$6:$D$14,M1675)+G1675*INDEX('Position_Rubric'!$E$6:$E$14,M1675)+H1675*INDEX('Position_Rubric'!$F$6:$F$14,M1675)+I1675*INDEX('Position_Rubric'!$G$6:$G$14,M1675),1)))))</x:f>
        <x:v>Choose position</x:v>
      </x:c>
      <x:c r="K1675" s="82" t="str">
        <x:f>IF(AND(ISNUMBER(J1675),ISNUMBER(D1675)),J1675-D1675,"")</x:f>
      </x:c>
      <x:c r="L1675" s="69" t="str">
        <x:f>IF(COUNT(E1675:I1675)&lt;5,"Needs component scores",IF(ISNUMBER(J1675),"Calculated",J1675))</x:f>
        <x:v>Needs component scores</x:v>
      </x:c>
      <x:c r="M1675" s="69" t="str">
        <x:f>IF(C1675="","",MATCH(C1675,'Position_Rubric'!$A$6:$A$14,0))</x:f>
      </x:c>
      <x:c r="N1675" s="69" t="str"/>
    </x:row>
    <x:row r="1676" ht="25" customHeight="1">
      <x:c r="A1676" s="69" t="str">
        <x:v>summer-S26-1501</x:v>
      </x:c>
      <x:c r="B1676" s="69" t="str">
        <x:v>Matty Jacob</x:v>
      </x:c>
      <x:c r="C1676" s="69"/>
      <x:c r="D1676" s="82" t="str">
        <x:f>IF(ISNUMBER('Transfer_Ratings'!K1676),'Transfer_Ratings'!K1676,"")</x:f>
      </x:c>
      <x:c r="E1676" s="86"/>
      <x:c r="F1676" s="86"/>
      <x:c r="G1676" s="86"/>
      <x:c r="H1676" s="86"/>
      <x:c r="I1676" s="86"/>
      <x:c r="J1676" s="82" t="str">
        <x:f>IF(C1676="","Choose position",IF(COUNT(E1676:I1676)&lt;5,"",IF(OR(MIN(E1676:I1676)&lt;0.1,MAX(E1676:I1676)&gt;10),"Invalid score",IF(INDEX('Position_Rubric'!$H$6:$H$14,M1676)&lt;&gt;1,"Check weights",ROUND(E1676*INDEX('Position_Rubric'!$C$6:$C$14,M1676)+F1676*INDEX('Position_Rubric'!$D$6:$D$14,M1676)+G1676*INDEX('Position_Rubric'!$E$6:$E$14,M1676)+H1676*INDEX('Position_Rubric'!$F$6:$F$14,M1676)+I1676*INDEX('Position_Rubric'!$G$6:$G$14,M1676),1)))))</x:f>
        <x:v>Choose position</x:v>
      </x:c>
      <x:c r="K1676" s="82" t="str">
        <x:f>IF(AND(ISNUMBER(J1676),ISNUMBER(D1676)),J1676-D1676,"")</x:f>
      </x:c>
      <x:c r="L1676" s="69" t="str">
        <x:f>IF(COUNT(E1676:I1676)&lt;5,"Needs component scores",IF(ISNUMBER(J1676),"Calculated",J1676))</x:f>
        <x:v>Needs component scores</x:v>
      </x:c>
      <x:c r="M1676" s="69" t="str">
        <x:f>IF(C1676="","",MATCH(C1676,'Position_Rubric'!$A$6:$A$14,0))</x:f>
      </x:c>
      <x:c r="N1676" s="69" t="str"/>
    </x:row>
    <x:row r="1677" ht="25" customHeight="1">
      <x:c r="A1677" s="69" t="str">
        <x:v>summer-S26-1503</x:v>
      </x:c>
      <x:c r="B1677" s="69" t="str">
        <x:v>Francisco Sierralta</x:v>
      </x:c>
      <x:c r="C1677" s="69"/>
      <x:c r="D1677" s="82" t="str">
        <x:f>IF(ISNUMBER('Transfer_Ratings'!K1677),'Transfer_Ratings'!K1677,"")</x:f>
      </x:c>
      <x:c r="E1677" s="86"/>
      <x:c r="F1677" s="86"/>
      <x:c r="G1677" s="86"/>
      <x:c r="H1677" s="86"/>
      <x:c r="I1677" s="86"/>
      <x:c r="J1677" s="82" t="str">
        <x:f>IF(C1677="","Choose position",IF(COUNT(E1677:I1677)&lt;5,"",IF(OR(MIN(E1677:I1677)&lt;0.1,MAX(E1677:I1677)&gt;10),"Invalid score",IF(INDEX('Position_Rubric'!$H$6:$H$14,M1677)&lt;&gt;1,"Check weights",ROUND(E1677*INDEX('Position_Rubric'!$C$6:$C$14,M1677)+F1677*INDEX('Position_Rubric'!$D$6:$D$14,M1677)+G1677*INDEX('Position_Rubric'!$E$6:$E$14,M1677)+H1677*INDEX('Position_Rubric'!$F$6:$F$14,M1677)+I1677*INDEX('Position_Rubric'!$G$6:$G$14,M1677),1)))))</x:f>
        <x:v>Choose position</x:v>
      </x:c>
      <x:c r="K1677" s="82" t="str">
        <x:f>IF(AND(ISNUMBER(J1677),ISNUMBER(D1677)),J1677-D1677,"")</x:f>
      </x:c>
      <x:c r="L1677" s="69" t="str">
        <x:f>IF(COUNT(E1677:I1677)&lt;5,"Needs component scores",IF(ISNUMBER(J1677),"Calculated",J1677))</x:f>
        <x:v>Needs component scores</x:v>
      </x:c>
      <x:c r="M1677" s="69" t="str">
        <x:f>IF(C1677="","",MATCH(C1677,'Position_Rubric'!$A$6:$A$14,0))</x:f>
      </x:c>
      <x:c r="N1677" s="69" t="str"/>
    </x:row>
    <x:row r="1678" ht="25" customHeight="1">
      <x:c r="A1678" s="69" t="str">
        <x:v>summer-S26-1504</x:v>
      </x:c>
      <x:c r="B1678" s="69" t="str">
        <x:v>Kristijan Jakic</x:v>
      </x:c>
      <x:c r="C1678" s="69"/>
      <x:c r="D1678" s="82" t="str">
        <x:f>IF(ISNUMBER('Transfer_Ratings'!K1678),'Transfer_Ratings'!K1678,"")</x:f>
      </x:c>
      <x:c r="E1678" s="86"/>
      <x:c r="F1678" s="86"/>
      <x:c r="G1678" s="86"/>
      <x:c r="H1678" s="86"/>
      <x:c r="I1678" s="86"/>
      <x:c r="J1678" s="82" t="str">
        <x:f>IF(C1678="","Choose position",IF(COUNT(E1678:I1678)&lt;5,"",IF(OR(MIN(E1678:I1678)&lt;0.1,MAX(E1678:I1678)&gt;10),"Invalid score",IF(INDEX('Position_Rubric'!$H$6:$H$14,M1678)&lt;&gt;1,"Check weights",ROUND(E1678*INDEX('Position_Rubric'!$C$6:$C$14,M1678)+F1678*INDEX('Position_Rubric'!$D$6:$D$14,M1678)+G1678*INDEX('Position_Rubric'!$E$6:$E$14,M1678)+H1678*INDEX('Position_Rubric'!$F$6:$F$14,M1678)+I1678*INDEX('Position_Rubric'!$G$6:$G$14,M1678),1)))))</x:f>
        <x:v>Choose position</x:v>
      </x:c>
      <x:c r="K1678" s="82" t="str">
        <x:f>IF(AND(ISNUMBER(J1678),ISNUMBER(D1678)),J1678-D1678,"")</x:f>
      </x:c>
      <x:c r="L1678" s="69" t="str">
        <x:f>IF(COUNT(E1678:I1678)&lt;5,"Needs component scores",IF(ISNUMBER(J1678),"Calculated",J1678))</x:f>
        <x:v>Needs component scores</x:v>
      </x:c>
      <x:c r="M1678" s="69" t="str">
        <x:f>IF(C1678="","",MATCH(C1678,'Position_Rubric'!$A$6:$A$14,0))</x:f>
      </x:c>
      <x:c r="N1678" s="69" t="str"/>
    </x:row>
    <x:row r="1679" ht="25" customHeight="1">
      <x:c r="A1679" s="69" t="str">
        <x:v>summer-S26-1506</x:v>
      </x:c>
      <x:c r="B1679" s="69" t="str">
        <x:v>Edoardo Piana</x:v>
      </x:c>
      <x:c r="C1679" s="69" t="str">
        <x:v>GK</x:v>
      </x:c>
      <x:c r="D1679" s="82" t="str">
        <x:f>IF(ISNUMBER('Transfer_Ratings'!K1679),'Transfer_Ratings'!K1679,"")</x:f>
      </x:c>
      <x:c r="E1679" s="86"/>
      <x:c r="F1679" s="86"/>
      <x:c r="G1679" s="86"/>
      <x:c r="H1679" s="86"/>
      <x:c r="I1679" s="86"/>
      <x:c r="J1679" s="82" t="str">
        <x:f>IF(C1679="","Choose position",IF(COUNT(E1679:I1679)&lt;5,"",IF(OR(MIN(E1679:I1679)&lt;0.1,MAX(E1679:I1679)&gt;10),"Invalid score",IF(INDEX('Position_Rubric'!$H$6:$H$14,M1679)&lt;&gt;1,"Check weights",ROUND(E1679*INDEX('Position_Rubric'!$C$6:$C$14,M1679)+F1679*INDEX('Position_Rubric'!$D$6:$D$14,M1679)+G1679*INDEX('Position_Rubric'!$E$6:$E$14,M1679)+H1679*INDEX('Position_Rubric'!$F$6:$F$14,M1679)+I1679*INDEX('Position_Rubric'!$G$6:$G$14,M1679),1)))))</x:f>
      </x:c>
      <x:c r="K1679" s="82" t="str">
        <x:f>IF(AND(ISNUMBER(J1679),ISNUMBER(D1679)),J1679-D1679,"")</x:f>
      </x:c>
      <x:c r="L1679" s="69" t="str">
        <x:f>IF(COUNT(E1679:I1679)&lt;5,"Needs component scores",IF(ISNUMBER(J1679),"Calculated",J1679))</x:f>
        <x:v>Needs component scores</x:v>
      </x:c>
      <x:c r="M1679" s="69" t="n">
        <x:f>IF(C1679="","",MATCH(C1679,'Position_Rubric'!$A$6:$A$14,0))</x:f>
        <x:v>9</x:v>
      </x:c>
      <x:c r="N1679" s="69" t="str"/>
    </x:row>
    <x:row r="1680" ht="25" customHeight="1">
      <x:c r="A1680" s="69" t="str">
        <x:v>summer-S26-1508</x:v>
      </x:c>
      <x:c r="B1680" s="69" t="str">
        <x:v>Josh Robertson</x:v>
      </x:c>
      <x:c r="C1680" s="69"/>
      <x:c r="D1680" s="82" t="str">
        <x:f>IF(ISNUMBER('Transfer_Ratings'!K1680),'Transfer_Ratings'!K1680,"")</x:f>
      </x:c>
      <x:c r="E1680" s="86"/>
      <x:c r="F1680" s="86"/>
      <x:c r="G1680" s="86"/>
      <x:c r="H1680" s="86"/>
      <x:c r="I1680" s="86"/>
      <x:c r="J1680" s="82" t="str">
        <x:f>IF(C1680="","Choose position",IF(COUNT(E1680:I1680)&lt;5,"",IF(OR(MIN(E1680:I1680)&lt;0.1,MAX(E1680:I1680)&gt;10),"Invalid score",IF(INDEX('Position_Rubric'!$H$6:$H$14,M1680)&lt;&gt;1,"Check weights",ROUND(E1680*INDEX('Position_Rubric'!$C$6:$C$14,M1680)+F1680*INDEX('Position_Rubric'!$D$6:$D$14,M1680)+G1680*INDEX('Position_Rubric'!$E$6:$E$14,M1680)+H1680*INDEX('Position_Rubric'!$F$6:$F$14,M1680)+I1680*INDEX('Position_Rubric'!$G$6:$G$14,M1680),1)))))</x:f>
        <x:v>Choose position</x:v>
      </x:c>
      <x:c r="K1680" s="82" t="str">
        <x:f>IF(AND(ISNUMBER(J1680),ISNUMBER(D1680)),J1680-D1680,"")</x:f>
      </x:c>
      <x:c r="L1680" s="69" t="str">
        <x:f>IF(COUNT(E1680:I1680)&lt;5,"Needs component scores",IF(ISNUMBER(J1680),"Calculated",J1680))</x:f>
        <x:v>Needs component scores</x:v>
      </x:c>
      <x:c r="M1680" s="69" t="str">
        <x:f>IF(C1680="","",MATCH(C1680,'Position_Rubric'!$A$6:$A$14,0))</x:f>
      </x:c>
      <x:c r="N1680" s="69" t="str"/>
    </x:row>
    <x:row r="1681" ht="25" customHeight="1">
      <x:c r="A1681" s="69" t="str">
        <x:v>summer-S26-1509</x:v>
      </x:c>
      <x:c r="B1681" s="69" t="str">
        <x:v>Cristian Perea</x:v>
      </x:c>
      <x:c r="C1681" s="69"/>
      <x:c r="D1681" s="82" t="str">
        <x:f>IF(ISNUMBER('Transfer_Ratings'!K1681),'Transfer_Ratings'!K1681,"")</x:f>
      </x:c>
      <x:c r="E1681" s="86"/>
      <x:c r="F1681" s="86"/>
      <x:c r="G1681" s="86"/>
      <x:c r="H1681" s="86"/>
      <x:c r="I1681" s="86"/>
      <x:c r="J1681" s="82" t="str">
        <x:f>IF(C1681="","Choose position",IF(COUNT(E1681:I1681)&lt;5,"",IF(OR(MIN(E1681:I1681)&lt;0.1,MAX(E1681:I1681)&gt;10),"Invalid score",IF(INDEX('Position_Rubric'!$H$6:$H$14,M1681)&lt;&gt;1,"Check weights",ROUND(E1681*INDEX('Position_Rubric'!$C$6:$C$14,M1681)+F1681*INDEX('Position_Rubric'!$D$6:$D$14,M1681)+G1681*INDEX('Position_Rubric'!$E$6:$E$14,M1681)+H1681*INDEX('Position_Rubric'!$F$6:$F$14,M1681)+I1681*INDEX('Position_Rubric'!$G$6:$G$14,M1681),1)))))</x:f>
        <x:v>Choose position</x:v>
      </x:c>
      <x:c r="K1681" s="82" t="str">
        <x:f>IF(AND(ISNUMBER(J1681),ISNUMBER(D1681)),J1681-D1681,"")</x:f>
      </x:c>
      <x:c r="L1681" s="69" t="str">
        <x:f>IF(COUNT(E1681:I1681)&lt;5,"Needs component scores",IF(ISNUMBER(J1681),"Calculated",J1681))</x:f>
        <x:v>Needs component scores</x:v>
      </x:c>
      <x:c r="M1681" s="69" t="str">
        <x:f>IF(C1681="","",MATCH(C1681,'Position_Rubric'!$A$6:$A$14,0))</x:f>
      </x:c>
      <x:c r="N1681" s="69" t="str"/>
    </x:row>
    <x:row r="1682" ht="25" customHeight="1">
      <x:c r="A1682" s="69" t="str">
        <x:v>summer-S26-1510</x:v>
      </x:c>
      <x:c r="B1682" s="69" t="str">
        <x:v>Diogo Leite</x:v>
      </x:c>
      <x:c r="C1682" s="69"/>
      <x:c r="D1682" s="82" t="str">
        <x:f>IF(ISNUMBER('Transfer_Ratings'!K1682),'Transfer_Ratings'!K1682,"")</x:f>
      </x:c>
      <x:c r="E1682" s="86"/>
      <x:c r="F1682" s="86"/>
      <x:c r="G1682" s="86"/>
      <x:c r="H1682" s="86"/>
      <x:c r="I1682" s="86"/>
      <x:c r="J1682" s="82" t="str">
        <x:f>IF(C1682="","Choose position",IF(COUNT(E1682:I1682)&lt;5,"",IF(OR(MIN(E1682:I1682)&lt;0.1,MAX(E1682:I1682)&gt;10),"Invalid score",IF(INDEX('Position_Rubric'!$H$6:$H$14,M1682)&lt;&gt;1,"Check weights",ROUND(E1682*INDEX('Position_Rubric'!$C$6:$C$14,M1682)+F1682*INDEX('Position_Rubric'!$D$6:$D$14,M1682)+G1682*INDEX('Position_Rubric'!$E$6:$E$14,M1682)+H1682*INDEX('Position_Rubric'!$F$6:$F$14,M1682)+I1682*INDEX('Position_Rubric'!$G$6:$G$14,M1682),1)))))</x:f>
        <x:v>Choose position</x:v>
      </x:c>
      <x:c r="K1682" s="82" t="str">
        <x:f>IF(AND(ISNUMBER(J1682),ISNUMBER(D1682)),J1682-D1682,"")</x:f>
      </x:c>
      <x:c r="L1682" s="69" t="str">
        <x:f>IF(COUNT(E1682:I1682)&lt;5,"Needs component scores",IF(ISNUMBER(J1682),"Calculated",J1682))</x:f>
        <x:v>Needs component scores</x:v>
      </x:c>
      <x:c r="M1682" s="69" t="str">
        <x:f>IF(C1682="","",MATCH(C1682,'Position_Rubric'!$A$6:$A$14,0))</x:f>
      </x:c>
      <x:c r="N1682" s="69" t="str"/>
    </x:row>
    <x:row r="1683" ht="25" customHeight="1">
      <x:c r="A1683" s="69" t="str">
        <x:v>summer-S26-1511</x:v>
      </x:c>
      <x:c r="B1683" s="69" t="str">
        <x:v>Harry Vaughan</x:v>
      </x:c>
      <x:c r="C1683" s="69"/>
      <x:c r="D1683" s="82" t="str">
        <x:f>IF(ISNUMBER('Transfer_Ratings'!K1683),'Transfer_Ratings'!K1683,"")</x:f>
      </x:c>
      <x:c r="E1683" s="86"/>
      <x:c r="F1683" s="86"/>
      <x:c r="G1683" s="86"/>
      <x:c r="H1683" s="86"/>
      <x:c r="I1683" s="86"/>
      <x:c r="J1683" s="82" t="str">
        <x:f>IF(C1683="","Choose position",IF(COUNT(E1683:I1683)&lt;5,"",IF(OR(MIN(E1683:I1683)&lt;0.1,MAX(E1683:I1683)&gt;10),"Invalid score",IF(INDEX('Position_Rubric'!$H$6:$H$14,M1683)&lt;&gt;1,"Check weights",ROUND(E1683*INDEX('Position_Rubric'!$C$6:$C$14,M1683)+F1683*INDEX('Position_Rubric'!$D$6:$D$14,M1683)+G1683*INDEX('Position_Rubric'!$E$6:$E$14,M1683)+H1683*INDEX('Position_Rubric'!$F$6:$F$14,M1683)+I1683*INDEX('Position_Rubric'!$G$6:$G$14,M1683),1)))))</x:f>
        <x:v>Choose position</x:v>
      </x:c>
      <x:c r="K1683" s="82" t="str">
        <x:f>IF(AND(ISNUMBER(J1683),ISNUMBER(D1683)),J1683-D1683,"")</x:f>
      </x:c>
      <x:c r="L1683" s="69" t="str">
        <x:f>IF(COUNT(E1683:I1683)&lt;5,"Needs component scores",IF(ISNUMBER(J1683),"Calculated",J1683))</x:f>
        <x:v>Needs component scores</x:v>
      </x:c>
      <x:c r="M1683" s="69" t="str">
        <x:f>IF(C1683="","",MATCH(C1683,'Position_Rubric'!$A$6:$A$14,0))</x:f>
      </x:c>
      <x:c r="N1683" s="69" t="str"/>
    </x:row>
    <x:row r="1684" ht="25" customHeight="1">
      <x:c r="A1684" s="69" t="str">
        <x:v>summer-S26-1512</x:v>
      </x:c>
      <x:c r="B1684" s="69" t="str">
        <x:v>Ryan Trevitt</x:v>
      </x:c>
      <x:c r="C1684" s="69"/>
      <x:c r="D1684" s="82" t="str">
        <x:f>IF(ISNUMBER('Transfer_Ratings'!K1684),'Transfer_Ratings'!K1684,"")</x:f>
      </x:c>
      <x:c r="E1684" s="86"/>
      <x:c r="F1684" s="86"/>
      <x:c r="G1684" s="86"/>
      <x:c r="H1684" s="86"/>
      <x:c r="I1684" s="86"/>
      <x:c r="J1684" s="82" t="str">
        <x:f>IF(C1684="","Choose position",IF(COUNT(E1684:I1684)&lt;5,"",IF(OR(MIN(E1684:I1684)&lt;0.1,MAX(E1684:I1684)&gt;10),"Invalid score",IF(INDEX('Position_Rubric'!$H$6:$H$14,M1684)&lt;&gt;1,"Check weights",ROUND(E1684*INDEX('Position_Rubric'!$C$6:$C$14,M1684)+F1684*INDEX('Position_Rubric'!$D$6:$D$14,M1684)+G1684*INDEX('Position_Rubric'!$E$6:$E$14,M1684)+H1684*INDEX('Position_Rubric'!$F$6:$F$14,M1684)+I1684*INDEX('Position_Rubric'!$G$6:$G$14,M1684),1)))))</x:f>
        <x:v>Choose position</x:v>
      </x:c>
      <x:c r="K1684" s="82" t="str">
        <x:f>IF(AND(ISNUMBER(J1684),ISNUMBER(D1684)),J1684-D1684,"")</x:f>
      </x:c>
      <x:c r="L1684" s="69" t="str">
        <x:f>IF(COUNT(E1684:I1684)&lt;5,"Needs component scores",IF(ISNUMBER(J1684),"Calculated",J1684))</x:f>
        <x:v>Needs component scores</x:v>
      </x:c>
      <x:c r="M1684" s="69" t="str">
        <x:f>IF(C1684="","",MATCH(C1684,'Position_Rubric'!$A$6:$A$14,0))</x:f>
      </x:c>
      <x:c r="N1684" s="69" t="str"/>
    </x:row>
    <x:row r="1685" ht="25" customHeight="1">
      <x:c r="A1685" s="69" t="str">
        <x:v>summer-S26-1513</x:v>
      </x:c>
      <x:c r="B1685" s="69" t="str">
        <x:v>Benjamin Arthur</x:v>
      </x:c>
      <x:c r="C1685" s="69"/>
      <x:c r="D1685" s="82" t="str">
        <x:f>IF(ISNUMBER('Transfer_Ratings'!K1685),'Transfer_Ratings'!K1685,"")</x:f>
      </x:c>
      <x:c r="E1685" s="86"/>
      <x:c r="F1685" s="86"/>
      <x:c r="G1685" s="86"/>
      <x:c r="H1685" s="86"/>
      <x:c r="I1685" s="86"/>
      <x:c r="J1685" s="82" t="str">
        <x:f>IF(C1685="","Choose position",IF(COUNT(E1685:I1685)&lt;5,"",IF(OR(MIN(E1685:I1685)&lt;0.1,MAX(E1685:I1685)&gt;10),"Invalid score",IF(INDEX('Position_Rubric'!$H$6:$H$14,M1685)&lt;&gt;1,"Check weights",ROUND(E1685*INDEX('Position_Rubric'!$C$6:$C$14,M1685)+F1685*INDEX('Position_Rubric'!$D$6:$D$14,M1685)+G1685*INDEX('Position_Rubric'!$E$6:$E$14,M1685)+H1685*INDEX('Position_Rubric'!$F$6:$F$14,M1685)+I1685*INDEX('Position_Rubric'!$G$6:$G$14,M1685),1)))))</x:f>
        <x:v>Choose position</x:v>
      </x:c>
      <x:c r="K1685" s="82" t="str">
        <x:f>IF(AND(ISNUMBER(J1685),ISNUMBER(D1685)),J1685-D1685,"")</x:f>
      </x:c>
      <x:c r="L1685" s="69" t="str">
        <x:f>IF(COUNT(E1685:I1685)&lt;5,"Needs component scores",IF(ISNUMBER(J1685),"Calculated",J1685))</x:f>
        <x:v>Needs component scores</x:v>
      </x:c>
      <x:c r="M1685" s="69" t="str">
        <x:f>IF(C1685="","",MATCH(C1685,'Position_Rubric'!$A$6:$A$14,0))</x:f>
      </x:c>
      <x:c r="N1685" s="69" t="str"/>
    </x:row>
    <x:row r="1686" ht="25" customHeight="1">
      <x:c r="A1686" s="69" t="str">
        <x:v>summer-S26-1514</x:v>
      </x:c>
      <x:c r="B1686" s="69" t="str">
        <x:v>Julian Eyestone</x:v>
      </x:c>
      <x:c r="C1686" s="69" t="str">
        <x:v>GK</x:v>
      </x:c>
      <x:c r="D1686" s="82" t="str">
        <x:f>IF(ISNUMBER('Transfer_Ratings'!K1686),'Transfer_Ratings'!K1686,"")</x:f>
      </x:c>
      <x:c r="E1686" s="86"/>
      <x:c r="F1686" s="86"/>
      <x:c r="G1686" s="86"/>
      <x:c r="H1686" s="86"/>
      <x:c r="I1686" s="86"/>
      <x:c r="J1686" s="82" t="str">
        <x:f>IF(C1686="","Choose position",IF(COUNT(E1686:I1686)&lt;5,"",IF(OR(MIN(E1686:I1686)&lt;0.1,MAX(E1686:I1686)&gt;10),"Invalid score",IF(INDEX('Position_Rubric'!$H$6:$H$14,M1686)&lt;&gt;1,"Check weights",ROUND(E1686*INDEX('Position_Rubric'!$C$6:$C$14,M1686)+F1686*INDEX('Position_Rubric'!$D$6:$D$14,M1686)+G1686*INDEX('Position_Rubric'!$E$6:$E$14,M1686)+H1686*INDEX('Position_Rubric'!$F$6:$F$14,M1686)+I1686*INDEX('Position_Rubric'!$G$6:$G$14,M1686),1)))))</x:f>
      </x:c>
      <x:c r="K1686" s="82" t="str">
        <x:f>IF(AND(ISNUMBER(J1686),ISNUMBER(D1686)),J1686-D1686,"")</x:f>
      </x:c>
      <x:c r="L1686" s="69" t="str">
        <x:f>IF(COUNT(E1686:I1686)&lt;5,"Needs component scores",IF(ISNUMBER(J1686),"Calculated",J1686))</x:f>
        <x:v>Needs component scores</x:v>
      </x:c>
      <x:c r="M1686" s="69" t="n">
        <x:f>IF(C1686="","",MATCH(C1686,'Position_Rubric'!$A$6:$A$14,0))</x:f>
        <x:v>9</x:v>
      </x:c>
      <x:c r="N1686" s="69" t="str"/>
    </x:row>
    <x:row r="1687" ht="25" customHeight="1">
      <x:c r="A1687" s="69" t="str">
        <x:v>summer-S26-1515</x:v>
      </x:c>
      <x:c r="B1687" s="69" t="str">
        <x:v>Leo Shahar</x:v>
      </x:c>
      <x:c r="C1687" s="69"/>
      <x:c r="D1687" s="82" t="str">
        <x:f>IF(ISNUMBER('Transfer_Ratings'!K1687),'Transfer_Ratings'!K1687,"")</x:f>
      </x:c>
      <x:c r="E1687" s="86"/>
      <x:c r="F1687" s="86"/>
      <x:c r="G1687" s="86"/>
      <x:c r="H1687" s="86"/>
      <x:c r="I1687" s="86"/>
      <x:c r="J1687" s="82" t="str">
        <x:f>IF(C1687="","Choose position",IF(COUNT(E1687:I1687)&lt;5,"",IF(OR(MIN(E1687:I1687)&lt;0.1,MAX(E1687:I1687)&gt;10),"Invalid score",IF(INDEX('Position_Rubric'!$H$6:$H$14,M1687)&lt;&gt;1,"Check weights",ROUND(E1687*INDEX('Position_Rubric'!$C$6:$C$14,M1687)+F1687*INDEX('Position_Rubric'!$D$6:$D$14,M1687)+G1687*INDEX('Position_Rubric'!$E$6:$E$14,M1687)+H1687*INDEX('Position_Rubric'!$F$6:$F$14,M1687)+I1687*INDEX('Position_Rubric'!$G$6:$G$14,M1687),1)))))</x:f>
        <x:v>Choose position</x:v>
      </x:c>
      <x:c r="K1687" s="82" t="str">
        <x:f>IF(AND(ISNUMBER(J1687),ISNUMBER(D1687)),J1687-D1687,"")</x:f>
      </x:c>
      <x:c r="L1687" s="69" t="str">
        <x:f>IF(COUNT(E1687:I1687)&lt;5,"Needs component scores",IF(ISNUMBER(J1687),"Calculated",J1687))</x:f>
        <x:v>Needs component scores</x:v>
      </x:c>
      <x:c r="M1687" s="69" t="str">
        <x:f>IF(C1687="","",MATCH(C1687,'Position_Rubric'!$A$6:$A$14,0))</x:f>
      </x:c>
      <x:c r="N1687" s="69" t="str"/>
    </x:row>
    <x:row r="1688" ht="25" customHeight="1">
      <x:c r="A1688" s="69" t="str">
        <x:v>summer-S26-1517</x:v>
      </x:c>
      <x:c r="B1688" s="69" t="str">
        <x:v>Josué Casimir</x:v>
      </x:c>
      <x:c r="C1688" s="69"/>
      <x:c r="D1688" s="82" t="str">
        <x:f>IF(ISNUMBER('Transfer_Ratings'!K1688),'Transfer_Ratings'!K1688,"")</x:f>
      </x:c>
      <x:c r="E1688" s="86"/>
      <x:c r="F1688" s="86"/>
      <x:c r="G1688" s="86"/>
      <x:c r="H1688" s="86"/>
      <x:c r="I1688" s="86"/>
      <x:c r="J1688" s="82" t="str">
        <x:f>IF(C1688="","Choose position",IF(COUNT(E1688:I1688)&lt;5,"",IF(OR(MIN(E1688:I1688)&lt;0.1,MAX(E1688:I1688)&gt;10),"Invalid score",IF(INDEX('Position_Rubric'!$H$6:$H$14,M1688)&lt;&gt;1,"Check weights",ROUND(E1688*INDEX('Position_Rubric'!$C$6:$C$14,M1688)+F1688*INDEX('Position_Rubric'!$D$6:$D$14,M1688)+G1688*INDEX('Position_Rubric'!$E$6:$E$14,M1688)+H1688*INDEX('Position_Rubric'!$F$6:$F$14,M1688)+I1688*INDEX('Position_Rubric'!$G$6:$G$14,M1688),1)))))</x:f>
        <x:v>Choose position</x:v>
      </x:c>
      <x:c r="K1688" s="82" t="str">
        <x:f>IF(AND(ISNUMBER(J1688),ISNUMBER(D1688)),J1688-D1688,"")</x:f>
      </x:c>
      <x:c r="L1688" s="69" t="str">
        <x:f>IF(COUNT(E1688:I1688)&lt;5,"Needs component scores",IF(ISNUMBER(J1688),"Calculated",J1688))</x:f>
        <x:v>Needs component scores</x:v>
      </x:c>
      <x:c r="M1688" s="69" t="str">
        <x:f>IF(C1688="","",MATCH(C1688,'Position_Rubric'!$A$6:$A$14,0))</x:f>
      </x:c>
      <x:c r="N1688" s="69" t="str"/>
    </x:row>
    <x:row r="1689" ht="25" customHeight="1">
      <x:c r="A1689" s="69" t="str">
        <x:v>summer-S26-1518</x:v>
      </x:c>
      <x:c r="B1689" s="69" t="str">
        <x:v>Nikola Maras</x:v>
      </x:c>
      <x:c r="C1689" s="69"/>
      <x:c r="D1689" s="82" t="str">
        <x:f>IF(ISNUMBER('Transfer_Ratings'!K1689),'Transfer_Ratings'!K1689,"")</x:f>
      </x:c>
      <x:c r="E1689" s="86"/>
      <x:c r="F1689" s="86"/>
      <x:c r="G1689" s="86"/>
      <x:c r="H1689" s="86"/>
      <x:c r="I1689" s="86"/>
      <x:c r="J1689" s="82" t="str">
        <x:f>IF(C1689="","Choose position",IF(COUNT(E1689:I1689)&lt;5,"",IF(OR(MIN(E1689:I1689)&lt;0.1,MAX(E1689:I1689)&gt;10),"Invalid score",IF(INDEX('Position_Rubric'!$H$6:$H$14,M1689)&lt;&gt;1,"Check weights",ROUND(E1689*INDEX('Position_Rubric'!$C$6:$C$14,M1689)+F1689*INDEX('Position_Rubric'!$D$6:$D$14,M1689)+G1689*INDEX('Position_Rubric'!$E$6:$E$14,M1689)+H1689*INDEX('Position_Rubric'!$F$6:$F$14,M1689)+I1689*INDEX('Position_Rubric'!$G$6:$G$14,M1689),1)))))</x:f>
        <x:v>Choose position</x:v>
      </x:c>
      <x:c r="K1689" s="82" t="str">
        <x:f>IF(AND(ISNUMBER(J1689),ISNUMBER(D1689)),J1689-D1689,"")</x:f>
      </x:c>
      <x:c r="L1689" s="69" t="str">
        <x:f>IF(COUNT(E1689:I1689)&lt;5,"Needs component scores",IF(ISNUMBER(J1689),"Calculated",J1689))</x:f>
        <x:v>Needs component scores</x:v>
      </x:c>
      <x:c r="M1689" s="69" t="str">
        <x:f>IF(C1689="","",MATCH(C1689,'Position_Rubric'!$A$6:$A$14,0))</x:f>
      </x:c>
      <x:c r="N1689" s="69" t="str"/>
    </x:row>
    <x:row r="1690" ht="25" customHeight="1">
      <x:c r="A1690" s="69" t="str">
        <x:v>summer-S26-1520</x:v>
      </x:c>
      <x:c r="B1690" s="69" t="str">
        <x:v>Luc De Fougerolles</x:v>
      </x:c>
      <x:c r="C1690" s="69"/>
      <x:c r="D1690" s="82" t="str">
        <x:f>IF(ISNUMBER('Transfer_Ratings'!K1690),'Transfer_Ratings'!K1690,"")</x:f>
      </x:c>
      <x:c r="E1690" s="86"/>
      <x:c r="F1690" s="86"/>
      <x:c r="G1690" s="86"/>
      <x:c r="H1690" s="86"/>
      <x:c r="I1690" s="86"/>
      <x:c r="J1690" s="82" t="str">
        <x:f>IF(C1690="","Choose position",IF(COUNT(E1690:I1690)&lt;5,"",IF(OR(MIN(E1690:I1690)&lt;0.1,MAX(E1690:I1690)&gt;10),"Invalid score",IF(INDEX('Position_Rubric'!$H$6:$H$14,M1690)&lt;&gt;1,"Check weights",ROUND(E1690*INDEX('Position_Rubric'!$C$6:$C$14,M1690)+F1690*INDEX('Position_Rubric'!$D$6:$D$14,M1690)+G1690*INDEX('Position_Rubric'!$E$6:$E$14,M1690)+H1690*INDEX('Position_Rubric'!$F$6:$F$14,M1690)+I1690*INDEX('Position_Rubric'!$G$6:$G$14,M1690),1)))))</x:f>
        <x:v>Choose position</x:v>
      </x:c>
      <x:c r="K1690" s="82" t="str">
        <x:f>IF(AND(ISNUMBER(J1690),ISNUMBER(D1690)),J1690-D1690,"")</x:f>
      </x:c>
      <x:c r="L1690" s="69" t="str">
        <x:f>IF(COUNT(E1690:I1690)&lt;5,"Needs component scores",IF(ISNUMBER(J1690),"Calculated",J1690))</x:f>
        <x:v>Needs component scores</x:v>
      </x:c>
      <x:c r="M1690" s="69" t="str">
        <x:f>IF(C1690="","",MATCH(C1690,'Position_Rubric'!$A$6:$A$14,0))</x:f>
      </x:c>
      <x:c r="N1690" s="69" t="str"/>
    </x:row>
    <x:row r="1691" ht="25" customHeight="1">
      <x:c r="A1691" s="69" t="str">
        <x:v>summer-S26-1521</x:v>
      </x:c>
      <x:c r="B1691" s="69" t="str">
        <x:v>Will Dennis</x:v>
      </x:c>
      <x:c r="C1691" s="69" t="str">
        <x:v>GK</x:v>
      </x:c>
      <x:c r="D1691" s="82" t="str">
        <x:f>IF(ISNUMBER('Transfer_Ratings'!K1691),'Transfer_Ratings'!K1691,"")</x:f>
      </x:c>
      <x:c r="E1691" s="86"/>
      <x:c r="F1691" s="86"/>
      <x:c r="G1691" s="86"/>
      <x:c r="H1691" s="86"/>
      <x:c r="I1691" s="86"/>
      <x:c r="J1691" s="82" t="str">
        <x:f>IF(C1691="","Choose position",IF(COUNT(E1691:I1691)&lt;5,"",IF(OR(MIN(E1691:I1691)&lt;0.1,MAX(E1691:I1691)&gt;10),"Invalid score",IF(INDEX('Position_Rubric'!$H$6:$H$14,M1691)&lt;&gt;1,"Check weights",ROUND(E1691*INDEX('Position_Rubric'!$C$6:$C$14,M1691)+F1691*INDEX('Position_Rubric'!$D$6:$D$14,M1691)+G1691*INDEX('Position_Rubric'!$E$6:$E$14,M1691)+H1691*INDEX('Position_Rubric'!$F$6:$F$14,M1691)+I1691*INDEX('Position_Rubric'!$G$6:$G$14,M1691),1)))))</x:f>
      </x:c>
      <x:c r="K1691" s="82" t="str">
        <x:f>IF(AND(ISNUMBER(J1691),ISNUMBER(D1691)),J1691-D1691,"")</x:f>
      </x:c>
      <x:c r="L1691" s="69" t="str">
        <x:f>IF(COUNT(E1691:I1691)&lt;5,"Needs component scores",IF(ISNUMBER(J1691),"Calculated",J1691))</x:f>
        <x:v>Needs component scores</x:v>
      </x:c>
      <x:c r="M1691" s="69" t="n">
        <x:f>IF(C1691="","",MATCH(C1691,'Position_Rubric'!$A$6:$A$14,0))</x:f>
        <x:v>9</x:v>
      </x:c>
      <x:c r="N1691" s="69" t="str"/>
    </x:row>
    <x:row r="1692" ht="25" customHeight="1">
      <x:c r="A1692" s="69" t="str">
        <x:v>summer-S26-0007</x:v>
      </x:c>
      <x:c r="B1692" s="69" t="str">
        <x:v>Jérémy Jacquet</x:v>
      </x:c>
      <x:c r="C1692" s="69"/>
      <x:c r="D1692" s="82" t="str">
        <x:f>IF(ISNUMBER('Transfer_Ratings'!K1692),'Transfer_Ratings'!K1692,"")</x:f>
      </x:c>
      <x:c r="E1692" s="86"/>
      <x:c r="F1692" s="86"/>
      <x:c r="G1692" s="86"/>
      <x:c r="H1692" s="86"/>
      <x:c r="I1692" s="86"/>
      <x:c r="J1692" s="82" t="str">
        <x:f>IF(C1692="","Choose position",IF(COUNT(E1692:I1692)&lt;5,"",IF(OR(MIN(E1692:I1692)&lt;0.1,MAX(E1692:I1692)&gt;10),"Invalid score",IF(INDEX('Position_Rubric'!$H$6:$H$14,M1692)&lt;&gt;1,"Check weights",ROUND(E1692*INDEX('Position_Rubric'!$C$6:$C$14,M1692)+F1692*INDEX('Position_Rubric'!$D$6:$D$14,M1692)+G1692*INDEX('Position_Rubric'!$E$6:$E$14,M1692)+H1692*INDEX('Position_Rubric'!$F$6:$F$14,M1692)+I1692*INDEX('Position_Rubric'!$G$6:$G$14,M1692),1)))))</x:f>
        <x:v>Choose position</x:v>
      </x:c>
      <x:c r="K1692" s="82" t="str">
        <x:f>IF(AND(ISNUMBER(J1692),ISNUMBER(D1692)),J1692-D1692,"")</x:f>
      </x:c>
      <x:c r="L1692" s="69" t="str">
        <x:f>IF(COUNT(E1692:I1692)&lt;5,"Needs component scores",IF(ISNUMBER(J1692),"Calculated",J1692))</x:f>
        <x:v>Needs component scores</x:v>
      </x:c>
      <x:c r="M1692" s="69" t="str">
        <x:f>IF(C1692="","",MATCH(C1692,'Position_Rubric'!$A$6:$A$14,0))</x:f>
      </x:c>
      <x:c r="N1692" s="69" t="str"/>
    </x:row>
    <x:row r="1693" ht="25" customHeight="1">
      <x:c r="A1693" s="69" t="str">
        <x:v>summer-S26-0095</x:v>
      </x:c>
      <x:c r="B1693" s="69" t="str">
        <x:v>Jan Paul van Hecke</x:v>
      </x:c>
      <x:c r="C1693" s="69"/>
      <x:c r="D1693" s="82" t="str">
        <x:f>IF(ISNUMBER('Transfer_Ratings'!K1693),'Transfer_Ratings'!K1693,"")</x:f>
      </x:c>
      <x:c r="E1693" s="86"/>
      <x:c r="F1693" s="86"/>
      <x:c r="G1693" s="86"/>
      <x:c r="H1693" s="86"/>
      <x:c r="I1693" s="86"/>
      <x:c r="J1693" s="82" t="str">
        <x:f>IF(C1693="","Choose position",IF(COUNT(E1693:I1693)&lt;5,"",IF(OR(MIN(E1693:I1693)&lt;0.1,MAX(E1693:I1693)&gt;10),"Invalid score",IF(INDEX('Position_Rubric'!$H$6:$H$14,M1693)&lt;&gt;1,"Check weights",ROUND(E1693*INDEX('Position_Rubric'!$C$6:$C$14,M1693)+F1693*INDEX('Position_Rubric'!$D$6:$D$14,M1693)+G1693*INDEX('Position_Rubric'!$E$6:$E$14,M1693)+H1693*INDEX('Position_Rubric'!$F$6:$F$14,M1693)+I1693*INDEX('Position_Rubric'!$G$6:$G$14,M1693),1)))))</x:f>
        <x:v>Choose position</x:v>
      </x:c>
      <x:c r="K1693" s="82" t="str">
        <x:f>IF(AND(ISNUMBER(J1693),ISNUMBER(D1693)),J1693-D1693,"")</x:f>
      </x:c>
      <x:c r="L1693" s="69" t="str">
        <x:f>IF(COUNT(E1693:I1693)&lt;5,"Needs component scores",IF(ISNUMBER(J1693),"Calculated",J1693))</x:f>
        <x:v>Needs component scores</x:v>
      </x:c>
      <x:c r="M1693" s="69" t="str">
        <x:f>IF(C1693="","",MATCH(C1693,'Position_Rubric'!$A$6:$A$14,0))</x:f>
      </x:c>
      <x:c r="N1693" s="69" t="str"/>
    </x:row>
    <x:row r="1694" ht="25" customHeight="1">
      <x:c r="A1694" s="69" t="str">
        <x:v>summer-S26-0130</x:v>
      </x:c>
      <x:c r="B1694" s="69" t="str">
        <x:v>Piero Hincapié</x:v>
      </x:c>
      <x:c r="C1694" s="69"/>
      <x:c r="D1694" s="82" t="str">
        <x:f>IF(ISNUMBER('Transfer_Ratings'!K1694),'Transfer_Ratings'!K1694,"")</x:f>
      </x:c>
      <x:c r="E1694" s="86"/>
      <x:c r="F1694" s="86"/>
      <x:c r="G1694" s="86"/>
      <x:c r="H1694" s="86"/>
      <x:c r="I1694" s="86"/>
      <x:c r="J1694" s="82" t="str">
        <x:f>IF(C1694="","Choose position",IF(COUNT(E1694:I1694)&lt;5,"",IF(OR(MIN(E1694:I1694)&lt;0.1,MAX(E1694:I1694)&gt;10),"Invalid score",IF(INDEX('Position_Rubric'!$H$6:$H$14,M1694)&lt;&gt;1,"Check weights",ROUND(E1694*INDEX('Position_Rubric'!$C$6:$C$14,M1694)+F1694*INDEX('Position_Rubric'!$D$6:$D$14,M1694)+G1694*INDEX('Position_Rubric'!$E$6:$E$14,M1694)+H1694*INDEX('Position_Rubric'!$F$6:$F$14,M1694)+I1694*INDEX('Position_Rubric'!$G$6:$G$14,M1694),1)))))</x:f>
        <x:v>Choose position</x:v>
      </x:c>
      <x:c r="K1694" s="82" t="str">
        <x:f>IF(AND(ISNUMBER(J1694),ISNUMBER(D1694)),J1694-D1694,"")</x:f>
      </x:c>
      <x:c r="L1694" s="69" t="str">
        <x:f>IF(COUNT(E1694:I1694)&lt;5,"Needs component scores",IF(ISNUMBER(J1694),"Calculated",J1694))</x:f>
        <x:v>Needs component scores</x:v>
      </x:c>
      <x:c r="M1694" s="69" t="str">
        <x:f>IF(C1694="","",MATCH(C1694,'Position_Rubric'!$A$6:$A$14,0))</x:f>
      </x:c>
      <x:c r="N1694" s="69" t="str"/>
    </x:row>
    <x:row r="1695" ht="25" customHeight="1">
      <x:c r="A1695" s="69" t="str">
        <x:v>summer-S26-0196</x:v>
      </x:c>
      <x:c r="B1695" s="69" t="str">
        <x:v>Mateus Fernandes</x:v>
      </x:c>
      <x:c r="C1695" s="69"/>
      <x:c r="D1695" s="82" t="str">
        <x:f>IF(ISNUMBER('Transfer_Ratings'!K1695),'Transfer_Ratings'!K1695,"")</x:f>
      </x:c>
      <x:c r="E1695" s="86"/>
      <x:c r="F1695" s="86"/>
      <x:c r="G1695" s="86"/>
      <x:c r="H1695" s="86"/>
      <x:c r="I1695" s="86"/>
      <x:c r="J1695" s="82" t="str">
        <x:f>IF(C1695="","Choose position",IF(COUNT(E1695:I1695)&lt;5,"",IF(OR(MIN(E1695:I1695)&lt;0.1,MAX(E1695:I1695)&gt;10),"Invalid score",IF(INDEX('Position_Rubric'!$H$6:$H$14,M1695)&lt;&gt;1,"Check weights",ROUND(E1695*INDEX('Position_Rubric'!$C$6:$C$14,M1695)+F1695*INDEX('Position_Rubric'!$D$6:$D$14,M1695)+G1695*INDEX('Position_Rubric'!$E$6:$E$14,M1695)+H1695*INDEX('Position_Rubric'!$F$6:$F$14,M1695)+I1695*INDEX('Position_Rubric'!$G$6:$G$14,M1695),1)))))</x:f>
        <x:v>Choose position</x:v>
      </x:c>
      <x:c r="K1695" s="82" t="str">
        <x:f>IF(AND(ISNUMBER(J1695),ISNUMBER(D1695)),J1695-D1695,"")</x:f>
      </x:c>
      <x:c r="L1695" s="69" t="str">
        <x:f>IF(COUNT(E1695:I1695)&lt;5,"Needs component scores",IF(ISNUMBER(J1695),"Calculated",J1695))</x:f>
        <x:v>Needs component scores</x:v>
      </x:c>
      <x:c r="M1695" s="69" t="str">
        <x:f>IF(C1695="","",MATCH(C1695,'Position_Rubric'!$A$6:$A$14,0))</x:f>
      </x:c>
      <x:c r="N1695" s="69" t="str"/>
    </x:row>
    <x:row r="1696" ht="25" customHeight="1">
      <x:c r="A1696" s="69" t="str">
        <x:v>summer-S26-1058</x:v>
      </x:c>
      <x:c r="B1696" s="69" t="str">
        <x:v>Ezri Konsa</x:v>
      </x:c>
      <x:c r="C1696" s="69"/>
      <x:c r="D1696" s="82" t="str">
        <x:f>IF(ISNUMBER('Transfer_Ratings'!K1696),'Transfer_Ratings'!K1696,"")</x:f>
      </x:c>
      <x:c r="E1696" s="86"/>
      <x:c r="F1696" s="86"/>
      <x:c r="G1696" s="86"/>
      <x:c r="H1696" s="86"/>
      <x:c r="I1696" s="86"/>
      <x:c r="J1696" s="82" t="str">
        <x:f>IF(C1696="","Choose position",IF(COUNT(E1696:I1696)&lt;5,"",IF(OR(MIN(E1696:I1696)&lt;0.1,MAX(E1696:I1696)&gt;10),"Invalid score",IF(INDEX('Position_Rubric'!$H$6:$H$14,M1696)&lt;&gt;1,"Check weights",ROUND(E1696*INDEX('Position_Rubric'!$C$6:$C$14,M1696)+F1696*INDEX('Position_Rubric'!$D$6:$D$14,M1696)+G1696*INDEX('Position_Rubric'!$E$6:$E$14,M1696)+H1696*INDEX('Position_Rubric'!$F$6:$F$14,M1696)+I1696*INDEX('Position_Rubric'!$G$6:$G$14,M1696),1)))))</x:f>
        <x:v>Choose position</x:v>
      </x:c>
      <x:c r="K1696" s="82" t="str">
        <x:f>IF(AND(ISNUMBER(J1696),ISNUMBER(D1696)),J1696-D1696,"")</x:f>
      </x:c>
      <x:c r="L1696" s="69" t="str">
        <x:f>IF(COUNT(E1696:I1696)&lt;5,"Needs component scores",IF(ISNUMBER(J1696),"Calculated",J1696))</x:f>
        <x:v>Needs component scores</x:v>
      </x:c>
      <x:c r="M1696" s="69" t="str">
        <x:f>IF(C1696="","",MATCH(C1696,'Position_Rubric'!$A$6:$A$14,0))</x:f>
      </x:c>
      <x:c r="N1696" s="69" t="str"/>
    </x:row>
    <x:row r="1697" ht="25" customHeight="1">
      <x:c r="A1697" s="69"/>
      <x:c r="B1697" s="69"/>
      <x:c r="C1697" s="69"/>
      <x:c r="D1697" s="69"/>
      <x:c r="E1697" s="69"/>
      <x:c r="F1697" s="69"/>
      <x:c r="G1697" s="69"/>
      <x:c r="H1697" s="69"/>
      <x:c r="I1697" s="69"/>
      <x:c r="J1697" s="69"/>
      <x:c r="K1697" s="69"/>
      <x:c r="L1697" s="69"/>
      <x:c r="M1697" s="69"/>
      <x:c r="N1697" s="69"/>
    </x:row>
  </x:sheetData>
  <x:autoFilter ref="A5:N1696"/>
  <x:dataValidations count="2">
    <x:dataValidation type="list" sqref="C6:C1696">
      <x:formula1>"CDM,CM,CAM,CB,FB,WB,WINGER,ST,GK"</x:formula1>
    </x:dataValidation>
    <x:dataValidation type="decimal" operator="between" allowBlank="1" showErrorMessage="1" errorStyle="stop" errorTitle="Score range" error="Enter a score between 0.1 and 10.0." sqref="E6:I1696">
      <x:formula1>0.1</x:formula1>
      <x:formula2>10</x:formula2>
    </x:dataValidation>
  </x:dataValidation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How_to_read</vt:lpstr>
      <vt:lpstr>Data_Dictionary</vt:lpstr>
      <vt:lpstr>Data_Quality</vt:lpstr>
      <vt:lpstr>KPI_Summary</vt:lpstr>
      <vt:lpstr>Paid_Sample</vt:lpstr>
      <vt:lpstr>By_Position</vt:lpstr>
      <vt:lpstr>By_Age</vt:lpstr>
      <vt:lpstr>FTV_Worth</vt:lpstr>
      <vt:lpstr>Summer26_Overview</vt:lpstr>
      <vt:lpstr>Summer26_New</vt:lpstr>
      <vt:lpstr>Summer26_Matches</vt:lpstr>
      <vt:lpstr>Summer26_Review</vt:lpstr>
      <vt:lpstr>Fee_Components</vt:lpstr>
      <vt:lpstr>Source_Checks</vt:lpstr>
      <vt:lpstr>Transfer_Ratings</vt:lpstr>
      <vt:lpstr>Position_Rubric</vt:lpstr>
      <vt:lpstr>Rating_Calculator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Coit</dc:creator>
  <cp:lastModifiedBy>Trevor Coit</cp:lastModifiedBy>
  <dcterms:created xsi:type="dcterms:W3CDTF">2026-10-03T23:49:22Z</dcterms:created>
  <dcterms:modified xsi:type="dcterms:W3CDTF">2026-10-03T23:51:01Z</dcterms:modified>
</cp:coreProperties>
</file>